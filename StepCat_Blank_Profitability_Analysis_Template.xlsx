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Instructions" sheetId="1" state="visible" r:id="rId1"/>
    <sheet xmlns:r="http://schemas.openxmlformats.org/officeDocument/2006/relationships" name="Game Records" sheetId="2" state="visible" r:id="rId2"/>
    <sheet xmlns:r="http://schemas.openxmlformats.org/officeDocument/2006/relationships" name="Summary" sheetId="3" state="visible" r:id="rId3"/>
    <sheet xmlns:r="http://schemas.openxmlformats.org/officeDocument/2006/relationships" name="Game Comparisons" sheetId="4" state="visible" r:id="rId4"/>
    <sheet xmlns:r="http://schemas.openxmlformats.org/officeDocument/2006/relationships" name="Best Results" sheetId="5" state="visible" r:id="rId5"/>
  </sheets>
  <definedNames/>
</workbook>
</file>

<file path=xl/styles.xml><?xml version="1.0" encoding="utf-8"?>
<styleSheet xmlns="http://schemas.openxmlformats.org/spreadsheetml/2006/main">
  <numFmts count="5">
    <numFmt numFmtId="164" formatCode="mm/dd/yyyy"/>
    <numFmt numFmtId="165" formatCode="$0.00"/>
    <numFmt numFmtId="166" formatCode="0.0%"/>
    <numFmt numFmtId="167" formatCode="$#,##0.00"/>
    <numFmt numFmtId="168" formatCode="mm-dd-yyyy"/>
  </numFmts>
  <fonts count="18">
    <font>
      <name val="Carlito"/>
      <sz val="11"/>
    </font>
    <font>
      <name val="Carlito"/>
      <b val="1"/>
      <color rgb="FFFFFFFF"/>
      <sz val="18"/>
    </font>
    <font>
      <name val="Carlito"/>
      <i val="1"/>
      <color rgb="FF4A220C"/>
      <sz val="11"/>
    </font>
    <font>
      <name val="Carlito"/>
      <b val="1"/>
      <color rgb="FFFFFFFF"/>
      <sz val="12"/>
    </font>
    <font>
      <name val="Carlito"/>
      <color rgb="FF4A220C"/>
      <sz val="11"/>
    </font>
    <font>
      <name val="Carlito"/>
      <b val="1"/>
      <color rgb="FFFFFFFF"/>
      <sz val="11"/>
    </font>
    <font>
      <name val="Carlito"/>
      <b val="1"/>
      <color rgb="FF4A220C"/>
      <sz val="17"/>
    </font>
    <font>
      <name val="Carlito"/>
      <b val="1"/>
      <i val="1"/>
      <color rgb="FF4A210E"/>
      <sz val="11"/>
    </font>
    <font>
      <name val="Carlito"/>
      <b val="1"/>
      <color rgb="FF4A210E"/>
      <sz val="11"/>
    </font>
    <font>
      <name val="Carlito"/>
      <b val="1"/>
      <color rgb="FF274E13"/>
      <sz val="11"/>
    </font>
    <font>
      <name val="Carlito"/>
      <color rgb="FF274E13"/>
      <sz val="11"/>
    </font>
    <font>
      <name val="Carlito"/>
      <b val="1"/>
      <color rgb="FFC65911"/>
      <sz val="18"/>
    </font>
    <font>
      <name val="Carlito"/>
      <b val="1"/>
      <color rgb="FFFFE28A"/>
      <sz val="14"/>
    </font>
    <font>
      <name val="Carlito"/>
      <b val="1"/>
      <i val="1"/>
      <color rgb="FFF0DCC9"/>
      <sz val="11"/>
    </font>
    <font>
      <name val="Carlito"/>
      <i val="1"/>
      <color rgb="FFF0DCC9"/>
      <sz val="11"/>
    </font>
    <font>
      <name val="Carlito"/>
      <b val="1"/>
      <color rgb="FFFFE28A"/>
      <sz val="11"/>
    </font>
    <font>
      <name val="Carlito"/>
      <b val="1"/>
      <color rgb="FFFFFFFF"/>
      <sz val="14"/>
    </font>
    <font>
      <name val="Carlito"/>
      <b val="1"/>
      <color rgb="FFFFE28A"/>
      <sz val="12"/>
    </font>
  </fonts>
  <fills count="34">
    <fill>
      <patternFill/>
    </fill>
    <fill>
      <patternFill patternType="gray125"/>
    </fill>
    <fill>
      <patternFill patternType="solid">
        <fgColor rgb="FF6B2E0E"/>
      </patternFill>
    </fill>
    <fill>
      <patternFill patternType="solid">
        <fgColor rgb="FFF3E5D8"/>
      </patternFill>
    </fill>
    <fill>
      <patternFill patternType="solid">
        <fgColor rgb="FFA6470C"/>
      </patternFill>
    </fill>
    <fill>
      <patternFill patternType="solid">
        <fgColor rgb="FFFFF4E8"/>
      </patternFill>
    </fill>
    <fill>
      <patternFill patternType="solid">
        <fgColor rgb="FFE87516"/>
      </patternFill>
    </fill>
    <fill>
      <patternFill patternType="solid">
        <fgColor rgb="FFD9EAF7"/>
      </patternFill>
    </fill>
    <fill>
      <patternFill patternType="solid">
        <fgColor rgb="FFD9EAD3"/>
      </patternFill>
    </fill>
    <fill>
      <patternFill patternType="solid">
        <fgColor rgb="FF4A210E"/>
      </patternFill>
    </fill>
    <fill>
      <patternFill patternType="solid">
        <fgColor rgb="FFFFF2CC"/>
      </patternFill>
    </fill>
    <fill>
      <patternFill patternType="solid">
        <fgColor rgb="FFFFF2CC"/>
      </patternFill>
    </fill>
    <fill>
      <patternFill patternType="solid">
        <fgColor rgb="FF4A210E"/>
      </patternFill>
    </fill>
    <fill>
      <patternFill patternType="solid">
        <fgColor rgb="FFE2F0D9"/>
      </patternFill>
    </fill>
    <fill>
      <patternFill patternType="solid">
        <fgColor rgb="FF38761D"/>
      </patternFill>
    </fill>
    <fill>
      <patternFill patternType="solid">
        <fgColor rgb="FFFFF2CC"/>
      </patternFill>
    </fill>
    <fill>
      <patternFill patternType="solid">
        <fgColor rgb="FFFFF2CC"/>
      </patternFill>
    </fill>
    <fill>
      <patternFill patternType="solid">
        <fgColor rgb="FF4A210E"/>
      </patternFill>
    </fill>
    <fill>
      <patternFill patternType="solid">
        <fgColor rgb="FFE2F0D9"/>
      </patternFill>
    </fill>
    <fill>
      <patternFill patternType="solid">
        <fgColor rgb="FF38761D"/>
      </patternFill>
    </fill>
    <fill>
      <patternFill patternType="solid">
        <fgColor rgb="FFFFF2CC"/>
      </patternFill>
    </fill>
    <fill>
      <patternFill patternType="solid">
        <fgColor rgb="FFFFF2CC"/>
      </patternFill>
    </fill>
    <fill>
      <patternFill patternType="solid">
        <fgColor rgb="FF2A1A12"/>
      </patternFill>
    </fill>
    <fill>
      <patternFill patternType="solid">
        <fgColor rgb="FF3D1A0C"/>
      </patternFill>
    </fill>
    <fill>
      <patternFill patternType="solid">
        <fgColor rgb="FF6D2F0F"/>
      </patternFill>
    </fill>
    <fill>
      <patternFill patternType="solid">
        <fgColor rgb="FF6D2F0F"/>
      </patternFill>
    </fill>
    <fill>
      <patternFill patternType="solid">
        <fgColor rgb="FF6C2D13"/>
      </patternFill>
    </fill>
    <fill>
      <patternFill patternType="solid">
        <fgColor rgb="FF3D1A0C"/>
      </patternFill>
    </fill>
    <fill>
      <patternFill patternType="solid">
        <fgColor rgb="FFC46824"/>
      </patternFill>
    </fill>
    <fill>
      <patternFill patternType="solid">
        <fgColor rgb="FFB8672E"/>
      </patternFill>
    </fill>
    <fill>
      <patternFill patternType="solid">
        <fgColor rgb="FF8A5A2B"/>
      </patternFill>
    </fill>
    <fill>
      <patternFill patternType="solid">
        <fgColor rgb="FF5C3417"/>
      </patternFill>
    </fill>
    <fill>
      <patternFill patternType="solid">
        <fgColor rgb="FF3156AB"/>
      </patternFill>
    </fill>
    <fill>
      <patternFill patternType="solid">
        <fgColor rgb="FF3156AB"/>
      </patternFill>
    </fill>
  </fills>
  <borders count="2">
    <border/>
    <border/>
  </borders>
  <cellStyleXfs count="1">
    <xf numFmtId="0" fontId="0" fillId="0" borderId="1"/>
  </cellStyleXfs>
  <cellXfs count="422">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1" fillId="2" borderId="0" applyAlignment="1" pivotButton="0" quotePrefix="0" xfId="0">
      <alignment horizontal="center" vertic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1" fillId="2" borderId="1" applyAlignment="1" pivotButton="0" quotePrefix="0" xfId="0">
      <alignment horizontal="center"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4" borderId="1" pivotButton="0" quotePrefix="0" xfId="0"/>
    <xf numFmtId="0" fontId="3" fillId="4" borderId="1" pivotButton="0" quotePrefix="0" xfId="0"/>
    <xf numFmtId="0" fontId="3" fillId="4" borderId="1" applyAlignment="1" pivotButton="0" quotePrefix="0" xfId="0">
      <alignment horizontal="left"/>
    </xf>
    <xf numFmtId="0" fontId="3" fillId="4" borderId="1" applyAlignment="1" pivotButton="0" quotePrefix="0" xfId="0">
      <alignment horizontal="left" vertical="center"/>
    </xf>
    <xf numFmtId="0" fontId="0" fillId="5" borderId="0" pivotButton="0" quotePrefix="0" xfId="0"/>
    <xf numFmtId="0" fontId="4" fillId="5" borderId="0" pivotButton="0" quotePrefix="0" xfId="0"/>
    <xf numFmtId="0" fontId="4" fillId="5" borderId="0" applyAlignment="1" pivotButton="0" quotePrefix="0" xfId="0">
      <alignment wrapText="1"/>
    </xf>
    <xf numFmtId="0" fontId="4" fillId="5" borderId="0" applyAlignment="1" pivotButton="0" quotePrefix="0" xfId="0">
      <alignment horizontal="left" wrapText="1"/>
    </xf>
    <xf numFmtId="0" fontId="4" fillId="5" borderId="0" applyAlignment="1" pivotButton="0" quotePrefix="0" xfId="0">
      <alignment horizontal="left" vertical="center" wrapText="1"/>
    </xf>
    <xf numFmtId="0" fontId="0" fillId="5" borderId="1" pivotButton="0" quotePrefix="0" xfId="0"/>
    <xf numFmtId="0" fontId="4" fillId="5" borderId="1" pivotButton="0" quotePrefix="0" xfId="0"/>
    <xf numFmtId="0" fontId="4" fillId="5" borderId="1" applyAlignment="1" pivotButton="0" quotePrefix="0" xfId="0">
      <alignment wrapText="1"/>
    </xf>
    <xf numFmtId="0" fontId="4" fillId="5" borderId="1" applyAlignment="1" pivotButton="0" quotePrefix="0" xfId="0">
      <alignment horizontal="left" wrapText="1"/>
    </xf>
    <xf numFmtId="0" fontId="4" fillId="5" borderId="1" applyAlignment="1" pivotButton="0" quotePrefix="0" xfId="0">
      <alignment horizontal="left" vertical="center"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horizontal="center" wrapText="1"/>
    </xf>
    <xf numFmtId="0" fontId="5" fillId="6" borderId="0" applyAlignment="1" pivotButton="0" quotePrefix="0" xfId="0">
      <alignment horizontal="center" vertical="center" wrapText="1"/>
    </xf>
    <xf numFmtId="0" fontId="0" fillId="6" borderId="1" pivotButton="0" quotePrefix="0" xfId="0"/>
    <xf numFmtId="0" fontId="5" fillId="6" borderId="1" pivotButton="0" quotePrefix="0" xfId="0"/>
    <xf numFmtId="0" fontId="5" fillId="6" borderId="1" applyAlignment="1" pivotButton="0" quotePrefix="0" xfId="0">
      <alignment wrapText="1"/>
    </xf>
    <xf numFmtId="0" fontId="5" fillId="6" borderId="1" applyAlignment="1" pivotButton="0" quotePrefix="0" xfId="0">
      <alignment horizontal="center" wrapText="1"/>
    </xf>
    <xf numFmtId="0" fontId="5" fillId="6" borderId="1" applyAlignment="1" pivotButton="0" quotePrefix="0" xfId="0">
      <alignment horizontal="center" vertical="center" wrapText="1"/>
    </xf>
    <xf numFmtId="0" fontId="0" fillId="0" borderId="0" applyAlignment="1" pivotButton="0" quotePrefix="0" xfId="0">
      <alignment wrapText="1"/>
    </xf>
    <xf numFmtId="0" fontId="0" fillId="0" borderId="0" applyAlignment="1" pivotButton="0" quotePrefix="0" xfId="0">
      <alignment horizontal="center" wrapText="1"/>
    </xf>
    <xf numFmtId="0" fontId="0" fillId="0" borderId="0" applyAlignment="1" pivotButton="0" quotePrefix="0" xfId="0">
      <alignment horizontal="center" vertical="center" wrapText="1"/>
    </xf>
    <xf numFmtId="0" fontId="0" fillId="0" borderId="1" applyAlignment="1" pivotButton="0" quotePrefix="0" xfId="0">
      <alignment wrapText="1"/>
    </xf>
    <xf numFmtId="0" fontId="0" fillId="0" borderId="1" applyAlignment="1" pivotButton="0" quotePrefix="0" xfId="0">
      <alignment horizontal="center" wrapText="1"/>
    </xf>
    <xf numFmtId="0" fontId="0" fillId="0" borderId="1" applyAlignment="1" pivotButton="0" quotePrefix="0" xfId="0">
      <alignment horizontal="center" vertical="center" wrapText="1"/>
    </xf>
    <xf numFmtId="0" fontId="0" fillId="0" borderId="0" applyAlignment="1" pivotButton="0" quotePrefix="0" xfId="0">
      <alignment horizontal="left" vertical="center" wrapText="1"/>
    </xf>
    <xf numFmtId="0" fontId="0" fillId="0" borderId="1" applyAlignment="1" pivotButton="0" quotePrefix="0" xfId="0">
      <alignment horizontal="left" vertical="center" wrapText="1"/>
    </xf>
    <xf numFmtId="164" fontId="0" fillId="0" borderId="0" applyAlignment="1" pivotButton="0" quotePrefix="0" xfId="0">
      <alignment horizontal="center" vertical="center" wrapText="1"/>
    </xf>
    <xf numFmtId="164" fontId="0" fillId="0" borderId="1" applyAlignment="1" pivotButton="0" quotePrefix="0" xfId="0">
      <alignment horizontal="center" vertical="center" wrapText="1"/>
    </xf>
    <xf numFmtId="165" fontId="0" fillId="0" borderId="0" applyAlignment="1" pivotButton="0" quotePrefix="0" xfId="0">
      <alignment horizontal="center" vertical="center" wrapText="1"/>
    </xf>
    <xf numFmtId="165" fontId="0" fillId="0" borderId="1" applyAlignment="1" pivotButton="0" quotePrefix="0" xfId="0">
      <alignment horizontal="center" vertical="center" wrapText="1"/>
    </xf>
    <xf numFmtId="166" fontId="0" fillId="0" borderId="0" applyAlignment="1" pivotButton="0" quotePrefix="0" xfId="0">
      <alignment horizontal="center" vertical="center" wrapText="1"/>
    </xf>
    <xf numFmtId="166" fontId="0" fillId="0" borderId="1" applyAlignment="1" pivotButton="0" quotePrefix="0" xfId="0">
      <alignment horizontal="center" vertical="center" wrapText="1"/>
    </xf>
    <xf numFmtId="1" fontId="0" fillId="0" borderId="0" applyAlignment="1" pivotButton="0" quotePrefix="0" xfId="0">
      <alignment horizontal="center" vertical="center" wrapText="1"/>
    </xf>
    <xf numFmtId="1" fontId="0" fillId="0" borderId="1" applyAlignment="1" pivotButton="0" quotePrefix="0" xfId="0">
      <alignment horizontal="center" vertical="center" wrapText="1"/>
    </xf>
    <xf numFmtId="1" fontId="0" fillId="7" borderId="0" applyAlignment="1" pivotButton="0" quotePrefix="0" xfId="0">
      <alignment horizontal="center" vertical="center" wrapText="1"/>
    </xf>
    <xf numFmtId="1" fontId="0" fillId="7" borderId="1" applyAlignment="1" pivotButton="0" quotePrefix="0" xfId="0">
      <alignment horizontal="center" vertical="center" wrapText="1"/>
    </xf>
    <xf numFmtId="165" fontId="0" fillId="7" borderId="0" applyAlignment="1" pivotButton="0" quotePrefix="0" xfId="0">
      <alignment horizontal="center" vertical="center" wrapText="1"/>
    </xf>
    <xf numFmtId="166" fontId="0" fillId="7" borderId="0" applyAlignment="1" pivotButton="0" quotePrefix="0" xfId="0">
      <alignment horizontal="center" vertical="center" wrapText="1"/>
    </xf>
    <xf numFmtId="165" fontId="0" fillId="7" borderId="1" applyAlignment="1" pivotButton="0" quotePrefix="0" xfId="0">
      <alignment horizontal="center" vertical="center" wrapText="1"/>
    </xf>
    <xf numFmtId="166" fontId="0" fillId="7" borderId="1" applyAlignment="1" pivotButton="0" quotePrefix="0" xfId="0">
      <alignment horizontal="center" vertical="center" wrapText="1"/>
    </xf>
    <xf numFmtId="0" fontId="5" fillId="4" borderId="0" pivotButton="0" quotePrefix="0" xfId="0"/>
    <xf numFmtId="0" fontId="5" fillId="4" borderId="0" applyAlignment="1" pivotButton="0" quotePrefix="0" xfId="0">
      <alignment wrapText="1"/>
    </xf>
    <xf numFmtId="0" fontId="5" fillId="4" borderId="0" applyAlignment="1" pivotButton="0" quotePrefix="0" xfId="0">
      <alignment horizontal="center" wrapText="1"/>
    </xf>
    <xf numFmtId="0" fontId="5" fillId="4" borderId="0" applyAlignment="1" pivotButton="0" quotePrefix="0" xfId="0">
      <alignment horizontal="center" vertical="center" wrapText="1"/>
    </xf>
    <xf numFmtId="0" fontId="5" fillId="4" borderId="1" pivotButton="0" quotePrefix="0" xfId="0"/>
    <xf numFmtId="0" fontId="5" fillId="4" borderId="1" applyAlignment="1" pivotButton="0" quotePrefix="0" xfId="0">
      <alignment wrapText="1"/>
    </xf>
    <xf numFmtId="0" fontId="5" fillId="4" borderId="1" applyAlignment="1" pivotButton="0" quotePrefix="0" xfId="0">
      <alignment horizontal="center" wrapText="1"/>
    </xf>
    <xf numFmtId="0" fontId="5" fillId="4" borderId="1" applyAlignment="1" pivotButton="0" quotePrefix="0" xfId="0">
      <alignment horizontal="center" vertical="center" wrapText="1"/>
    </xf>
    <xf numFmtId="0" fontId="0" fillId="8" borderId="0" pivotButton="0" quotePrefix="0" xfId="0"/>
    <xf numFmtId="0" fontId="6" fillId="8" borderId="0" pivotButton="0" quotePrefix="0" xfId="0"/>
    <xf numFmtId="0" fontId="6" fillId="8" borderId="0" applyAlignment="1" pivotButton="0" quotePrefix="0" xfId="0">
      <alignment horizontal="center"/>
    </xf>
    <xf numFmtId="0" fontId="6" fillId="8" borderId="0" applyAlignment="1" pivotButton="0" quotePrefix="0" xfId="0">
      <alignment horizontal="center" vertical="center"/>
    </xf>
    <xf numFmtId="0" fontId="0" fillId="8" borderId="1" pivotButton="0" quotePrefix="0" xfId="0"/>
    <xf numFmtId="0" fontId="6" fillId="8" borderId="1" pivotButton="0" quotePrefix="0" xfId="0"/>
    <xf numFmtId="0" fontId="6" fillId="8" borderId="1" applyAlignment="1" pivotButton="0" quotePrefix="0" xfId="0">
      <alignment horizontal="center"/>
    </xf>
    <xf numFmtId="0" fontId="6" fillId="8" borderId="1" applyAlignment="1" pivotButton="0" quotePrefix="0" xfId="0">
      <alignment horizontal="center" vertical="center"/>
    </xf>
    <xf numFmtId="1" fontId="6" fillId="8" borderId="0" applyAlignment="1" pivotButton="0" quotePrefix="0" xfId="0">
      <alignment horizontal="center" vertical="center"/>
    </xf>
    <xf numFmtId="1" fontId="6" fillId="8" borderId="1" applyAlignment="1" pivotButton="0" quotePrefix="0" xfId="0">
      <alignment horizontal="center" vertical="center"/>
    </xf>
    <xf numFmtId="165" fontId="6" fillId="8" borderId="0" applyAlignment="1" pivotButton="0" quotePrefix="0" xfId="0">
      <alignment horizontal="center" vertical="center"/>
    </xf>
    <xf numFmtId="165" fontId="6" fillId="8" borderId="1" applyAlignment="1" pivotButton="0" quotePrefix="0" xfId="0">
      <alignment horizontal="center" vertical="center"/>
    </xf>
    <xf numFmtId="166" fontId="6" fillId="8" borderId="0" applyAlignment="1" pivotButton="0" quotePrefix="0" xfId="0">
      <alignment horizontal="center" vertical="center"/>
    </xf>
    <xf numFmtId="166" fontId="6" fillId="8" borderId="1" applyAlignment="1" pivotButton="0" quotePrefix="0" xfId="0">
      <alignment horizontal="center" vertical="center"/>
    </xf>
    <xf numFmtId="0" fontId="3" fillId="4" borderId="0" applyAlignment="1" pivotButton="0" quotePrefix="0" xfId="0">
      <alignment horizontal="left" vertical="center" wrapText="1"/>
    </xf>
    <xf numFmtId="0" fontId="3" fillId="4" borderId="0" applyAlignment="1" pivotButton="0" quotePrefix="0" xfId="0">
      <alignment horizontal="center" vertical="center" wrapText="1"/>
    </xf>
    <xf numFmtId="0" fontId="3" fillId="4" borderId="1" applyAlignment="1" pivotButton="0" quotePrefix="0" xfId="0">
      <alignment horizontal="left" vertical="center" wrapText="1"/>
    </xf>
    <xf numFmtId="0" fontId="3" fillId="4" borderId="1" applyAlignment="1" pivotButton="0" quotePrefix="0" xfId="0">
      <alignment horizontal="center" vertical="center" wrapText="1"/>
    </xf>
    <xf numFmtId="0" fontId="5" fillId="6" borderId="0" applyAlignment="1" pivotButton="0" quotePrefix="0" xfId="0">
      <alignment horizontal="left" vertical="center" wrapText="1"/>
    </xf>
    <xf numFmtId="0" fontId="5" fillId="6" borderId="1" applyAlignment="1" pivotButton="0" quotePrefix="0" xfId="0">
      <alignment horizontal="left" vertical="center" wrapText="1"/>
    </xf>
    <xf numFmtId="165" fontId="5" fillId="6" borderId="0" applyAlignment="1" pivotButton="0" quotePrefix="0" xfId="0">
      <alignment horizontal="center" vertical="center" wrapText="1"/>
    </xf>
    <xf numFmtId="165" fontId="3" fillId="4" borderId="0" applyAlignment="1" pivotButton="0" quotePrefix="0" xfId="0">
      <alignment horizontal="center" vertical="center" wrapText="1"/>
    </xf>
    <xf numFmtId="165" fontId="5" fillId="6" borderId="1" applyAlignment="1" pivotButton="0" quotePrefix="0" xfId="0">
      <alignment horizontal="center" vertical="center" wrapText="1"/>
    </xf>
    <xf numFmtId="165" fontId="3" fillId="4" borderId="1" applyAlignment="1" pivotButton="0" quotePrefix="0" xfId="0">
      <alignment horizontal="center" vertical="center" wrapText="1"/>
    </xf>
    <xf numFmtId="166" fontId="5" fillId="6" borderId="0" applyAlignment="1" pivotButton="0" quotePrefix="0" xfId="0">
      <alignment horizontal="center" vertical="center" wrapText="1"/>
    </xf>
    <xf numFmtId="166" fontId="3" fillId="4" borderId="0" applyAlignment="1" pivotButton="0" quotePrefix="0" xfId="0">
      <alignment horizontal="center" vertical="center" wrapText="1"/>
    </xf>
    <xf numFmtId="166" fontId="5" fillId="6" borderId="1" applyAlignment="1" pivotButton="0" quotePrefix="0" xfId="0">
      <alignment horizontal="center" vertical="center" wrapText="1"/>
    </xf>
    <xf numFmtId="166" fontId="3" fillId="4" borderId="1" applyAlignment="1" pivotButton="0" quotePrefix="0" xfId="0">
      <alignment horizontal="center" vertical="center" wrapText="1"/>
    </xf>
    <xf numFmtId="0" fontId="0" fillId="0" borderId="0" pivotButton="0" quotePrefix="0" xfId="0"/>
    <xf numFmtId="0" fontId="5" fillId="9" borderId="0" applyAlignment="1" pivotButton="0" quotePrefix="0" xfId="0">
      <alignment horizontal="center" vertical="center" wrapText="1"/>
    </xf>
    <xf numFmtId="0" fontId="2" fillId="10" borderId="0" applyAlignment="1" pivotButton="0" quotePrefix="0" xfId="0">
      <alignment horizontal="center" vertical="center" wrapText="1"/>
    </xf>
    <xf numFmtId="0" fontId="7" fillId="10" borderId="0" applyAlignment="1" pivotButton="0" quotePrefix="0" xfId="0">
      <alignment horizontal="center" vertical="center" wrapText="1"/>
    </xf>
    <xf numFmtId="0" fontId="7" fillId="11" borderId="0" applyAlignment="1" pivotButton="0" quotePrefix="0" xfId="0">
      <alignment horizontal="center" vertical="center" wrapText="1"/>
    </xf>
    <xf numFmtId="0" fontId="0" fillId="11" borderId="0" pivotButton="0" quotePrefix="0" xfId="0"/>
    <xf numFmtId="0" fontId="8" fillId="11" borderId="0" pivotButton="0" quotePrefix="0" xfId="0"/>
    <xf numFmtId="0" fontId="8" fillId="11" borderId="0" applyAlignment="1" pivotButton="0" quotePrefix="0" xfId="0">
      <alignment wrapText="1"/>
    </xf>
    <xf numFmtId="0" fontId="8" fillId="11" borderId="0" applyAlignment="1" pivotButton="0" quotePrefix="0" xfId="0">
      <alignment vertical="center" wrapText="1"/>
    </xf>
    <xf numFmtId="0" fontId="5" fillId="12" borderId="0" applyAlignment="1" pivotButton="0" quotePrefix="0" xfId="0">
      <alignment horizontal="center" vertical="center" wrapText="1"/>
    </xf>
    <xf numFmtId="0" fontId="5" fillId="13" borderId="0" applyAlignment="1" pivotButton="0" quotePrefix="0" xfId="0">
      <alignment horizontal="center" vertical="center" wrapText="1"/>
    </xf>
    <xf numFmtId="166" fontId="0" fillId="13" borderId="0" applyAlignment="1" pivotButton="0" quotePrefix="0" xfId="0">
      <alignment horizontal="center" vertical="center" wrapText="1"/>
    </xf>
    <xf numFmtId="0" fontId="9" fillId="13" borderId="0" applyAlignment="1" pivotButton="0" quotePrefix="0" xfId="0">
      <alignment horizontal="center" vertical="center" wrapText="1"/>
    </xf>
    <xf numFmtId="166" fontId="10" fillId="13" borderId="0" applyAlignment="1" pivotButton="0" quotePrefix="0" xfId="0">
      <alignment horizontal="center" vertical="center" wrapText="1"/>
    </xf>
    <xf numFmtId="0" fontId="9" fillId="14" borderId="0" applyAlignment="1" pivotButton="0" quotePrefix="0" xfId="0">
      <alignment horizontal="center" vertical="center" wrapText="1"/>
    </xf>
    <xf numFmtId="0" fontId="5" fillId="14" borderId="0" applyAlignment="1" pivotButton="0" quotePrefix="0" xfId="0">
      <alignment horizontal="center" vertical="center" wrapText="1"/>
    </xf>
    <xf numFmtId="0" fontId="0" fillId="13" borderId="0" applyAlignment="1" pivotButton="0" quotePrefix="0" xfId="0">
      <alignment horizontal="center" vertical="center" wrapText="1"/>
    </xf>
    <xf numFmtId="0" fontId="10" fillId="13" borderId="0" applyAlignment="1" pivotButton="0" quotePrefix="0" xfId="0">
      <alignment horizontal="center" vertical="center" wrapText="1"/>
    </xf>
    <xf numFmtId="1" fontId="0" fillId="13" borderId="0" applyAlignment="1" pivotButton="0" quotePrefix="0" xfId="0">
      <alignment horizontal="center" vertical="center" wrapText="1"/>
    </xf>
    <xf numFmtId="1" fontId="10" fillId="13" borderId="0" applyAlignment="1" pivotButton="0" quotePrefix="0" xfId="0">
      <alignment horizontal="center" vertical="center" wrapText="1"/>
    </xf>
    <xf numFmtId="165" fontId="0" fillId="13" borderId="0" applyAlignment="1" pivotButton="0" quotePrefix="0" xfId="0">
      <alignment horizontal="center" vertical="center" wrapText="1"/>
    </xf>
    <xf numFmtId="165" fontId="10" fillId="13" borderId="0" applyAlignment="1" pivotButton="0" quotePrefix="0" xfId="0">
      <alignment horizontal="center" vertical="center" wrapText="1"/>
    </xf>
    <xf numFmtId="0" fontId="1" fillId="2" borderId="0" applyAlignment="1" pivotButton="0" quotePrefix="0" xfId="0">
      <alignment horizontal="center" vertical="center" wrapText="1"/>
    </xf>
    <xf numFmtId="0" fontId="1" fillId="11" borderId="0" applyAlignment="1" pivotButton="0" quotePrefix="0" xfId="0">
      <alignment horizontal="center" vertical="center" wrapText="1"/>
    </xf>
    <xf numFmtId="0" fontId="11" fillId="11" borderId="0" applyAlignment="1" pivotButton="0" quotePrefix="0" xfId="0">
      <alignment horizontal="center" vertical="center" wrapText="1"/>
    </xf>
    <xf numFmtId="0" fontId="0" fillId="10" borderId="0" pivotButton="0" quotePrefix="0" xfId="0"/>
    <xf numFmtId="0" fontId="8" fillId="10" borderId="0" pivotButton="0" quotePrefix="0" xfId="0"/>
    <xf numFmtId="0" fontId="8" fillId="10" borderId="0" applyAlignment="1" pivotButton="0" quotePrefix="0" xfId="0">
      <alignment wrapText="1"/>
    </xf>
    <xf numFmtId="0" fontId="8" fillId="10" borderId="0" applyAlignment="1" pivotButton="0" quotePrefix="0" xfId="0">
      <alignment vertical="center" wrapText="1"/>
    </xf>
    <xf numFmtId="0" fontId="1" fillId="10" borderId="0" applyAlignment="1" pivotButton="0" quotePrefix="0" xfId="0">
      <alignment horizontal="center" vertical="center" wrapText="1"/>
    </xf>
    <xf numFmtId="0" fontId="11" fillId="10" borderId="0" applyAlignment="1" pivotButton="0" quotePrefix="0" xfId="0">
      <alignment horizontal="center" vertical="center" wrapText="1"/>
    </xf>
    <xf numFmtId="0" fontId="11" fillId="15" borderId="0" applyAlignment="1" pivotButton="0" quotePrefix="0" xfId="0">
      <alignment horizontal="center" vertical="center" wrapText="1"/>
    </xf>
    <xf numFmtId="0" fontId="8" fillId="15" borderId="0" applyAlignment="1" pivotButton="0" quotePrefix="0" xfId="0">
      <alignment vertical="center" wrapText="1"/>
    </xf>
    <xf numFmtId="0" fontId="7" fillId="16" borderId="0" applyAlignment="1" pivotButton="0" quotePrefix="0" xfId="0">
      <alignment horizontal="center" vertical="center" wrapText="1"/>
    </xf>
    <xf numFmtId="0" fontId="8" fillId="16" borderId="0" applyAlignment="1" pivotButton="0" quotePrefix="0" xfId="0">
      <alignment vertical="center" wrapText="1"/>
    </xf>
    <xf numFmtId="0" fontId="5" fillId="17" borderId="0" applyAlignment="1" pivotButton="0" quotePrefix="0" xfId="0">
      <alignment horizontal="center" vertical="center" wrapText="1"/>
    </xf>
    <xf numFmtId="0" fontId="5" fillId="18" borderId="0" applyAlignment="1" pivotButton="0" quotePrefix="0" xfId="0">
      <alignment horizontal="center" vertical="center" wrapText="1"/>
    </xf>
    <xf numFmtId="166" fontId="10" fillId="18" borderId="0" applyAlignment="1" pivotButton="0" quotePrefix="0" xfId="0">
      <alignment horizontal="center" vertical="center" wrapText="1"/>
    </xf>
    <xf numFmtId="0" fontId="9" fillId="18" borderId="0" applyAlignment="1" pivotButton="0" quotePrefix="0" xfId="0">
      <alignment horizontal="center" vertical="center" wrapText="1"/>
    </xf>
    <xf numFmtId="0" fontId="9" fillId="19" borderId="0" applyAlignment="1" pivotButton="0" quotePrefix="0" xfId="0">
      <alignment horizontal="center" vertical="center" wrapText="1"/>
    </xf>
    <xf numFmtId="0" fontId="5" fillId="19" borderId="0" applyAlignment="1" pivotButton="0" quotePrefix="0" xfId="0">
      <alignment horizontal="center" vertical="center" wrapText="1"/>
    </xf>
    <xf numFmtId="0" fontId="10" fillId="18" borderId="0" applyAlignment="1" pivotButton="0" quotePrefix="0" xfId="0">
      <alignment horizontal="center" vertical="center" wrapText="1"/>
    </xf>
    <xf numFmtId="1" fontId="10" fillId="18" borderId="0" applyAlignment="1" pivotButton="0" quotePrefix="0" xfId="0">
      <alignment horizontal="center" vertical="center" wrapText="1"/>
    </xf>
    <xf numFmtId="165" fontId="10" fillId="18" borderId="0" applyAlignment="1" pivotButton="0" quotePrefix="0" xfId="0">
      <alignment horizontal="center" vertical="center" wrapText="1"/>
    </xf>
    <xf numFmtId="0" fontId="11" fillId="16" borderId="0" applyAlignment="1" pivotButton="0" quotePrefix="0" xfId="0">
      <alignment horizontal="center" vertical="center" wrapText="1"/>
    </xf>
    <xf numFmtId="0" fontId="7" fillId="20" borderId="0" applyAlignment="1" pivotButton="0" quotePrefix="0" xfId="0">
      <alignment horizontal="center" vertical="center" wrapText="1"/>
    </xf>
    <xf numFmtId="0" fontId="8" fillId="20" borderId="0" applyAlignment="1" pivotButton="0" quotePrefix="0" xfId="0">
      <alignment vertical="center" wrapText="1"/>
    </xf>
    <xf numFmtId="0" fontId="7" fillId="21" borderId="0" applyAlignment="1" pivotButton="0" quotePrefix="0" xfId="0">
      <alignment horizontal="center" vertical="center" wrapText="1"/>
    </xf>
    <xf numFmtId="0" fontId="8" fillId="21" borderId="0" applyAlignment="1" pivotButton="0" quotePrefix="0" xfId="0">
      <alignment vertical="center" wrapText="1"/>
    </xf>
    <xf numFmtId="0" fontId="11" fillId="21" borderId="0" applyAlignment="1" pivotButton="0" quotePrefix="0" xfId="0">
      <alignment horizontal="center" vertical="center" wrapText="1"/>
    </xf>
    <xf numFmtId="167" fontId="1" fillId="2" borderId="0" applyAlignment="1" pivotButton="0" quotePrefix="0" xfId="0">
      <alignment horizontal="center" vertical="center"/>
    </xf>
    <xf numFmtId="166" fontId="1" fillId="2" borderId="0" applyAlignment="1" pivotButton="0" quotePrefix="0" xfId="0">
      <alignment horizontal="center" vertical="center"/>
    </xf>
    <xf numFmtId="1" fontId="1" fillId="2" borderId="0" applyAlignment="1" pivotButton="0" quotePrefix="0" xfId="0">
      <alignment horizontal="center" vertical="center"/>
    </xf>
    <xf numFmtId="168" fontId="1" fillId="2" borderId="0" applyAlignment="1" pivotButton="0" quotePrefix="0" xfId="0">
      <alignment horizontal="center" vertical="center"/>
    </xf>
    <xf numFmtId="167" fontId="0" fillId="0" borderId="0" applyAlignment="1" pivotButton="0" quotePrefix="0" xfId="0">
      <alignment horizontal="center" vertical="center" wrapText="1"/>
    </xf>
    <xf numFmtId="167" fontId="0" fillId="0" borderId="0" pivotButton="0" quotePrefix="0" xfId="0"/>
    <xf numFmtId="167" fontId="10" fillId="13" borderId="0" applyAlignment="1" pivotButton="0" quotePrefix="0" xfId="0">
      <alignment horizontal="center" vertical="center" wrapText="1"/>
    </xf>
    <xf numFmtId="166" fontId="0" fillId="0" borderId="0" pivotButton="0" quotePrefix="0" xfId="0"/>
    <xf numFmtId="168" fontId="0" fillId="0" borderId="0" applyAlignment="1" pivotButton="0" quotePrefix="0" xfId="0">
      <alignment horizontal="center" vertical="center" wrapText="1"/>
    </xf>
    <xf numFmtId="168" fontId="0" fillId="0" borderId="0" pivotButton="0" quotePrefix="0" xfId="0"/>
    <xf numFmtId="0" fontId="1" fillId="22" borderId="0" applyAlignment="1" pivotButton="0" quotePrefix="0" xfId="0">
      <alignment horizontal="center" vertical="center"/>
    </xf>
    <xf numFmtId="168" fontId="1" fillId="22" borderId="0" applyAlignment="1" pivotButton="0" quotePrefix="0" xfId="0">
      <alignment horizontal="center" vertical="center"/>
    </xf>
    <xf numFmtId="167" fontId="1" fillId="22" borderId="0" applyAlignment="1" pivotButton="0" quotePrefix="0" xfId="0">
      <alignment horizontal="center" vertical="center"/>
    </xf>
    <xf numFmtId="166" fontId="1" fillId="22" borderId="0" applyAlignment="1" pivotButton="0" quotePrefix="0" xfId="0">
      <alignment horizontal="center" vertical="center"/>
    </xf>
    <xf numFmtId="1" fontId="1" fillId="22" borderId="0" applyAlignment="1" pivotButton="0" quotePrefix="0" xfId="0">
      <alignment horizontal="center" vertical="center"/>
    </xf>
    <xf numFmtId="0" fontId="0" fillId="22" borderId="0" pivotButton="0" quotePrefix="0" xfId="0"/>
    <xf numFmtId="0" fontId="12" fillId="22" borderId="0" applyAlignment="1" pivotButton="0" quotePrefix="0" xfId="0">
      <alignment horizontal="center" vertical="center"/>
    </xf>
    <xf numFmtId="168" fontId="12" fillId="22" borderId="0" applyAlignment="1" pivotButton="0" quotePrefix="0" xfId="0">
      <alignment horizontal="center" vertical="center"/>
    </xf>
    <xf numFmtId="167" fontId="12" fillId="22" borderId="0" applyAlignment="1" pivotButton="0" quotePrefix="0" xfId="0">
      <alignment horizontal="center" vertical="center"/>
    </xf>
    <xf numFmtId="166" fontId="12" fillId="22" borderId="0" applyAlignment="1" pivotButton="0" quotePrefix="0" xfId="0">
      <alignment horizontal="center" vertical="center"/>
    </xf>
    <xf numFmtId="1" fontId="12" fillId="22" borderId="0" applyAlignment="1" pivotButton="0" quotePrefix="0" xfId="0">
      <alignment horizontal="center" vertical="center"/>
    </xf>
    <xf numFmtId="0" fontId="12" fillId="22" borderId="0" pivotButton="0" quotePrefix="0" xfId="0"/>
    <xf numFmtId="0" fontId="12" fillId="22" borderId="0" applyAlignment="1" pivotButton="0" quotePrefix="0" xfId="0">
      <alignment horizontal="center"/>
    </xf>
    <xf numFmtId="0" fontId="7" fillId="23" borderId="0" applyAlignment="1" pivotButton="0" quotePrefix="0" xfId="0">
      <alignment horizontal="center" vertical="center" wrapText="1"/>
    </xf>
    <xf numFmtId="0" fontId="0" fillId="23" borderId="0" pivotButton="0" quotePrefix="0" xfId="0"/>
    <xf numFmtId="0" fontId="13" fillId="23" borderId="0" applyAlignment="1" pivotButton="0" quotePrefix="0" xfId="0">
      <alignment horizontal="center" vertical="center" wrapText="1"/>
    </xf>
    <xf numFmtId="0" fontId="14" fillId="23" borderId="0" pivotButton="0" quotePrefix="0" xfId="0"/>
    <xf numFmtId="0" fontId="14" fillId="23" borderId="0" applyAlignment="1" pivotButton="0" quotePrefix="0" xfId="0">
      <alignment wrapText="1"/>
    </xf>
    <xf numFmtId="0" fontId="13" fillId="23" borderId="0" applyAlignment="1" pivotButton="0" quotePrefix="0" xfId="0">
      <alignment horizontal="left" vertical="center" wrapText="1"/>
    </xf>
    <xf numFmtId="0" fontId="14" fillId="23" borderId="0" applyAlignment="1" pivotButton="0" quotePrefix="0" xfId="0">
      <alignment horizontal="left" wrapText="1"/>
    </xf>
    <xf numFmtId="0" fontId="5" fillId="24" borderId="0" applyAlignment="1" pivotButton="0" quotePrefix="0" xfId="0">
      <alignment horizontal="center" vertical="center" wrapText="1"/>
    </xf>
    <xf numFmtId="0" fontId="0" fillId="24" borderId="0" pivotButton="0" quotePrefix="0" xfId="0"/>
    <xf numFmtId="0" fontId="5" fillId="24" borderId="0" pivotButton="0" quotePrefix="0" xfId="0"/>
    <xf numFmtId="0" fontId="5" fillId="24" borderId="0" applyAlignment="1" pivotButton="0" quotePrefix="0" xfId="0">
      <alignment wrapText="1"/>
    </xf>
    <xf numFmtId="0" fontId="5" fillId="24" borderId="0" applyAlignment="1" pivotButton="0" quotePrefix="0" xfId="0">
      <alignment horizontal="center" wrapText="1"/>
    </xf>
    <xf numFmtId="166" fontId="0" fillId="0" borderId="0" applyAlignment="1" pivotButton="0" quotePrefix="0" xfId="0">
      <alignment horizontal="left" vertical="center" wrapText="1"/>
    </xf>
    <xf numFmtId="166" fontId="0" fillId="0" borderId="0" applyAlignment="1" pivotButton="0" quotePrefix="0" xfId="0">
      <alignment wrapText="1"/>
    </xf>
    <xf numFmtId="3" fontId="0" fillId="0" borderId="0" applyAlignment="1" pivotButton="0" quotePrefix="0" xfId="0">
      <alignment horizontal="center" vertical="center" wrapText="1"/>
    </xf>
    <xf numFmtId="3" fontId="10" fillId="13" borderId="0" applyAlignment="1" pivotButton="0" quotePrefix="0" xfId="0">
      <alignment horizontal="center" vertical="center" wrapText="1"/>
    </xf>
    <xf numFmtId="3" fontId="0" fillId="0" borderId="0" applyAlignment="1" pivotButton="0" quotePrefix="0" xfId="0">
      <alignment wrapText="1"/>
    </xf>
    <xf numFmtId="0" fontId="11" fillId="22" borderId="0" applyAlignment="1" pivotButton="0" quotePrefix="0" xfId="0">
      <alignment horizontal="center" vertical="center" wrapText="1"/>
    </xf>
    <xf numFmtId="0" fontId="12" fillId="22" borderId="0" applyAlignment="1" pivotButton="0" quotePrefix="0" xfId="0">
      <alignment horizontal="center" vertical="center" wrapText="1"/>
    </xf>
    <xf numFmtId="167" fontId="6" fillId="8" borderId="0" applyAlignment="1" pivotButton="0" quotePrefix="0" xfId="0">
      <alignment horizontal="center" vertical="center"/>
    </xf>
    <xf numFmtId="3" fontId="3" fillId="4" borderId="0" applyAlignment="1" pivotButton="0" quotePrefix="0" xfId="0">
      <alignment horizontal="center" vertical="center" wrapText="1"/>
    </xf>
    <xf numFmtId="3" fontId="5" fillId="6" borderId="0" applyAlignment="1" pivotButton="0" quotePrefix="0" xfId="0">
      <alignment horizontal="center" vertical="center" wrapText="1"/>
    </xf>
    <xf numFmtId="167" fontId="3" fillId="4" borderId="0" applyAlignment="1" pivotButton="0" quotePrefix="0" xfId="0">
      <alignment horizontal="center" vertical="center" wrapText="1"/>
    </xf>
    <xf numFmtId="167" fontId="5" fillId="6" borderId="0" applyAlignment="1" pivotButton="0" quotePrefix="0" xfId="0">
      <alignment horizontal="center" vertical="center" wrapText="1"/>
    </xf>
    <xf numFmtId="0" fontId="5" fillId="25" borderId="0" applyAlignment="1" pivotButton="0" quotePrefix="0" xfId="0">
      <alignment horizontal="center" vertical="center" wrapText="1"/>
    </xf>
    <xf numFmtId="0" fontId="8" fillId="26" borderId="0" applyAlignment="1" pivotButton="0" quotePrefix="0" xfId="0">
      <alignment vertical="center" wrapText="1"/>
    </xf>
    <xf numFmtId="0" fontId="15" fillId="26" borderId="0" applyAlignment="1" pivotButton="0" quotePrefix="0" xfId="0">
      <alignment vertical="center" wrapText="1"/>
    </xf>
    <xf numFmtId="0" fontId="15" fillId="26" borderId="0" applyAlignment="1" pivotButton="0" quotePrefix="0" xfId="0">
      <alignment horizontal="center" vertical="center" wrapText="1"/>
    </xf>
    <xf numFmtId="0" fontId="8" fillId="27" borderId="0" applyAlignment="1" pivotButton="0" quotePrefix="0" xfId="0">
      <alignment vertical="center" wrapText="1"/>
    </xf>
    <xf numFmtId="0" fontId="0" fillId="27" borderId="0" pivotButton="0" quotePrefix="0" xfId="0"/>
    <xf numFmtId="0" fontId="15" fillId="27" borderId="0" applyAlignment="1" pivotButton="0" quotePrefix="0" xfId="0">
      <alignment vertical="center" wrapText="1"/>
    </xf>
    <xf numFmtId="0" fontId="15" fillId="27" borderId="0" pivotButton="0" quotePrefix="0" xfId="0"/>
    <xf numFmtId="0" fontId="15" fillId="27" borderId="0" applyAlignment="1" pivotButton="0" quotePrefix="0" xfId="0">
      <alignment wrapText="1"/>
    </xf>
    <xf numFmtId="0" fontId="15" fillId="27" borderId="0" applyAlignment="1" pivotButton="0" quotePrefix="0" xfId="0">
      <alignment horizontal="center" vertical="center" wrapText="1"/>
    </xf>
    <xf numFmtId="0" fontId="15" fillId="27" borderId="0" applyAlignment="1" pivotButton="0" quotePrefix="0" xfId="0">
      <alignment horizontal="center" wrapText="1"/>
    </xf>
    <xf numFmtId="0" fontId="5" fillId="28" borderId="0" applyAlignment="1" pivotButton="0" quotePrefix="0" xfId="0">
      <alignment horizontal="center" vertical="center" wrapText="1"/>
    </xf>
    <xf numFmtId="0" fontId="5" fillId="29" borderId="0" applyAlignment="1" pivotButton="0" quotePrefix="0" xfId="0">
      <alignment horizontal="center" vertical="center" wrapText="1"/>
    </xf>
    <xf numFmtId="0" fontId="5" fillId="30" borderId="0" applyAlignment="1" pivotButton="0" quotePrefix="0" xfId="0">
      <alignment horizontal="center" vertical="center" wrapText="1"/>
    </xf>
    <xf numFmtId="0" fontId="5" fillId="31" borderId="0" applyAlignment="1" pivotButton="0" quotePrefix="0" xfId="0">
      <alignment horizontal="center" vertical="center" wrapText="1"/>
    </xf>
    <xf numFmtId="0" fontId="5" fillId="27" borderId="0" applyAlignment="1" pivotButton="0" quotePrefix="0" xfId="0">
      <alignment horizontal="center" vertical="center" wrapText="1"/>
    </xf>
    <xf numFmtId="0" fontId="12" fillId="26" borderId="0" applyAlignment="1" pivotButton="0" quotePrefix="0" xfId="0">
      <alignment horizontal="center" vertical="center" wrapText="1"/>
    </xf>
    <xf numFmtId="0" fontId="16" fillId="26" borderId="0" applyAlignment="1" pivotButton="0" quotePrefix="0" xfId="0">
      <alignment horizontal="center" vertical="center" wrapText="1"/>
    </xf>
    <xf numFmtId="0" fontId="3" fillId="27" borderId="0" applyAlignment="1" pivotButton="0" quotePrefix="0" xfId="0">
      <alignment horizontal="left" vertical="center" wrapText="1"/>
    </xf>
    <xf numFmtId="0" fontId="17" fillId="27" borderId="0" applyAlignment="1" pivotButton="0" quotePrefix="0" xfId="0">
      <alignment horizontal="left" vertical="center" wrapText="1"/>
    </xf>
    <xf numFmtId="0" fontId="4" fillId="27" borderId="0" applyAlignment="1" pivotButton="0" quotePrefix="0" xfId="0">
      <alignment horizontal="left" vertical="center" wrapText="1"/>
    </xf>
    <xf numFmtId="0" fontId="15" fillId="27" borderId="0" applyAlignment="1" pivotButton="0" quotePrefix="0" xfId="0">
      <alignment horizontal="left" vertical="center" wrapText="1"/>
    </xf>
    <xf numFmtId="0" fontId="0" fillId="27" borderId="0" applyAlignment="1" pivotButton="0" quotePrefix="0" xfId="0">
      <alignment wrapText="1"/>
    </xf>
    <xf numFmtId="0" fontId="8" fillId="23" borderId="0" applyAlignment="1" pivotButton="0" quotePrefix="0" xfId="0">
      <alignment vertical="center" wrapText="1"/>
    </xf>
    <xf numFmtId="0" fontId="15" fillId="23" borderId="0" applyAlignment="1" pivotButton="0" quotePrefix="0" xfId="0">
      <alignment vertical="center" wrapText="1"/>
    </xf>
    <xf numFmtId="0" fontId="15" fillId="23" borderId="0" pivotButton="0" quotePrefix="0" xfId="0"/>
    <xf numFmtId="0" fontId="15" fillId="23" borderId="0" applyAlignment="1" pivotButton="0" quotePrefix="0" xfId="0">
      <alignment wrapText="1"/>
    </xf>
    <xf numFmtId="0" fontId="15" fillId="23" borderId="0" applyAlignment="1" pivotButton="0" quotePrefix="0" xfId="0">
      <alignment horizontal="center" vertical="center" wrapText="1"/>
    </xf>
    <xf numFmtId="0" fontId="15" fillId="23" borderId="0" applyAlignment="1" pivotButton="0" quotePrefix="0" xfId="0">
      <alignment horizontal="center" wrapText="1"/>
    </xf>
    <xf numFmtId="0" fontId="5" fillId="23" borderId="0" applyAlignment="1" pivotButton="0" quotePrefix="0" xfId="0">
      <alignment horizontal="center" vertical="center" wrapText="1"/>
    </xf>
    <xf numFmtId="0" fontId="3" fillId="23" borderId="0" applyAlignment="1" pivotButton="0" quotePrefix="0" xfId="0">
      <alignment horizontal="left" vertical="center" wrapText="1"/>
    </xf>
    <xf numFmtId="0" fontId="17" fillId="23" borderId="0" applyAlignment="1" pivotButton="0" quotePrefix="0" xfId="0">
      <alignment horizontal="left" vertical="center" wrapText="1"/>
    </xf>
    <xf numFmtId="0" fontId="4" fillId="23" borderId="0" applyAlignment="1" pivotButton="0" quotePrefix="0" xfId="0">
      <alignment horizontal="left" vertical="center" wrapText="1"/>
    </xf>
    <xf numFmtId="0" fontId="15" fillId="23" borderId="0" applyAlignment="1" pivotButton="0" quotePrefix="0" xfId="0">
      <alignment horizontal="left" vertical="center" wrapText="1"/>
    </xf>
    <xf numFmtId="0" fontId="0" fillId="23" borderId="0" applyAlignment="1" pivotButton="0" quotePrefix="0" xfId="0">
      <alignment wrapText="1"/>
    </xf>
    <xf numFmtId="0" fontId="5" fillId="32" borderId="0" applyAlignment="1" pivotButton="0" quotePrefix="0" xfId="0">
      <alignment horizontal="center" vertical="center" wrapText="1"/>
    </xf>
    <xf numFmtId="0" fontId="16" fillId="26" borderId="1" applyAlignment="1" pivotButton="0" quotePrefix="0" xfId="0">
      <alignment vertical="center" wrapText="1"/>
    </xf>
    <xf numFmtId="0" fontId="2" fillId="3" borderId="1" applyAlignment="1" pivotButton="0" quotePrefix="0" xfId="0">
      <alignment vertical="center" wrapText="1"/>
    </xf>
    <xf numFmtId="0" fontId="0" fillId="0" borderId="0" applyAlignment="1" pivotButton="0" quotePrefix="0" xfId="0">
      <alignment vertical="center" wrapText="1"/>
    </xf>
    <xf numFmtId="0" fontId="17" fillId="27" borderId="1" applyAlignment="1" pivotButton="0" quotePrefix="0" xfId="0">
      <alignment vertical="center" wrapText="1"/>
    </xf>
    <xf numFmtId="0" fontId="4" fillId="5" borderId="1" applyAlignment="1" pivotButton="0" quotePrefix="0" xfId="0">
      <alignment vertical="center" wrapText="1"/>
    </xf>
    <xf numFmtId="0" fontId="3" fillId="4" borderId="1" applyAlignment="1" pivotButton="0" quotePrefix="0" xfId="0">
      <alignment vertical="center" wrapText="1"/>
    </xf>
    <xf numFmtId="0" fontId="15" fillId="27" borderId="1" applyAlignment="1" pivotButton="0" quotePrefix="0" xfId="0">
      <alignment vertical="center" wrapText="1"/>
    </xf>
    <xf numFmtId="0" fontId="12" fillId="22" borderId="1" applyAlignment="1" pivotButton="0" quotePrefix="0" xfId="0">
      <alignment horizontal="center" vertical="center"/>
    </xf>
    <xf numFmtId="0" fontId="13" fillId="23" borderId="1" applyAlignment="1" pivotButton="0" quotePrefix="0" xfId="0">
      <alignment vertical="center" wrapText="1"/>
    </xf>
    <xf numFmtId="0" fontId="15" fillId="26" borderId="1" applyAlignment="1" pivotButton="0" quotePrefix="0" xfId="0">
      <alignment horizontal="center" vertical="center" wrapText="1"/>
    </xf>
    <xf numFmtId="0" fontId="15" fillId="27" borderId="1" applyAlignment="1" pivotButton="0" quotePrefix="0" xfId="0">
      <alignment horizontal="center" vertical="center" wrapText="1"/>
    </xf>
    <xf numFmtId="164" fontId="0" fillId="0" borderId="0" applyAlignment="1" pivotButton="0" quotePrefix="0" xfId="0">
      <alignment horizontal="center" vertical="center" wrapText="1"/>
    </xf>
    <xf numFmtId="167" fontId="0" fillId="0" borderId="0" applyAlignment="1" pivotButton="0" quotePrefix="0" xfId="0">
      <alignment horizontal="center" vertical="center" wrapText="1"/>
    </xf>
    <xf numFmtId="3" fontId="0" fillId="0" borderId="0" applyAlignment="1" pivotButton="0" quotePrefix="0" xfId="0">
      <alignment horizontal="center" vertical="center" wrapText="1"/>
    </xf>
    <xf numFmtId="3" fontId="10" fillId="13" borderId="0" applyAlignment="1" pivotButton="0" quotePrefix="0" xfId="0">
      <alignment horizontal="center" vertical="center" wrapText="1"/>
    </xf>
    <xf numFmtId="167" fontId="10" fillId="13" borderId="0" applyAlignment="1" pivotButton="0" quotePrefix="0" xfId="0">
      <alignment horizontal="center" vertical="center" wrapText="1"/>
    </xf>
    <xf numFmtId="166" fontId="0" fillId="0" borderId="0" applyAlignment="1" pivotButton="0" quotePrefix="0" xfId="0">
      <alignment horizontal="left" vertical="center" wrapText="1"/>
    </xf>
    <xf numFmtId="3" fontId="0" fillId="0" borderId="0" applyAlignment="1" pivotButton="0" quotePrefix="0" xfId="0">
      <alignment wrapText="1"/>
    </xf>
    <xf numFmtId="166" fontId="0" fillId="0" borderId="0" applyAlignment="1" pivotButton="0" quotePrefix="0" xfId="0">
      <alignment wrapText="1"/>
    </xf>
    <xf numFmtId="168" fontId="0" fillId="0" borderId="0" pivotButton="0" quotePrefix="0" xfId="0"/>
    <xf numFmtId="167" fontId="0" fillId="0" borderId="0" pivotButton="0" quotePrefix="0" xfId="0"/>
    <xf numFmtId="166" fontId="0" fillId="0" borderId="0" pivotButton="0" quotePrefix="0" xfId="0"/>
    <xf numFmtId="1" fontId="6" fillId="8" borderId="1" applyAlignment="1" pivotButton="0" quotePrefix="0" xfId="0">
      <alignment horizontal="center" vertical="center"/>
    </xf>
    <xf numFmtId="167" fontId="6" fillId="8" borderId="1" applyAlignment="1" pivotButton="0" quotePrefix="0" xfId="0">
      <alignment horizontal="center" vertical="center"/>
    </xf>
    <xf numFmtId="166" fontId="6" fillId="8" borderId="1" applyAlignment="1" pivotButton="0" quotePrefix="0" xfId="0">
      <alignment horizontal="center" vertical="center"/>
    </xf>
    <xf numFmtId="165" fontId="5" fillId="6" borderId="0" applyAlignment="1" pivotButton="0" quotePrefix="0" xfId="0">
      <alignment horizontal="center" vertical="center" wrapText="1"/>
    </xf>
    <xf numFmtId="166" fontId="5" fillId="6" borderId="0" applyAlignment="1" pivotButton="0" quotePrefix="0" xfId="0">
      <alignment horizontal="center" vertical="center" wrapText="1"/>
    </xf>
    <xf numFmtId="166" fontId="0" fillId="0" borderId="0" applyAlignment="1" pivotButton="0" quotePrefix="0" xfId="0">
      <alignment horizontal="center" vertical="center" wrapText="1"/>
    </xf>
    <xf numFmtId="3" fontId="5" fillId="6" borderId="0" applyAlignment="1" pivotButton="0" quotePrefix="0" xfId="0">
      <alignment horizontal="center" vertical="center" wrapText="1"/>
    </xf>
    <xf numFmtId="167" fontId="5" fillId="6" borderId="0" applyAlignment="1" pivotButton="0" quotePrefix="0" xfId="0">
      <alignment horizontal="center" vertical="center" wrapText="1"/>
    </xf>
    <xf numFmtId="165" fontId="0" fillId="0" borderId="0" applyAlignment="1" pivotButton="0" quotePrefix="0" xfId="0">
      <alignment horizontal="center" vertical="center" wrapText="1"/>
    </xf>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1" fillId="2" borderId="0" applyAlignment="1" pivotButton="0" quotePrefix="0" xfId="0">
      <alignment horizontal="center"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0" applyAlignment="1" pivotButton="0" quotePrefix="0" xfId="0">
      <alignment wrapText="1"/>
    </xf>
    <xf numFmtId="0" fontId="4" fillId="5" borderId="0" applyAlignment="1" pivotButton="0" quotePrefix="0" xfId="0">
      <alignment horizontal="left" wrapText="1"/>
    </xf>
    <xf numFmtId="0" fontId="4" fillId="5" borderId="0" applyAlignment="1" pivotButton="0" quotePrefix="0" xfId="0">
      <alignment horizontal="left" vertical="center"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horizontal="center" wrapText="1"/>
    </xf>
    <xf numFmtId="0" fontId="5" fillId="6" borderId="0" applyAlignment="1" pivotButton="0" quotePrefix="0" xfId="0">
      <alignment horizontal="center" vertical="center" wrapText="1"/>
    </xf>
    <xf numFmtId="0" fontId="0" fillId="0" borderId="0" applyAlignment="1" pivotButton="0" quotePrefix="0" xfId="0">
      <alignment wrapText="1"/>
    </xf>
    <xf numFmtId="0" fontId="0" fillId="0" borderId="0" applyAlignment="1" pivotButton="0" quotePrefix="0" xfId="0">
      <alignment horizontal="center" wrapText="1"/>
    </xf>
    <xf numFmtId="0" fontId="0" fillId="0" borderId="0" applyAlignment="1" pivotButton="0" quotePrefix="0" xfId="0">
      <alignment horizontal="center" vertical="center" wrapText="1"/>
    </xf>
    <xf numFmtId="0" fontId="0" fillId="0" borderId="0" applyAlignment="1" pivotButton="0" quotePrefix="0" xfId="0">
      <alignment horizontal="left" vertical="center" wrapText="1"/>
    </xf>
    <xf numFmtId="164" fontId="0" fillId="0" borderId="0" applyAlignment="1" pivotButton="0" quotePrefix="0" xfId="0">
      <alignment horizontal="center" vertical="center" wrapText="1"/>
    </xf>
    <xf numFmtId="165" fontId="0" fillId="0" borderId="0" applyAlignment="1" pivotButton="0" quotePrefix="0" xfId="0">
      <alignment horizontal="center" vertical="center" wrapText="1"/>
    </xf>
    <xf numFmtId="166" fontId="0" fillId="0" borderId="0" applyAlignment="1" pivotButton="0" quotePrefix="0" xfId="0">
      <alignment horizontal="center" vertical="center" wrapText="1"/>
    </xf>
    <xf numFmtId="1" fontId="0" fillId="0" borderId="0" applyAlignment="1" pivotButton="0" quotePrefix="0" xfId="0">
      <alignment horizontal="center" vertical="center" wrapText="1"/>
    </xf>
    <xf numFmtId="1" fontId="0" fillId="7" borderId="0" applyAlignment="1" pivotButton="0" quotePrefix="0" xfId="0">
      <alignment horizontal="center" vertical="center" wrapText="1"/>
    </xf>
    <xf numFmtId="165" fontId="0" fillId="7" borderId="0" applyAlignment="1" pivotButton="0" quotePrefix="0" xfId="0">
      <alignment horizontal="center" vertical="center" wrapText="1"/>
    </xf>
    <xf numFmtId="166" fontId="0" fillId="7" borderId="0" applyAlignment="1" pivotButton="0" quotePrefix="0" xfId="0">
      <alignment horizontal="center" vertical="center" wrapText="1"/>
    </xf>
    <xf numFmtId="0" fontId="5" fillId="4" borderId="0" pivotButton="0" quotePrefix="0" xfId="0"/>
    <xf numFmtId="0" fontId="5" fillId="4" borderId="0" applyAlignment="1" pivotButton="0" quotePrefix="0" xfId="0">
      <alignment wrapText="1"/>
    </xf>
    <xf numFmtId="0" fontId="5" fillId="4" borderId="0" applyAlignment="1" pivotButton="0" quotePrefix="0" xfId="0">
      <alignment horizontal="center" wrapText="1"/>
    </xf>
    <xf numFmtId="0" fontId="5" fillId="4" borderId="0" applyAlignment="1" pivotButton="0" quotePrefix="0" xfId="0">
      <alignment horizontal="center" vertical="center" wrapText="1"/>
    </xf>
    <xf numFmtId="0" fontId="0" fillId="8" borderId="0" pivotButton="0" quotePrefix="0" xfId="0"/>
    <xf numFmtId="0" fontId="6" fillId="8" borderId="0" pivotButton="0" quotePrefix="0" xfId="0"/>
    <xf numFmtId="0" fontId="6" fillId="8" borderId="0" applyAlignment="1" pivotButton="0" quotePrefix="0" xfId="0">
      <alignment horizontal="center"/>
    </xf>
    <xf numFmtId="0" fontId="6" fillId="8" borderId="0" applyAlignment="1" pivotButton="0" quotePrefix="0" xfId="0">
      <alignment horizontal="center" vertical="center"/>
    </xf>
    <xf numFmtId="1" fontId="6" fillId="8" borderId="0" applyAlignment="1" pivotButton="0" quotePrefix="0" xfId="0">
      <alignment horizontal="center" vertical="center"/>
    </xf>
    <xf numFmtId="165" fontId="6" fillId="8" borderId="0" applyAlignment="1" pivotButton="0" quotePrefix="0" xfId="0">
      <alignment horizontal="center" vertical="center"/>
    </xf>
    <xf numFmtId="166" fontId="6" fillId="8" borderId="0" applyAlignment="1" pivotButton="0" quotePrefix="0" xfId="0">
      <alignment horizontal="center" vertical="center"/>
    </xf>
    <xf numFmtId="0" fontId="3" fillId="4" borderId="0" applyAlignment="1" pivotButton="0" quotePrefix="0" xfId="0">
      <alignment horizontal="left" vertical="center" wrapText="1"/>
    </xf>
    <xf numFmtId="0" fontId="3" fillId="4" borderId="0" applyAlignment="1" pivotButton="0" quotePrefix="0" xfId="0">
      <alignment horizontal="center" vertical="center" wrapText="1"/>
    </xf>
    <xf numFmtId="0" fontId="5" fillId="6" borderId="0" applyAlignment="1" pivotButton="0" quotePrefix="0" xfId="0">
      <alignment horizontal="left" vertical="center" wrapText="1"/>
    </xf>
    <xf numFmtId="165" fontId="5" fillId="6" borderId="0" applyAlignment="1" pivotButton="0" quotePrefix="0" xfId="0">
      <alignment horizontal="center" vertical="center" wrapText="1"/>
    </xf>
    <xf numFmtId="165" fontId="3" fillId="4" borderId="0" applyAlignment="1" pivotButton="0" quotePrefix="0" xfId="0">
      <alignment horizontal="center" vertical="center" wrapText="1"/>
    </xf>
    <xf numFmtId="166" fontId="5" fillId="6" borderId="0" applyAlignment="1" pivotButton="0" quotePrefix="0" xfId="0">
      <alignment horizontal="center" vertical="center" wrapText="1"/>
    </xf>
    <xf numFmtId="166" fontId="3" fillId="4" borderId="0" applyAlignment="1" pivotButton="0" quotePrefix="0" xfId="0">
      <alignment horizontal="center" vertical="center" wrapText="1"/>
    </xf>
    <xf numFmtId="0" fontId="5" fillId="9" borderId="0" applyAlignment="1" pivotButton="0" quotePrefix="0" xfId="0">
      <alignment horizontal="center" vertical="center" wrapText="1"/>
    </xf>
    <xf numFmtId="0" fontId="2" fillId="10" borderId="0" applyAlignment="1" pivotButton="0" quotePrefix="0" xfId="0">
      <alignment horizontal="center" vertical="center" wrapText="1"/>
    </xf>
    <xf numFmtId="0" fontId="7" fillId="10" borderId="0" applyAlignment="1" pivotButton="0" quotePrefix="0" xfId="0">
      <alignment horizontal="center" vertical="center" wrapText="1"/>
    </xf>
    <xf numFmtId="0" fontId="0" fillId="10" borderId="0" pivotButton="0" quotePrefix="0" xfId="0"/>
    <xf numFmtId="0" fontId="8" fillId="10" borderId="0" pivotButton="0" quotePrefix="0" xfId="0"/>
    <xf numFmtId="0" fontId="8" fillId="10" borderId="0" applyAlignment="1" pivotButton="0" quotePrefix="0" xfId="0">
      <alignment wrapText="1"/>
    </xf>
    <xf numFmtId="0" fontId="8" fillId="10" borderId="0" applyAlignment="1" pivotButton="0" quotePrefix="0" xfId="0">
      <alignment vertical="center" wrapText="1"/>
    </xf>
    <xf numFmtId="0" fontId="5" fillId="13" borderId="0" applyAlignment="1" pivotButton="0" quotePrefix="0" xfId="0">
      <alignment horizontal="center" vertical="center" wrapText="1"/>
    </xf>
    <xf numFmtId="166" fontId="0" fillId="13" borderId="0" applyAlignment="1" pivotButton="0" quotePrefix="0" xfId="0">
      <alignment horizontal="center" vertical="center" wrapText="1"/>
    </xf>
    <xf numFmtId="0" fontId="9" fillId="13" borderId="0" applyAlignment="1" pivotButton="0" quotePrefix="0" xfId="0">
      <alignment horizontal="center" vertical="center" wrapText="1"/>
    </xf>
    <xf numFmtId="166" fontId="10" fillId="13" borderId="0" applyAlignment="1" pivotButton="0" quotePrefix="0" xfId="0">
      <alignment horizontal="center" vertical="center" wrapText="1"/>
    </xf>
    <xf numFmtId="0" fontId="9" fillId="14" borderId="0" applyAlignment="1" pivotButton="0" quotePrefix="0" xfId="0">
      <alignment horizontal="center" vertical="center" wrapText="1"/>
    </xf>
    <xf numFmtId="0" fontId="5" fillId="14" borderId="0" applyAlignment="1" pivotButton="0" quotePrefix="0" xfId="0">
      <alignment horizontal="center" vertical="center" wrapText="1"/>
    </xf>
    <xf numFmtId="0" fontId="0" fillId="13" borderId="0" applyAlignment="1" pivotButton="0" quotePrefix="0" xfId="0">
      <alignment horizontal="center" vertical="center" wrapText="1"/>
    </xf>
    <xf numFmtId="0" fontId="10" fillId="13" borderId="0" applyAlignment="1" pivotButton="0" quotePrefix="0" xfId="0">
      <alignment horizontal="center" vertical="center" wrapText="1"/>
    </xf>
    <xf numFmtId="1" fontId="0" fillId="13" borderId="0" applyAlignment="1" pivotButton="0" quotePrefix="0" xfId="0">
      <alignment horizontal="center" vertical="center" wrapText="1"/>
    </xf>
    <xf numFmtId="1" fontId="10" fillId="13" borderId="0" applyAlignment="1" pivotButton="0" quotePrefix="0" xfId="0">
      <alignment horizontal="center" vertical="center" wrapText="1"/>
    </xf>
    <xf numFmtId="165" fontId="0" fillId="13" borderId="0" applyAlignment="1" pivotButton="0" quotePrefix="0" xfId="0">
      <alignment horizontal="center" vertical="center" wrapText="1"/>
    </xf>
    <xf numFmtId="165" fontId="10" fillId="13" borderId="0" applyAlignment="1" pivotButton="0" quotePrefix="0" xfId="0">
      <alignment horizontal="center" vertical="center" wrapText="1"/>
    </xf>
    <xf numFmtId="0" fontId="1" fillId="2" borderId="0" applyAlignment="1" pivotButton="0" quotePrefix="0" xfId="0">
      <alignment horizontal="center" vertical="center" wrapText="1"/>
    </xf>
    <xf numFmtId="0" fontId="1" fillId="10" borderId="0" applyAlignment="1" pivotButton="0" quotePrefix="0" xfId="0">
      <alignment horizontal="center" vertical="center" wrapText="1"/>
    </xf>
    <xf numFmtId="0" fontId="11" fillId="10" borderId="0" applyAlignment="1" pivotButton="0" quotePrefix="0" xfId="0">
      <alignment horizontal="center" vertical="center" wrapText="1"/>
    </xf>
    <xf numFmtId="167" fontId="1" fillId="2" borderId="0" applyAlignment="1" pivotButton="0" quotePrefix="0" xfId="0">
      <alignment horizontal="center" vertical="center"/>
    </xf>
    <xf numFmtId="166" fontId="1" fillId="2" borderId="0" applyAlignment="1" pivotButton="0" quotePrefix="0" xfId="0">
      <alignment horizontal="center" vertical="center"/>
    </xf>
    <xf numFmtId="1" fontId="1" fillId="2" borderId="0" applyAlignment="1" pivotButton="0" quotePrefix="0" xfId="0">
      <alignment horizontal="center" vertical="center"/>
    </xf>
    <xf numFmtId="168" fontId="1" fillId="2" borderId="0" applyAlignment="1" pivotButton="0" quotePrefix="0" xfId="0">
      <alignment horizontal="center" vertical="center"/>
    </xf>
    <xf numFmtId="167" fontId="0" fillId="0" borderId="0" applyAlignment="1" pivotButton="0" quotePrefix="0" xfId="0">
      <alignment horizontal="center" vertical="center" wrapText="1"/>
    </xf>
    <xf numFmtId="167" fontId="0" fillId="0" borderId="0" pivotButton="0" quotePrefix="0" xfId="0"/>
    <xf numFmtId="167" fontId="10" fillId="13" borderId="0" applyAlignment="1" pivotButton="0" quotePrefix="0" xfId="0">
      <alignment horizontal="center" vertical="center" wrapText="1"/>
    </xf>
    <xf numFmtId="166" fontId="0" fillId="0" borderId="0" pivotButton="0" quotePrefix="0" xfId="0"/>
    <xf numFmtId="168" fontId="0" fillId="0" borderId="0" applyAlignment="1" pivotButton="0" quotePrefix="0" xfId="0">
      <alignment horizontal="center" vertical="center" wrapText="1"/>
    </xf>
    <xf numFmtId="168" fontId="0" fillId="0" borderId="0" pivotButton="0" quotePrefix="0" xfId="0"/>
    <xf numFmtId="0" fontId="1" fillId="22" borderId="0" applyAlignment="1" pivotButton="0" quotePrefix="0" xfId="0">
      <alignment horizontal="center" vertical="center"/>
    </xf>
    <xf numFmtId="168" fontId="1" fillId="22" borderId="0" applyAlignment="1" pivotButton="0" quotePrefix="0" xfId="0">
      <alignment horizontal="center" vertical="center"/>
    </xf>
    <xf numFmtId="167" fontId="1" fillId="22" borderId="0" applyAlignment="1" pivotButton="0" quotePrefix="0" xfId="0">
      <alignment horizontal="center" vertical="center"/>
    </xf>
    <xf numFmtId="166" fontId="1" fillId="22" borderId="0" applyAlignment="1" pivotButton="0" quotePrefix="0" xfId="0">
      <alignment horizontal="center" vertical="center"/>
    </xf>
    <xf numFmtId="1" fontId="1" fillId="22" borderId="0" applyAlignment="1" pivotButton="0" quotePrefix="0" xfId="0">
      <alignment horizontal="center" vertical="center"/>
    </xf>
    <xf numFmtId="0" fontId="0" fillId="22" borderId="0" pivotButton="0" quotePrefix="0" xfId="0"/>
    <xf numFmtId="0" fontId="12" fillId="22" borderId="0" applyAlignment="1" pivotButton="0" quotePrefix="0" xfId="0">
      <alignment horizontal="center" vertical="center"/>
    </xf>
    <xf numFmtId="168" fontId="12" fillId="22" borderId="0" applyAlignment="1" pivotButton="0" quotePrefix="0" xfId="0">
      <alignment horizontal="center" vertical="center"/>
    </xf>
    <xf numFmtId="167" fontId="12" fillId="22" borderId="0" applyAlignment="1" pivotButton="0" quotePrefix="0" xfId="0">
      <alignment horizontal="center" vertical="center"/>
    </xf>
    <xf numFmtId="166" fontId="12" fillId="22" borderId="0" applyAlignment="1" pivotButton="0" quotePrefix="0" xfId="0">
      <alignment horizontal="center" vertical="center"/>
    </xf>
    <xf numFmtId="1" fontId="12" fillId="22" borderId="0" applyAlignment="1" pivotButton="0" quotePrefix="0" xfId="0">
      <alignment horizontal="center" vertical="center"/>
    </xf>
    <xf numFmtId="0" fontId="12" fillId="22" borderId="0" pivotButton="0" quotePrefix="0" xfId="0"/>
    <xf numFmtId="0" fontId="12" fillId="22" borderId="0" applyAlignment="1" pivotButton="0" quotePrefix="0" xfId="0">
      <alignment horizontal="center"/>
    </xf>
    <xf numFmtId="0" fontId="7" fillId="23" borderId="0" applyAlignment="1" pivotButton="0" quotePrefix="0" xfId="0">
      <alignment horizontal="center" vertical="center" wrapText="1"/>
    </xf>
    <xf numFmtId="0" fontId="0" fillId="23" borderId="0" pivotButton="0" quotePrefix="0" xfId="0"/>
    <xf numFmtId="0" fontId="13" fillId="23" borderId="0" applyAlignment="1" pivotButton="0" quotePrefix="0" xfId="0">
      <alignment horizontal="center" vertical="center" wrapText="1"/>
    </xf>
    <xf numFmtId="0" fontId="14" fillId="23" borderId="0" pivotButton="0" quotePrefix="0" xfId="0"/>
    <xf numFmtId="0" fontId="14" fillId="23" borderId="0" applyAlignment="1" pivotButton="0" quotePrefix="0" xfId="0">
      <alignment wrapText="1"/>
    </xf>
    <xf numFmtId="0" fontId="13" fillId="23" borderId="0" applyAlignment="1" pivotButton="0" quotePrefix="0" xfId="0">
      <alignment horizontal="left" vertical="center" wrapText="1"/>
    </xf>
    <xf numFmtId="0" fontId="14" fillId="23" borderId="0" applyAlignment="1" pivotButton="0" quotePrefix="0" xfId="0">
      <alignment horizontal="left" wrapText="1"/>
    </xf>
    <xf numFmtId="0" fontId="5" fillId="24" borderId="0" applyAlignment="1" pivotButton="0" quotePrefix="0" xfId="0">
      <alignment horizontal="center" vertical="center" wrapText="1"/>
    </xf>
    <xf numFmtId="0" fontId="0" fillId="24" borderId="0" pivotButton="0" quotePrefix="0" xfId="0"/>
    <xf numFmtId="0" fontId="5" fillId="24" borderId="0" pivotButton="0" quotePrefix="0" xfId="0"/>
    <xf numFmtId="0" fontId="5" fillId="24" borderId="0" applyAlignment="1" pivotButton="0" quotePrefix="0" xfId="0">
      <alignment wrapText="1"/>
    </xf>
    <xf numFmtId="0" fontId="5" fillId="24" borderId="0" applyAlignment="1" pivotButton="0" quotePrefix="0" xfId="0">
      <alignment horizontal="center" wrapText="1"/>
    </xf>
    <xf numFmtId="166" fontId="0" fillId="0" borderId="0" applyAlignment="1" pivotButton="0" quotePrefix="0" xfId="0">
      <alignment horizontal="left" vertical="center" wrapText="1"/>
    </xf>
    <xf numFmtId="166" fontId="0" fillId="0" borderId="0" applyAlignment="1" pivotButton="0" quotePrefix="0" xfId="0">
      <alignment wrapText="1"/>
    </xf>
    <xf numFmtId="3" fontId="0" fillId="0" borderId="0" applyAlignment="1" pivotButton="0" quotePrefix="0" xfId="0">
      <alignment horizontal="center" vertical="center" wrapText="1"/>
    </xf>
    <xf numFmtId="3" fontId="10" fillId="13" borderId="0" applyAlignment="1" pivotButton="0" quotePrefix="0" xfId="0">
      <alignment horizontal="center" vertical="center" wrapText="1"/>
    </xf>
    <xf numFmtId="3" fontId="0" fillId="0" borderId="0" applyAlignment="1" pivotButton="0" quotePrefix="0" xfId="0">
      <alignment wrapText="1"/>
    </xf>
    <xf numFmtId="0" fontId="11" fillId="22" borderId="0" applyAlignment="1" pivotButton="0" quotePrefix="0" xfId="0">
      <alignment horizontal="center" vertical="center" wrapText="1"/>
    </xf>
    <xf numFmtId="0" fontId="12" fillId="22" borderId="0" applyAlignment="1" pivotButton="0" quotePrefix="0" xfId="0">
      <alignment horizontal="center" vertical="center" wrapText="1"/>
    </xf>
    <xf numFmtId="167" fontId="6" fillId="8" borderId="0" applyAlignment="1" pivotButton="0" quotePrefix="0" xfId="0">
      <alignment horizontal="center" vertical="center"/>
    </xf>
    <xf numFmtId="3" fontId="3" fillId="4" borderId="0" applyAlignment="1" pivotButton="0" quotePrefix="0" xfId="0">
      <alignment horizontal="center" vertical="center" wrapText="1"/>
    </xf>
    <xf numFmtId="3" fontId="5" fillId="6" borderId="0" applyAlignment="1" pivotButton="0" quotePrefix="0" xfId="0">
      <alignment horizontal="center" vertical="center" wrapText="1"/>
    </xf>
    <xf numFmtId="167" fontId="3" fillId="4" borderId="0" applyAlignment="1" pivotButton="0" quotePrefix="0" xfId="0">
      <alignment horizontal="center" vertical="center" wrapText="1"/>
    </xf>
    <xf numFmtId="167" fontId="5" fillId="6" borderId="0" applyAlignment="1" pivotButton="0" quotePrefix="0" xfId="0">
      <alignment horizontal="center" vertical="center" wrapText="1"/>
    </xf>
    <xf numFmtId="0" fontId="8" fillId="26" borderId="0" applyAlignment="1" pivotButton="0" quotePrefix="0" xfId="0">
      <alignment vertical="center" wrapText="1"/>
    </xf>
    <xf numFmtId="0" fontId="15" fillId="26" borderId="0" applyAlignment="1" pivotButton="0" quotePrefix="0" xfId="0">
      <alignment vertical="center" wrapText="1"/>
    </xf>
    <xf numFmtId="0" fontId="15" fillId="26" borderId="0" applyAlignment="1" pivotButton="0" quotePrefix="0" xfId="0">
      <alignment horizontal="center" vertical="center" wrapText="1"/>
    </xf>
    <xf numFmtId="0" fontId="8" fillId="23" borderId="0" applyAlignment="1" pivotButton="0" quotePrefix="0" xfId="0">
      <alignment vertical="center" wrapText="1"/>
    </xf>
    <xf numFmtId="0" fontId="15" fillId="23" borderId="0" applyAlignment="1" pivotButton="0" quotePrefix="0" xfId="0">
      <alignment vertical="center" wrapText="1"/>
    </xf>
    <xf numFmtId="0" fontId="15" fillId="23" borderId="0" pivotButton="0" quotePrefix="0" xfId="0"/>
    <xf numFmtId="0" fontId="15" fillId="23" borderId="0" applyAlignment="1" pivotButton="0" quotePrefix="0" xfId="0">
      <alignment wrapText="1"/>
    </xf>
    <xf numFmtId="0" fontId="15" fillId="23" borderId="0" applyAlignment="1" pivotButton="0" quotePrefix="0" xfId="0">
      <alignment horizontal="center" vertical="center" wrapText="1"/>
    </xf>
    <xf numFmtId="0" fontId="15" fillId="23" borderId="0" applyAlignment="1" pivotButton="0" quotePrefix="0" xfId="0">
      <alignment horizontal="center" wrapText="1"/>
    </xf>
    <xf numFmtId="0" fontId="5" fillId="28" borderId="0" applyAlignment="1" pivotButton="0" quotePrefix="0" xfId="0">
      <alignment horizontal="center" vertical="center" wrapText="1"/>
    </xf>
    <xf numFmtId="0" fontId="5" fillId="29" borderId="0" applyAlignment="1" pivotButton="0" quotePrefix="0" xfId="0">
      <alignment horizontal="center" vertical="center" wrapText="1"/>
    </xf>
    <xf numFmtId="0" fontId="5" fillId="30" borderId="0" applyAlignment="1" pivotButton="0" quotePrefix="0" xfId="0">
      <alignment horizontal="center" vertical="center" wrapText="1"/>
    </xf>
    <xf numFmtId="0" fontId="5" fillId="31" borderId="0" applyAlignment="1" pivotButton="0" quotePrefix="0" xfId="0">
      <alignment horizontal="center" vertical="center" wrapText="1"/>
    </xf>
    <xf numFmtId="0" fontId="5" fillId="23" borderId="0" applyAlignment="1" pivotButton="0" quotePrefix="0" xfId="0">
      <alignment horizontal="center" vertical="center" wrapText="1"/>
    </xf>
    <xf numFmtId="0" fontId="12" fillId="26" borderId="0" applyAlignment="1" pivotButton="0" quotePrefix="0" xfId="0">
      <alignment horizontal="center" vertical="center" wrapText="1"/>
    </xf>
    <xf numFmtId="0" fontId="16" fillId="26" borderId="0" applyAlignment="1" pivotButton="0" quotePrefix="0" xfId="0">
      <alignment horizontal="center" vertical="center" wrapText="1"/>
    </xf>
    <xf numFmtId="0" fontId="3" fillId="23" borderId="0" applyAlignment="1" pivotButton="0" quotePrefix="0" xfId="0">
      <alignment horizontal="left" vertical="center" wrapText="1"/>
    </xf>
    <xf numFmtId="0" fontId="17" fillId="23" borderId="0" applyAlignment="1" pivotButton="0" quotePrefix="0" xfId="0">
      <alignment horizontal="left" vertical="center" wrapText="1"/>
    </xf>
    <xf numFmtId="0" fontId="4" fillId="23" borderId="0" applyAlignment="1" pivotButton="0" quotePrefix="0" xfId="0">
      <alignment horizontal="left" vertical="center" wrapText="1"/>
    </xf>
    <xf numFmtId="0" fontId="15" fillId="23" borderId="0" applyAlignment="1" pivotButton="0" quotePrefix="0" xfId="0">
      <alignment horizontal="left" vertical="center" wrapText="1"/>
    </xf>
    <xf numFmtId="0" fontId="0" fillId="23" borderId="0" applyAlignment="1" pivotButton="0" quotePrefix="0" xfId="0">
      <alignment wrapText="1"/>
    </xf>
    <xf numFmtId="0" fontId="5" fillId="32" borderId="0" applyAlignment="1" pivotButton="0" quotePrefix="0" xfId="0">
      <alignment horizontal="center" vertical="center" wrapText="1"/>
    </xf>
    <xf numFmtId="0" fontId="16" fillId="26" borderId="0" applyAlignment="1" pivotButton="0" quotePrefix="0" xfId="0">
      <alignment vertical="center" wrapText="1"/>
    </xf>
    <xf numFmtId="0" fontId="2" fillId="3" borderId="0" applyAlignment="1" pivotButton="0" quotePrefix="0" xfId="0">
      <alignment vertical="center" wrapText="1"/>
    </xf>
    <xf numFmtId="0" fontId="0" fillId="0" borderId="0" applyAlignment="1" pivotButton="0" quotePrefix="0" xfId="0">
      <alignment vertical="center" wrapText="1"/>
    </xf>
    <xf numFmtId="0" fontId="17" fillId="23" borderId="0" applyAlignment="1" pivotButton="0" quotePrefix="0" xfId="0">
      <alignment vertical="center" wrapText="1"/>
    </xf>
    <xf numFmtId="0" fontId="4" fillId="5" borderId="0" applyAlignment="1" pivotButton="0" quotePrefix="0" xfId="0">
      <alignment vertical="center" wrapText="1"/>
    </xf>
    <xf numFmtId="0" fontId="3" fillId="4" borderId="0" applyAlignment="1" pivotButton="0" quotePrefix="0" xfId="0">
      <alignment vertical="center" wrapText="1"/>
    </xf>
    <xf numFmtId="0" fontId="13" fillId="23" borderId="0" applyAlignment="1" pivotButton="0" quotePrefix="0" xfId="0">
      <alignment vertical="center" wrapText="1"/>
    </xf>
    <xf numFmtId="0" fontId="5" fillId="33" borderId="0" applyAlignment="1" pivotButton="0" quotePrefix="0" xfId="0">
      <alignment horizontal="center" vertical="center" wrapText="1"/>
    </xf>
  </cellXfs>
  <cellStyles count="1">
    <cellStyle name="Normal" xfId="0"/>
  </cellStyles>
  <dxfs count="17">
    <dxf>
      <font>
        <b val="1"/>
        <color rgb="FF274E13"/>
      </font>
      <fill>
        <patternFill>
          <bgColor rgb="FFD9EAD3"/>
        </patternFill>
      </fill>
    </dxf>
    <dxf>
      <font>
        <b val="1"/>
        <color rgb="FF7F6000"/>
      </font>
      <fill>
        <patternFill>
          <bgColor rgb="FFFFF2CC"/>
        </patternFill>
      </fill>
    </dxf>
    <dxf>
      <font>
        <b val="1"/>
        <color rgb="FF990000"/>
      </font>
      <fill>
        <patternFill>
          <bgColor rgb="FFF4CCCC"/>
        </patternFill>
      </fill>
    </dxf>
    <dxf>
      <font>
        <b val="1"/>
        <color rgb="FF990000"/>
      </font>
      <fill>
        <patternFill>
          <bgColor rgb="FFF4CCCC"/>
        </patternFill>
      </fill>
    </dxf>
    <dxf>
      <font>
        <b val="1"/>
        <color rgb="FF134F5C"/>
      </font>
      <fill>
        <patternFill>
          <bgColor rgb="FFD9EAF7"/>
        </patternFill>
      </fill>
    </dxf>
    <dxf>
      <font>
        <b val="1"/>
        <color rgb="FF008000"/>
      </font>
    </dxf>
    <dxf>
      <font>
        <b val="1"/>
        <color rgb="FF000000"/>
      </font>
    </dxf>
    <dxf>
      <font>
        <b val="1"/>
        <color rgb="FFC00000"/>
      </font>
    </dxf>
    <dxf>
      <font>
        <b val="1"/>
        <color rgb="FF008000"/>
      </font>
    </dxf>
    <dxf>
      <font>
        <b val="1"/>
        <color rgb="FF000000"/>
      </font>
    </dxf>
    <dxf>
      <font>
        <b val="1"/>
        <color rgb="FFC00000"/>
      </font>
    </dxf>
    <dxf>
      <font>
        <color rgb="FF00B050"/>
      </font>
    </dxf>
    <dxf>
      <font>
        <color rgb="FF000000"/>
      </font>
    </dxf>
    <dxf>
      <font>
        <color rgb="FFC00000"/>
      </font>
    </dxf>
    <dxf>
      <font>
        <color rgb="FF00B050"/>
      </font>
    </dxf>
    <dxf>
      <font>
        <color rgb="FF000000"/>
      </font>
    </dxf>
    <dxf>
      <font>
        <color rgb="FFC00000"/>
      </font>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Games by Result</a:t>
            </a:r>
          </a:p>
        </rich>
      </tx>
      <overlay val="0"/>
    </title>
    <plotArea>
      <layout/>
      <barChart>
        <barDir val="col"/>
        <grouping val="clustered"/>
        <varyColors val="0"/>
        <ser>
          <idx val="0"/>
          <order val="0"/>
          <tx>
            <v>Games</v>
          </tx>
          <spPr>
            <a:ln xmlns:a="http://schemas.openxmlformats.org/drawingml/2006/main">
              <a:prstDash val="solid"/>
            </a:ln>
          </spPr>
          <cat>
            <strRef>
              <f>'Summary'!$A$15:$A$18</f>
              <strCache>
                <ptCount val="0"/>
              </strCache>
            </strRef>
          </cat>
          <val>
            <numRef>
              <f>'Summary'!$B$15:$B$18</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Average Net Profit by Game Type</a:t>
            </a:r>
          </a:p>
        </rich>
      </tx>
      <overlay val="0"/>
    </title>
    <plotArea>
      <layout/>
      <barChart>
        <barDir val="col"/>
        <grouping val="clustered"/>
        <varyColors val="0"/>
        <ser>
          <idx val="0"/>
          <order val="0"/>
          <tx>
            <v>Games</v>
          </tx>
          <spPr>
            <a:ln xmlns:a="http://schemas.openxmlformats.org/drawingml/2006/main">
              <a:prstDash val="solid"/>
            </a:ln>
          </spPr>
          <cat>
            <strRef>
              <f>'Game Comparisons'!$A$6:$A$7</f>
              <strCache>
                <ptCount val="0"/>
              </strCache>
            </strRef>
          </cat>
          <val>
            <numRef>
              <f>'Game Comparisons'!$B$6:$B$7</f>
              <numCache>
                <formatCode>General</formatCode>
                <ptCount val="0"/>
              </numCache>
            </numRef>
          </val>
        </ser>
        <ser>
          <idx val="1"/>
          <order val="1"/>
          <tx>
            <v>Total Net Profit</v>
          </tx>
          <spPr>
            <a:ln xmlns:a="http://schemas.openxmlformats.org/drawingml/2006/main">
              <a:prstDash val="solid"/>
            </a:ln>
          </spPr>
          <cat>
            <strRef>
              <f>'Game Comparisons'!$A$6:$A$7</f>
              <strCache>
                <ptCount val="0"/>
              </strCache>
            </strRef>
          </cat>
          <val>
            <numRef>
              <f>'Game Comparisons'!$C$6:$C$7</f>
              <numCache>
                <formatCode>General</formatCode>
                <ptCount val="0"/>
              </numCache>
            </numRef>
          </val>
        </ser>
        <ser>
          <idx val="2"/>
          <order val="2"/>
          <tx>
            <v>Average Net Profit</v>
          </tx>
          <spPr>
            <a:ln xmlns:a="http://schemas.openxmlformats.org/drawingml/2006/main">
              <a:prstDash val="solid"/>
            </a:ln>
          </spPr>
          <cat>
            <strRef>
              <f>'Game Comparisons'!$A$6:$A$7</f>
              <strCache>
                <ptCount val="0"/>
              </strCache>
            </strRef>
          </cat>
          <val>
            <numRef>
              <f>'Game Comparisons'!$D$6:$D$7</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twoCellAnchor>
    <from>
      <col>0</col>
      <colOff>0</colOff>
      <row>27</row>
      <rowOff>0</rowOff>
    </from>
    <to>
      <col>8</col>
      <colOff>0</colOff>
      <row>44</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9</col>
      <colOff>0</colOff>
      <row>3</row>
      <rowOff>0</rowOff>
    </from>
    <to>
      <col>16</col>
      <colOff>0</colOff>
      <row>17</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GameRecordsTable" displayName="GameRecordsTable" ref="A4:W504" headerRowCount="1">
  <tableColumns count="23">
    <tableColumn id="1" name="Game Name"/>
    <tableColumn id="2" name="Start Date"/>
    <tableColumn id="3" name="End Date"/>
    <tableColumn id="4" name="Payment Type"/>
    <tableColumn id="5" name="Entry Fee"/>
    <tableColumn id="6" name="Earned"/>
    <tableColumn id="7" name="Profit"/>
    <tableColumn id="8" name="Draw"/>
    <tableColumn id="9" name="Lost"/>
    <tableColumn id="10" name="ROI"/>
    <tableColumn id="11" name="Result"/>
    <tableColumn id="12" name="Game Type"/>
    <tableColumn id="13" name="Total Pot"/>
    <tableColumn id="14" name="Adjusted Pot"/>
    <tableColumn id="15" name="Eligible Players"/>
    <tableColumn id="16" name="Total Players"/>
    <tableColumn id="17" name="Challenge Length (Weeks)"/>
    <tableColumn id="18" name="Count Source"/>
    <tableColumn id="19" name="Confidence"/>
    <tableColumn id="20" name="Notes"/>
    <tableColumn id="21" name="Net Profit"/>
    <tableColumn id="22" name="Eliminated Players"/>
    <tableColumn id="23" name="Elimination Rate"/>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Z66"/>
  <sheetViews>
    <sheetView workbookViewId="0">
      <selection activeCell="A1" sqref="A1"/>
    </sheetView>
  </sheetViews>
  <sheetFormatPr baseColWidth="8" defaultRowHeight="15"/>
  <cols>
    <col width="100" customWidth="1" style="270" min="1" max="1"/>
    <col width="14" customWidth="1" style="270" min="2" max="2"/>
    <col width="14" customWidth="1" style="270" min="3" max="3"/>
    <col width="14" customWidth="1" style="270" min="4" max="4"/>
    <col width="14" customWidth="1" style="270" min="5" max="5"/>
    <col width="14" customWidth="1" style="270" min="6" max="6"/>
    <col width="14" customWidth="1" style="270" min="7" max="7"/>
    <col width="14" customWidth="1" style="270" min="8" max="8"/>
  </cols>
  <sheetData>
    <row r="1" ht="21.60000038146973" customHeight="1" s="270">
      <c r="A1" s="239" t="inlineStr">
        <is>
          <t>StepCat v207 Profitability Analysis Template</t>
        </is>
      </c>
      <c r="B1" s="1" t="n"/>
      <c r="C1" s="1" t="n"/>
      <c r="D1" s="1" t="n"/>
      <c r="E1" s="1" t="n"/>
      <c r="F1" s="1" t="n"/>
      <c r="G1" s="1" t="n"/>
      <c r="H1" s="1" t="n"/>
      <c r="I1" s="367" t="n"/>
      <c r="J1" s="367" t="n"/>
      <c r="K1" s="367" t="n"/>
      <c r="L1" s="367" t="n"/>
      <c r="M1" s="367" t="n"/>
      <c r="N1" s="367" t="n"/>
      <c r="O1" s="367" t="n"/>
      <c r="P1" s="367" t="n"/>
      <c r="Q1" s="367" t="n"/>
      <c r="R1" s="367" t="n"/>
      <c r="S1" s="367" t="n"/>
      <c r="T1" s="367" t="n"/>
      <c r="U1" s="367" t="n"/>
      <c r="V1" s="367" t="n"/>
      <c r="W1" s="367" t="n"/>
      <c r="X1" s="367" t="n"/>
      <c r="Y1" s="367" t="n"/>
      <c r="Z1" s="367" t="n"/>
    </row>
    <row r="2" ht="15" customHeight="1" s="270">
      <c r="A2" s="240" t="inlineStr">
        <is>
          <t>Final spreadsheet template with added formulas for direct estimate, finalized, disqualified, and comparison updates.</t>
        </is>
      </c>
      <c r="B2" s="1" t="n"/>
      <c r="C2" s="1" t="n"/>
      <c r="D2" s="1" t="n"/>
      <c r="E2" s="1" t="n"/>
      <c r="F2" s="1" t="n"/>
      <c r="G2" s="1" t="n"/>
      <c r="H2" s="1" t="n"/>
    </row>
    <row r="3" ht="15" customHeight="1" s="270">
      <c r="A3" s="416" t="n"/>
    </row>
    <row r="4" ht="15" customHeight="1" s="270">
      <c r="A4" s="242" t="inlineStr">
        <is>
          <t>1. Where to paste</t>
        </is>
      </c>
      <c r="B4" s="1" t="n"/>
      <c r="C4" s="1" t="n"/>
      <c r="D4" s="1" t="n"/>
      <c r="E4" s="1" t="n"/>
      <c r="F4" s="1" t="n"/>
      <c r="G4" s="1" t="n"/>
      <c r="H4" s="1" t="n"/>
    </row>
    <row r="5" ht="15" customHeight="1" s="270">
      <c r="A5" s="243" t="inlineStr">
        <is>
          <t>• Row 3 labels the two main areas: Paste / Edit Inputs and Spreadsheet Formulas.</t>
        </is>
      </c>
      <c r="B5" s="1" t="n"/>
      <c r="C5" s="1" t="n"/>
      <c r="D5" s="1" t="n"/>
      <c r="E5" s="1" t="n"/>
      <c r="F5" s="1" t="n"/>
      <c r="G5" s="1" t="n"/>
      <c r="H5" s="1" t="n"/>
    </row>
    <row r="6" ht="15" customHeight="1" s="270">
      <c r="A6" s="243" t="inlineStr">
        <is>
          <t>• Row 4 is the header row.</t>
        </is>
      </c>
      <c r="B6" s="1" t="n"/>
      <c r="C6" s="1" t="n"/>
      <c r="D6" s="1" t="n"/>
      <c r="E6" s="1" t="n"/>
      <c r="F6" s="1" t="n"/>
      <c r="G6" s="1" t="n"/>
      <c r="H6" s="1" t="n"/>
    </row>
    <row r="7" ht="15" customHeight="1" s="270">
      <c r="A7" s="243" t="inlineStr">
        <is>
          <t>• Row 5 and below are for game records.</t>
        </is>
      </c>
      <c r="B7" s="1" t="n"/>
      <c r="C7" s="1" t="n"/>
      <c r="D7" s="1" t="n"/>
      <c r="E7" s="1" t="n"/>
      <c r="F7" s="1" t="n"/>
      <c r="G7" s="1" t="n"/>
      <c r="H7" s="1" t="n"/>
    </row>
    <row r="8" ht="15" customHeight="1" s="270">
      <c r="A8" s="416" t="inlineStr">
        <is>
          <t>• Paste StepCat result rows starting in A5.</t>
        </is>
      </c>
    </row>
    <row r="9" ht="15" customHeight="1" s="270">
      <c r="A9" s="244" t="inlineStr">
        <is>
          <t>• Copy This Sheet Row fills columns A through M only.</t>
        </is>
      </c>
      <c r="B9" s="1" t="n"/>
      <c r="C9" s="1" t="n"/>
      <c r="D9" s="1" t="n"/>
      <c r="E9" s="1" t="n"/>
      <c r="F9" s="1" t="n"/>
      <c r="G9" s="1" t="n"/>
      <c r="H9" s="1" t="n"/>
    </row>
    <row r="10" ht="15" customHeight="1" s="270">
      <c r="A10" s="243" t="inlineStr">
        <is>
          <t>• Columns N through Y contain formulas that update from the entered row information.</t>
        </is>
      </c>
      <c r="B10" s="1" t="n"/>
      <c r="C10" s="1" t="n"/>
      <c r="D10" s="1" t="n"/>
      <c r="E10" s="1" t="n"/>
      <c r="F10" s="1" t="n"/>
      <c r="G10" s="1" t="n"/>
      <c r="H10" s="1" t="n"/>
    </row>
    <row r="11" ht="15" customHeight="1" s="270">
      <c r="A11" s="243" t="inlineStr">
        <is>
          <t>• Moving from an older spreadsheet? Paste old game information into columns A through M only.</t>
        </is>
      </c>
      <c r="B11" s="1" t="n"/>
      <c r="C11" s="1" t="n"/>
      <c r="D11" s="1" t="n"/>
      <c r="E11" s="1" t="n"/>
      <c r="F11" s="1" t="n"/>
      <c r="G11" s="1" t="n"/>
      <c r="H11" s="1" t="n"/>
    </row>
    <row r="12" ht="15" customHeight="1" s="270">
      <c r="A12" s="243" t="inlineStr">
        <is>
          <t>• Do not paste over formula columns N through Y unless you intentionally want to replace the v207 formulas and result colors.</t>
        </is>
      </c>
      <c r="B12" s="1" t="n"/>
      <c r="C12" s="1" t="n"/>
      <c r="D12" s="1" t="n"/>
      <c r="E12" s="1" t="n"/>
      <c r="F12" s="1" t="n"/>
      <c r="G12" s="1" t="n"/>
      <c r="H12" s="1" t="n"/>
    </row>
    <row r="13" ht="26.39999961853027" customHeight="1" s="270">
      <c r="A13" s="245" t="inlineStr">
        <is>
          <t>2. Updating entries directly in the spreadsheet</t>
        </is>
      </c>
      <c r="B13" s="1" t="n"/>
      <c r="C13" s="1" t="n"/>
      <c r="D13" s="1" t="n"/>
      <c r="E13" s="1" t="n"/>
      <c r="F13" s="1" t="n"/>
      <c r="G13" s="1" t="n"/>
      <c r="H13" s="1" t="n"/>
    </row>
    <row r="14" ht="15" customHeight="1" s="270">
      <c r="A14" s="243" t="inlineStr">
        <is>
          <t>• Paste app rows into Game Records starting at A5. The app fills input columns A through M only.</t>
        </is>
      </c>
      <c r="B14" s="1" t="n"/>
      <c r="C14" s="1" t="n"/>
      <c r="D14" s="1" t="n"/>
      <c r="E14" s="1" t="n"/>
      <c r="F14" s="1" t="n"/>
      <c r="G14" s="1" t="n"/>
      <c r="H14" s="1" t="n"/>
    </row>
    <row r="15" ht="15" customHeight="1" s="270">
      <c r="A15" s="416" t="inlineStr">
        <is>
          <t>• For estimates, Final Earned stays blank by design. The sheet uses Estimated Earned until a final amount is entered later.</t>
        </is>
      </c>
    </row>
    <row r="16" ht="28.79999923706055" customHeight="1" s="270">
      <c r="A16" s="244" t="inlineStr">
        <is>
          <t>• When a challenge finalizes, type the returned amount into Final Earned and, if needed, change Entry Mode to Finalized.</t>
        </is>
      </c>
      <c r="B16" s="1" t="n"/>
      <c r="C16" s="1" t="n"/>
      <c r="D16" s="1" t="n"/>
      <c r="E16" s="1" t="n"/>
      <c r="F16" s="1" t="n"/>
      <c r="G16" s="1" t="n"/>
      <c r="H16" s="1" t="n"/>
    </row>
    <row r="17" ht="26.39999961853027" customHeight="1" s="270">
      <c r="A17" s="243" t="inlineStr">
        <is>
          <t>• Gross Pot, Eligible Players, and Total Players may stay filled on finalized rows so estimate and player-comparison columns continue to calculate.</t>
        </is>
      </c>
      <c r="B17" s="1" t="n"/>
      <c r="C17" s="1" t="n"/>
      <c r="D17" s="1" t="n"/>
      <c r="E17" s="1" t="n"/>
      <c r="F17" s="1" t="n"/>
      <c r="G17" s="1" t="n"/>
      <c r="H17" s="1" t="n"/>
    </row>
    <row r="18" ht="15" customHeight="1" s="270">
      <c r="A18" s="243" t="inlineStr">
        <is>
          <t>• If the entry was disqualified, set Disqualified / Lost Entry Fee to Yes. The sheet records a full Entry Fee loss and ignores Final Earned.</t>
        </is>
      </c>
      <c r="B18" s="1" t="n"/>
      <c r="C18" s="1" t="n"/>
      <c r="D18" s="1" t="n"/>
      <c r="E18" s="1" t="n"/>
      <c r="F18" s="1" t="n"/>
      <c r="G18" s="1" t="n"/>
      <c r="H18" s="1" t="n"/>
    </row>
    <row r="19" ht="15" customHeight="1" s="270">
      <c r="A19" s="243" t="inlineStr">
        <is>
          <t>• Profit, Draw, Lost, ROI, Result, Net Profit, and comparison summaries update from the input columns.</t>
        </is>
      </c>
      <c r="B19" s="1" t="n"/>
      <c r="C19" s="1" t="n"/>
      <c r="D19" s="1" t="n"/>
      <c r="E19" s="1" t="n"/>
      <c r="F19" s="1" t="n"/>
      <c r="G19" s="1" t="n"/>
      <c r="H19" s="1" t="n"/>
    </row>
    <row r="20" ht="15" customHeight="1" s="270">
      <c r="A20" s="245" t="inlineStr">
        <is>
          <t>3. Result rules</t>
        </is>
      </c>
      <c r="B20" s="1" t="n"/>
      <c r="C20" s="1" t="n"/>
      <c r="D20" s="1" t="n"/>
      <c r="E20" s="1" t="n"/>
      <c r="F20" s="1" t="n"/>
      <c r="G20" s="1" t="n"/>
      <c r="H20" s="1" t="n"/>
    </row>
    <row r="21" ht="15" customHeight="1" s="270">
      <c r="A21" s="243" t="inlineStr">
        <is>
          <t>• Profit = Earned above Entry Fee.</t>
        </is>
      </c>
      <c r="B21" s="1" t="n"/>
      <c r="C21" s="1" t="n"/>
      <c r="D21" s="1" t="n"/>
      <c r="E21" s="1" t="n"/>
      <c r="F21" s="1" t="n"/>
      <c r="G21" s="1" t="n"/>
      <c r="H21" s="1" t="n"/>
    </row>
    <row r="22" ht="15" customHeight="1" s="270">
      <c r="A22" s="243" t="inlineStr">
        <is>
          <t>• Draw = Earned equal to or below Entry Fee.</t>
        </is>
      </c>
      <c r="B22" s="1" t="n"/>
      <c r="C22" s="1" t="n"/>
      <c r="D22" s="1" t="n"/>
      <c r="E22" s="1" t="n"/>
      <c r="F22" s="1" t="n"/>
      <c r="G22" s="1" t="n"/>
      <c r="H22" s="1" t="n"/>
    </row>
    <row r="23" ht="15" customHeight="1" s="270">
      <c r="A23" s="243" t="inlineStr">
        <is>
          <t>• Lost = full Entry Fee lost only when Disqualified / Lost Entry Fee is Yes.</t>
        </is>
      </c>
      <c r="B23" s="1" t="n"/>
      <c r="C23" s="1" t="n"/>
      <c r="D23" s="1" t="n"/>
      <c r="E23" s="1" t="n"/>
      <c r="F23" s="1" t="n"/>
      <c r="G23" s="1" t="n"/>
      <c r="H23" s="1" t="n"/>
    </row>
    <row r="24" ht="15" customHeight="1" s="270">
      <c r="A24" s="416" t="inlineStr">
        <is>
          <t>• StepCat does not calculate partial losses for eligible entries.</t>
        </is>
      </c>
    </row>
    <row r="25" ht="15" customHeight="1" s="270">
      <c r="A25" s="244" t="n"/>
      <c r="B25" s="1" t="n"/>
      <c r="C25" s="1" t="n"/>
      <c r="D25" s="1" t="n"/>
      <c r="E25" s="1" t="n"/>
      <c r="F25" s="1" t="n"/>
      <c r="G25" s="1" t="n"/>
      <c r="H25" s="1" t="n"/>
    </row>
    <row r="26" ht="15" customHeight="1" s="270">
      <c r="A26" s="245" t="inlineStr">
        <is>
          <t>4. Formula columns</t>
        </is>
      </c>
      <c r="B26" s="1" t="n"/>
      <c r="C26" s="1" t="n"/>
      <c r="D26" s="1" t="n"/>
      <c r="E26" s="1" t="n"/>
      <c r="F26" s="1" t="n"/>
      <c r="G26" s="1" t="n"/>
      <c r="H26" s="1" t="n"/>
    </row>
    <row r="27" ht="15" customHeight="1" s="270">
      <c r="A27" s="243" t="inlineStr">
        <is>
          <t>• Formula columns are N = Adjusted Pot, O = Estimated Earned, P = Earned Used, Q = Profit, R = Draw, S = Lost, T = ROI, U = Result, V = Challenge Length, W = Net Profit, X = Eliminated Players, and Y = Elimination Rate.</t>
        </is>
      </c>
      <c r="B27" s="1" t="n"/>
      <c r="C27" s="1" t="n"/>
      <c r="D27" s="1" t="n"/>
      <c r="E27" s="1" t="n"/>
      <c r="F27" s="1" t="n"/>
      <c r="G27" s="1" t="n"/>
      <c r="H27" s="1" t="n"/>
    </row>
    <row r="28" ht="15" customHeight="1" s="270">
      <c r="A28" s="243" t="inlineStr">
        <is>
          <t>• Formula cells may look empty, but they are not the same as blank cells.</t>
        </is>
      </c>
      <c r="B28" s="1" t="n"/>
      <c r="C28" s="1" t="n"/>
      <c r="D28" s="1" t="n"/>
      <c r="E28" s="1" t="n"/>
      <c r="F28" s="1" t="n"/>
      <c r="G28" s="1" t="n"/>
      <c r="H28" s="1" t="n"/>
    </row>
    <row r="29" ht="15" customHeight="1" s="270">
      <c r="A29" s="416" t="inlineStr">
        <is>
          <t>• Total Players is optional. Eliminated Players and Elimination Rate stay blank unless Total Players is entered.</t>
        </is>
      </c>
    </row>
    <row r="30" ht="15" customHeight="1" s="270">
      <c r="A30" s="244" t="inlineStr">
        <is>
          <t>• If a formula is missing, copy it from another working row in the same column.</t>
        </is>
      </c>
      <c r="B30" s="1" t="n"/>
      <c r="C30" s="1" t="n"/>
      <c r="D30" s="1" t="n"/>
      <c r="E30" s="1" t="n"/>
      <c r="F30" s="1" t="n"/>
      <c r="G30" s="1" t="n"/>
      <c r="H30" s="1" t="n"/>
    </row>
    <row r="31" ht="15" customHeight="1" s="270">
      <c r="A31" s="243" t="n"/>
      <c r="B31" s="1" t="n"/>
      <c r="C31" s="1" t="n"/>
      <c r="D31" s="1" t="n"/>
      <c r="E31" s="1" t="n"/>
      <c r="F31" s="1" t="n"/>
      <c r="G31" s="1" t="n"/>
      <c r="H31" s="1" t="n"/>
    </row>
    <row r="32" ht="15" customHeight="1" s="270">
      <c r="A32" s="245" t="inlineStr">
        <is>
          <t>5. User-entered columns</t>
        </is>
      </c>
      <c r="B32" s="1" t="n"/>
      <c r="C32" s="1" t="n"/>
      <c r="D32" s="1" t="n"/>
      <c r="E32" s="1" t="n"/>
      <c r="F32" s="1" t="n"/>
      <c r="G32" s="1" t="n"/>
      <c r="H32" s="1" t="n"/>
    </row>
    <row r="33" ht="15" customHeight="1" s="270">
      <c r="A33" s="243" t="inlineStr">
        <is>
          <t>• A through M are the safe paste/edit input columns, including when moving rows from an older spreadsheet.</t>
        </is>
      </c>
      <c r="B33" s="1" t="n"/>
      <c r="C33" s="1" t="n"/>
      <c r="D33" s="1" t="n"/>
      <c r="E33" s="1" t="n"/>
      <c r="F33" s="1" t="n"/>
      <c r="G33" s="1" t="n"/>
      <c r="H33" s="1" t="n"/>
    </row>
    <row r="34" ht="15" customHeight="1" s="270">
      <c r="A34" s="416" t="inlineStr">
        <is>
          <t>• Entry Mode should be Estimate or Finalized.</t>
        </is>
      </c>
    </row>
    <row r="35" ht="15" customHeight="1" s="270">
      <c r="A35" s="416" t="inlineStr">
        <is>
          <t>• Final Earned is optional for estimates and should be typed later after the challenge finalizes. It should remain blank for Disqualified entries.</t>
        </is>
      </c>
    </row>
    <row r="36" ht="15" customHeight="1" s="270">
      <c r="A36" s="416" t="inlineStr">
        <is>
          <t>• Disqualified / Lost Entry Fee should be Yes only when the full Entry Fee was lost.</t>
        </is>
      </c>
    </row>
    <row r="37" ht="15" customHeight="1" s="270">
      <c r="A37" s="416" t="inlineStr">
        <is>
          <t>• Gross Pot, Eligible Players, and Total Players can remain populated on finalized rows for comparison.</t>
        </is>
      </c>
    </row>
    <row r="38" ht="15" customHeight="1" s="270">
      <c r="A38" s="416" t="inlineStr">
        <is>
          <t>• Gross Pot, Entry Fee, player counts, and Final Earned can be updated directly in the row.</t>
        </is>
      </c>
    </row>
    <row r="39" ht="15" customHeight="1" s="270">
      <c r="A39" s="416" t="n"/>
    </row>
    <row r="40" ht="15" customHeight="1" s="270">
      <c r="A40" s="243" t="inlineStr">
        <is>
          <t>6. Subscription/reference rows</t>
        </is>
      </c>
      <c r="B40" s="1" t="n"/>
      <c r="C40" s="1" t="n"/>
      <c r="D40" s="1" t="n"/>
      <c r="E40" s="1" t="n"/>
      <c r="F40" s="1" t="n"/>
      <c r="G40" s="1" t="n"/>
    </row>
    <row r="41" ht="15" customHeight="1" s="270">
      <c r="A41" s="416" t="inlineStr">
        <is>
          <t>• Subscription or membership rows are reference-only records, not normal challenges.</t>
        </is>
      </c>
    </row>
    <row r="42" ht="15" customHeight="1" s="270">
      <c r="A42" s="416" t="inlineStr">
        <is>
          <t>• Mark subscription or membership records in the Notes column. Use N/A only in game-specific fields that do not apply, such as Entry Mode, Game Type, Gross Pot, player counts, Final Earned, and Disqualified.</t>
        </is>
      </c>
    </row>
    <row r="43" ht="15" customHeight="1" s="270">
      <c r="A43" s="416" t="inlineStr">
        <is>
          <t>• Payment Type may be manually entered as Cash or Points if you want to remember how the subscription was paid.</t>
        </is>
      </c>
    </row>
    <row r="44" ht="15" customHeight="1" s="270">
      <c r="A44" s="416" t="inlineStr">
        <is>
          <t>• Entry Fee may hold the subscription cost for reference, but subscription rows are marked as Subscription and excluded from game totals.</t>
        </is>
      </c>
    </row>
    <row r="45" ht="15" customHeight="1" s="270">
      <c r="A45" s="416" t="inlineStr">
        <is>
          <t>• Regular game rows should stay blank where information is missing so formulas can update later when you fill it in.</t>
        </is>
      </c>
    </row>
    <row r="46" ht="15" customHeight="1" s="270">
      <c r="A46" s="209" t="inlineStr">
        <is>
          <t>7. Player counts</t>
        </is>
      </c>
    </row>
    <row r="47" ht="15" customHeight="1" s="270">
      <c r="A47" s="416" t="inlineStr">
        <is>
          <t>• Total Players = everyone who entered the challenge.</t>
        </is>
      </c>
    </row>
    <row r="48" ht="15" customHeight="1" s="270">
      <c r="A48" s="416" t="inlineStr">
        <is>
          <t>• Eligible Players = players still eligible to win / not disqualified.</t>
        </is>
      </c>
    </row>
    <row r="49" ht="15" customHeight="1" s="270">
      <c r="A49" s="416" t="inlineStr">
        <is>
          <t>• Eligible Players drives payout estimates. Total Players is context for tracking eliminations.</t>
        </is>
      </c>
    </row>
    <row r="50" ht="15" customHeight="1" s="270">
      <c r="A50" s="416" t="n"/>
    </row>
    <row r="51" ht="15" customHeight="1" s="270">
      <c r="A51" s="209" t="inlineStr">
        <is>
          <t>8. Warm-up week estimate tip</t>
        </is>
      </c>
    </row>
    <row r="52" ht="15" customHeight="1" s="270">
      <c r="A52" s="416" t="inlineStr">
        <is>
          <t>• For best estimate accuracy, add challenges after warm-up week ends.</t>
        </is>
      </c>
    </row>
    <row r="53" ht="15" customHeight="1" s="270">
      <c r="A53" s="416" t="inlineStr">
        <is>
          <t>• Gross Pot and Total Players are usually more reliable after warm-up week.</t>
        </is>
      </c>
    </row>
    <row r="54" ht="15" customHeight="1" s="270">
      <c r="A54" s="416" t="inlineStr">
        <is>
          <t>• Update Eligible Players as the challenge progresses.</t>
        </is>
      </c>
    </row>
    <row r="55" ht="15" customHeight="1" s="270">
      <c r="A55" s="416" t="n"/>
    </row>
    <row r="56" ht="15" customHeight="1" s="270">
      <c r="A56" s="209" t="inlineStr">
        <is>
          <t>9. What updates automatically</t>
        </is>
      </c>
    </row>
    <row r="57" ht="15" customHeight="1" s="270">
      <c r="A57" s="416" t="inlineStr">
        <is>
          <t>• Summary shows totals, averages, and result rates.</t>
        </is>
      </c>
    </row>
    <row r="58" ht="15" customHeight="1" s="270">
      <c r="A58" s="416" t="inlineStr">
        <is>
          <t>• Game Comparisons compares game type, challenge length, entry fee, payment type, player ranges, and elimination rates.</t>
        </is>
      </c>
    </row>
    <row r="59" ht="15" customHeight="1" s="270">
      <c r="A59" s="416" t="inlineStr">
        <is>
          <t>• Best Results lists the highest Net Profit and ROI values.</t>
        </is>
      </c>
    </row>
    <row r="60" ht="15" customHeight="1" s="270">
      <c r="A60" s="416" t="n"/>
    </row>
    <row r="61">
      <c r="A61" s="416" t="inlineStr">
        <is>
          <t>The official posted game result should always be treated as authoritative.</t>
        </is>
      </c>
    </row>
    <row r="62">
      <c r="A62" s="294" t="n"/>
    </row>
    <row r="63">
      <c r="A63" s="294" t="n"/>
    </row>
    <row r="64">
      <c r="A64" s="294" t="n"/>
    </row>
    <row r="65">
      <c r="A65" s="294" t="n"/>
    </row>
    <row r="66">
      <c r="A66" s="294" t="n"/>
    </row>
  </sheetData>
  <mergeCells count="28">
    <mergeCell ref="A9:H9"/>
    <mergeCell ref="A30:H30"/>
    <mergeCell ref="A11:H11"/>
    <mergeCell ref="A1:H1"/>
    <mergeCell ref="A6:H6"/>
    <mergeCell ref="A7:H7"/>
    <mergeCell ref="A25:H25"/>
    <mergeCell ref="A16:H16"/>
    <mergeCell ref="A27:H27"/>
    <mergeCell ref="A12:H12"/>
    <mergeCell ref="A18:H18"/>
    <mergeCell ref="A26:H26"/>
    <mergeCell ref="A21:H21"/>
    <mergeCell ref="A2:H2"/>
    <mergeCell ref="A33:H33"/>
    <mergeCell ref="A14:H14"/>
    <mergeCell ref="A5:H5"/>
    <mergeCell ref="A23:H23"/>
    <mergeCell ref="A32:H32"/>
    <mergeCell ref="A22:H22"/>
    <mergeCell ref="A17:H17"/>
    <mergeCell ref="A4:H4"/>
    <mergeCell ref="A20:H20"/>
    <mergeCell ref="A10:H10"/>
    <mergeCell ref="A28:H28"/>
    <mergeCell ref="A13:H13"/>
    <mergeCell ref="A19:H19"/>
    <mergeCell ref="A31:H3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Y1000"/>
  <sheetViews>
    <sheetView workbookViewId="0">
      <selection activeCell="A1" sqref="A1"/>
    </sheetView>
  </sheetViews>
  <sheetFormatPr baseColWidth="8" defaultRowHeight="15"/>
  <cols>
    <col width="22" customWidth="1" style="270" min="1" max="1"/>
    <col width="12" customWidth="1" style="270" min="2" max="2"/>
    <col width="12" customWidth="1" style="270" min="3" max="3"/>
    <col width="14" customWidth="1" style="270" min="4" max="4"/>
    <col width="15" customWidth="1" style="270" min="5" max="5"/>
    <col width="16" customWidth="1" style="270" min="6" max="6"/>
    <col width="14" customWidth="1" style="270" min="7" max="7"/>
    <col width="12" customWidth="1" style="270" min="8" max="8"/>
    <col width="14" customWidth="1" style="270" min="9" max="9"/>
    <col width="12" customWidth="1" style="270" min="10" max="10"/>
    <col width="14" customWidth="1" style="270" min="11" max="11"/>
    <col width="21" customWidth="1" style="270" min="12" max="12"/>
    <col width="24" customWidth="1" style="270" min="13" max="13"/>
    <col width="14" customWidth="1" style="270" min="14" max="14"/>
    <col width="15" customWidth="1" style="270" min="15" max="15"/>
    <col width="13" customWidth="1" style="270" min="16" max="16"/>
    <col width="12" customWidth="1" style="270" min="17" max="17"/>
    <col width="11" customWidth="1" style="270" min="18" max="18"/>
    <col width="11" customWidth="1" style="270" min="19" max="19"/>
    <col width="10" customWidth="1" style="270" min="20" max="20"/>
    <col width="15" customWidth="1" style="270" min="21" max="21"/>
    <col width="17" customWidth="1" style="270" min="22" max="22"/>
    <col width="12" customWidth="1" style="270" min="23" max="23"/>
    <col width="15" customWidth="1" style="270" min="24" max="24"/>
    <col width="14" customWidth="1" style="270" min="25" max="25"/>
  </cols>
  <sheetData>
    <row r="1" ht="32" customHeight="1" s="270">
      <c r="A1" s="246" t="inlineStr">
        <is>
          <t>Game Records - StepCat v207</t>
        </is>
      </c>
      <c r="B1" s="1" t="n"/>
      <c r="C1" s="1" t="n"/>
      <c r="D1" s="1" t="n"/>
      <c r="E1" s="1" t="n"/>
      <c r="F1" s="1" t="n"/>
      <c r="G1" s="1" t="n"/>
      <c r="H1" s="1" t="n"/>
      <c r="I1" s="1" t="n"/>
      <c r="J1" s="1" t="n"/>
      <c r="K1" s="1" t="n"/>
      <c r="L1" s="1" t="n"/>
      <c r="M1" s="1" t="n"/>
      <c r="N1" s="1" t="n"/>
      <c r="O1" s="1" t="n"/>
      <c r="P1" s="1" t="n"/>
      <c r="Q1" s="1" t="n"/>
      <c r="R1" s="1" t="n"/>
      <c r="S1" s="1" t="n"/>
      <c r="T1" s="1" t="n"/>
      <c r="U1" s="1" t="n"/>
      <c r="V1" s="1" t="n"/>
      <c r="W1" s="1" t="n"/>
      <c r="X1" s="367" t="n"/>
      <c r="Y1" s="367" t="n"/>
    </row>
    <row r="2" ht="22" customHeight="1" s="270">
      <c r="A2" s="247" t="inlineStr">
        <is>
          <t>Paste StepCat rows into input columns A through M starting in A5. Subscription/membership rows may be kept as reference-only rows: mark them in Notes, use N/A only in game-specific fields, enter Payment Type as Cash or Points if known, and do not paste over N through Y.</t>
        </is>
      </c>
      <c r="B2" s="1" t="n"/>
      <c r="C2" s="1" t="n"/>
      <c r="D2" s="1" t="n"/>
      <c r="E2" s="1" t="n"/>
      <c r="F2" s="1" t="n"/>
      <c r="G2" s="1" t="n"/>
      <c r="H2" s="1" t="n"/>
      <c r="I2" s="1" t="n"/>
      <c r="J2" s="1" t="n"/>
      <c r="K2" s="1" t="n"/>
      <c r="L2" s="1" t="n"/>
      <c r="M2" s="1" t="n"/>
      <c r="N2" s="1" t="n"/>
      <c r="O2" s="1" t="n"/>
      <c r="P2" s="1" t="n"/>
      <c r="Q2" s="1" t="n"/>
      <c r="R2" s="1" t="n"/>
      <c r="S2" s="1" t="n"/>
      <c r="T2" s="1" t="n"/>
      <c r="U2" s="1" t="n"/>
      <c r="V2" s="1" t="n"/>
      <c r="W2" s="1" t="n"/>
      <c r="X2" s="374" t="n"/>
      <c r="Y2" s="374" t="n"/>
    </row>
    <row r="3" ht="22" customHeight="1" s="270">
      <c r="A3" s="248" t="inlineStr">
        <is>
          <t>PASTE / EDIT INPUTS</t>
        </is>
      </c>
      <c r="B3" s="1" t="n"/>
      <c r="C3" s="1" t="n"/>
      <c r="D3" s="1" t="n"/>
      <c r="E3" s="1" t="n"/>
      <c r="F3" s="1" t="n"/>
      <c r="G3" s="1" t="n"/>
      <c r="H3" s="1" t="n"/>
      <c r="I3" s="1" t="n"/>
      <c r="J3" s="1" t="n"/>
      <c r="K3" s="1" t="n"/>
      <c r="L3" s="1" t="n"/>
      <c r="M3" s="1" t="n"/>
      <c r="N3" s="249" t="inlineStr">
        <is>
          <t>SPREADSHEET FORMULAS</t>
        </is>
      </c>
      <c r="O3" s="1" t="n"/>
      <c r="P3" s="1" t="n"/>
      <c r="Q3" s="1" t="n"/>
      <c r="R3" s="1" t="n"/>
      <c r="S3" s="1" t="n"/>
      <c r="T3" s="1" t="n"/>
      <c r="U3" s="1" t="n"/>
      <c r="V3" s="1" t="n"/>
      <c r="W3" s="1" t="n"/>
      <c r="X3" s="1" t="n"/>
      <c r="Y3" s="1" t="n"/>
    </row>
    <row r="4" ht="40" customHeight="1" s="270">
      <c r="A4" s="401" t="inlineStr">
        <is>
          <t>Game Name</t>
        </is>
      </c>
      <c r="B4" s="401" t="inlineStr">
        <is>
          <t>Start Date</t>
        </is>
      </c>
      <c r="C4" s="401" t="inlineStr">
        <is>
          <t>End Date</t>
        </is>
      </c>
      <c r="D4" s="401" t="inlineStr">
        <is>
          <t>Entry Mode</t>
        </is>
      </c>
      <c r="E4" s="401" t="inlineStr">
        <is>
          <t>Game Type</t>
        </is>
      </c>
      <c r="F4" s="401" t="inlineStr">
        <is>
          <t>Payment Type</t>
        </is>
      </c>
      <c r="G4" s="402" t="inlineStr">
        <is>
          <t>Gross Pot</t>
        </is>
      </c>
      <c r="H4" s="402" t="inlineStr">
        <is>
          <t>Entry Fee</t>
        </is>
      </c>
      <c r="I4" s="402" t="inlineStr">
        <is>
          <t>Eligible Players</t>
        </is>
      </c>
      <c r="J4" s="402" t="inlineStr">
        <is>
          <t>Total Players</t>
        </is>
      </c>
      <c r="K4" s="403" t="inlineStr">
        <is>
          <t>Final Earned</t>
        </is>
      </c>
      <c r="L4" s="403" t="inlineStr">
        <is>
          <t>Disqualified / Lost Entry Fee</t>
        </is>
      </c>
      <c r="M4" s="404" t="inlineStr">
        <is>
          <t>Notes</t>
        </is>
      </c>
      <c r="N4" s="218" t="inlineStr">
        <is>
          <t>Adjusted Pot</t>
        </is>
      </c>
      <c r="O4" s="218" t="inlineStr">
        <is>
          <t>Estimated Earned</t>
        </is>
      </c>
      <c r="P4" s="218" t="inlineStr">
        <is>
          <t>Earned Used</t>
        </is>
      </c>
      <c r="Q4" s="218" t="inlineStr">
        <is>
          <t>Profit</t>
        </is>
      </c>
      <c r="R4" s="218" t="inlineStr">
        <is>
          <t>Draw</t>
        </is>
      </c>
      <c r="S4" s="218" t="inlineStr">
        <is>
          <t>Lost</t>
        </is>
      </c>
      <c r="T4" s="218" t="inlineStr">
        <is>
          <t>ROI</t>
        </is>
      </c>
      <c r="U4" s="218" t="inlineStr">
        <is>
          <t>Result</t>
        </is>
      </c>
      <c r="V4" s="218" t="inlineStr">
        <is>
          <t>Challenge Length (Weeks)</t>
        </is>
      </c>
      <c r="W4" s="218" t="inlineStr">
        <is>
          <t>Net Profit</t>
        </is>
      </c>
      <c r="X4" s="421" t="inlineStr">
        <is>
          <t>Eliminated Players</t>
        </is>
      </c>
      <c r="Y4" s="421" t="inlineStr">
        <is>
          <t>Elimination Rate</t>
        </is>
      </c>
    </row>
    <row r="5" ht="21" customHeight="1" s="270">
      <c r="A5" s="297" t="n"/>
      <c r="B5" s="298" t="n"/>
      <c r="C5" s="298" t="n"/>
      <c r="D5" s="297" t="n"/>
      <c r="E5" s="349" t="n"/>
      <c r="F5" s="349" t="n"/>
      <c r="G5" s="349" t="n"/>
      <c r="H5" s="349" t="n"/>
      <c r="I5" s="382" t="n"/>
      <c r="J5" s="383" t="n"/>
      <c r="K5" s="351" t="n"/>
      <c r="L5" s="296" t="n"/>
      <c r="M5" s="349" t="n"/>
      <c r="N5" s="349">
        <f>IF($A5="","",IF(OR(LOWER($D5&amp;"")="n/a",ISNUMBER(SEARCH("subscription",LOWER($A5&amp;" "&amp;$M5&amp;""))),ISNUMBER(SEARCH("membership",LOWER($A5&amp;" "&amp;$M5&amp;"")))),"",IF($G5="","",IF(ISNUMBER(SEARCH("non",LOWER($E5&amp;""))),$G5*0.85,$G5))))</f>
        <v/>
      </c>
      <c r="O5" s="349">
        <f>IF($A5="","",IF(OR(LOWER($D5&amp;"")="n/a",ISNUMBER(SEARCH("subscription",LOWER($A5&amp;" "&amp;$M5&amp;""))),ISNUMBER(SEARCH("membership",LOWER($A5&amp;" "&amp;$M5&amp;"")))),"",IF(OR($N5="",$I5="",$I5=0),"",$N5/$I5)))</f>
        <v/>
      </c>
      <c r="P5" s="349">
        <f>IF($A5="","",IF(OR(LOWER($D5&amp;"")="n/a",ISNUMBER(SEARCH("subscription",LOWER($A5&amp;" "&amp;$M5&amp;""))),ISNUMBER(SEARCH("membership",LOWER($A5&amp;" "&amp;$M5&amp;"")))),"",IF(LOWER($L5&amp;"")="yes",0,IF($K5&lt;&gt;"",$K5,IF($O5&lt;&gt;"",$O5,"")))))</f>
        <v/>
      </c>
      <c r="Q5" s="351">
        <f>IF($A5="","",IF($U5="Subscription","",IF($U5="Profit",$P5-$H5,0)))</f>
        <v/>
      </c>
      <c r="R5" s="349">
        <f>IF($A5="","",IF($U5="Subscription","",IF($U5="Draw",$H5,0)))</f>
        <v/>
      </c>
      <c r="S5" s="349">
        <f>IF($A5="","",IF($U5="Subscription","",IF($U5="Disqualified",$H5,0)))</f>
        <v/>
      </c>
      <c r="T5" s="380">
        <f>IF($A5="","",IF($U5="Subscription","",IF($H5=0,IF($U5="Profit","N/A",0),IF($U5="Profit",$Q5/$H5,IF($U5="Disqualified",-1,0)))))</f>
        <v/>
      </c>
      <c r="U5" s="351">
        <f>IF($A5="","",IF(OR(LOWER($D5&amp;"")="n/a",ISNUMBER(SEARCH("subscription",LOWER($A5&amp;" "&amp;$M5&amp;""))),ISNUMBER(SEARCH("membership",LOWER($A5&amp;" "&amp;$M5&amp;"")))),"Subscription",IF(LOWER($L5&amp;"")="yes","Disqualified",IF($P5&gt;$H5,"Profit","Draw"))))</f>
        <v/>
      </c>
      <c r="V5" s="383">
        <f>IF(OR($A5="",$B5="",$C5="",$U5="Subscription"),"",IFERROR(ROUNDUP((IF(ISNUMBER($C5),$C5,DATEVALUE($C5))-IF(ISNUMBER($B5),$B5,DATEVALUE($B5)))/7,0),""))</f>
        <v/>
      </c>
      <c r="W5" s="351">
        <f>IF($U5="Subscription","",$Q5-$S5)</f>
        <v/>
      </c>
      <c r="X5" s="384">
        <f>IF(OR($A5="",$U5="Subscription",$J5="",$I5="",$J5=0,$I5=0,$I5&gt;$J5),"",$J5-$I5)</f>
        <v/>
      </c>
      <c r="Y5" s="381">
        <f>IF(OR($A5="",$U5="Subscription",$J5="",$J5=0,$X5=""),"",$X5/$J5)</f>
        <v/>
      </c>
    </row>
    <row r="6" ht="21" customHeight="1" s="270">
      <c r="A6" s="297" t="n"/>
      <c r="B6" s="298" t="n"/>
      <c r="C6" s="298" t="n"/>
      <c r="D6" s="297" t="n"/>
      <c r="E6" s="349" t="n"/>
      <c r="F6" s="349" t="n"/>
      <c r="G6" s="349" t="n"/>
      <c r="H6" s="349" t="n"/>
      <c r="I6" s="382" t="n"/>
      <c r="J6" s="383" t="n"/>
      <c r="K6" s="351" t="n"/>
      <c r="L6" s="296" t="n"/>
      <c r="M6" s="349" t="n"/>
      <c r="N6" s="349">
        <f>IF($A6="","",IF(OR(LOWER($D6&amp;"")="n/a",ISNUMBER(SEARCH("subscription",LOWER($A6&amp;" "&amp;$M6&amp;""))),ISNUMBER(SEARCH("membership",LOWER($A6&amp;" "&amp;$M6&amp;"")))),"",IF($G6="","",IF(ISNUMBER(SEARCH("non",LOWER($E6&amp;""))),$G6*0.85,$G6))))</f>
        <v/>
      </c>
      <c r="O6" s="349">
        <f>IF($A6="","",IF(OR(LOWER($D6&amp;"")="n/a",ISNUMBER(SEARCH("subscription",LOWER($A6&amp;" "&amp;$M6&amp;""))),ISNUMBER(SEARCH("membership",LOWER($A6&amp;" "&amp;$M6&amp;"")))),"",IF(OR($N6="",$I6="",$I6=0),"",$N6/$I6)))</f>
        <v/>
      </c>
      <c r="P6" s="349">
        <f>IF($A6="","",IF(OR(LOWER($D6&amp;"")="n/a",ISNUMBER(SEARCH("subscription",LOWER($A6&amp;" "&amp;$M6&amp;""))),ISNUMBER(SEARCH("membership",LOWER($A6&amp;" "&amp;$M6&amp;"")))),"",IF(LOWER($L6&amp;"")="yes",0,IF($K6&lt;&gt;"",$K6,IF($O6&lt;&gt;"",$O6,"")))))</f>
        <v/>
      </c>
      <c r="Q6" s="351">
        <f>IF($A6="","",IF($U6="Subscription","",IF($U6="Profit",$P6-$H6,0)))</f>
        <v/>
      </c>
      <c r="R6" s="349">
        <f>IF($A6="","",IF($U6="Subscription","",IF($U6="Draw",$H6,0)))</f>
        <v/>
      </c>
      <c r="S6" s="349">
        <f>IF($A6="","",IF($U6="Subscription","",IF($U6="Disqualified",$H6,0)))</f>
        <v/>
      </c>
      <c r="T6" s="380">
        <f>IF($A6="","",IF($U6="Subscription","",IF($H6=0,IF($U6="Profit","N/A",0),IF($U6="Profit",$Q6/$H6,IF($U6="Disqualified",-1,0)))))</f>
        <v/>
      </c>
      <c r="U6" s="351">
        <f>IF($A6="","",IF(OR(LOWER($D6&amp;"")="n/a",ISNUMBER(SEARCH("subscription",LOWER($A6&amp;" "&amp;$M6&amp;""))),ISNUMBER(SEARCH("membership",LOWER($A6&amp;" "&amp;$M6&amp;"")))),"Subscription",IF(LOWER($L6&amp;"")="yes","Disqualified",IF($P6&gt;$H6,"Profit","Draw"))))</f>
        <v/>
      </c>
      <c r="V6" s="383">
        <f>IF(OR($A6="",$B6="",$C6="",$U6="Subscription"),"",IFERROR(ROUNDUP((IF(ISNUMBER($C6),$C6,DATEVALUE($C6))-IF(ISNUMBER($B6),$B6,DATEVALUE($B6)))/7,0),""))</f>
        <v/>
      </c>
      <c r="W6" s="351">
        <f>IF($U6="Subscription","",$Q6-$S6)</f>
        <v/>
      </c>
      <c r="X6" s="384">
        <f>IF(OR($A6="",$U6="Subscription",$J6="",$I6="",$J6=0,$I6=0,$I6&gt;$J6),"",$J6-$I6)</f>
        <v/>
      </c>
      <c r="Y6" s="381">
        <f>IF(OR($A6="",$U6="Subscription",$J6="",$J6=0,$X6=""),"",$X6/$J6)</f>
        <v/>
      </c>
    </row>
    <row r="7" ht="21" customHeight="1" s="270">
      <c r="A7" s="297" t="n"/>
      <c r="B7" s="298" t="n"/>
      <c r="C7" s="298" t="n"/>
      <c r="D7" s="297" t="n"/>
      <c r="E7" s="349" t="n"/>
      <c r="F7" s="349" t="n"/>
      <c r="G7" s="349" t="n"/>
      <c r="H7" s="349" t="n"/>
      <c r="I7" s="382" t="n"/>
      <c r="J7" s="383" t="n"/>
      <c r="K7" s="351" t="n"/>
      <c r="L7" s="296" t="n"/>
      <c r="M7" s="349" t="n"/>
      <c r="N7" s="349">
        <f>IF($A7="","",IF(OR(LOWER($D7&amp;"")="n/a",ISNUMBER(SEARCH("subscription",LOWER($A7&amp;" "&amp;$M7&amp;""))),ISNUMBER(SEARCH("membership",LOWER($A7&amp;" "&amp;$M7&amp;"")))),"",IF($G7="","",IF(ISNUMBER(SEARCH("non",LOWER($E7&amp;""))),$G7*0.85,$G7))))</f>
        <v/>
      </c>
      <c r="O7" s="349">
        <f>IF($A7="","",IF(OR(LOWER($D7&amp;"")="n/a",ISNUMBER(SEARCH("subscription",LOWER($A7&amp;" "&amp;$M7&amp;""))),ISNUMBER(SEARCH("membership",LOWER($A7&amp;" "&amp;$M7&amp;"")))),"",IF(OR($N7="",$I7="",$I7=0),"",$N7/$I7)))</f>
        <v/>
      </c>
      <c r="P7" s="349">
        <f>IF($A7="","",IF(OR(LOWER($D7&amp;"")="n/a",ISNUMBER(SEARCH("subscription",LOWER($A7&amp;" "&amp;$M7&amp;""))),ISNUMBER(SEARCH("membership",LOWER($A7&amp;" "&amp;$M7&amp;"")))),"",IF(LOWER($L7&amp;"")="yes",0,IF($K7&lt;&gt;"",$K7,IF($O7&lt;&gt;"",$O7,"")))))</f>
        <v/>
      </c>
      <c r="Q7" s="351">
        <f>IF($A7="","",IF($U7="Subscription","",IF($U7="Profit",$P7-$H7,0)))</f>
        <v/>
      </c>
      <c r="R7" s="349">
        <f>IF($A7="","",IF($U7="Subscription","",IF($U7="Draw",$H7,0)))</f>
        <v/>
      </c>
      <c r="S7" s="349">
        <f>IF($A7="","",IF($U7="Subscription","",IF($U7="Disqualified",$H7,0)))</f>
        <v/>
      </c>
      <c r="T7" s="380">
        <f>IF($A7="","",IF($U7="Subscription","",IF($H7=0,IF($U7="Profit","N/A",0),IF($U7="Profit",$Q7/$H7,IF($U7="Disqualified",-1,0)))))</f>
        <v/>
      </c>
      <c r="U7" s="351">
        <f>IF($A7="","",IF(OR(LOWER($D7&amp;"")="n/a",ISNUMBER(SEARCH("subscription",LOWER($A7&amp;" "&amp;$M7&amp;""))),ISNUMBER(SEARCH("membership",LOWER($A7&amp;" "&amp;$M7&amp;"")))),"Subscription",IF(LOWER($L7&amp;"")="yes","Disqualified",IF($P7&gt;$H7,"Profit","Draw"))))</f>
        <v/>
      </c>
      <c r="V7" s="383">
        <f>IF(OR($A7="",$B7="",$C7="",$U7="Subscription"),"",IFERROR(ROUNDUP((IF(ISNUMBER($C7),$C7,DATEVALUE($C7))-IF(ISNUMBER($B7),$B7,DATEVALUE($B7)))/7,0),""))</f>
        <v/>
      </c>
      <c r="W7" s="351">
        <f>IF($U7="Subscription","",$Q7-$S7)</f>
        <v/>
      </c>
      <c r="X7" s="384">
        <f>IF(OR($A7="",$U7="Subscription",$J7="",$I7="",$J7=0,$I7=0,$I7&gt;$J7),"",$J7-$I7)</f>
        <v/>
      </c>
      <c r="Y7" s="381">
        <f>IF(OR($A7="",$U7="Subscription",$J7="",$J7=0,$X7=""),"",$X7/$J7)</f>
        <v/>
      </c>
    </row>
    <row r="8" ht="21" customHeight="1" s="270">
      <c r="A8" s="297" t="n"/>
      <c r="B8" s="298" t="n"/>
      <c r="C8" s="298" t="n"/>
      <c r="D8" s="297" t="n"/>
      <c r="E8" s="349" t="n"/>
      <c r="F8" s="349" t="n"/>
      <c r="G8" s="349" t="n"/>
      <c r="H8" s="349" t="n"/>
      <c r="I8" s="382" t="n"/>
      <c r="J8" s="383" t="n"/>
      <c r="K8" s="351" t="n"/>
      <c r="L8" s="296" t="n"/>
      <c r="M8" s="349" t="n"/>
      <c r="N8" s="349">
        <f>IF($A8="","",IF(OR(LOWER($D8&amp;"")="n/a",ISNUMBER(SEARCH("subscription",LOWER($A8&amp;" "&amp;$M8&amp;""))),ISNUMBER(SEARCH("membership",LOWER($A8&amp;" "&amp;$M8&amp;"")))),"",IF($G8="","",IF(ISNUMBER(SEARCH("non",LOWER($E8&amp;""))),$G8*0.85,$G8))))</f>
        <v/>
      </c>
      <c r="O8" s="349">
        <f>IF($A8="","",IF(OR(LOWER($D8&amp;"")="n/a",ISNUMBER(SEARCH("subscription",LOWER($A8&amp;" "&amp;$M8&amp;""))),ISNUMBER(SEARCH("membership",LOWER($A8&amp;" "&amp;$M8&amp;"")))),"",IF(OR($N8="",$I8="",$I8=0),"",$N8/$I8)))</f>
        <v/>
      </c>
      <c r="P8" s="349">
        <f>IF($A8="","",IF(OR(LOWER($D8&amp;"")="n/a",ISNUMBER(SEARCH("subscription",LOWER($A8&amp;" "&amp;$M8&amp;""))),ISNUMBER(SEARCH("membership",LOWER($A8&amp;" "&amp;$M8&amp;"")))),"",IF(LOWER($L8&amp;"")="yes",0,IF($K8&lt;&gt;"",$K8,IF($O8&lt;&gt;"",$O8,"")))))</f>
        <v/>
      </c>
      <c r="Q8" s="351">
        <f>IF($A8="","",IF($U8="Subscription","",IF($U8="Profit",$P8-$H8,0)))</f>
        <v/>
      </c>
      <c r="R8" s="349">
        <f>IF($A8="","",IF($U8="Subscription","",IF($U8="Draw",$H8,0)))</f>
        <v/>
      </c>
      <c r="S8" s="349">
        <f>IF($A8="","",IF($U8="Subscription","",IF($U8="Disqualified",$H8,0)))</f>
        <v/>
      </c>
      <c r="T8" s="380">
        <f>IF($A8="","",IF($U8="Subscription","",IF($H8=0,IF($U8="Profit","N/A",0),IF($U8="Profit",$Q8/$H8,IF($U8="Disqualified",-1,0)))))</f>
        <v/>
      </c>
      <c r="U8" s="351">
        <f>IF($A8="","",IF(OR(LOWER($D8&amp;"")="n/a",ISNUMBER(SEARCH("subscription",LOWER($A8&amp;" "&amp;$M8&amp;""))),ISNUMBER(SEARCH("membership",LOWER($A8&amp;" "&amp;$M8&amp;"")))),"Subscription",IF(LOWER($L8&amp;"")="yes","Disqualified",IF($P8&gt;$H8,"Profit","Draw"))))</f>
        <v/>
      </c>
      <c r="V8" s="383">
        <f>IF(OR($A8="",$B8="",$C8="",$U8="Subscription"),"",IFERROR(ROUNDUP((IF(ISNUMBER($C8),$C8,DATEVALUE($C8))-IF(ISNUMBER($B8),$B8,DATEVALUE($B8)))/7,0),""))</f>
        <v/>
      </c>
      <c r="W8" s="351">
        <f>IF($U8="Subscription","",$Q8-$S8)</f>
        <v/>
      </c>
      <c r="X8" s="384">
        <f>IF(OR($A8="",$U8="Subscription",$J8="",$I8="",$J8=0,$I8=0,$I8&gt;$J8),"",$J8-$I8)</f>
        <v/>
      </c>
      <c r="Y8" s="381">
        <f>IF(OR($A8="",$U8="Subscription",$J8="",$J8=0,$X8=""),"",$X8/$J8)</f>
        <v/>
      </c>
    </row>
    <row r="9" ht="21" customHeight="1" s="270">
      <c r="A9" s="297" t="n"/>
      <c r="B9" s="298" t="n"/>
      <c r="C9" s="298" t="n"/>
      <c r="D9" s="297" t="n"/>
      <c r="E9" s="349" t="n"/>
      <c r="F9" s="349" t="n"/>
      <c r="G9" s="349" t="n"/>
      <c r="H9" s="349" t="n"/>
      <c r="I9" s="382" t="n"/>
      <c r="J9" s="383" t="n"/>
      <c r="K9" s="351" t="n"/>
      <c r="L9" s="296" t="n"/>
      <c r="M9" s="349" t="n"/>
      <c r="N9" s="349">
        <f>IF($A9="","",IF(OR(LOWER($D9&amp;"")="n/a",ISNUMBER(SEARCH("subscription",LOWER($A9&amp;" "&amp;$M9&amp;""))),ISNUMBER(SEARCH("membership",LOWER($A9&amp;" "&amp;$M9&amp;"")))),"",IF($G9="","",IF(ISNUMBER(SEARCH("non",LOWER($E9&amp;""))),$G9*0.85,$G9))))</f>
        <v/>
      </c>
      <c r="O9" s="349">
        <f>IF($A9="","",IF(OR(LOWER($D9&amp;"")="n/a",ISNUMBER(SEARCH("subscription",LOWER($A9&amp;" "&amp;$M9&amp;""))),ISNUMBER(SEARCH("membership",LOWER($A9&amp;" "&amp;$M9&amp;"")))),"",IF(OR($N9="",$I9="",$I9=0),"",$N9/$I9)))</f>
        <v/>
      </c>
      <c r="P9" s="349">
        <f>IF($A9="","",IF(OR(LOWER($D9&amp;"")="n/a",ISNUMBER(SEARCH("subscription",LOWER($A9&amp;" "&amp;$M9&amp;""))),ISNUMBER(SEARCH("membership",LOWER($A9&amp;" "&amp;$M9&amp;"")))),"",IF(LOWER($L9&amp;"")="yes",0,IF($K9&lt;&gt;"",$K9,IF($O9&lt;&gt;"",$O9,"")))))</f>
        <v/>
      </c>
      <c r="Q9" s="351">
        <f>IF($A9="","",IF($U9="Subscription","",IF($U9="Profit",$P9-$H9,0)))</f>
        <v/>
      </c>
      <c r="R9" s="349">
        <f>IF($A9="","",IF($U9="Subscription","",IF($U9="Draw",$H9,0)))</f>
        <v/>
      </c>
      <c r="S9" s="349">
        <f>IF($A9="","",IF($U9="Subscription","",IF($U9="Disqualified",$H9,0)))</f>
        <v/>
      </c>
      <c r="T9" s="380">
        <f>IF($A9="","",IF($U9="Subscription","",IF($H9=0,IF($U9="Profit","N/A",0),IF($U9="Profit",$Q9/$H9,IF($U9="Disqualified",-1,0)))))</f>
        <v/>
      </c>
      <c r="U9" s="351">
        <f>IF($A9="","",IF(OR(LOWER($D9&amp;"")="n/a",ISNUMBER(SEARCH("subscription",LOWER($A9&amp;" "&amp;$M9&amp;""))),ISNUMBER(SEARCH("membership",LOWER($A9&amp;" "&amp;$M9&amp;"")))),"Subscription",IF(LOWER($L9&amp;"")="yes","Disqualified",IF($P9&gt;$H9,"Profit","Draw"))))</f>
        <v/>
      </c>
      <c r="V9" s="383">
        <f>IF(OR($A9="",$B9="",$C9="",$U9="Subscription"),"",IFERROR(ROUNDUP((IF(ISNUMBER($C9),$C9,DATEVALUE($C9))-IF(ISNUMBER($B9),$B9,DATEVALUE($B9)))/7,0),""))</f>
        <v/>
      </c>
      <c r="W9" s="351">
        <f>IF($U9="Subscription","",$Q9-$S9)</f>
        <v/>
      </c>
      <c r="X9" s="384">
        <f>IF(OR($A9="",$U9="Subscription",$J9="",$I9="",$J9=0,$I9=0,$I9&gt;$J9),"",$J9-$I9)</f>
        <v/>
      </c>
      <c r="Y9" s="381">
        <f>IF(OR($A9="",$U9="Subscription",$J9="",$J9=0,$X9=""),"",$X9/$J9)</f>
        <v/>
      </c>
    </row>
    <row r="10" ht="21" customHeight="1" s="270">
      <c r="A10" s="297" t="n"/>
      <c r="B10" s="298" t="n"/>
      <c r="C10" s="298" t="n"/>
      <c r="D10" s="297" t="n"/>
      <c r="E10" s="349" t="n"/>
      <c r="F10" s="349" t="n"/>
      <c r="G10" s="349" t="n"/>
      <c r="H10" s="349" t="n"/>
      <c r="I10" s="382" t="n"/>
      <c r="J10" s="383" t="n"/>
      <c r="K10" s="351" t="n"/>
      <c r="L10" s="296" t="n"/>
      <c r="M10" s="349" t="n"/>
      <c r="N10" s="349">
        <f>IF($A10="","",IF(OR(LOWER($D10&amp;"")="n/a",ISNUMBER(SEARCH("subscription",LOWER($A10&amp;" "&amp;$M10&amp;""))),ISNUMBER(SEARCH("membership",LOWER($A10&amp;" "&amp;$M10&amp;"")))),"",IF($G10="","",IF(ISNUMBER(SEARCH("non",LOWER($E10&amp;""))),$G10*0.85,$G10))))</f>
        <v/>
      </c>
      <c r="O10" s="349">
        <f>IF($A10="","",IF(OR(LOWER($D10&amp;"")="n/a",ISNUMBER(SEARCH("subscription",LOWER($A10&amp;" "&amp;$M10&amp;""))),ISNUMBER(SEARCH("membership",LOWER($A10&amp;" "&amp;$M10&amp;"")))),"",IF(OR($N10="",$I10="",$I10=0),"",$N10/$I10)))</f>
        <v/>
      </c>
      <c r="P10" s="349">
        <f>IF($A10="","",IF(OR(LOWER($D10&amp;"")="n/a",ISNUMBER(SEARCH("subscription",LOWER($A10&amp;" "&amp;$M10&amp;""))),ISNUMBER(SEARCH("membership",LOWER($A10&amp;" "&amp;$M10&amp;"")))),"",IF(LOWER($L10&amp;"")="yes",0,IF($K10&lt;&gt;"",$K10,IF($O10&lt;&gt;"",$O10,"")))))</f>
        <v/>
      </c>
      <c r="Q10" s="351">
        <f>IF($A10="","",IF($U10="Subscription","",IF($U10="Profit",$P10-$H10,0)))</f>
        <v/>
      </c>
      <c r="R10" s="349">
        <f>IF($A10="","",IF($U10="Subscription","",IF($U10="Draw",$H10,0)))</f>
        <v/>
      </c>
      <c r="S10" s="349">
        <f>IF($A10="","",IF($U10="Subscription","",IF($U10="Disqualified",$H10,0)))</f>
        <v/>
      </c>
      <c r="T10" s="380">
        <f>IF($A10="","",IF($U10="Subscription","",IF($H10=0,IF($U10="Profit","N/A",0),IF($U10="Profit",$Q10/$H10,IF($U10="Disqualified",-1,0)))))</f>
        <v/>
      </c>
      <c r="U10" s="351">
        <f>IF($A10="","",IF(OR(LOWER($D10&amp;"")="n/a",ISNUMBER(SEARCH("subscription",LOWER($A10&amp;" "&amp;$M10&amp;""))),ISNUMBER(SEARCH("membership",LOWER($A10&amp;" "&amp;$M10&amp;"")))),"Subscription",IF(LOWER($L10&amp;"")="yes","Disqualified",IF($P10&gt;$H10,"Profit","Draw"))))</f>
        <v/>
      </c>
      <c r="V10" s="383">
        <f>IF(OR($A10="",$B10="",$C10="",$U10="Subscription"),"",IFERROR(ROUNDUP((IF(ISNUMBER($C10),$C10,DATEVALUE($C10))-IF(ISNUMBER($B10),$B10,DATEVALUE($B10)))/7,0),""))</f>
        <v/>
      </c>
      <c r="W10" s="351">
        <f>IF($U10="Subscription","",$Q10-$S10)</f>
        <v/>
      </c>
      <c r="X10" s="384">
        <f>IF(OR($A10="",$U10="Subscription",$J10="",$I10="",$J10=0,$I10=0,$I10&gt;$J10),"",$J10-$I10)</f>
        <v/>
      </c>
      <c r="Y10" s="381">
        <f>IF(OR($A10="",$U10="Subscription",$J10="",$J10=0,$X10=""),"",$X10/$J10)</f>
        <v/>
      </c>
    </row>
    <row r="11" ht="21" customHeight="1" s="270">
      <c r="A11" s="297" t="n"/>
      <c r="B11" s="298" t="n"/>
      <c r="C11" s="298" t="n"/>
      <c r="D11" s="297" t="n"/>
      <c r="E11" s="349" t="n"/>
      <c r="F11" s="349" t="n"/>
      <c r="G11" s="349" t="n"/>
      <c r="H11" s="349" t="n"/>
      <c r="I11" s="382" t="n"/>
      <c r="J11" s="383" t="n"/>
      <c r="K11" s="351" t="n"/>
      <c r="L11" s="296" t="n"/>
      <c r="M11" s="349" t="n"/>
      <c r="N11" s="349">
        <f>IF($A11="","",IF(OR(LOWER($D11&amp;"")="n/a",ISNUMBER(SEARCH("subscription",LOWER($A11&amp;" "&amp;$M11&amp;""))),ISNUMBER(SEARCH("membership",LOWER($A11&amp;" "&amp;$M11&amp;"")))),"",IF($G11="","",IF(ISNUMBER(SEARCH("non",LOWER($E11&amp;""))),$G11*0.85,$G11))))</f>
        <v/>
      </c>
      <c r="O11" s="349">
        <f>IF($A11="","",IF(OR(LOWER($D11&amp;"")="n/a",ISNUMBER(SEARCH("subscription",LOWER($A11&amp;" "&amp;$M11&amp;""))),ISNUMBER(SEARCH("membership",LOWER($A11&amp;" "&amp;$M11&amp;"")))),"",IF(OR($N11="",$I11="",$I11=0),"",$N11/$I11)))</f>
        <v/>
      </c>
      <c r="P11" s="349">
        <f>IF($A11="","",IF(OR(LOWER($D11&amp;"")="n/a",ISNUMBER(SEARCH("subscription",LOWER($A11&amp;" "&amp;$M11&amp;""))),ISNUMBER(SEARCH("membership",LOWER($A11&amp;" "&amp;$M11&amp;"")))),"",IF(LOWER($L11&amp;"")="yes",0,IF($K11&lt;&gt;"",$K11,IF($O11&lt;&gt;"",$O11,"")))))</f>
        <v/>
      </c>
      <c r="Q11" s="351">
        <f>IF($A11="","",IF($U11="Subscription","",IF($U11="Profit",$P11-$H11,0)))</f>
        <v/>
      </c>
      <c r="R11" s="349">
        <f>IF($A11="","",IF($U11="Subscription","",IF($U11="Draw",$H11,0)))</f>
        <v/>
      </c>
      <c r="S11" s="349">
        <f>IF($A11="","",IF($U11="Subscription","",IF($U11="Disqualified",$H11,0)))</f>
        <v/>
      </c>
      <c r="T11" s="380">
        <f>IF($A11="","",IF($U11="Subscription","",IF($H11=0,IF($U11="Profit","N/A",0),IF($U11="Profit",$Q11/$H11,IF($U11="Disqualified",-1,0)))))</f>
        <v/>
      </c>
      <c r="U11" s="351">
        <f>IF($A11="","",IF(OR(LOWER($D11&amp;"")="n/a",ISNUMBER(SEARCH("subscription",LOWER($A11&amp;" "&amp;$M11&amp;""))),ISNUMBER(SEARCH("membership",LOWER($A11&amp;" "&amp;$M11&amp;"")))),"Subscription",IF(LOWER($L11&amp;"")="yes","Disqualified",IF($P11&gt;$H11,"Profit","Draw"))))</f>
        <v/>
      </c>
      <c r="V11" s="383">
        <f>IF(OR($A11="",$B11="",$C11="",$U11="Subscription"),"",IFERROR(ROUNDUP((IF(ISNUMBER($C11),$C11,DATEVALUE($C11))-IF(ISNUMBER($B11),$B11,DATEVALUE($B11)))/7,0),""))</f>
        <v/>
      </c>
      <c r="W11" s="351">
        <f>IF($U11="Subscription","",$Q11-$S11)</f>
        <v/>
      </c>
      <c r="X11" s="384">
        <f>IF(OR($A11="",$U11="Subscription",$J11="",$I11="",$J11=0,$I11=0,$I11&gt;$J11),"",$J11-$I11)</f>
        <v/>
      </c>
      <c r="Y11" s="381">
        <f>IF(OR($A11="",$U11="Subscription",$J11="",$J11=0,$X11=""),"",$X11/$J11)</f>
        <v/>
      </c>
    </row>
    <row r="12" ht="21" customHeight="1" s="270">
      <c r="A12" s="297" t="n"/>
      <c r="B12" s="298" t="n"/>
      <c r="C12" s="298" t="n"/>
      <c r="D12" s="297" t="n"/>
      <c r="E12" s="349" t="n"/>
      <c r="F12" s="349" t="n"/>
      <c r="G12" s="349" t="n"/>
      <c r="H12" s="349" t="n"/>
      <c r="I12" s="382" t="n"/>
      <c r="J12" s="383" t="n"/>
      <c r="K12" s="351" t="n"/>
      <c r="L12" s="296" t="n"/>
      <c r="M12" s="349" t="n"/>
      <c r="N12" s="349">
        <f>IF($A12="","",IF(OR(LOWER($D12&amp;"")="n/a",ISNUMBER(SEARCH("subscription",LOWER($A12&amp;" "&amp;$M12&amp;""))),ISNUMBER(SEARCH("membership",LOWER($A12&amp;" "&amp;$M12&amp;"")))),"",IF($G12="","",IF(ISNUMBER(SEARCH("non",LOWER($E12&amp;""))),$G12*0.85,$G12))))</f>
        <v/>
      </c>
      <c r="O12" s="349">
        <f>IF($A12="","",IF(OR(LOWER($D12&amp;"")="n/a",ISNUMBER(SEARCH("subscription",LOWER($A12&amp;" "&amp;$M12&amp;""))),ISNUMBER(SEARCH("membership",LOWER($A12&amp;" "&amp;$M12&amp;"")))),"",IF(OR($N12="",$I12="",$I12=0),"",$N12/$I12)))</f>
        <v/>
      </c>
      <c r="P12" s="349">
        <f>IF($A12="","",IF(OR(LOWER($D12&amp;"")="n/a",ISNUMBER(SEARCH("subscription",LOWER($A12&amp;" "&amp;$M12&amp;""))),ISNUMBER(SEARCH("membership",LOWER($A12&amp;" "&amp;$M12&amp;"")))),"",IF(LOWER($L12&amp;"")="yes",0,IF($K12&lt;&gt;"",$K12,IF($O12&lt;&gt;"",$O12,"")))))</f>
        <v/>
      </c>
      <c r="Q12" s="351">
        <f>IF($A12="","",IF($U12="Subscription","",IF($U12="Profit",$P12-$H12,0)))</f>
        <v/>
      </c>
      <c r="R12" s="349">
        <f>IF($A12="","",IF($U12="Subscription","",IF($U12="Draw",$H12,0)))</f>
        <v/>
      </c>
      <c r="S12" s="349">
        <f>IF($A12="","",IF($U12="Subscription","",IF($U12="Disqualified",$H12,0)))</f>
        <v/>
      </c>
      <c r="T12" s="380">
        <f>IF($A12="","",IF($U12="Subscription","",IF($H12=0,IF($U12="Profit","N/A",0),IF($U12="Profit",$Q12/$H12,IF($U12="Disqualified",-1,0)))))</f>
        <v/>
      </c>
      <c r="U12" s="351">
        <f>IF($A12="","",IF(OR(LOWER($D12&amp;"")="n/a",ISNUMBER(SEARCH("subscription",LOWER($A12&amp;" "&amp;$M12&amp;""))),ISNUMBER(SEARCH("membership",LOWER($A12&amp;" "&amp;$M12&amp;"")))),"Subscription",IF(LOWER($L12&amp;"")="yes","Disqualified",IF($P12&gt;$H12,"Profit","Draw"))))</f>
        <v/>
      </c>
      <c r="V12" s="383">
        <f>IF(OR($A12="",$B12="",$C12="",$U12="Subscription"),"",IFERROR(ROUNDUP((IF(ISNUMBER($C12),$C12,DATEVALUE($C12))-IF(ISNUMBER($B12),$B12,DATEVALUE($B12)))/7,0),""))</f>
        <v/>
      </c>
      <c r="W12" s="351">
        <f>IF($U12="Subscription","",$Q12-$S12)</f>
        <v/>
      </c>
      <c r="X12" s="384">
        <f>IF(OR($A12="",$U12="Subscription",$J12="",$I12="",$J12=0,$I12=0,$I12&gt;$J12),"",$J12-$I12)</f>
        <v/>
      </c>
      <c r="Y12" s="381">
        <f>IF(OR($A12="",$U12="Subscription",$J12="",$J12=0,$X12=""),"",$X12/$J12)</f>
        <v/>
      </c>
    </row>
    <row r="13" ht="21" customHeight="1" s="270">
      <c r="A13" s="297" t="n"/>
      <c r="B13" s="298" t="n"/>
      <c r="C13" s="298" t="n"/>
      <c r="D13" s="297" t="n"/>
      <c r="E13" s="349" t="n"/>
      <c r="F13" s="349" t="n"/>
      <c r="G13" s="349" t="n"/>
      <c r="H13" s="349" t="n"/>
      <c r="I13" s="382" t="n"/>
      <c r="J13" s="383" t="n"/>
      <c r="K13" s="351" t="n"/>
      <c r="L13" s="296" t="n"/>
      <c r="M13" s="349" t="n"/>
      <c r="N13" s="349">
        <f>IF($A13="","",IF(OR(LOWER($D13&amp;"")="n/a",ISNUMBER(SEARCH("subscription",LOWER($A13&amp;" "&amp;$M13&amp;""))),ISNUMBER(SEARCH("membership",LOWER($A13&amp;" "&amp;$M13&amp;"")))),"",IF($G13="","",IF(ISNUMBER(SEARCH("non",LOWER($E13&amp;""))),$G13*0.85,$G13))))</f>
        <v/>
      </c>
      <c r="O13" s="349">
        <f>IF($A13="","",IF(OR(LOWER($D13&amp;"")="n/a",ISNUMBER(SEARCH("subscription",LOWER($A13&amp;" "&amp;$M13&amp;""))),ISNUMBER(SEARCH("membership",LOWER($A13&amp;" "&amp;$M13&amp;"")))),"",IF(OR($N13="",$I13="",$I13=0),"",$N13/$I13)))</f>
        <v/>
      </c>
      <c r="P13" s="349">
        <f>IF($A13="","",IF(OR(LOWER($D13&amp;"")="n/a",ISNUMBER(SEARCH("subscription",LOWER($A13&amp;" "&amp;$M13&amp;""))),ISNUMBER(SEARCH("membership",LOWER($A13&amp;" "&amp;$M13&amp;"")))),"",IF(LOWER($L13&amp;"")="yes",0,IF($K13&lt;&gt;"",$K13,IF($O13&lt;&gt;"",$O13,"")))))</f>
        <v/>
      </c>
      <c r="Q13" s="351">
        <f>IF($A13="","",IF($U13="Subscription","",IF($U13="Profit",$P13-$H13,0)))</f>
        <v/>
      </c>
      <c r="R13" s="349">
        <f>IF($A13="","",IF($U13="Subscription","",IF($U13="Draw",$H13,0)))</f>
        <v/>
      </c>
      <c r="S13" s="349">
        <f>IF($A13="","",IF($U13="Subscription","",IF($U13="Disqualified",$H13,0)))</f>
        <v/>
      </c>
      <c r="T13" s="380">
        <f>IF($A13="","",IF($U13="Subscription","",IF($H13=0,IF($U13="Profit","N/A",0),IF($U13="Profit",$Q13/$H13,IF($U13="Disqualified",-1,0)))))</f>
        <v/>
      </c>
      <c r="U13" s="351">
        <f>IF($A13="","",IF(OR(LOWER($D13&amp;"")="n/a",ISNUMBER(SEARCH("subscription",LOWER($A13&amp;" "&amp;$M13&amp;""))),ISNUMBER(SEARCH("membership",LOWER($A13&amp;" "&amp;$M13&amp;"")))),"Subscription",IF(LOWER($L13&amp;"")="yes","Disqualified",IF($P13&gt;$H13,"Profit","Draw"))))</f>
        <v/>
      </c>
      <c r="V13" s="383">
        <f>IF(OR($A13="",$B13="",$C13="",$U13="Subscription"),"",IFERROR(ROUNDUP((IF(ISNUMBER($C13),$C13,DATEVALUE($C13))-IF(ISNUMBER($B13),$B13,DATEVALUE($B13)))/7,0),""))</f>
        <v/>
      </c>
      <c r="W13" s="351">
        <f>IF($U13="Subscription","",$Q13-$S13)</f>
        <v/>
      </c>
      <c r="X13" s="384">
        <f>IF(OR($A13="",$U13="Subscription",$J13="",$I13="",$J13=0,$I13=0,$I13&gt;$J13),"",$J13-$I13)</f>
        <v/>
      </c>
      <c r="Y13" s="381">
        <f>IF(OR($A13="",$U13="Subscription",$J13="",$J13=0,$X13=""),"",$X13/$J13)</f>
        <v/>
      </c>
    </row>
    <row r="14" ht="21" customHeight="1" s="270">
      <c r="A14" s="297" t="n"/>
      <c r="B14" s="298" t="n"/>
      <c r="C14" s="298" t="n"/>
      <c r="D14" s="297" t="n"/>
      <c r="E14" s="349" t="n"/>
      <c r="F14" s="349" t="n"/>
      <c r="G14" s="349" t="n"/>
      <c r="H14" s="349" t="n"/>
      <c r="I14" s="382" t="n"/>
      <c r="J14" s="383" t="n"/>
      <c r="K14" s="351" t="n"/>
      <c r="L14" s="296" t="n"/>
      <c r="M14" s="349" t="n"/>
      <c r="N14" s="349">
        <f>IF($A14="","",IF(OR(LOWER($D14&amp;"")="n/a",ISNUMBER(SEARCH("subscription",LOWER($A14&amp;" "&amp;$M14&amp;""))),ISNUMBER(SEARCH("membership",LOWER($A14&amp;" "&amp;$M14&amp;"")))),"",IF($G14="","",IF(ISNUMBER(SEARCH("non",LOWER($E14&amp;""))),$G14*0.85,$G14))))</f>
        <v/>
      </c>
      <c r="O14" s="349">
        <f>IF($A14="","",IF(OR(LOWER($D14&amp;"")="n/a",ISNUMBER(SEARCH("subscription",LOWER($A14&amp;" "&amp;$M14&amp;""))),ISNUMBER(SEARCH("membership",LOWER($A14&amp;" "&amp;$M14&amp;"")))),"",IF(OR($N14="",$I14="",$I14=0),"",$N14/$I14)))</f>
        <v/>
      </c>
      <c r="P14" s="349">
        <f>IF($A14="","",IF(OR(LOWER($D14&amp;"")="n/a",ISNUMBER(SEARCH("subscription",LOWER($A14&amp;" "&amp;$M14&amp;""))),ISNUMBER(SEARCH("membership",LOWER($A14&amp;" "&amp;$M14&amp;"")))),"",IF(LOWER($L14&amp;"")="yes",0,IF($K14&lt;&gt;"",$K14,IF($O14&lt;&gt;"",$O14,"")))))</f>
        <v/>
      </c>
      <c r="Q14" s="351">
        <f>IF($A14="","",IF($U14="Subscription","",IF($U14="Profit",$P14-$H14,0)))</f>
        <v/>
      </c>
      <c r="R14" s="349">
        <f>IF($A14="","",IF($U14="Subscription","",IF($U14="Draw",$H14,0)))</f>
        <v/>
      </c>
      <c r="S14" s="349">
        <f>IF($A14="","",IF($U14="Subscription","",IF($U14="Disqualified",$H14,0)))</f>
        <v/>
      </c>
      <c r="T14" s="380">
        <f>IF($A14="","",IF($U14="Subscription","",IF($H14=0,IF($U14="Profit","N/A",0),IF($U14="Profit",$Q14/$H14,IF($U14="Disqualified",-1,0)))))</f>
        <v/>
      </c>
      <c r="U14" s="351">
        <f>IF($A14="","",IF(OR(LOWER($D14&amp;"")="n/a",ISNUMBER(SEARCH("subscription",LOWER($A14&amp;" "&amp;$M14&amp;""))),ISNUMBER(SEARCH("membership",LOWER($A14&amp;" "&amp;$M14&amp;"")))),"Subscription",IF(LOWER($L14&amp;"")="yes","Disqualified",IF($P14&gt;$H14,"Profit","Draw"))))</f>
        <v/>
      </c>
      <c r="V14" s="383">
        <f>IF(OR($A14="",$B14="",$C14="",$U14="Subscription"),"",IFERROR(ROUNDUP((IF(ISNUMBER($C14),$C14,DATEVALUE($C14))-IF(ISNUMBER($B14),$B14,DATEVALUE($B14)))/7,0),""))</f>
        <v/>
      </c>
      <c r="W14" s="351">
        <f>IF($U14="Subscription","",$Q14-$S14)</f>
        <v/>
      </c>
      <c r="X14" s="384">
        <f>IF(OR($A14="",$U14="Subscription",$J14="",$I14="",$J14=0,$I14=0,$I14&gt;$J14),"",$J14-$I14)</f>
        <v/>
      </c>
      <c r="Y14" s="381">
        <f>IF(OR($A14="",$U14="Subscription",$J14="",$J14=0,$X14=""),"",$X14/$J14)</f>
        <v/>
      </c>
    </row>
    <row r="15" ht="21" customHeight="1" s="270">
      <c r="A15" s="297" t="n"/>
      <c r="B15" s="298" t="n"/>
      <c r="C15" s="298" t="n"/>
      <c r="D15" s="297" t="n"/>
      <c r="E15" s="349" t="n"/>
      <c r="F15" s="349" t="n"/>
      <c r="G15" s="349" t="n"/>
      <c r="H15" s="349" t="n"/>
      <c r="I15" s="382" t="n"/>
      <c r="J15" s="383" t="n"/>
      <c r="K15" s="351" t="n"/>
      <c r="L15" s="296" t="n"/>
      <c r="M15" s="349" t="n"/>
      <c r="N15" s="349">
        <f>IF($A15="","",IF(OR(LOWER($D15&amp;"")="n/a",ISNUMBER(SEARCH("subscription",LOWER($A15&amp;" "&amp;$M15&amp;""))),ISNUMBER(SEARCH("membership",LOWER($A15&amp;" "&amp;$M15&amp;"")))),"",IF($G15="","",IF(ISNUMBER(SEARCH("non",LOWER($E15&amp;""))),$G15*0.85,$G15))))</f>
        <v/>
      </c>
      <c r="O15" s="349">
        <f>IF($A15="","",IF(OR(LOWER($D15&amp;"")="n/a",ISNUMBER(SEARCH("subscription",LOWER($A15&amp;" "&amp;$M15&amp;""))),ISNUMBER(SEARCH("membership",LOWER($A15&amp;" "&amp;$M15&amp;"")))),"",IF(OR($N15="",$I15="",$I15=0),"",$N15/$I15)))</f>
        <v/>
      </c>
      <c r="P15" s="349">
        <f>IF($A15="","",IF(OR(LOWER($D15&amp;"")="n/a",ISNUMBER(SEARCH("subscription",LOWER($A15&amp;" "&amp;$M15&amp;""))),ISNUMBER(SEARCH("membership",LOWER($A15&amp;" "&amp;$M15&amp;"")))),"",IF(LOWER($L15&amp;"")="yes",0,IF($K15&lt;&gt;"",$K15,IF($O15&lt;&gt;"",$O15,"")))))</f>
        <v/>
      </c>
      <c r="Q15" s="351">
        <f>IF($A15="","",IF($U15="Subscription","",IF($U15="Profit",$P15-$H15,0)))</f>
        <v/>
      </c>
      <c r="R15" s="349">
        <f>IF($A15="","",IF($U15="Subscription","",IF($U15="Draw",$H15,0)))</f>
        <v/>
      </c>
      <c r="S15" s="349">
        <f>IF($A15="","",IF($U15="Subscription","",IF($U15="Disqualified",$H15,0)))</f>
        <v/>
      </c>
      <c r="T15" s="380">
        <f>IF($A15="","",IF($U15="Subscription","",IF($H15=0,IF($U15="Profit","N/A",0),IF($U15="Profit",$Q15/$H15,IF($U15="Disqualified",-1,0)))))</f>
        <v/>
      </c>
      <c r="U15" s="351">
        <f>IF($A15="","",IF(OR(LOWER($D15&amp;"")="n/a",ISNUMBER(SEARCH("subscription",LOWER($A15&amp;" "&amp;$M15&amp;""))),ISNUMBER(SEARCH("membership",LOWER($A15&amp;" "&amp;$M15&amp;"")))),"Subscription",IF(LOWER($L15&amp;"")="yes","Disqualified",IF($P15&gt;$H15,"Profit","Draw"))))</f>
        <v/>
      </c>
      <c r="V15" s="383">
        <f>IF(OR($A15="",$B15="",$C15="",$U15="Subscription"),"",IFERROR(ROUNDUP((IF(ISNUMBER($C15),$C15,DATEVALUE($C15))-IF(ISNUMBER($B15),$B15,DATEVALUE($B15)))/7,0),""))</f>
        <v/>
      </c>
      <c r="W15" s="351">
        <f>IF($U15="Subscription","",$Q15-$S15)</f>
        <v/>
      </c>
      <c r="X15" s="384">
        <f>IF(OR($A15="",$U15="Subscription",$J15="",$I15="",$J15=0,$I15=0,$I15&gt;$J15),"",$J15-$I15)</f>
        <v/>
      </c>
      <c r="Y15" s="381">
        <f>IF(OR($A15="",$U15="Subscription",$J15="",$J15=0,$X15=""),"",$X15/$J15)</f>
        <v/>
      </c>
    </row>
    <row r="16" ht="21" customHeight="1" s="270">
      <c r="A16" s="297" t="n"/>
      <c r="B16" s="298" t="n"/>
      <c r="C16" s="298" t="n"/>
      <c r="D16" s="297" t="n"/>
      <c r="E16" s="349" t="n"/>
      <c r="F16" s="349" t="n"/>
      <c r="G16" s="349" t="n"/>
      <c r="H16" s="349" t="n"/>
      <c r="I16" s="382" t="n"/>
      <c r="J16" s="383" t="n"/>
      <c r="K16" s="351" t="n"/>
      <c r="L16" s="296" t="n"/>
      <c r="M16" s="349" t="n"/>
      <c r="N16" s="349">
        <f>IF($A16="","",IF(OR(LOWER($D16&amp;"")="n/a",ISNUMBER(SEARCH("subscription",LOWER($A16&amp;" "&amp;$M16&amp;""))),ISNUMBER(SEARCH("membership",LOWER($A16&amp;" "&amp;$M16&amp;"")))),"",IF($G16="","",IF(ISNUMBER(SEARCH("non",LOWER($E16&amp;""))),$G16*0.85,$G16))))</f>
        <v/>
      </c>
      <c r="O16" s="349">
        <f>IF($A16="","",IF(OR(LOWER($D16&amp;"")="n/a",ISNUMBER(SEARCH("subscription",LOWER($A16&amp;" "&amp;$M16&amp;""))),ISNUMBER(SEARCH("membership",LOWER($A16&amp;" "&amp;$M16&amp;"")))),"",IF(OR($N16="",$I16="",$I16=0),"",$N16/$I16)))</f>
        <v/>
      </c>
      <c r="P16" s="349">
        <f>IF($A16="","",IF(OR(LOWER($D16&amp;"")="n/a",ISNUMBER(SEARCH("subscription",LOWER($A16&amp;" "&amp;$M16&amp;""))),ISNUMBER(SEARCH("membership",LOWER($A16&amp;" "&amp;$M16&amp;"")))),"",IF(LOWER($L16&amp;"")="yes",0,IF($K16&lt;&gt;"",$K16,IF($O16&lt;&gt;"",$O16,"")))))</f>
        <v/>
      </c>
      <c r="Q16" s="351">
        <f>IF($A16="","",IF($U16="Subscription","",IF($U16="Profit",$P16-$H16,0)))</f>
        <v/>
      </c>
      <c r="R16" s="349">
        <f>IF($A16="","",IF($U16="Subscription","",IF($U16="Draw",$H16,0)))</f>
        <v/>
      </c>
      <c r="S16" s="349">
        <f>IF($A16="","",IF($U16="Subscription","",IF($U16="Disqualified",$H16,0)))</f>
        <v/>
      </c>
      <c r="T16" s="380">
        <f>IF($A16="","",IF($U16="Subscription","",IF($H16=0,IF($U16="Profit","N/A",0),IF($U16="Profit",$Q16/$H16,IF($U16="Disqualified",-1,0)))))</f>
        <v/>
      </c>
      <c r="U16" s="351">
        <f>IF($A16="","",IF(OR(LOWER($D16&amp;"")="n/a",ISNUMBER(SEARCH("subscription",LOWER($A16&amp;" "&amp;$M16&amp;""))),ISNUMBER(SEARCH("membership",LOWER($A16&amp;" "&amp;$M16&amp;"")))),"Subscription",IF(LOWER($L16&amp;"")="yes","Disqualified",IF($P16&gt;$H16,"Profit","Draw"))))</f>
        <v/>
      </c>
      <c r="V16" s="383">
        <f>IF(OR($A16="",$B16="",$C16="",$U16="Subscription"),"",IFERROR(ROUNDUP((IF(ISNUMBER($C16),$C16,DATEVALUE($C16))-IF(ISNUMBER($B16),$B16,DATEVALUE($B16)))/7,0),""))</f>
        <v/>
      </c>
      <c r="W16" s="351">
        <f>IF($U16="Subscription","",$Q16-$S16)</f>
        <v/>
      </c>
      <c r="X16" s="384">
        <f>IF(OR($A16="",$U16="Subscription",$J16="",$I16="",$J16=0,$I16=0,$I16&gt;$J16),"",$J16-$I16)</f>
        <v/>
      </c>
      <c r="Y16" s="381">
        <f>IF(OR($A16="",$U16="Subscription",$J16="",$J16=0,$X16=""),"",$X16/$J16)</f>
        <v/>
      </c>
    </row>
    <row r="17" ht="21" customHeight="1" s="270">
      <c r="A17" s="297" t="n"/>
      <c r="B17" s="298" t="n"/>
      <c r="C17" s="298" t="n"/>
      <c r="D17" s="297" t="n"/>
      <c r="E17" s="349" t="n"/>
      <c r="F17" s="349" t="n"/>
      <c r="G17" s="349" t="n"/>
      <c r="H17" s="349" t="n"/>
      <c r="I17" s="382" t="n"/>
      <c r="J17" s="383" t="n"/>
      <c r="K17" s="351" t="n"/>
      <c r="L17" s="296" t="n"/>
      <c r="M17" s="349" t="n"/>
      <c r="N17" s="349">
        <f>IF($A17="","",IF(OR(LOWER($D17&amp;"")="n/a",ISNUMBER(SEARCH("subscription",LOWER($A17&amp;" "&amp;$M17&amp;""))),ISNUMBER(SEARCH("membership",LOWER($A17&amp;" "&amp;$M17&amp;"")))),"",IF($G17="","",IF(ISNUMBER(SEARCH("non",LOWER($E17&amp;""))),$G17*0.85,$G17))))</f>
        <v/>
      </c>
      <c r="O17" s="349">
        <f>IF($A17="","",IF(OR(LOWER($D17&amp;"")="n/a",ISNUMBER(SEARCH("subscription",LOWER($A17&amp;" "&amp;$M17&amp;""))),ISNUMBER(SEARCH("membership",LOWER($A17&amp;" "&amp;$M17&amp;"")))),"",IF(OR($N17="",$I17="",$I17=0),"",$N17/$I17)))</f>
        <v/>
      </c>
      <c r="P17" s="349">
        <f>IF($A17="","",IF(OR(LOWER($D17&amp;"")="n/a",ISNUMBER(SEARCH("subscription",LOWER($A17&amp;" "&amp;$M17&amp;""))),ISNUMBER(SEARCH("membership",LOWER($A17&amp;" "&amp;$M17&amp;"")))),"",IF(LOWER($L17&amp;"")="yes",0,IF($K17&lt;&gt;"",$K17,IF($O17&lt;&gt;"",$O17,"")))))</f>
        <v/>
      </c>
      <c r="Q17" s="351">
        <f>IF($A17="","",IF($U17="Subscription","",IF($U17="Profit",$P17-$H17,0)))</f>
        <v/>
      </c>
      <c r="R17" s="349">
        <f>IF($A17="","",IF($U17="Subscription","",IF($U17="Draw",$H17,0)))</f>
        <v/>
      </c>
      <c r="S17" s="349">
        <f>IF($A17="","",IF($U17="Subscription","",IF($U17="Disqualified",$H17,0)))</f>
        <v/>
      </c>
      <c r="T17" s="380">
        <f>IF($A17="","",IF($U17="Subscription","",IF($H17=0,IF($U17="Profit","N/A",0),IF($U17="Profit",$Q17/$H17,IF($U17="Disqualified",-1,0)))))</f>
        <v/>
      </c>
      <c r="U17" s="351">
        <f>IF($A17="","",IF(OR(LOWER($D17&amp;"")="n/a",ISNUMBER(SEARCH("subscription",LOWER($A17&amp;" "&amp;$M17&amp;""))),ISNUMBER(SEARCH("membership",LOWER($A17&amp;" "&amp;$M17&amp;"")))),"Subscription",IF(LOWER($L17&amp;"")="yes","Disqualified",IF($P17&gt;$H17,"Profit","Draw"))))</f>
        <v/>
      </c>
      <c r="V17" s="383">
        <f>IF(OR($A17="",$B17="",$C17="",$U17="Subscription"),"",IFERROR(ROUNDUP((IF(ISNUMBER($C17),$C17,DATEVALUE($C17))-IF(ISNUMBER($B17),$B17,DATEVALUE($B17)))/7,0),""))</f>
        <v/>
      </c>
      <c r="W17" s="351">
        <f>IF($U17="Subscription","",$Q17-$S17)</f>
        <v/>
      </c>
      <c r="X17" s="384">
        <f>IF(OR($A17="",$U17="Subscription",$J17="",$I17="",$J17=0,$I17=0,$I17&gt;$J17),"",$J17-$I17)</f>
        <v/>
      </c>
      <c r="Y17" s="381">
        <f>IF(OR($A17="",$U17="Subscription",$J17="",$J17=0,$X17=""),"",$X17/$J17)</f>
        <v/>
      </c>
    </row>
    <row r="18" ht="21" customHeight="1" s="270">
      <c r="A18" s="297" t="n"/>
      <c r="B18" s="298" t="n"/>
      <c r="C18" s="298" t="n"/>
      <c r="D18" s="297" t="n"/>
      <c r="E18" s="349" t="n"/>
      <c r="F18" s="349" t="n"/>
      <c r="G18" s="349" t="n"/>
      <c r="H18" s="349" t="n"/>
      <c r="I18" s="382" t="n"/>
      <c r="J18" s="383" t="n"/>
      <c r="K18" s="351" t="n"/>
      <c r="L18" s="296" t="n"/>
      <c r="M18" s="349" t="n"/>
      <c r="N18" s="349">
        <f>IF($A18="","",IF(OR(LOWER($D18&amp;"")="n/a",ISNUMBER(SEARCH("subscription",LOWER($A18&amp;" "&amp;$M18&amp;""))),ISNUMBER(SEARCH("membership",LOWER($A18&amp;" "&amp;$M18&amp;"")))),"",IF($G18="","",IF(ISNUMBER(SEARCH("non",LOWER($E18&amp;""))),$G18*0.85,$G18))))</f>
        <v/>
      </c>
      <c r="O18" s="349">
        <f>IF($A18="","",IF(OR(LOWER($D18&amp;"")="n/a",ISNUMBER(SEARCH("subscription",LOWER($A18&amp;" "&amp;$M18&amp;""))),ISNUMBER(SEARCH("membership",LOWER($A18&amp;" "&amp;$M18&amp;"")))),"",IF(OR($N18="",$I18="",$I18=0),"",$N18/$I18)))</f>
        <v/>
      </c>
      <c r="P18" s="349">
        <f>IF($A18="","",IF(OR(LOWER($D18&amp;"")="n/a",ISNUMBER(SEARCH("subscription",LOWER($A18&amp;" "&amp;$M18&amp;""))),ISNUMBER(SEARCH("membership",LOWER($A18&amp;" "&amp;$M18&amp;"")))),"",IF(LOWER($L18&amp;"")="yes",0,IF($K18&lt;&gt;"",$K18,IF($O18&lt;&gt;"",$O18,"")))))</f>
        <v/>
      </c>
      <c r="Q18" s="351">
        <f>IF($A18="","",IF($U18="Subscription","",IF($U18="Profit",$P18-$H18,0)))</f>
        <v/>
      </c>
      <c r="R18" s="349">
        <f>IF($A18="","",IF($U18="Subscription","",IF($U18="Draw",$H18,0)))</f>
        <v/>
      </c>
      <c r="S18" s="349">
        <f>IF($A18="","",IF($U18="Subscription","",IF($U18="Disqualified",$H18,0)))</f>
        <v/>
      </c>
      <c r="T18" s="380">
        <f>IF($A18="","",IF($U18="Subscription","",IF($H18=0,IF($U18="Profit","N/A",0),IF($U18="Profit",$Q18/$H18,IF($U18="Disqualified",-1,0)))))</f>
        <v/>
      </c>
      <c r="U18" s="351">
        <f>IF($A18="","",IF(OR(LOWER($D18&amp;"")="n/a",ISNUMBER(SEARCH("subscription",LOWER($A18&amp;" "&amp;$M18&amp;""))),ISNUMBER(SEARCH("membership",LOWER($A18&amp;" "&amp;$M18&amp;"")))),"Subscription",IF(LOWER($L18&amp;"")="yes","Disqualified",IF($P18&gt;$H18,"Profit","Draw"))))</f>
        <v/>
      </c>
      <c r="V18" s="383">
        <f>IF(OR($A18="",$B18="",$C18="",$U18="Subscription"),"",IFERROR(ROUNDUP((IF(ISNUMBER($C18),$C18,DATEVALUE($C18))-IF(ISNUMBER($B18),$B18,DATEVALUE($B18)))/7,0),""))</f>
        <v/>
      </c>
      <c r="W18" s="351">
        <f>IF($U18="Subscription","",$Q18-$S18)</f>
        <v/>
      </c>
      <c r="X18" s="384">
        <f>IF(OR($A18="",$U18="Subscription",$J18="",$I18="",$J18=0,$I18=0,$I18&gt;$J18),"",$J18-$I18)</f>
        <v/>
      </c>
      <c r="Y18" s="381">
        <f>IF(OR($A18="",$U18="Subscription",$J18="",$J18=0,$X18=""),"",$X18/$J18)</f>
        <v/>
      </c>
    </row>
    <row r="19" ht="21" customHeight="1" s="270">
      <c r="A19" s="297" t="n"/>
      <c r="B19" s="298" t="n"/>
      <c r="C19" s="298" t="n"/>
      <c r="D19" s="297" t="n"/>
      <c r="E19" s="349" t="n"/>
      <c r="F19" s="349" t="n"/>
      <c r="G19" s="349" t="n"/>
      <c r="H19" s="349" t="n"/>
      <c r="I19" s="382" t="n"/>
      <c r="J19" s="383" t="n"/>
      <c r="K19" s="351" t="n"/>
      <c r="L19" s="296" t="n"/>
      <c r="M19" s="349" t="n"/>
      <c r="N19" s="349">
        <f>IF($A19="","",IF(OR(LOWER($D19&amp;"")="n/a",ISNUMBER(SEARCH("subscription",LOWER($A19&amp;" "&amp;$M19&amp;""))),ISNUMBER(SEARCH("membership",LOWER($A19&amp;" "&amp;$M19&amp;"")))),"",IF($G19="","",IF(ISNUMBER(SEARCH("non",LOWER($E19&amp;""))),$G19*0.85,$G19))))</f>
        <v/>
      </c>
      <c r="O19" s="349">
        <f>IF($A19="","",IF(OR(LOWER($D19&amp;"")="n/a",ISNUMBER(SEARCH("subscription",LOWER($A19&amp;" "&amp;$M19&amp;""))),ISNUMBER(SEARCH("membership",LOWER($A19&amp;" "&amp;$M19&amp;"")))),"",IF(OR($N19="",$I19="",$I19=0),"",$N19/$I19)))</f>
        <v/>
      </c>
      <c r="P19" s="349">
        <f>IF($A19="","",IF(OR(LOWER($D19&amp;"")="n/a",ISNUMBER(SEARCH("subscription",LOWER($A19&amp;" "&amp;$M19&amp;""))),ISNUMBER(SEARCH("membership",LOWER($A19&amp;" "&amp;$M19&amp;"")))),"",IF(LOWER($L19&amp;"")="yes",0,IF($K19&lt;&gt;"",$K19,IF($O19&lt;&gt;"",$O19,"")))))</f>
        <v/>
      </c>
      <c r="Q19" s="351">
        <f>IF($A19="","",IF($U19="Subscription","",IF($U19="Profit",$P19-$H19,0)))</f>
        <v/>
      </c>
      <c r="R19" s="349">
        <f>IF($A19="","",IF($U19="Subscription","",IF($U19="Draw",$H19,0)))</f>
        <v/>
      </c>
      <c r="S19" s="349">
        <f>IF($A19="","",IF($U19="Subscription","",IF($U19="Disqualified",$H19,0)))</f>
        <v/>
      </c>
      <c r="T19" s="380">
        <f>IF($A19="","",IF($U19="Subscription","",IF($H19=0,IF($U19="Profit","N/A",0),IF($U19="Profit",$Q19/$H19,IF($U19="Disqualified",-1,0)))))</f>
        <v/>
      </c>
      <c r="U19" s="351">
        <f>IF($A19="","",IF(OR(LOWER($D19&amp;"")="n/a",ISNUMBER(SEARCH("subscription",LOWER($A19&amp;" "&amp;$M19&amp;""))),ISNUMBER(SEARCH("membership",LOWER($A19&amp;" "&amp;$M19&amp;"")))),"Subscription",IF(LOWER($L19&amp;"")="yes","Disqualified",IF($P19&gt;$H19,"Profit","Draw"))))</f>
        <v/>
      </c>
      <c r="V19" s="383">
        <f>IF(OR($A19="",$B19="",$C19="",$U19="Subscription"),"",IFERROR(ROUNDUP((IF(ISNUMBER($C19),$C19,DATEVALUE($C19))-IF(ISNUMBER($B19),$B19,DATEVALUE($B19)))/7,0),""))</f>
        <v/>
      </c>
      <c r="W19" s="351">
        <f>IF($U19="Subscription","",$Q19-$S19)</f>
        <v/>
      </c>
      <c r="X19" s="384">
        <f>IF(OR($A19="",$U19="Subscription",$J19="",$I19="",$J19=0,$I19=0,$I19&gt;$J19),"",$J19-$I19)</f>
        <v/>
      </c>
      <c r="Y19" s="381">
        <f>IF(OR($A19="",$U19="Subscription",$J19="",$J19=0,$X19=""),"",$X19/$J19)</f>
        <v/>
      </c>
    </row>
    <row r="20" ht="21" customHeight="1" s="270">
      <c r="A20" s="297" t="n"/>
      <c r="B20" s="298" t="n"/>
      <c r="C20" s="298" t="n"/>
      <c r="D20" s="297" t="n"/>
      <c r="E20" s="349" t="n"/>
      <c r="F20" s="349" t="n"/>
      <c r="G20" s="349" t="n"/>
      <c r="H20" s="349" t="n"/>
      <c r="I20" s="382" t="n"/>
      <c r="J20" s="383" t="n"/>
      <c r="K20" s="351" t="n"/>
      <c r="L20" s="296" t="n"/>
      <c r="M20" s="349" t="n"/>
      <c r="N20" s="349">
        <f>IF($A20="","",IF(OR(LOWER($D20&amp;"")="n/a",ISNUMBER(SEARCH("subscription",LOWER($A20&amp;" "&amp;$M20&amp;""))),ISNUMBER(SEARCH("membership",LOWER($A20&amp;" "&amp;$M20&amp;"")))),"",IF($G20="","",IF(ISNUMBER(SEARCH("non",LOWER($E20&amp;""))),$G20*0.85,$G20))))</f>
        <v/>
      </c>
      <c r="O20" s="349">
        <f>IF($A20="","",IF(OR(LOWER($D20&amp;"")="n/a",ISNUMBER(SEARCH("subscription",LOWER($A20&amp;" "&amp;$M20&amp;""))),ISNUMBER(SEARCH("membership",LOWER($A20&amp;" "&amp;$M20&amp;"")))),"",IF(OR($N20="",$I20="",$I20=0),"",$N20/$I20)))</f>
        <v/>
      </c>
      <c r="P20" s="349">
        <f>IF($A20="","",IF(OR(LOWER($D20&amp;"")="n/a",ISNUMBER(SEARCH("subscription",LOWER($A20&amp;" "&amp;$M20&amp;""))),ISNUMBER(SEARCH("membership",LOWER($A20&amp;" "&amp;$M20&amp;"")))),"",IF(LOWER($L20&amp;"")="yes",0,IF($K20&lt;&gt;"",$K20,IF($O20&lt;&gt;"",$O20,"")))))</f>
        <v/>
      </c>
      <c r="Q20" s="351">
        <f>IF($A20="","",IF($U20="Subscription","",IF($U20="Profit",$P20-$H20,0)))</f>
        <v/>
      </c>
      <c r="R20" s="349">
        <f>IF($A20="","",IF($U20="Subscription","",IF($U20="Draw",$H20,0)))</f>
        <v/>
      </c>
      <c r="S20" s="349">
        <f>IF($A20="","",IF($U20="Subscription","",IF($U20="Disqualified",$H20,0)))</f>
        <v/>
      </c>
      <c r="T20" s="380">
        <f>IF($A20="","",IF($U20="Subscription","",IF($H20=0,IF($U20="Profit","N/A",0),IF($U20="Profit",$Q20/$H20,IF($U20="Disqualified",-1,0)))))</f>
        <v/>
      </c>
      <c r="U20" s="351">
        <f>IF($A20="","",IF(OR(LOWER($D20&amp;"")="n/a",ISNUMBER(SEARCH("subscription",LOWER($A20&amp;" "&amp;$M20&amp;""))),ISNUMBER(SEARCH("membership",LOWER($A20&amp;" "&amp;$M20&amp;"")))),"Subscription",IF(LOWER($L20&amp;"")="yes","Disqualified",IF($P20&gt;$H20,"Profit","Draw"))))</f>
        <v/>
      </c>
      <c r="V20" s="383">
        <f>IF(OR($A20="",$B20="",$C20="",$U20="Subscription"),"",IFERROR(ROUNDUP((IF(ISNUMBER($C20),$C20,DATEVALUE($C20))-IF(ISNUMBER($B20),$B20,DATEVALUE($B20)))/7,0),""))</f>
        <v/>
      </c>
      <c r="W20" s="351">
        <f>IF($U20="Subscription","",$Q20-$S20)</f>
        <v/>
      </c>
      <c r="X20" s="384">
        <f>IF(OR($A20="",$U20="Subscription",$J20="",$I20="",$J20=0,$I20=0,$I20&gt;$J20),"",$J20-$I20)</f>
        <v/>
      </c>
      <c r="Y20" s="381">
        <f>IF(OR($A20="",$U20="Subscription",$J20="",$J20=0,$X20=""),"",$X20/$J20)</f>
        <v/>
      </c>
    </row>
    <row r="21" ht="21" customHeight="1" s="270">
      <c r="A21" s="297" t="n"/>
      <c r="B21" s="298" t="n"/>
      <c r="C21" s="298" t="n"/>
      <c r="D21" s="297" t="n"/>
      <c r="E21" s="349" t="n"/>
      <c r="F21" s="349" t="n"/>
      <c r="G21" s="349" t="n"/>
      <c r="H21" s="349" t="n"/>
      <c r="I21" s="382" t="n"/>
      <c r="J21" s="383" t="n"/>
      <c r="K21" s="351" t="n"/>
      <c r="L21" s="296" t="n"/>
      <c r="M21" s="349" t="n"/>
      <c r="N21" s="349">
        <f>IF($A21="","",IF(OR(LOWER($D21&amp;"")="n/a",ISNUMBER(SEARCH("subscription",LOWER($A21&amp;" "&amp;$M21&amp;""))),ISNUMBER(SEARCH("membership",LOWER($A21&amp;" "&amp;$M21&amp;"")))),"",IF($G21="","",IF(ISNUMBER(SEARCH("non",LOWER($E21&amp;""))),$G21*0.85,$G21))))</f>
        <v/>
      </c>
      <c r="O21" s="349">
        <f>IF($A21="","",IF(OR(LOWER($D21&amp;"")="n/a",ISNUMBER(SEARCH("subscription",LOWER($A21&amp;" "&amp;$M21&amp;""))),ISNUMBER(SEARCH("membership",LOWER($A21&amp;" "&amp;$M21&amp;"")))),"",IF(OR($N21="",$I21="",$I21=0),"",$N21/$I21)))</f>
        <v/>
      </c>
      <c r="P21" s="349">
        <f>IF($A21="","",IF(OR(LOWER($D21&amp;"")="n/a",ISNUMBER(SEARCH("subscription",LOWER($A21&amp;" "&amp;$M21&amp;""))),ISNUMBER(SEARCH("membership",LOWER($A21&amp;" "&amp;$M21&amp;"")))),"",IF(LOWER($L21&amp;"")="yes",0,IF($K21&lt;&gt;"",$K21,IF($O21&lt;&gt;"",$O21,"")))))</f>
        <v/>
      </c>
      <c r="Q21" s="351">
        <f>IF($A21="","",IF($U21="Subscription","",IF($U21="Profit",$P21-$H21,0)))</f>
        <v/>
      </c>
      <c r="R21" s="349">
        <f>IF($A21="","",IF($U21="Subscription","",IF($U21="Draw",$H21,0)))</f>
        <v/>
      </c>
      <c r="S21" s="349">
        <f>IF($A21="","",IF($U21="Subscription","",IF($U21="Disqualified",$H21,0)))</f>
        <v/>
      </c>
      <c r="T21" s="380">
        <f>IF($A21="","",IF($U21="Subscription","",IF($H21=0,IF($U21="Profit","N/A",0),IF($U21="Profit",$Q21/$H21,IF($U21="Disqualified",-1,0)))))</f>
        <v/>
      </c>
      <c r="U21" s="351">
        <f>IF($A21="","",IF(OR(LOWER($D21&amp;"")="n/a",ISNUMBER(SEARCH("subscription",LOWER($A21&amp;" "&amp;$M21&amp;""))),ISNUMBER(SEARCH("membership",LOWER($A21&amp;" "&amp;$M21&amp;"")))),"Subscription",IF(LOWER($L21&amp;"")="yes","Disqualified",IF($P21&gt;$H21,"Profit","Draw"))))</f>
        <v/>
      </c>
      <c r="V21" s="383">
        <f>IF(OR($A21="",$B21="",$C21="",$U21="Subscription"),"",IFERROR(ROUNDUP((IF(ISNUMBER($C21),$C21,DATEVALUE($C21))-IF(ISNUMBER($B21),$B21,DATEVALUE($B21)))/7,0),""))</f>
        <v/>
      </c>
      <c r="W21" s="351">
        <f>IF($U21="Subscription","",$Q21-$S21)</f>
        <v/>
      </c>
      <c r="X21" s="384">
        <f>IF(OR($A21="",$U21="Subscription",$J21="",$I21="",$J21=0,$I21=0,$I21&gt;$J21),"",$J21-$I21)</f>
        <v/>
      </c>
      <c r="Y21" s="381">
        <f>IF(OR($A21="",$U21="Subscription",$J21="",$J21=0,$X21=""),"",$X21/$J21)</f>
        <v/>
      </c>
    </row>
    <row r="22" ht="21" customHeight="1" s="270">
      <c r="A22" s="297" t="n"/>
      <c r="B22" s="298" t="n"/>
      <c r="C22" s="298" t="n"/>
      <c r="D22" s="297" t="n"/>
      <c r="E22" s="349" t="n"/>
      <c r="F22" s="349" t="n"/>
      <c r="G22" s="349" t="n"/>
      <c r="H22" s="349" t="n"/>
      <c r="I22" s="382" t="n"/>
      <c r="J22" s="383" t="n"/>
      <c r="K22" s="351" t="n"/>
      <c r="L22" s="296" t="n"/>
      <c r="M22" s="349" t="n"/>
      <c r="N22" s="349">
        <f>IF($A22="","",IF(OR(LOWER($D22&amp;"")="n/a",ISNUMBER(SEARCH("subscription",LOWER($A22&amp;" "&amp;$M22&amp;""))),ISNUMBER(SEARCH("membership",LOWER($A22&amp;" "&amp;$M22&amp;"")))),"",IF($G22="","",IF(ISNUMBER(SEARCH("non",LOWER($E22&amp;""))),$G22*0.85,$G22))))</f>
        <v/>
      </c>
      <c r="O22" s="349">
        <f>IF($A22="","",IF(OR(LOWER($D22&amp;"")="n/a",ISNUMBER(SEARCH("subscription",LOWER($A22&amp;" "&amp;$M22&amp;""))),ISNUMBER(SEARCH("membership",LOWER($A22&amp;" "&amp;$M22&amp;"")))),"",IF(OR($N22="",$I22="",$I22=0),"",$N22/$I22)))</f>
        <v/>
      </c>
      <c r="P22" s="349">
        <f>IF($A22="","",IF(OR(LOWER($D22&amp;"")="n/a",ISNUMBER(SEARCH("subscription",LOWER($A22&amp;" "&amp;$M22&amp;""))),ISNUMBER(SEARCH("membership",LOWER($A22&amp;" "&amp;$M22&amp;"")))),"",IF(LOWER($L22&amp;"")="yes",0,IF($K22&lt;&gt;"",$K22,IF($O22&lt;&gt;"",$O22,"")))))</f>
        <v/>
      </c>
      <c r="Q22" s="351">
        <f>IF($A22="","",IF($U22="Subscription","",IF($U22="Profit",$P22-$H22,0)))</f>
        <v/>
      </c>
      <c r="R22" s="349">
        <f>IF($A22="","",IF($U22="Subscription","",IF($U22="Draw",$H22,0)))</f>
        <v/>
      </c>
      <c r="S22" s="349">
        <f>IF($A22="","",IF($U22="Subscription","",IF($U22="Disqualified",$H22,0)))</f>
        <v/>
      </c>
      <c r="T22" s="380">
        <f>IF($A22="","",IF($U22="Subscription","",IF($H22=0,IF($U22="Profit","N/A",0),IF($U22="Profit",$Q22/$H22,IF($U22="Disqualified",-1,0)))))</f>
        <v/>
      </c>
      <c r="U22" s="351">
        <f>IF($A22="","",IF(OR(LOWER($D22&amp;"")="n/a",ISNUMBER(SEARCH("subscription",LOWER($A22&amp;" "&amp;$M22&amp;""))),ISNUMBER(SEARCH("membership",LOWER($A22&amp;" "&amp;$M22&amp;"")))),"Subscription",IF(LOWER($L22&amp;"")="yes","Disqualified",IF($P22&gt;$H22,"Profit","Draw"))))</f>
        <v/>
      </c>
      <c r="V22" s="383">
        <f>IF(OR($A22="",$B22="",$C22="",$U22="Subscription"),"",IFERROR(ROUNDUP((IF(ISNUMBER($C22),$C22,DATEVALUE($C22))-IF(ISNUMBER($B22),$B22,DATEVALUE($B22)))/7,0),""))</f>
        <v/>
      </c>
      <c r="W22" s="351">
        <f>IF($U22="Subscription","",$Q22-$S22)</f>
        <v/>
      </c>
      <c r="X22" s="384">
        <f>IF(OR($A22="",$U22="Subscription",$J22="",$I22="",$J22=0,$I22=0,$I22&gt;$J22),"",$J22-$I22)</f>
        <v/>
      </c>
      <c r="Y22" s="381">
        <f>IF(OR($A22="",$U22="Subscription",$J22="",$J22=0,$X22=""),"",$X22/$J22)</f>
        <v/>
      </c>
    </row>
    <row r="23" ht="21" customHeight="1" s="270">
      <c r="A23" s="297" t="n"/>
      <c r="B23" s="298" t="n"/>
      <c r="C23" s="298" t="n"/>
      <c r="D23" s="297" t="n"/>
      <c r="E23" s="349" t="n"/>
      <c r="F23" s="349" t="n"/>
      <c r="G23" s="349" t="n"/>
      <c r="H23" s="349" t="n"/>
      <c r="I23" s="382" t="n"/>
      <c r="J23" s="383" t="n"/>
      <c r="K23" s="351" t="n"/>
      <c r="L23" s="296" t="n"/>
      <c r="M23" s="349" t="n"/>
      <c r="N23" s="349">
        <f>IF($A23="","",IF(OR(LOWER($D23&amp;"")="n/a",ISNUMBER(SEARCH("subscription",LOWER($A23&amp;" "&amp;$M23&amp;""))),ISNUMBER(SEARCH("membership",LOWER($A23&amp;" "&amp;$M23&amp;"")))),"",IF($G23="","",IF(ISNUMBER(SEARCH("non",LOWER($E23&amp;""))),$G23*0.85,$G23))))</f>
        <v/>
      </c>
      <c r="O23" s="349">
        <f>IF($A23="","",IF(OR(LOWER($D23&amp;"")="n/a",ISNUMBER(SEARCH("subscription",LOWER($A23&amp;" "&amp;$M23&amp;""))),ISNUMBER(SEARCH("membership",LOWER($A23&amp;" "&amp;$M23&amp;"")))),"",IF(OR($N23="",$I23="",$I23=0),"",$N23/$I23)))</f>
        <v/>
      </c>
      <c r="P23" s="349">
        <f>IF($A23="","",IF(OR(LOWER($D23&amp;"")="n/a",ISNUMBER(SEARCH("subscription",LOWER($A23&amp;" "&amp;$M23&amp;""))),ISNUMBER(SEARCH("membership",LOWER($A23&amp;" "&amp;$M23&amp;"")))),"",IF(LOWER($L23&amp;"")="yes",0,IF($K23&lt;&gt;"",$K23,IF($O23&lt;&gt;"",$O23,"")))))</f>
        <v/>
      </c>
      <c r="Q23" s="351">
        <f>IF($A23="","",IF($U23="Subscription","",IF($U23="Profit",$P23-$H23,0)))</f>
        <v/>
      </c>
      <c r="R23" s="349">
        <f>IF($A23="","",IF($U23="Subscription","",IF($U23="Draw",$H23,0)))</f>
        <v/>
      </c>
      <c r="S23" s="349">
        <f>IF($A23="","",IF($U23="Subscription","",IF($U23="Disqualified",$H23,0)))</f>
        <v/>
      </c>
      <c r="T23" s="380">
        <f>IF($A23="","",IF($U23="Subscription","",IF($H23=0,IF($U23="Profit","N/A",0),IF($U23="Profit",$Q23/$H23,IF($U23="Disqualified",-1,0)))))</f>
        <v/>
      </c>
      <c r="U23" s="351">
        <f>IF($A23="","",IF(OR(LOWER($D23&amp;"")="n/a",ISNUMBER(SEARCH("subscription",LOWER($A23&amp;" "&amp;$M23&amp;""))),ISNUMBER(SEARCH("membership",LOWER($A23&amp;" "&amp;$M23&amp;"")))),"Subscription",IF(LOWER($L23&amp;"")="yes","Disqualified",IF($P23&gt;$H23,"Profit","Draw"))))</f>
        <v/>
      </c>
      <c r="V23" s="383">
        <f>IF(OR($A23="",$B23="",$C23="",$U23="Subscription"),"",IFERROR(ROUNDUP((IF(ISNUMBER($C23),$C23,DATEVALUE($C23))-IF(ISNUMBER($B23),$B23,DATEVALUE($B23)))/7,0),""))</f>
        <v/>
      </c>
      <c r="W23" s="351">
        <f>IF($U23="Subscription","",$Q23-$S23)</f>
        <v/>
      </c>
      <c r="X23" s="384">
        <f>IF(OR($A23="",$U23="Subscription",$J23="",$I23="",$J23=0,$I23=0,$I23&gt;$J23),"",$J23-$I23)</f>
        <v/>
      </c>
      <c r="Y23" s="381">
        <f>IF(OR($A23="",$U23="Subscription",$J23="",$J23=0,$X23=""),"",$X23/$J23)</f>
        <v/>
      </c>
    </row>
    <row r="24" ht="21" customHeight="1" s="270">
      <c r="A24" s="297" t="n"/>
      <c r="B24" s="298" t="n"/>
      <c r="C24" s="298" t="n"/>
      <c r="D24" s="297" t="n"/>
      <c r="E24" s="349" t="n"/>
      <c r="F24" s="349" t="n"/>
      <c r="G24" s="349" t="n"/>
      <c r="H24" s="349" t="n"/>
      <c r="I24" s="382" t="n"/>
      <c r="J24" s="383" t="n"/>
      <c r="K24" s="351" t="n"/>
      <c r="L24" s="296" t="n"/>
      <c r="M24" s="349" t="n"/>
      <c r="N24" s="349">
        <f>IF($A24="","",IF(OR(LOWER($D24&amp;"")="n/a",ISNUMBER(SEARCH("subscription",LOWER($A24&amp;" "&amp;$M24&amp;""))),ISNUMBER(SEARCH("membership",LOWER($A24&amp;" "&amp;$M24&amp;"")))),"",IF($G24="","",IF(ISNUMBER(SEARCH("non",LOWER($E24&amp;""))),$G24*0.85,$G24))))</f>
        <v/>
      </c>
      <c r="O24" s="349">
        <f>IF($A24="","",IF(OR(LOWER($D24&amp;"")="n/a",ISNUMBER(SEARCH("subscription",LOWER($A24&amp;" "&amp;$M24&amp;""))),ISNUMBER(SEARCH("membership",LOWER($A24&amp;" "&amp;$M24&amp;"")))),"",IF(OR($N24="",$I24="",$I24=0),"",$N24/$I24)))</f>
        <v/>
      </c>
      <c r="P24" s="349">
        <f>IF($A24="","",IF(OR(LOWER($D24&amp;"")="n/a",ISNUMBER(SEARCH("subscription",LOWER($A24&amp;" "&amp;$M24&amp;""))),ISNUMBER(SEARCH("membership",LOWER($A24&amp;" "&amp;$M24&amp;"")))),"",IF(LOWER($L24&amp;"")="yes",0,IF($K24&lt;&gt;"",$K24,IF($O24&lt;&gt;"",$O24,"")))))</f>
        <v/>
      </c>
      <c r="Q24" s="351">
        <f>IF($A24="","",IF($U24="Subscription","",IF($U24="Profit",$P24-$H24,0)))</f>
        <v/>
      </c>
      <c r="R24" s="349">
        <f>IF($A24="","",IF($U24="Subscription","",IF($U24="Draw",$H24,0)))</f>
        <v/>
      </c>
      <c r="S24" s="349">
        <f>IF($A24="","",IF($U24="Subscription","",IF($U24="Disqualified",$H24,0)))</f>
        <v/>
      </c>
      <c r="T24" s="380">
        <f>IF($A24="","",IF($U24="Subscription","",IF($H24=0,IF($U24="Profit","N/A",0),IF($U24="Profit",$Q24/$H24,IF($U24="Disqualified",-1,0)))))</f>
        <v/>
      </c>
      <c r="U24" s="351">
        <f>IF($A24="","",IF(OR(LOWER($D24&amp;"")="n/a",ISNUMBER(SEARCH("subscription",LOWER($A24&amp;" "&amp;$M24&amp;""))),ISNUMBER(SEARCH("membership",LOWER($A24&amp;" "&amp;$M24&amp;"")))),"Subscription",IF(LOWER($L24&amp;"")="yes","Disqualified",IF($P24&gt;$H24,"Profit","Draw"))))</f>
        <v/>
      </c>
      <c r="V24" s="383">
        <f>IF(OR($A24="",$B24="",$C24="",$U24="Subscription"),"",IFERROR(ROUNDUP((IF(ISNUMBER($C24),$C24,DATEVALUE($C24))-IF(ISNUMBER($B24),$B24,DATEVALUE($B24)))/7,0),""))</f>
        <v/>
      </c>
      <c r="W24" s="351">
        <f>IF($U24="Subscription","",$Q24-$S24)</f>
        <v/>
      </c>
      <c r="X24" s="384">
        <f>IF(OR($A24="",$U24="Subscription",$J24="",$I24="",$J24=0,$I24=0,$I24&gt;$J24),"",$J24-$I24)</f>
        <v/>
      </c>
      <c r="Y24" s="381">
        <f>IF(OR($A24="",$U24="Subscription",$J24="",$J24=0,$X24=""),"",$X24/$J24)</f>
        <v/>
      </c>
    </row>
    <row r="25" ht="21" customHeight="1" s="270">
      <c r="A25" s="297" t="n"/>
      <c r="B25" s="298" t="n"/>
      <c r="C25" s="298" t="n"/>
      <c r="D25" s="297" t="n"/>
      <c r="E25" s="349" t="n"/>
      <c r="F25" s="349" t="n"/>
      <c r="G25" s="349" t="n"/>
      <c r="H25" s="349" t="n"/>
      <c r="I25" s="382" t="n"/>
      <c r="J25" s="383" t="n"/>
      <c r="K25" s="351" t="n"/>
      <c r="L25" s="296" t="n"/>
      <c r="M25" s="349" t="n"/>
      <c r="N25" s="349">
        <f>IF($A25="","",IF(OR(LOWER($D25&amp;"")="n/a",ISNUMBER(SEARCH("subscription",LOWER($A25&amp;" "&amp;$M25&amp;""))),ISNUMBER(SEARCH("membership",LOWER($A25&amp;" "&amp;$M25&amp;"")))),"",IF($G25="","",IF(ISNUMBER(SEARCH("non",LOWER($E25&amp;""))),$G25*0.85,$G25))))</f>
        <v/>
      </c>
      <c r="O25" s="349">
        <f>IF($A25="","",IF(OR(LOWER($D25&amp;"")="n/a",ISNUMBER(SEARCH("subscription",LOWER($A25&amp;" "&amp;$M25&amp;""))),ISNUMBER(SEARCH("membership",LOWER($A25&amp;" "&amp;$M25&amp;"")))),"",IF(OR($N25="",$I25="",$I25=0),"",$N25/$I25)))</f>
        <v/>
      </c>
      <c r="P25" s="349">
        <f>IF($A25="","",IF(OR(LOWER($D25&amp;"")="n/a",ISNUMBER(SEARCH("subscription",LOWER($A25&amp;" "&amp;$M25&amp;""))),ISNUMBER(SEARCH("membership",LOWER($A25&amp;" "&amp;$M25&amp;"")))),"",IF(LOWER($L25&amp;"")="yes",0,IF($K25&lt;&gt;"",$K25,IF($O25&lt;&gt;"",$O25,"")))))</f>
        <v/>
      </c>
      <c r="Q25" s="351">
        <f>IF($A25="","",IF($U25="Subscription","",IF($U25="Profit",$P25-$H25,0)))</f>
        <v/>
      </c>
      <c r="R25" s="349">
        <f>IF($A25="","",IF($U25="Subscription","",IF($U25="Draw",$H25,0)))</f>
        <v/>
      </c>
      <c r="S25" s="349">
        <f>IF($A25="","",IF($U25="Subscription","",IF($U25="Disqualified",$H25,0)))</f>
        <v/>
      </c>
      <c r="T25" s="380">
        <f>IF($A25="","",IF($U25="Subscription","",IF($H25=0,IF($U25="Profit","N/A",0),IF($U25="Profit",$Q25/$H25,IF($U25="Disqualified",-1,0)))))</f>
        <v/>
      </c>
      <c r="U25" s="351">
        <f>IF($A25="","",IF(OR(LOWER($D25&amp;"")="n/a",ISNUMBER(SEARCH("subscription",LOWER($A25&amp;" "&amp;$M25&amp;""))),ISNUMBER(SEARCH("membership",LOWER($A25&amp;" "&amp;$M25&amp;"")))),"Subscription",IF(LOWER($L25&amp;"")="yes","Disqualified",IF($P25&gt;$H25,"Profit","Draw"))))</f>
        <v/>
      </c>
      <c r="V25" s="383">
        <f>IF(OR($A25="",$B25="",$C25="",$U25="Subscription"),"",IFERROR(ROUNDUP((IF(ISNUMBER($C25),$C25,DATEVALUE($C25))-IF(ISNUMBER($B25),$B25,DATEVALUE($B25)))/7,0),""))</f>
        <v/>
      </c>
      <c r="W25" s="351">
        <f>IF($U25="Subscription","",$Q25-$S25)</f>
        <v/>
      </c>
      <c r="X25" s="384">
        <f>IF(OR($A25="",$U25="Subscription",$J25="",$I25="",$J25=0,$I25=0,$I25&gt;$J25),"",$J25-$I25)</f>
        <v/>
      </c>
      <c r="Y25" s="381">
        <f>IF(OR($A25="",$U25="Subscription",$J25="",$J25=0,$X25=""),"",$X25/$J25)</f>
        <v/>
      </c>
    </row>
    <row r="26" ht="21" customHeight="1" s="270">
      <c r="A26" s="297" t="n"/>
      <c r="B26" s="298" t="n"/>
      <c r="C26" s="298" t="n"/>
      <c r="D26" s="297" t="n"/>
      <c r="E26" s="349" t="n"/>
      <c r="F26" s="349" t="n"/>
      <c r="G26" s="349" t="n"/>
      <c r="H26" s="349" t="n"/>
      <c r="I26" s="382" t="n"/>
      <c r="J26" s="383" t="n"/>
      <c r="K26" s="351" t="n"/>
      <c r="L26" s="296" t="n"/>
      <c r="M26" s="349" t="n"/>
      <c r="N26" s="349">
        <f>IF($A26="","",IF(OR(LOWER($D26&amp;"")="n/a",ISNUMBER(SEARCH("subscription",LOWER($A26&amp;" "&amp;$M26&amp;""))),ISNUMBER(SEARCH("membership",LOWER($A26&amp;" "&amp;$M26&amp;"")))),"",IF($G26="","",IF(ISNUMBER(SEARCH("non",LOWER($E26&amp;""))),$G26*0.85,$G26))))</f>
        <v/>
      </c>
      <c r="O26" s="349">
        <f>IF($A26="","",IF(OR(LOWER($D26&amp;"")="n/a",ISNUMBER(SEARCH("subscription",LOWER($A26&amp;" "&amp;$M26&amp;""))),ISNUMBER(SEARCH("membership",LOWER($A26&amp;" "&amp;$M26&amp;"")))),"",IF(OR($N26="",$I26="",$I26=0),"",$N26/$I26)))</f>
        <v/>
      </c>
      <c r="P26" s="349">
        <f>IF($A26="","",IF(OR(LOWER($D26&amp;"")="n/a",ISNUMBER(SEARCH("subscription",LOWER($A26&amp;" "&amp;$M26&amp;""))),ISNUMBER(SEARCH("membership",LOWER($A26&amp;" "&amp;$M26&amp;"")))),"",IF(LOWER($L26&amp;"")="yes",0,IF($K26&lt;&gt;"",$K26,IF($O26&lt;&gt;"",$O26,"")))))</f>
        <v/>
      </c>
      <c r="Q26" s="351">
        <f>IF($A26="","",IF($U26="Subscription","",IF($U26="Profit",$P26-$H26,0)))</f>
        <v/>
      </c>
      <c r="R26" s="349">
        <f>IF($A26="","",IF($U26="Subscription","",IF($U26="Draw",$H26,0)))</f>
        <v/>
      </c>
      <c r="S26" s="349">
        <f>IF($A26="","",IF($U26="Subscription","",IF($U26="Disqualified",$H26,0)))</f>
        <v/>
      </c>
      <c r="T26" s="380">
        <f>IF($A26="","",IF($U26="Subscription","",IF($H26=0,IF($U26="Profit","N/A",0),IF($U26="Profit",$Q26/$H26,IF($U26="Disqualified",-1,0)))))</f>
        <v/>
      </c>
      <c r="U26" s="351">
        <f>IF($A26="","",IF(OR(LOWER($D26&amp;"")="n/a",ISNUMBER(SEARCH("subscription",LOWER($A26&amp;" "&amp;$M26&amp;""))),ISNUMBER(SEARCH("membership",LOWER($A26&amp;" "&amp;$M26&amp;"")))),"Subscription",IF(LOWER($L26&amp;"")="yes","Disqualified",IF($P26&gt;$H26,"Profit","Draw"))))</f>
        <v/>
      </c>
      <c r="V26" s="383">
        <f>IF(OR($A26="",$B26="",$C26="",$U26="Subscription"),"",IFERROR(ROUNDUP((IF(ISNUMBER($C26),$C26,DATEVALUE($C26))-IF(ISNUMBER($B26),$B26,DATEVALUE($B26)))/7,0),""))</f>
        <v/>
      </c>
      <c r="W26" s="351">
        <f>IF($U26="Subscription","",$Q26-$S26)</f>
        <v/>
      </c>
      <c r="X26" s="384">
        <f>IF(OR($A26="",$U26="Subscription",$J26="",$I26="",$J26=0,$I26=0,$I26&gt;$J26),"",$J26-$I26)</f>
        <v/>
      </c>
      <c r="Y26" s="381">
        <f>IF(OR($A26="",$U26="Subscription",$J26="",$J26=0,$X26=""),"",$X26/$J26)</f>
        <v/>
      </c>
    </row>
    <row r="27" ht="21" customHeight="1" s="270">
      <c r="A27" s="297" t="n"/>
      <c r="B27" s="298" t="n"/>
      <c r="C27" s="298" t="n"/>
      <c r="D27" s="297" t="n"/>
      <c r="E27" s="349" t="n"/>
      <c r="F27" s="349" t="n"/>
      <c r="G27" s="349" t="n"/>
      <c r="H27" s="349" t="n"/>
      <c r="I27" s="382" t="n"/>
      <c r="J27" s="383" t="n"/>
      <c r="K27" s="351" t="n"/>
      <c r="L27" s="296" t="n"/>
      <c r="M27" s="349" t="n"/>
      <c r="N27" s="349">
        <f>IF($A27="","",IF(OR(LOWER($D27&amp;"")="n/a",ISNUMBER(SEARCH("subscription",LOWER($A27&amp;" "&amp;$M27&amp;""))),ISNUMBER(SEARCH("membership",LOWER($A27&amp;" "&amp;$M27&amp;"")))),"",IF($G27="","",IF(ISNUMBER(SEARCH("non",LOWER($E27&amp;""))),$G27*0.85,$G27))))</f>
        <v/>
      </c>
      <c r="O27" s="349">
        <f>IF($A27="","",IF(OR(LOWER($D27&amp;"")="n/a",ISNUMBER(SEARCH("subscription",LOWER($A27&amp;" "&amp;$M27&amp;""))),ISNUMBER(SEARCH("membership",LOWER($A27&amp;" "&amp;$M27&amp;"")))),"",IF(OR($N27="",$I27="",$I27=0),"",$N27/$I27)))</f>
        <v/>
      </c>
      <c r="P27" s="349">
        <f>IF($A27="","",IF(OR(LOWER($D27&amp;"")="n/a",ISNUMBER(SEARCH("subscription",LOWER($A27&amp;" "&amp;$M27&amp;""))),ISNUMBER(SEARCH("membership",LOWER($A27&amp;" "&amp;$M27&amp;"")))),"",IF(LOWER($L27&amp;"")="yes",0,IF($K27&lt;&gt;"",$K27,IF($O27&lt;&gt;"",$O27,"")))))</f>
        <v/>
      </c>
      <c r="Q27" s="351">
        <f>IF($A27="","",IF($U27="Subscription","",IF($U27="Profit",$P27-$H27,0)))</f>
        <v/>
      </c>
      <c r="R27" s="349">
        <f>IF($A27="","",IF($U27="Subscription","",IF($U27="Draw",$H27,0)))</f>
        <v/>
      </c>
      <c r="S27" s="349">
        <f>IF($A27="","",IF($U27="Subscription","",IF($U27="Disqualified",$H27,0)))</f>
        <v/>
      </c>
      <c r="T27" s="380">
        <f>IF($A27="","",IF($U27="Subscription","",IF($H27=0,IF($U27="Profit","N/A",0),IF($U27="Profit",$Q27/$H27,IF($U27="Disqualified",-1,0)))))</f>
        <v/>
      </c>
      <c r="U27" s="351">
        <f>IF($A27="","",IF(OR(LOWER($D27&amp;"")="n/a",ISNUMBER(SEARCH("subscription",LOWER($A27&amp;" "&amp;$M27&amp;""))),ISNUMBER(SEARCH("membership",LOWER($A27&amp;" "&amp;$M27&amp;"")))),"Subscription",IF(LOWER($L27&amp;"")="yes","Disqualified",IF($P27&gt;$H27,"Profit","Draw"))))</f>
        <v/>
      </c>
      <c r="V27" s="383">
        <f>IF(OR($A27="",$B27="",$C27="",$U27="Subscription"),"",IFERROR(ROUNDUP((IF(ISNUMBER($C27),$C27,DATEVALUE($C27))-IF(ISNUMBER($B27),$B27,DATEVALUE($B27)))/7,0),""))</f>
        <v/>
      </c>
      <c r="W27" s="351">
        <f>IF($U27="Subscription","",$Q27-$S27)</f>
        <v/>
      </c>
      <c r="X27" s="384">
        <f>IF(OR($A27="",$U27="Subscription",$J27="",$I27="",$J27=0,$I27=0,$I27&gt;$J27),"",$J27-$I27)</f>
        <v/>
      </c>
      <c r="Y27" s="381">
        <f>IF(OR($A27="",$U27="Subscription",$J27="",$J27=0,$X27=""),"",$X27/$J27)</f>
        <v/>
      </c>
    </row>
    <row r="28" ht="21" customHeight="1" s="270">
      <c r="A28" s="297" t="n"/>
      <c r="B28" s="298" t="n"/>
      <c r="C28" s="298" t="n"/>
      <c r="D28" s="297" t="n"/>
      <c r="E28" s="349" t="n"/>
      <c r="F28" s="349" t="n"/>
      <c r="G28" s="349" t="n"/>
      <c r="H28" s="349" t="n"/>
      <c r="I28" s="382" t="n"/>
      <c r="J28" s="383" t="n"/>
      <c r="K28" s="351" t="n"/>
      <c r="L28" s="296" t="n"/>
      <c r="M28" s="349" t="n"/>
      <c r="N28" s="349">
        <f>IF($A28="","",IF(OR(LOWER($D28&amp;"")="n/a",ISNUMBER(SEARCH("subscription",LOWER($A28&amp;" "&amp;$M28&amp;""))),ISNUMBER(SEARCH("membership",LOWER($A28&amp;" "&amp;$M28&amp;"")))),"",IF($G28="","",IF(ISNUMBER(SEARCH("non",LOWER($E28&amp;""))),$G28*0.85,$G28))))</f>
        <v/>
      </c>
      <c r="O28" s="349">
        <f>IF($A28="","",IF(OR(LOWER($D28&amp;"")="n/a",ISNUMBER(SEARCH("subscription",LOWER($A28&amp;" "&amp;$M28&amp;""))),ISNUMBER(SEARCH("membership",LOWER($A28&amp;" "&amp;$M28&amp;"")))),"",IF(OR($N28="",$I28="",$I28=0),"",$N28/$I28)))</f>
        <v/>
      </c>
      <c r="P28" s="349">
        <f>IF($A28="","",IF(OR(LOWER($D28&amp;"")="n/a",ISNUMBER(SEARCH("subscription",LOWER($A28&amp;" "&amp;$M28&amp;""))),ISNUMBER(SEARCH("membership",LOWER($A28&amp;" "&amp;$M28&amp;"")))),"",IF(LOWER($L28&amp;"")="yes",0,IF($K28&lt;&gt;"",$K28,IF($O28&lt;&gt;"",$O28,"")))))</f>
        <v/>
      </c>
      <c r="Q28" s="351">
        <f>IF($A28="","",IF($U28="Subscription","",IF($U28="Profit",$P28-$H28,0)))</f>
        <v/>
      </c>
      <c r="R28" s="349">
        <f>IF($A28="","",IF($U28="Subscription","",IF($U28="Draw",$H28,0)))</f>
        <v/>
      </c>
      <c r="S28" s="349">
        <f>IF($A28="","",IF($U28="Subscription","",IF($U28="Disqualified",$H28,0)))</f>
        <v/>
      </c>
      <c r="T28" s="380">
        <f>IF($A28="","",IF($U28="Subscription","",IF($H28=0,IF($U28="Profit","N/A",0),IF($U28="Profit",$Q28/$H28,IF($U28="Disqualified",-1,0)))))</f>
        <v/>
      </c>
      <c r="U28" s="351">
        <f>IF($A28="","",IF(OR(LOWER($D28&amp;"")="n/a",ISNUMBER(SEARCH("subscription",LOWER($A28&amp;" "&amp;$M28&amp;""))),ISNUMBER(SEARCH("membership",LOWER($A28&amp;" "&amp;$M28&amp;"")))),"Subscription",IF(LOWER($L28&amp;"")="yes","Disqualified",IF($P28&gt;$H28,"Profit","Draw"))))</f>
        <v/>
      </c>
      <c r="V28" s="383">
        <f>IF(OR($A28="",$B28="",$C28="",$U28="Subscription"),"",IFERROR(ROUNDUP((IF(ISNUMBER($C28),$C28,DATEVALUE($C28))-IF(ISNUMBER($B28),$B28,DATEVALUE($B28)))/7,0),""))</f>
        <v/>
      </c>
      <c r="W28" s="351">
        <f>IF($U28="Subscription","",$Q28-$S28)</f>
        <v/>
      </c>
      <c r="X28" s="384">
        <f>IF(OR($A28="",$U28="Subscription",$J28="",$I28="",$J28=0,$I28=0,$I28&gt;$J28),"",$J28-$I28)</f>
        <v/>
      </c>
      <c r="Y28" s="381">
        <f>IF(OR($A28="",$U28="Subscription",$J28="",$J28=0,$X28=""),"",$X28/$J28)</f>
        <v/>
      </c>
    </row>
    <row r="29" ht="21" customHeight="1" s="270">
      <c r="A29" s="297" t="n"/>
      <c r="B29" s="298" t="n"/>
      <c r="C29" s="298" t="n"/>
      <c r="D29" s="297" t="n"/>
      <c r="E29" s="349" t="n"/>
      <c r="F29" s="349" t="n"/>
      <c r="G29" s="349" t="n"/>
      <c r="H29" s="349" t="n"/>
      <c r="I29" s="382" t="n"/>
      <c r="J29" s="383" t="n"/>
      <c r="K29" s="351" t="n"/>
      <c r="L29" s="296" t="n"/>
      <c r="M29" s="349" t="n"/>
      <c r="N29" s="349">
        <f>IF($A29="","",IF(OR(LOWER($D29&amp;"")="n/a",ISNUMBER(SEARCH("subscription",LOWER($A29&amp;" "&amp;$M29&amp;""))),ISNUMBER(SEARCH("membership",LOWER($A29&amp;" "&amp;$M29&amp;"")))),"",IF($G29="","",IF(ISNUMBER(SEARCH("non",LOWER($E29&amp;""))),$G29*0.85,$G29))))</f>
        <v/>
      </c>
      <c r="O29" s="349">
        <f>IF($A29="","",IF(OR(LOWER($D29&amp;"")="n/a",ISNUMBER(SEARCH("subscription",LOWER($A29&amp;" "&amp;$M29&amp;""))),ISNUMBER(SEARCH("membership",LOWER($A29&amp;" "&amp;$M29&amp;"")))),"",IF(OR($N29="",$I29="",$I29=0),"",$N29/$I29)))</f>
        <v/>
      </c>
      <c r="P29" s="349">
        <f>IF($A29="","",IF(OR(LOWER($D29&amp;"")="n/a",ISNUMBER(SEARCH("subscription",LOWER($A29&amp;" "&amp;$M29&amp;""))),ISNUMBER(SEARCH("membership",LOWER($A29&amp;" "&amp;$M29&amp;"")))),"",IF(LOWER($L29&amp;"")="yes",0,IF($K29&lt;&gt;"",$K29,IF($O29&lt;&gt;"",$O29,"")))))</f>
        <v/>
      </c>
      <c r="Q29" s="351">
        <f>IF($A29="","",IF($U29="Subscription","",IF($U29="Profit",$P29-$H29,0)))</f>
        <v/>
      </c>
      <c r="R29" s="349">
        <f>IF($A29="","",IF($U29="Subscription","",IF($U29="Draw",$H29,0)))</f>
        <v/>
      </c>
      <c r="S29" s="349">
        <f>IF($A29="","",IF($U29="Subscription","",IF($U29="Disqualified",$H29,0)))</f>
        <v/>
      </c>
      <c r="T29" s="380">
        <f>IF($A29="","",IF($U29="Subscription","",IF($H29=0,IF($U29="Profit","N/A",0),IF($U29="Profit",$Q29/$H29,IF($U29="Disqualified",-1,0)))))</f>
        <v/>
      </c>
      <c r="U29" s="351">
        <f>IF($A29="","",IF(OR(LOWER($D29&amp;"")="n/a",ISNUMBER(SEARCH("subscription",LOWER($A29&amp;" "&amp;$M29&amp;""))),ISNUMBER(SEARCH("membership",LOWER($A29&amp;" "&amp;$M29&amp;"")))),"Subscription",IF(LOWER($L29&amp;"")="yes","Disqualified",IF($P29&gt;$H29,"Profit","Draw"))))</f>
        <v/>
      </c>
      <c r="V29" s="383">
        <f>IF(OR($A29="",$B29="",$C29="",$U29="Subscription"),"",IFERROR(ROUNDUP((IF(ISNUMBER($C29),$C29,DATEVALUE($C29))-IF(ISNUMBER($B29),$B29,DATEVALUE($B29)))/7,0),""))</f>
        <v/>
      </c>
      <c r="W29" s="351">
        <f>IF($U29="Subscription","",$Q29-$S29)</f>
        <v/>
      </c>
      <c r="X29" s="384">
        <f>IF(OR($A29="",$U29="Subscription",$J29="",$I29="",$J29=0,$I29=0,$I29&gt;$J29),"",$J29-$I29)</f>
        <v/>
      </c>
      <c r="Y29" s="381">
        <f>IF(OR($A29="",$U29="Subscription",$J29="",$J29=0,$X29=""),"",$X29/$J29)</f>
        <v/>
      </c>
    </row>
    <row r="30" ht="21" customHeight="1" s="270">
      <c r="A30" s="297" t="n"/>
      <c r="B30" s="298" t="n"/>
      <c r="C30" s="298" t="n"/>
      <c r="D30" s="297" t="n"/>
      <c r="E30" s="349" t="n"/>
      <c r="F30" s="349" t="n"/>
      <c r="G30" s="349" t="n"/>
      <c r="H30" s="349" t="n"/>
      <c r="I30" s="382" t="n"/>
      <c r="J30" s="383" t="n"/>
      <c r="K30" s="351" t="n"/>
      <c r="L30" s="296" t="n"/>
      <c r="M30" s="349" t="n"/>
      <c r="N30" s="349">
        <f>IF($A30="","",IF(OR(LOWER($D30&amp;"")="n/a",ISNUMBER(SEARCH("subscription",LOWER($A30&amp;" "&amp;$M30&amp;""))),ISNUMBER(SEARCH("membership",LOWER($A30&amp;" "&amp;$M30&amp;"")))),"",IF($G30="","",IF(ISNUMBER(SEARCH("non",LOWER($E30&amp;""))),$G30*0.85,$G30))))</f>
        <v/>
      </c>
      <c r="O30" s="349">
        <f>IF($A30="","",IF(OR(LOWER($D30&amp;"")="n/a",ISNUMBER(SEARCH("subscription",LOWER($A30&amp;" "&amp;$M30&amp;""))),ISNUMBER(SEARCH("membership",LOWER($A30&amp;" "&amp;$M30&amp;"")))),"",IF(OR($N30="",$I30="",$I30=0),"",$N30/$I30)))</f>
        <v/>
      </c>
      <c r="P30" s="349">
        <f>IF($A30="","",IF(OR(LOWER($D30&amp;"")="n/a",ISNUMBER(SEARCH("subscription",LOWER($A30&amp;" "&amp;$M30&amp;""))),ISNUMBER(SEARCH("membership",LOWER($A30&amp;" "&amp;$M30&amp;"")))),"",IF(LOWER($L30&amp;"")="yes",0,IF($K30&lt;&gt;"",$K30,IF($O30&lt;&gt;"",$O30,"")))))</f>
        <v/>
      </c>
      <c r="Q30" s="351">
        <f>IF($A30="","",IF($U30="Subscription","",IF($U30="Profit",$P30-$H30,0)))</f>
        <v/>
      </c>
      <c r="R30" s="349">
        <f>IF($A30="","",IF($U30="Subscription","",IF($U30="Draw",$H30,0)))</f>
        <v/>
      </c>
      <c r="S30" s="349">
        <f>IF($A30="","",IF($U30="Subscription","",IF($U30="Disqualified",$H30,0)))</f>
        <v/>
      </c>
      <c r="T30" s="380">
        <f>IF($A30="","",IF($U30="Subscription","",IF($H30=0,IF($U30="Profit","N/A",0),IF($U30="Profit",$Q30/$H30,IF($U30="Disqualified",-1,0)))))</f>
        <v/>
      </c>
      <c r="U30" s="351">
        <f>IF($A30="","",IF(OR(LOWER($D30&amp;"")="n/a",ISNUMBER(SEARCH("subscription",LOWER($A30&amp;" "&amp;$M30&amp;""))),ISNUMBER(SEARCH("membership",LOWER($A30&amp;" "&amp;$M30&amp;"")))),"Subscription",IF(LOWER($L30&amp;"")="yes","Disqualified",IF($P30&gt;$H30,"Profit","Draw"))))</f>
        <v/>
      </c>
      <c r="V30" s="383">
        <f>IF(OR($A30="",$B30="",$C30="",$U30="Subscription"),"",IFERROR(ROUNDUP((IF(ISNUMBER($C30),$C30,DATEVALUE($C30))-IF(ISNUMBER($B30),$B30,DATEVALUE($B30)))/7,0),""))</f>
        <v/>
      </c>
      <c r="W30" s="351">
        <f>IF($U30="Subscription","",$Q30-$S30)</f>
        <v/>
      </c>
      <c r="X30" s="384">
        <f>IF(OR($A30="",$U30="Subscription",$J30="",$I30="",$J30=0,$I30=0,$I30&gt;$J30),"",$J30-$I30)</f>
        <v/>
      </c>
      <c r="Y30" s="381">
        <f>IF(OR($A30="",$U30="Subscription",$J30="",$J30=0,$X30=""),"",$X30/$J30)</f>
        <v/>
      </c>
    </row>
    <row r="31" ht="21" customHeight="1" s="270">
      <c r="A31" s="297" t="n"/>
      <c r="B31" s="298" t="n"/>
      <c r="C31" s="298" t="n"/>
      <c r="D31" s="297" t="n"/>
      <c r="E31" s="349" t="n"/>
      <c r="F31" s="349" t="n"/>
      <c r="G31" s="349" t="n"/>
      <c r="H31" s="349" t="n"/>
      <c r="I31" s="382" t="n"/>
      <c r="J31" s="383" t="n"/>
      <c r="K31" s="351" t="n"/>
      <c r="L31" s="296" t="n"/>
      <c r="M31" s="349" t="n"/>
      <c r="N31" s="349">
        <f>IF($A31="","",IF(OR(LOWER($D31&amp;"")="n/a",ISNUMBER(SEARCH("subscription",LOWER($A31&amp;" "&amp;$M31&amp;""))),ISNUMBER(SEARCH("membership",LOWER($A31&amp;" "&amp;$M31&amp;"")))),"",IF($G31="","",IF(ISNUMBER(SEARCH("non",LOWER($E31&amp;""))),$G31*0.85,$G31))))</f>
        <v/>
      </c>
      <c r="O31" s="349">
        <f>IF($A31="","",IF(OR(LOWER($D31&amp;"")="n/a",ISNUMBER(SEARCH("subscription",LOWER($A31&amp;" "&amp;$M31&amp;""))),ISNUMBER(SEARCH("membership",LOWER($A31&amp;" "&amp;$M31&amp;"")))),"",IF(OR($N31="",$I31="",$I31=0),"",$N31/$I31)))</f>
        <v/>
      </c>
      <c r="P31" s="349">
        <f>IF($A31="","",IF(OR(LOWER($D31&amp;"")="n/a",ISNUMBER(SEARCH("subscription",LOWER($A31&amp;" "&amp;$M31&amp;""))),ISNUMBER(SEARCH("membership",LOWER($A31&amp;" "&amp;$M31&amp;"")))),"",IF(LOWER($L31&amp;"")="yes",0,IF($K31&lt;&gt;"",$K31,IF($O31&lt;&gt;"",$O31,"")))))</f>
        <v/>
      </c>
      <c r="Q31" s="351">
        <f>IF($A31="","",IF($U31="Subscription","",IF($U31="Profit",$P31-$H31,0)))</f>
        <v/>
      </c>
      <c r="R31" s="349">
        <f>IF($A31="","",IF($U31="Subscription","",IF($U31="Draw",$H31,0)))</f>
        <v/>
      </c>
      <c r="S31" s="349">
        <f>IF($A31="","",IF($U31="Subscription","",IF($U31="Disqualified",$H31,0)))</f>
        <v/>
      </c>
      <c r="T31" s="380">
        <f>IF($A31="","",IF($U31="Subscription","",IF($H31=0,IF($U31="Profit","N/A",0),IF($U31="Profit",$Q31/$H31,IF($U31="Disqualified",-1,0)))))</f>
        <v/>
      </c>
      <c r="U31" s="351">
        <f>IF($A31="","",IF(OR(LOWER($D31&amp;"")="n/a",ISNUMBER(SEARCH("subscription",LOWER($A31&amp;" "&amp;$M31&amp;""))),ISNUMBER(SEARCH("membership",LOWER($A31&amp;" "&amp;$M31&amp;"")))),"Subscription",IF(LOWER($L31&amp;"")="yes","Disqualified",IF($P31&gt;$H31,"Profit","Draw"))))</f>
        <v/>
      </c>
      <c r="V31" s="383">
        <f>IF(OR($A31="",$B31="",$C31="",$U31="Subscription"),"",IFERROR(ROUNDUP((IF(ISNUMBER($C31),$C31,DATEVALUE($C31))-IF(ISNUMBER($B31),$B31,DATEVALUE($B31)))/7,0),""))</f>
        <v/>
      </c>
      <c r="W31" s="351">
        <f>IF($U31="Subscription","",$Q31-$S31)</f>
        <v/>
      </c>
      <c r="X31" s="384">
        <f>IF(OR($A31="",$U31="Subscription",$J31="",$I31="",$J31=0,$I31=0,$I31&gt;$J31),"",$J31-$I31)</f>
        <v/>
      </c>
      <c r="Y31" s="381">
        <f>IF(OR($A31="",$U31="Subscription",$J31="",$J31=0,$X31=""),"",$X31/$J31)</f>
        <v/>
      </c>
    </row>
    <row r="32" ht="21" customHeight="1" s="270">
      <c r="A32" s="297" t="n"/>
      <c r="B32" s="298" t="n"/>
      <c r="C32" s="298" t="n"/>
      <c r="D32" s="297" t="n"/>
      <c r="E32" s="349" t="n"/>
      <c r="F32" s="349" t="n"/>
      <c r="G32" s="349" t="n"/>
      <c r="H32" s="349" t="n"/>
      <c r="I32" s="382" t="n"/>
      <c r="J32" s="383" t="n"/>
      <c r="K32" s="351" t="n"/>
      <c r="L32" s="296" t="n"/>
      <c r="M32" s="349" t="n"/>
      <c r="N32" s="349">
        <f>IF($A32="","",IF(OR(LOWER($D32&amp;"")="n/a",ISNUMBER(SEARCH("subscription",LOWER($A32&amp;" "&amp;$M32&amp;""))),ISNUMBER(SEARCH("membership",LOWER($A32&amp;" "&amp;$M32&amp;"")))),"",IF($G32="","",IF(ISNUMBER(SEARCH("non",LOWER($E32&amp;""))),$G32*0.85,$G32))))</f>
        <v/>
      </c>
      <c r="O32" s="349">
        <f>IF($A32="","",IF(OR(LOWER($D32&amp;"")="n/a",ISNUMBER(SEARCH("subscription",LOWER($A32&amp;" "&amp;$M32&amp;""))),ISNUMBER(SEARCH("membership",LOWER($A32&amp;" "&amp;$M32&amp;"")))),"",IF(OR($N32="",$I32="",$I32=0),"",$N32/$I32)))</f>
        <v/>
      </c>
      <c r="P32" s="349">
        <f>IF($A32="","",IF(OR(LOWER($D32&amp;"")="n/a",ISNUMBER(SEARCH("subscription",LOWER($A32&amp;" "&amp;$M32&amp;""))),ISNUMBER(SEARCH("membership",LOWER($A32&amp;" "&amp;$M32&amp;"")))),"",IF(LOWER($L32&amp;"")="yes",0,IF($K32&lt;&gt;"",$K32,IF($O32&lt;&gt;"",$O32,"")))))</f>
        <v/>
      </c>
      <c r="Q32" s="351">
        <f>IF($A32="","",IF($U32="Subscription","",IF($U32="Profit",$P32-$H32,0)))</f>
        <v/>
      </c>
      <c r="R32" s="349">
        <f>IF($A32="","",IF($U32="Subscription","",IF($U32="Draw",$H32,0)))</f>
        <v/>
      </c>
      <c r="S32" s="349">
        <f>IF($A32="","",IF($U32="Subscription","",IF($U32="Disqualified",$H32,0)))</f>
        <v/>
      </c>
      <c r="T32" s="380">
        <f>IF($A32="","",IF($U32="Subscription","",IF($H32=0,IF($U32="Profit","N/A",0),IF($U32="Profit",$Q32/$H32,IF($U32="Disqualified",-1,0)))))</f>
        <v/>
      </c>
      <c r="U32" s="351">
        <f>IF($A32="","",IF(OR(LOWER($D32&amp;"")="n/a",ISNUMBER(SEARCH("subscription",LOWER($A32&amp;" "&amp;$M32&amp;""))),ISNUMBER(SEARCH("membership",LOWER($A32&amp;" "&amp;$M32&amp;"")))),"Subscription",IF(LOWER($L32&amp;"")="yes","Disqualified",IF($P32&gt;$H32,"Profit","Draw"))))</f>
        <v/>
      </c>
      <c r="V32" s="383">
        <f>IF(OR($A32="",$B32="",$C32="",$U32="Subscription"),"",IFERROR(ROUNDUP((IF(ISNUMBER($C32),$C32,DATEVALUE($C32))-IF(ISNUMBER($B32),$B32,DATEVALUE($B32)))/7,0),""))</f>
        <v/>
      </c>
      <c r="W32" s="351">
        <f>IF($U32="Subscription","",$Q32-$S32)</f>
        <v/>
      </c>
      <c r="X32" s="384">
        <f>IF(OR($A32="",$U32="Subscription",$J32="",$I32="",$J32=0,$I32=0,$I32&gt;$J32),"",$J32-$I32)</f>
        <v/>
      </c>
      <c r="Y32" s="381">
        <f>IF(OR($A32="",$U32="Subscription",$J32="",$J32=0,$X32=""),"",$X32/$J32)</f>
        <v/>
      </c>
    </row>
    <row r="33" ht="21" customHeight="1" s="270">
      <c r="A33" s="297" t="n"/>
      <c r="B33" s="298" t="n"/>
      <c r="C33" s="298" t="n"/>
      <c r="D33" s="297" t="n"/>
      <c r="E33" s="349" t="n"/>
      <c r="F33" s="349" t="n"/>
      <c r="G33" s="349" t="n"/>
      <c r="H33" s="349" t="n"/>
      <c r="I33" s="382" t="n"/>
      <c r="J33" s="383" t="n"/>
      <c r="K33" s="351" t="n"/>
      <c r="L33" s="296" t="n"/>
      <c r="M33" s="349" t="n"/>
      <c r="N33" s="349">
        <f>IF($A33="","",IF(OR(LOWER($D33&amp;"")="n/a",ISNUMBER(SEARCH("subscription",LOWER($A33&amp;" "&amp;$M33&amp;""))),ISNUMBER(SEARCH("membership",LOWER($A33&amp;" "&amp;$M33&amp;"")))),"",IF($G33="","",IF(ISNUMBER(SEARCH("non",LOWER($E33&amp;""))),$G33*0.85,$G33))))</f>
        <v/>
      </c>
      <c r="O33" s="349">
        <f>IF($A33="","",IF(OR(LOWER($D33&amp;"")="n/a",ISNUMBER(SEARCH("subscription",LOWER($A33&amp;" "&amp;$M33&amp;""))),ISNUMBER(SEARCH("membership",LOWER($A33&amp;" "&amp;$M33&amp;"")))),"",IF(OR($N33="",$I33="",$I33=0),"",$N33/$I33)))</f>
        <v/>
      </c>
      <c r="P33" s="349">
        <f>IF($A33="","",IF(OR(LOWER($D33&amp;"")="n/a",ISNUMBER(SEARCH("subscription",LOWER($A33&amp;" "&amp;$M33&amp;""))),ISNUMBER(SEARCH("membership",LOWER($A33&amp;" "&amp;$M33&amp;"")))),"",IF(LOWER($L33&amp;"")="yes",0,IF($K33&lt;&gt;"",$K33,IF($O33&lt;&gt;"",$O33,"")))))</f>
        <v/>
      </c>
      <c r="Q33" s="351">
        <f>IF($A33="","",IF($U33="Subscription","",IF($U33="Profit",$P33-$H33,0)))</f>
        <v/>
      </c>
      <c r="R33" s="349">
        <f>IF($A33="","",IF($U33="Subscription","",IF($U33="Draw",$H33,0)))</f>
        <v/>
      </c>
      <c r="S33" s="349">
        <f>IF($A33="","",IF($U33="Subscription","",IF($U33="Disqualified",$H33,0)))</f>
        <v/>
      </c>
      <c r="T33" s="380">
        <f>IF($A33="","",IF($U33="Subscription","",IF($H33=0,IF($U33="Profit","N/A",0),IF($U33="Profit",$Q33/$H33,IF($U33="Disqualified",-1,0)))))</f>
        <v/>
      </c>
      <c r="U33" s="351">
        <f>IF($A33="","",IF(OR(LOWER($D33&amp;"")="n/a",ISNUMBER(SEARCH("subscription",LOWER($A33&amp;" "&amp;$M33&amp;""))),ISNUMBER(SEARCH("membership",LOWER($A33&amp;" "&amp;$M33&amp;"")))),"Subscription",IF(LOWER($L33&amp;"")="yes","Disqualified",IF($P33&gt;$H33,"Profit","Draw"))))</f>
        <v/>
      </c>
      <c r="V33" s="383">
        <f>IF(OR($A33="",$B33="",$C33="",$U33="Subscription"),"",IFERROR(ROUNDUP((IF(ISNUMBER($C33),$C33,DATEVALUE($C33))-IF(ISNUMBER($B33),$B33,DATEVALUE($B33)))/7,0),""))</f>
        <v/>
      </c>
      <c r="W33" s="351">
        <f>IF($U33="Subscription","",$Q33-$S33)</f>
        <v/>
      </c>
      <c r="X33" s="384">
        <f>IF(OR($A33="",$U33="Subscription",$J33="",$I33="",$J33=0,$I33=0,$I33&gt;$J33),"",$J33-$I33)</f>
        <v/>
      </c>
      <c r="Y33" s="381">
        <f>IF(OR($A33="",$U33="Subscription",$J33="",$J33=0,$X33=""),"",$X33/$J33)</f>
        <v/>
      </c>
    </row>
    <row r="34" ht="21" customHeight="1" s="270">
      <c r="A34" s="297" t="n"/>
      <c r="B34" s="298" t="n"/>
      <c r="C34" s="298" t="n"/>
      <c r="D34" s="297" t="n"/>
      <c r="E34" s="349" t="n"/>
      <c r="F34" s="349" t="n"/>
      <c r="G34" s="349" t="n"/>
      <c r="H34" s="349" t="n"/>
      <c r="I34" s="382" t="n"/>
      <c r="J34" s="383" t="n"/>
      <c r="K34" s="351" t="n"/>
      <c r="L34" s="296" t="n"/>
      <c r="M34" s="349" t="n"/>
      <c r="N34" s="349">
        <f>IF($A34="","",IF(OR(LOWER($D34&amp;"")="n/a",ISNUMBER(SEARCH("subscription",LOWER($A34&amp;" "&amp;$M34&amp;""))),ISNUMBER(SEARCH("membership",LOWER($A34&amp;" "&amp;$M34&amp;"")))),"",IF($G34="","",IF(ISNUMBER(SEARCH("non",LOWER($E34&amp;""))),$G34*0.85,$G34))))</f>
        <v/>
      </c>
      <c r="O34" s="349">
        <f>IF($A34="","",IF(OR(LOWER($D34&amp;"")="n/a",ISNUMBER(SEARCH("subscription",LOWER($A34&amp;" "&amp;$M34&amp;""))),ISNUMBER(SEARCH("membership",LOWER($A34&amp;" "&amp;$M34&amp;"")))),"",IF(OR($N34="",$I34="",$I34=0),"",$N34/$I34)))</f>
        <v/>
      </c>
      <c r="P34" s="349">
        <f>IF($A34="","",IF(OR(LOWER($D34&amp;"")="n/a",ISNUMBER(SEARCH("subscription",LOWER($A34&amp;" "&amp;$M34&amp;""))),ISNUMBER(SEARCH("membership",LOWER($A34&amp;" "&amp;$M34&amp;"")))),"",IF(LOWER($L34&amp;"")="yes",0,IF($K34&lt;&gt;"",$K34,IF($O34&lt;&gt;"",$O34,"")))))</f>
        <v/>
      </c>
      <c r="Q34" s="351">
        <f>IF($A34="","",IF($U34="Subscription","",IF($U34="Profit",$P34-$H34,0)))</f>
        <v/>
      </c>
      <c r="R34" s="349">
        <f>IF($A34="","",IF($U34="Subscription","",IF($U34="Draw",$H34,0)))</f>
        <v/>
      </c>
      <c r="S34" s="349">
        <f>IF($A34="","",IF($U34="Subscription","",IF($U34="Disqualified",$H34,0)))</f>
        <v/>
      </c>
      <c r="T34" s="380">
        <f>IF($A34="","",IF($U34="Subscription","",IF($H34=0,IF($U34="Profit","N/A",0),IF($U34="Profit",$Q34/$H34,IF($U34="Disqualified",-1,0)))))</f>
        <v/>
      </c>
      <c r="U34" s="351">
        <f>IF($A34="","",IF(OR(LOWER($D34&amp;"")="n/a",ISNUMBER(SEARCH("subscription",LOWER($A34&amp;" "&amp;$M34&amp;""))),ISNUMBER(SEARCH("membership",LOWER($A34&amp;" "&amp;$M34&amp;"")))),"Subscription",IF(LOWER($L34&amp;"")="yes","Disqualified",IF($P34&gt;$H34,"Profit","Draw"))))</f>
        <v/>
      </c>
      <c r="V34" s="383">
        <f>IF(OR($A34="",$B34="",$C34="",$U34="Subscription"),"",IFERROR(ROUNDUP((IF(ISNUMBER($C34),$C34,DATEVALUE($C34))-IF(ISNUMBER($B34),$B34,DATEVALUE($B34)))/7,0),""))</f>
        <v/>
      </c>
      <c r="W34" s="351">
        <f>IF($U34="Subscription","",$Q34-$S34)</f>
        <v/>
      </c>
      <c r="X34" s="384">
        <f>IF(OR($A34="",$U34="Subscription",$J34="",$I34="",$J34=0,$I34=0,$I34&gt;$J34),"",$J34-$I34)</f>
        <v/>
      </c>
      <c r="Y34" s="381">
        <f>IF(OR($A34="",$U34="Subscription",$J34="",$J34=0,$X34=""),"",$X34/$J34)</f>
        <v/>
      </c>
    </row>
    <row r="35" ht="21" customHeight="1" s="270">
      <c r="A35" s="297" t="n"/>
      <c r="B35" s="298" t="n"/>
      <c r="C35" s="298" t="n"/>
      <c r="D35" s="297" t="n"/>
      <c r="E35" s="349" t="n"/>
      <c r="F35" s="349" t="n"/>
      <c r="G35" s="349" t="n"/>
      <c r="H35" s="349" t="n"/>
      <c r="I35" s="382" t="n"/>
      <c r="J35" s="383" t="n"/>
      <c r="K35" s="351" t="n"/>
      <c r="L35" s="296" t="n"/>
      <c r="M35" s="349" t="n"/>
      <c r="N35" s="349">
        <f>IF($A35="","",IF(OR(LOWER($D35&amp;"")="n/a",ISNUMBER(SEARCH("subscription",LOWER($A35&amp;" "&amp;$M35&amp;""))),ISNUMBER(SEARCH("membership",LOWER($A35&amp;" "&amp;$M35&amp;"")))),"",IF($G35="","",IF(ISNUMBER(SEARCH("non",LOWER($E35&amp;""))),$G35*0.85,$G35))))</f>
        <v/>
      </c>
      <c r="O35" s="349">
        <f>IF($A35="","",IF(OR(LOWER($D35&amp;"")="n/a",ISNUMBER(SEARCH("subscription",LOWER($A35&amp;" "&amp;$M35&amp;""))),ISNUMBER(SEARCH("membership",LOWER($A35&amp;" "&amp;$M35&amp;"")))),"",IF(OR($N35="",$I35="",$I35=0),"",$N35/$I35)))</f>
        <v/>
      </c>
      <c r="P35" s="349">
        <f>IF($A35="","",IF(OR(LOWER($D35&amp;"")="n/a",ISNUMBER(SEARCH("subscription",LOWER($A35&amp;" "&amp;$M35&amp;""))),ISNUMBER(SEARCH("membership",LOWER($A35&amp;" "&amp;$M35&amp;"")))),"",IF(LOWER($L35&amp;"")="yes",0,IF($K35&lt;&gt;"",$K35,IF($O35&lt;&gt;"",$O35,"")))))</f>
        <v/>
      </c>
      <c r="Q35" s="351">
        <f>IF($A35="","",IF($U35="Subscription","",IF($U35="Profit",$P35-$H35,0)))</f>
        <v/>
      </c>
      <c r="R35" s="349">
        <f>IF($A35="","",IF($U35="Subscription","",IF($U35="Draw",$H35,0)))</f>
        <v/>
      </c>
      <c r="S35" s="349">
        <f>IF($A35="","",IF($U35="Subscription","",IF($U35="Disqualified",$H35,0)))</f>
        <v/>
      </c>
      <c r="T35" s="380">
        <f>IF($A35="","",IF($U35="Subscription","",IF($H35=0,IF($U35="Profit","N/A",0),IF($U35="Profit",$Q35/$H35,IF($U35="Disqualified",-1,0)))))</f>
        <v/>
      </c>
      <c r="U35" s="351">
        <f>IF($A35="","",IF(OR(LOWER($D35&amp;"")="n/a",ISNUMBER(SEARCH("subscription",LOWER($A35&amp;" "&amp;$M35&amp;""))),ISNUMBER(SEARCH("membership",LOWER($A35&amp;" "&amp;$M35&amp;"")))),"Subscription",IF(LOWER($L35&amp;"")="yes","Disqualified",IF($P35&gt;$H35,"Profit","Draw"))))</f>
        <v/>
      </c>
      <c r="V35" s="383">
        <f>IF(OR($A35="",$B35="",$C35="",$U35="Subscription"),"",IFERROR(ROUNDUP((IF(ISNUMBER($C35),$C35,DATEVALUE($C35))-IF(ISNUMBER($B35),$B35,DATEVALUE($B35)))/7,0),""))</f>
        <v/>
      </c>
      <c r="W35" s="351">
        <f>IF($U35="Subscription","",$Q35-$S35)</f>
        <v/>
      </c>
      <c r="X35" s="384">
        <f>IF(OR($A35="",$U35="Subscription",$J35="",$I35="",$J35=0,$I35=0,$I35&gt;$J35),"",$J35-$I35)</f>
        <v/>
      </c>
      <c r="Y35" s="381">
        <f>IF(OR($A35="",$U35="Subscription",$J35="",$J35=0,$X35=""),"",$X35/$J35)</f>
        <v/>
      </c>
    </row>
    <row r="36" ht="21" customHeight="1" s="270">
      <c r="A36" s="297" t="n"/>
      <c r="B36" s="298" t="n"/>
      <c r="C36" s="298" t="n"/>
      <c r="D36" s="297" t="n"/>
      <c r="E36" s="349" t="n"/>
      <c r="F36" s="349" t="n"/>
      <c r="G36" s="349" t="n"/>
      <c r="H36" s="349" t="n"/>
      <c r="I36" s="382" t="n"/>
      <c r="J36" s="383" t="n"/>
      <c r="K36" s="351" t="n"/>
      <c r="L36" s="296" t="n"/>
      <c r="M36" s="349" t="n"/>
      <c r="N36" s="349">
        <f>IF($A36="","",IF(OR(LOWER($D36&amp;"")="n/a",ISNUMBER(SEARCH("subscription",LOWER($A36&amp;" "&amp;$M36&amp;""))),ISNUMBER(SEARCH("membership",LOWER($A36&amp;" "&amp;$M36&amp;"")))),"",IF($G36="","",IF(ISNUMBER(SEARCH("non",LOWER($E36&amp;""))),$G36*0.85,$G36))))</f>
        <v/>
      </c>
      <c r="O36" s="349">
        <f>IF($A36="","",IF(OR(LOWER($D36&amp;"")="n/a",ISNUMBER(SEARCH("subscription",LOWER($A36&amp;" "&amp;$M36&amp;""))),ISNUMBER(SEARCH("membership",LOWER($A36&amp;" "&amp;$M36&amp;"")))),"",IF(OR($N36="",$I36="",$I36=0),"",$N36/$I36)))</f>
        <v/>
      </c>
      <c r="P36" s="349">
        <f>IF($A36="","",IF(OR(LOWER($D36&amp;"")="n/a",ISNUMBER(SEARCH("subscription",LOWER($A36&amp;" "&amp;$M36&amp;""))),ISNUMBER(SEARCH("membership",LOWER($A36&amp;" "&amp;$M36&amp;"")))),"",IF(LOWER($L36&amp;"")="yes",0,IF($K36&lt;&gt;"",$K36,IF($O36&lt;&gt;"",$O36,"")))))</f>
        <v/>
      </c>
      <c r="Q36" s="351">
        <f>IF($A36="","",IF($U36="Subscription","",IF($U36="Profit",$P36-$H36,0)))</f>
        <v/>
      </c>
      <c r="R36" s="349">
        <f>IF($A36="","",IF($U36="Subscription","",IF($U36="Draw",$H36,0)))</f>
        <v/>
      </c>
      <c r="S36" s="349">
        <f>IF($A36="","",IF($U36="Subscription","",IF($U36="Disqualified",$H36,0)))</f>
        <v/>
      </c>
      <c r="T36" s="380">
        <f>IF($A36="","",IF($U36="Subscription","",IF($H36=0,IF($U36="Profit","N/A",0),IF($U36="Profit",$Q36/$H36,IF($U36="Disqualified",-1,0)))))</f>
        <v/>
      </c>
      <c r="U36" s="351">
        <f>IF($A36="","",IF(OR(LOWER($D36&amp;"")="n/a",ISNUMBER(SEARCH("subscription",LOWER($A36&amp;" "&amp;$M36&amp;""))),ISNUMBER(SEARCH("membership",LOWER($A36&amp;" "&amp;$M36&amp;"")))),"Subscription",IF(LOWER($L36&amp;"")="yes","Disqualified",IF($P36&gt;$H36,"Profit","Draw"))))</f>
        <v/>
      </c>
      <c r="V36" s="383">
        <f>IF(OR($A36="",$B36="",$C36="",$U36="Subscription"),"",IFERROR(ROUNDUP((IF(ISNUMBER($C36),$C36,DATEVALUE($C36))-IF(ISNUMBER($B36),$B36,DATEVALUE($B36)))/7,0),""))</f>
        <v/>
      </c>
      <c r="W36" s="351">
        <f>IF($U36="Subscription","",$Q36-$S36)</f>
        <v/>
      </c>
      <c r="X36" s="384">
        <f>IF(OR($A36="",$U36="Subscription",$J36="",$I36="",$J36=0,$I36=0,$I36&gt;$J36),"",$J36-$I36)</f>
        <v/>
      </c>
      <c r="Y36" s="381">
        <f>IF(OR($A36="",$U36="Subscription",$J36="",$J36=0,$X36=""),"",$X36/$J36)</f>
        <v/>
      </c>
    </row>
    <row r="37" ht="21" customHeight="1" s="270">
      <c r="A37" s="297" t="n"/>
      <c r="B37" s="298" t="n"/>
      <c r="C37" s="298" t="n"/>
      <c r="D37" s="297" t="n"/>
      <c r="E37" s="349" t="n"/>
      <c r="F37" s="349" t="n"/>
      <c r="G37" s="349" t="n"/>
      <c r="H37" s="349" t="n"/>
      <c r="I37" s="382" t="n"/>
      <c r="J37" s="383" t="n"/>
      <c r="K37" s="351" t="n"/>
      <c r="L37" s="296" t="n"/>
      <c r="M37" s="349" t="n"/>
      <c r="N37" s="349">
        <f>IF($A37="","",IF(OR(LOWER($D37&amp;"")="n/a",ISNUMBER(SEARCH("subscription",LOWER($A37&amp;" "&amp;$M37&amp;""))),ISNUMBER(SEARCH("membership",LOWER($A37&amp;" "&amp;$M37&amp;"")))),"",IF($G37="","",IF(ISNUMBER(SEARCH("non",LOWER($E37&amp;""))),$G37*0.85,$G37))))</f>
        <v/>
      </c>
      <c r="O37" s="349">
        <f>IF($A37="","",IF(OR(LOWER($D37&amp;"")="n/a",ISNUMBER(SEARCH("subscription",LOWER($A37&amp;" "&amp;$M37&amp;""))),ISNUMBER(SEARCH("membership",LOWER($A37&amp;" "&amp;$M37&amp;"")))),"",IF(OR($N37="",$I37="",$I37=0),"",$N37/$I37)))</f>
        <v/>
      </c>
      <c r="P37" s="349">
        <f>IF($A37="","",IF(OR(LOWER($D37&amp;"")="n/a",ISNUMBER(SEARCH("subscription",LOWER($A37&amp;" "&amp;$M37&amp;""))),ISNUMBER(SEARCH("membership",LOWER($A37&amp;" "&amp;$M37&amp;"")))),"",IF(LOWER($L37&amp;"")="yes",0,IF($K37&lt;&gt;"",$K37,IF($O37&lt;&gt;"",$O37,"")))))</f>
        <v/>
      </c>
      <c r="Q37" s="351">
        <f>IF($A37="","",IF($U37="Subscription","",IF($U37="Profit",$P37-$H37,0)))</f>
        <v/>
      </c>
      <c r="R37" s="349">
        <f>IF($A37="","",IF($U37="Subscription","",IF($U37="Draw",$H37,0)))</f>
        <v/>
      </c>
      <c r="S37" s="349">
        <f>IF($A37="","",IF($U37="Subscription","",IF($U37="Disqualified",$H37,0)))</f>
        <v/>
      </c>
      <c r="T37" s="380">
        <f>IF($A37="","",IF($U37="Subscription","",IF($H37=0,IF($U37="Profit","N/A",0),IF($U37="Profit",$Q37/$H37,IF($U37="Disqualified",-1,0)))))</f>
        <v/>
      </c>
      <c r="U37" s="351">
        <f>IF($A37="","",IF(OR(LOWER($D37&amp;"")="n/a",ISNUMBER(SEARCH("subscription",LOWER($A37&amp;" "&amp;$M37&amp;""))),ISNUMBER(SEARCH("membership",LOWER($A37&amp;" "&amp;$M37&amp;"")))),"Subscription",IF(LOWER($L37&amp;"")="yes","Disqualified",IF($P37&gt;$H37,"Profit","Draw"))))</f>
        <v/>
      </c>
      <c r="V37" s="383">
        <f>IF(OR($A37="",$B37="",$C37="",$U37="Subscription"),"",IFERROR(ROUNDUP((IF(ISNUMBER($C37),$C37,DATEVALUE($C37))-IF(ISNUMBER($B37),$B37,DATEVALUE($B37)))/7,0),""))</f>
        <v/>
      </c>
      <c r="W37" s="351">
        <f>IF($U37="Subscription","",$Q37-$S37)</f>
        <v/>
      </c>
      <c r="X37" s="384">
        <f>IF(OR($A37="",$U37="Subscription",$J37="",$I37="",$J37=0,$I37=0,$I37&gt;$J37),"",$J37-$I37)</f>
        <v/>
      </c>
      <c r="Y37" s="381">
        <f>IF(OR($A37="",$U37="Subscription",$J37="",$J37=0,$X37=""),"",$X37/$J37)</f>
        <v/>
      </c>
    </row>
    <row r="38" ht="21" customHeight="1" s="270">
      <c r="A38" s="297" t="n"/>
      <c r="B38" s="298" t="n"/>
      <c r="C38" s="298" t="n"/>
      <c r="D38" s="297" t="n"/>
      <c r="E38" s="349" t="n"/>
      <c r="F38" s="349" t="n"/>
      <c r="G38" s="349" t="n"/>
      <c r="H38" s="349" t="n"/>
      <c r="I38" s="382" t="n"/>
      <c r="J38" s="383" t="n"/>
      <c r="K38" s="351" t="n"/>
      <c r="L38" s="296" t="n"/>
      <c r="M38" s="349" t="n"/>
      <c r="N38" s="349">
        <f>IF($A38="","",IF(OR(LOWER($D38&amp;"")="n/a",ISNUMBER(SEARCH("subscription",LOWER($A38&amp;" "&amp;$M38&amp;""))),ISNUMBER(SEARCH("membership",LOWER($A38&amp;" "&amp;$M38&amp;"")))),"",IF($G38="","",IF(ISNUMBER(SEARCH("non",LOWER($E38&amp;""))),$G38*0.85,$G38))))</f>
        <v/>
      </c>
      <c r="O38" s="349">
        <f>IF($A38="","",IF(OR(LOWER($D38&amp;"")="n/a",ISNUMBER(SEARCH("subscription",LOWER($A38&amp;" "&amp;$M38&amp;""))),ISNUMBER(SEARCH("membership",LOWER($A38&amp;" "&amp;$M38&amp;"")))),"",IF(OR($N38="",$I38="",$I38=0),"",$N38/$I38)))</f>
        <v/>
      </c>
      <c r="P38" s="349">
        <f>IF($A38="","",IF(OR(LOWER($D38&amp;"")="n/a",ISNUMBER(SEARCH("subscription",LOWER($A38&amp;" "&amp;$M38&amp;""))),ISNUMBER(SEARCH("membership",LOWER($A38&amp;" "&amp;$M38&amp;"")))),"",IF(LOWER($L38&amp;"")="yes",0,IF($K38&lt;&gt;"",$K38,IF($O38&lt;&gt;"",$O38,"")))))</f>
        <v/>
      </c>
      <c r="Q38" s="351">
        <f>IF($A38="","",IF($U38="Subscription","",IF($U38="Profit",$P38-$H38,0)))</f>
        <v/>
      </c>
      <c r="R38" s="349">
        <f>IF($A38="","",IF($U38="Subscription","",IF($U38="Draw",$H38,0)))</f>
        <v/>
      </c>
      <c r="S38" s="349">
        <f>IF($A38="","",IF($U38="Subscription","",IF($U38="Disqualified",$H38,0)))</f>
        <v/>
      </c>
      <c r="T38" s="380">
        <f>IF($A38="","",IF($U38="Subscription","",IF($H38=0,IF($U38="Profit","N/A",0),IF($U38="Profit",$Q38/$H38,IF($U38="Disqualified",-1,0)))))</f>
        <v/>
      </c>
      <c r="U38" s="351">
        <f>IF($A38="","",IF(OR(LOWER($D38&amp;"")="n/a",ISNUMBER(SEARCH("subscription",LOWER($A38&amp;" "&amp;$M38&amp;""))),ISNUMBER(SEARCH("membership",LOWER($A38&amp;" "&amp;$M38&amp;"")))),"Subscription",IF(LOWER($L38&amp;"")="yes","Disqualified",IF($P38&gt;$H38,"Profit","Draw"))))</f>
        <v/>
      </c>
      <c r="V38" s="383">
        <f>IF(OR($A38="",$B38="",$C38="",$U38="Subscription"),"",IFERROR(ROUNDUP((IF(ISNUMBER($C38),$C38,DATEVALUE($C38))-IF(ISNUMBER($B38),$B38,DATEVALUE($B38)))/7,0),""))</f>
        <v/>
      </c>
      <c r="W38" s="351">
        <f>IF($U38="Subscription","",$Q38-$S38)</f>
        <v/>
      </c>
      <c r="X38" s="384">
        <f>IF(OR($A38="",$U38="Subscription",$J38="",$I38="",$J38=0,$I38=0,$I38&gt;$J38),"",$J38-$I38)</f>
        <v/>
      </c>
      <c r="Y38" s="381">
        <f>IF(OR($A38="",$U38="Subscription",$J38="",$J38=0,$X38=""),"",$X38/$J38)</f>
        <v/>
      </c>
    </row>
    <row r="39" ht="21" customHeight="1" s="270">
      <c r="A39" s="297" t="n"/>
      <c r="B39" s="298" t="n"/>
      <c r="C39" s="298" t="n"/>
      <c r="D39" s="297" t="n"/>
      <c r="E39" s="349" t="n"/>
      <c r="F39" s="349" t="n"/>
      <c r="G39" s="349" t="n"/>
      <c r="H39" s="349" t="n"/>
      <c r="I39" s="382" t="n"/>
      <c r="J39" s="383" t="n"/>
      <c r="K39" s="351" t="n"/>
      <c r="L39" s="296" t="n"/>
      <c r="M39" s="349" t="n"/>
      <c r="N39" s="349">
        <f>IF($A39="","",IF(OR(LOWER($D39&amp;"")="n/a",ISNUMBER(SEARCH("subscription",LOWER($A39&amp;" "&amp;$M39&amp;""))),ISNUMBER(SEARCH("membership",LOWER($A39&amp;" "&amp;$M39&amp;"")))),"",IF($G39="","",IF(ISNUMBER(SEARCH("non",LOWER($E39&amp;""))),$G39*0.85,$G39))))</f>
        <v/>
      </c>
      <c r="O39" s="349">
        <f>IF($A39="","",IF(OR(LOWER($D39&amp;"")="n/a",ISNUMBER(SEARCH("subscription",LOWER($A39&amp;" "&amp;$M39&amp;""))),ISNUMBER(SEARCH("membership",LOWER($A39&amp;" "&amp;$M39&amp;"")))),"",IF(OR($N39="",$I39="",$I39=0),"",$N39/$I39)))</f>
        <v/>
      </c>
      <c r="P39" s="349">
        <f>IF($A39="","",IF(OR(LOWER($D39&amp;"")="n/a",ISNUMBER(SEARCH("subscription",LOWER($A39&amp;" "&amp;$M39&amp;""))),ISNUMBER(SEARCH("membership",LOWER($A39&amp;" "&amp;$M39&amp;"")))),"",IF(LOWER($L39&amp;"")="yes",0,IF($K39&lt;&gt;"",$K39,IF($O39&lt;&gt;"",$O39,"")))))</f>
        <v/>
      </c>
      <c r="Q39" s="351">
        <f>IF($A39="","",IF($U39="Subscription","",IF($U39="Profit",$P39-$H39,0)))</f>
        <v/>
      </c>
      <c r="R39" s="349">
        <f>IF($A39="","",IF($U39="Subscription","",IF($U39="Draw",$H39,0)))</f>
        <v/>
      </c>
      <c r="S39" s="349">
        <f>IF($A39="","",IF($U39="Subscription","",IF($U39="Disqualified",$H39,0)))</f>
        <v/>
      </c>
      <c r="T39" s="380">
        <f>IF($A39="","",IF($U39="Subscription","",IF($H39=0,IF($U39="Profit","N/A",0),IF($U39="Profit",$Q39/$H39,IF($U39="Disqualified",-1,0)))))</f>
        <v/>
      </c>
      <c r="U39" s="351">
        <f>IF($A39="","",IF(OR(LOWER($D39&amp;"")="n/a",ISNUMBER(SEARCH("subscription",LOWER($A39&amp;" "&amp;$M39&amp;""))),ISNUMBER(SEARCH("membership",LOWER($A39&amp;" "&amp;$M39&amp;"")))),"Subscription",IF(LOWER($L39&amp;"")="yes","Disqualified",IF($P39&gt;$H39,"Profit","Draw"))))</f>
        <v/>
      </c>
      <c r="V39" s="383">
        <f>IF(OR($A39="",$B39="",$C39="",$U39="Subscription"),"",IFERROR(ROUNDUP((IF(ISNUMBER($C39),$C39,DATEVALUE($C39))-IF(ISNUMBER($B39),$B39,DATEVALUE($B39)))/7,0),""))</f>
        <v/>
      </c>
      <c r="W39" s="351">
        <f>IF($U39="Subscription","",$Q39-$S39)</f>
        <v/>
      </c>
      <c r="X39" s="384">
        <f>IF(OR($A39="",$U39="Subscription",$J39="",$I39="",$J39=0,$I39=0,$I39&gt;$J39),"",$J39-$I39)</f>
        <v/>
      </c>
      <c r="Y39" s="381">
        <f>IF(OR($A39="",$U39="Subscription",$J39="",$J39=0,$X39=""),"",$X39/$J39)</f>
        <v/>
      </c>
    </row>
    <row r="40" ht="21" customHeight="1" s="270">
      <c r="A40" s="297" t="n"/>
      <c r="B40" s="298" t="n"/>
      <c r="C40" s="298" t="n"/>
      <c r="D40" s="297" t="n"/>
      <c r="E40" s="349" t="n"/>
      <c r="F40" s="349" t="n"/>
      <c r="G40" s="349" t="n"/>
      <c r="H40" s="349" t="n"/>
      <c r="I40" s="382" t="n"/>
      <c r="J40" s="383" t="n"/>
      <c r="K40" s="351" t="n"/>
      <c r="L40" s="296" t="n"/>
      <c r="M40" s="349" t="n"/>
      <c r="N40" s="349">
        <f>IF($A40="","",IF(OR(LOWER($D40&amp;"")="n/a",ISNUMBER(SEARCH("subscription",LOWER($A40&amp;" "&amp;$M40&amp;""))),ISNUMBER(SEARCH("membership",LOWER($A40&amp;" "&amp;$M40&amp;"")))),"",IF($G40="","",IF(ISNUMBER(SEARCH("non",LOWER($E40&amp;""))),$G40*0.85,$G40))))</f>
        <v/>
      </c>
      <c r="O40" s="349">
        <f>IF($A40="","",IF(OR(LOWER($D40&amp;"")="n/a",ISNUMBER(SEARCH("subscription",LOWER($A40&amp;" "&amp;$M40&amp;""))),ISNUMBER(SEARCH("membership",LOWER($A40&amp;" "&amp;$M40&amp;"")))),"",IF(OR($N40="",$I40="",$I40=0),"",$N40/$I40)))</f>
        <v/>
      </c>
      <c r="P40" s="349">
        <f>IF($A40="","",IF(OR(LOWER($D40&amp;"")="n/a",ISNUMBER(SEARCH("subscription",LOWER($A40&amp;" "&amp;$M40&amp;""))),ISNUMBER(SEARCH("membership",LOWER($A40&amp;" "&amp;$M40&amp;"")))),"",IF(LOWER($L40&amp;"")="yes",0,IF($K40&lt;&gt;"",$K40,IF($O40&lt;&gt;"",$O40,"")))))</f>
        <v/>
      </c>
      <c r="Q40" s="351">
        <f>IF($A40="","",IF($U40="Subscription","",IF($U40="Profit",$P40-$H40,0)))</f>
        <v/>
      </c>
      <c r="R40" s="349">
        <f>IF($A40="","",IF($U40="Subscription","",IF($U40="Draw",$H40,0)))</f>
        <v/>
      </c>
      <c r="S40" s="349">
        <f>IF($A40="","",IF($U40="Subscription","",IF($U40="Disqualified",$H40,0)))</f>
        <v/>
      </c>
      <c r="T40" s="380">
        <f>IF($A40="","",IF($U40="Subscription","",IF($H40=0,IF($U40="Profit","N/A",0),IF($U40="Profit",$Q40/$H40,IF($U40="Disqualified",-1,0)))))</f>
        <v/>
      </c>
      <c r="U40" s="351">
        <f>IF($A40="","",IF(OR(LOWER($D40&amp;"")="n/a",ISNUMBER(SEARCH("subscription",LOWER($A40&amp;" "&amp;$M40&amp;""))),ISNUMBER(SEARCH("membership",LOWER($A40&amp;" "&amp;$M40&amp;"")))),"Subscription",IF(LOWER($L40&amp;"")="yes","Disqualified",IF($P40&gt;$H40,"Profit","Draw"))))</f>
        <v/>
      </c>
      <c r="V40" s="383">
        <f>IF(OR($A40="",$B40="",$C40="",$U40="Subscription"),"",IFERROR(ROUNDUP((IF(ISNUMBER($C40),$C40,DATEVALUE($C40))-IF(ISNUMBER($B40),$B40,DATEVALUE($B40)))/7,0),""))</f>
        <v/>
      </c>
      <c r="W40" s="351">
        <f>IF($U40="Subscription","",$Q40-$S40)</f>
        <v/>
      </c>
      <c r="X40" s="384">
        <f>IF(OR($A40="",$U40="Subscription",$J40="",$I40="",$J40=0,$I40=0,$I40&gt;$J40),"",$J40-$I40)</f>
        <v/>
      </c>
      <c r="Y40" s="381">
        <f>IF(OR($A40="",$U40="Subscription",$J40="",$J40=0,$X40=""),"",$X40/$J40)</f>
        <v/>
      </c>
    </row>
    <row r="41" ht="21" customHeight="1" s="270">
      <c r="A41" s="297" t="n"/>
      <c r="B41" s="298" t="n"/>
      <c r="C41" s="298" t="n"/>
      <c r="D41" s="297" t="n"/>
      <c r="E41" s="349" t="n"/>
      <c r="F41" s="349" t="n"/>
      <c r="G41" s="349" t="n"/>
      <c r="H41" s="349" t="n"/>
      <c r="I41" s="382" t="n"/>
      <c r="J41" s="383" t="n"/>
      <c r="K41" s="351" t="n"/>
      <c r="L41" s="296" t="n"/>
      <c r="M41" s="349" t="n"/>
      <c r="N41" s="349">
        <f>IF($A41="","",IF(OR(LOWER($D41&amp;"")="n/a",ISNUMBER(SEARCH("subscription",LOWER($A41&amp;" "&amp;$M41&amp;""))),ISNUMBER(SEARCH("membership",LOWER($A41&amp;" "&amp;$M41&amp;"")))),"",IF($G41="","",IF(ISNUMBER(SEARCH("non",LOWER($E41&amp;""))),$G41*0.85,$G41))))</f>
        <v/>
      </c>
      <c r="O41" s="349">
        <f>IF($A41="","",IF(OR(LOWER($D41&amp;"")="n/a",ISNUMBER(SEARCH("subscription",LOWER($A41&amp;" "&amp;$M41&amp;""))),ISNUMBER(SEARCH("membership",LOWER($A41&amp;" "&amp;$M41&amp;"")))),"",IF(OR($N41="",$I41="",$I41=0),"",$N41/$I41)))</f>
        <v/>
      </c>
      <c r="P41" s="349">
        <f>IF($A41="","",IF(OR(LOWER($D41&amp;"")="n/a",ISNUMBER(SEARCH("subscription",LOWER($A41&amp;" "&amp;$M41&amp;""))),ISNUMBER(SEARCH("membership",LOWER($A41&amp;" "&amp;$M41&amp;"")))),"",IF(LOWER($L41&amp;"")="yes",0,IF($K41&lt;&gt;"",$K41,IF($O41&lt;&gt;"",$O41,"")))))</f>
        <v/>
      </c>
      <c r="Q41" s="351">
        <f>IF($A41="","",IF($U41="Subscription","",IF($U41="Profit",$P41-$H41,0)))</f>
        <v/>
      </c>
      <c r="R41" s="349">
        <f>IF($A41="","",IF($U41="Subscription","",IF($U41="Draw",$H41,0)))</f>
        <v/>
      </c>
      <c r="S41" s="349">
        <f>IF($A41="","",IF($U41="Subscription","",IF($U41="Disqualified",$H41,0)))</f>
        <v/>
      </c>
      <c r="T41" s="380">
        <f>IF($A41="","",IF($U41="Subscription","",IF($H41=0,IF($U41="Profit","N/A",0),IF($U41="Profit",$Q41/$H41,IF($U41="Disqualified",-1,0)))))</f>
        <v/>
      </c>
      <c r="U41" s="351">
        <f>IF($A41="","",IF(OR(LOWER($D41&amp;"")="n/a",ISNUMBER(SEARCH("subscription",LOWER($A41&amp;" "&amp;$M41&amp;""))),ISNUMBER(SEARCH("membership",LOWER($A41&amp;" "&amp;$M41&amp;"")))),"Subscription",IF(LOWER($L41&amp;"")="yes","Disqualified",IF($P41&gt;$H41,"Profit","Draw"))))</f>
        <v/>
      </c>
      <c r="V41" s="383">
        <f>IF(OR($A41="",$B41="",$C41="",$U41="Subscription"),"",IFERROR(ROUNDUP((IF(ISNUMBER($C41),$C41,DATEVALUE($C41))-IF(ISNUMBER($B41),$B41,DATEVALUE($B41)))/7,0),""))</f>
        <v/>
      </c>
      <c r="W41" s="351">
        <f>IF($U41="Subscription","",$Q41-$S41)</f>
        <v/>
      </c>
      <c r="X41" s="384">
        <f>IF(OR($A41="",$U41="Subscription",$J41="",$I41="",$J41=0,$I41=0,$I41&gt;$J41),"",$J41-$I41)</f>
        <v/>
      </c>
      <c r="Y41" s="381">
        <f>IF(OR($A41="",$U41="Subscription",$J41="",$J41=0,$X41=""),"",$X41/$J41)</f>
        <v/>
      </c>
    </row>
    <row r="42" ht="21" customHeight="1" s="270">
      <c r="A42" s="297" t="n"/>
      <c r="B42" s="298" t="n"/>
      <c r="C42" s="298" t="n"/>
      <c r="D42" s="297" t="n"/>
      <c r="E42" s="349" t="n"/>
      <c r="F42" s="349" t="n"/>
      <c r="G42" s="349" t="n"/>
      <c r="H42" s="349" t="n"/>
      <c r="I42" s="382" t="n"/>
      <c r="J42" s="383" t="n"/>
      <c r="K42" s="351" t="n"/>
      <c r="L42" s="296" t="n"/>
      <c r="M42" s="349" t="n"/>
      <c r="N42" s="349">
        <f>IF($A42="","",IF(OR(LOWER($D42&amp;"")="n/a",ISNUMBER(SEARCH("subscription",LOWER($A42&amp;" "&amp;$M42&amp;""))),ISNUMBER(SEARCH("membership",LOWER($A42&amp;" "&amp;$M42&amp;"")))),"",IF($G42="","",IF(ISNUMBER(SEARCH("non",LOWER($E42&amp;""))),$G42*0.85,$G42))))</f>
        <v/>
      </c>
      <c r="O42" s="349">
        <f>IF($A42="","",IF(OR(LOWER($D42&amp;"")="n/a",ISNUMBER(SEARCH("subscription",LOWER($A42&amp;" "&amp;$M42&amp;""))),ISNUMBER(SEARCH("membership",LOWER($A42&amp;" "&amp;$M42&amp;"")))),"",IF(OR($N42="",$I42="",$I42=0),"",$N42/$I42)))</f>
        <v/>
      </c>
      <c r="P42" s="349">
        <f>IF($A42="","",IF(OR(LOWER($D42&amp;"")="n/a",ISNUMBER(SEARCH("subscription",LOWER($A42&amp;" "&amp;$M42&amp;""))),ISNUMBER(SEARCH("membership",LOWER($A42&amp;" "&amp;$M42&amp;"")))),"",IF(LOWER($L42&amp;"")="yes",0,IF($K42&lt;&gt;"",$K42,IF($O42&lt;&gt;"",$O42,"")))))</f>
        <v/>
      </c>
      <c r="Q42" s="351">
        <f>IF($A42="","",IF($U42="Subscription","",IF($U42="Profit",$P42-$H42,0)))</f>
        <v/>
      </c>
      <c r="R42" s="349">
        <f>IF($A42="","",IF($U42="Subscription","",IF($U42="Draw",$H42,0)))</f>
        <v/>
      </c>
      <c r="S42" s="349">
        <f>IF($A42="","",IF($U42="Subscription","",IF($U42="Disqualified",$H42,0)))</f>
        <v/>
      </c>
      <c r="T42" s="380">
        <f>IF($A42="","",IF($U42="Subscription","",IF($H42=0,IF($U42="Profit","N/A",0),IF($U42="Profit",$Q42/$H42,IF($U42="Disqualified",-1,0)))))</f>
        <v/>
      </c>
      <c r="U42" s="351">
        <f>IF($A42="","",IF(OR(LOWER($D42&amp;"")="n/a",ISNUMBER(SEARCH("subscription",LOWER($A42&amp;" "&amp;$M42&amp;""))),ISNUMBER(SEARCH("membership",LOWER($A42&amp;" "&amp;$M42&amp;"")))),"Subscription",IF(LOWER($L42&amp;"")="yes","Disqualified",IF($P42&gt;$H42,"Profit","Draw"))))</f>
        <v/>
      </c>
      <c r="V42" s="383">
        <f>IF(OR($A42="",$B42="",$C42="",$U42="Subscription"),"",IFERROR(ROUNDUP((IF(ISNUMBER($C42),$C42,DATEVALUE($C42))-IF(ISNUMBER($B42),$B42,DATEVALUE($B42)))/7,0),""))</f>
        <v/>
      </c>
      <c r="W42" s="351">
        <f>IF($U42="Subscription","",$Q42-$S42)</f>
        <v/>
      </c>
      <c r="X42" s="384">
        <f>IF(OR($A42="",$U42="Subscription",$J42="",$I42="",$J42=0,$I42=0,$I42&gt;$J42),"",$J42-$I42)</f>
        <v/>
      </c>
      <c r="Y42" s="381">
        <f>IF(OR($A42="",$U42="Subscription",$J42="",$J42=0,$X42=""),"",$X42/$J42)</f>
        <v/>
      </c>
    </row>
    <row r="43" ht="21" customHeight="1" s="270">
      <c r="A43" s="297" t="n"/>
      <c r="B43" s="298" t="n"/>
      <c r="C43" s="298" t="n"/>
      <c r="D43" s="297" t="n"/>
      <c r="E43" s="349" t="n"/>
      <c r="F43" s="349" t="n"/>
      <c r="G43" s="349" t="n"/>
      <c r="H43" s="349" t="n"/>
      <c r="I43" s="382" t="n"/>
      <c r="J43" s="383" t="n"/>
      <c r="K43" s="351" t="n"/>
      <c r="L43" s="296" t="n"/>
      <c r="M43" s="349" t="n"/>
      <c r="N43" s="349">
        <f>IF($A43="","",IF(OR(LOWER($D43&amp;"")="n/a",ISNUMBER(SEARCH("subscription",LOWER($A43&amp;" "&amp;$M43&amp;""))),ISNUMBER(SEARCH("membership",LOWER($A43&amp;" "&amp;$M43&amp;"")))),"",IF($G43="","",IF(ISNUMBER(SEARCH("non",LOWER($E43&amp;""))),$G43*0.85,$G43))))</f>
        <v/>
      </c>
      <c r="O43" s="349">
        <f>IF($A43="","",IF(OR(LOWER($D43&amp;"")="n/a",ISNUMBER(SEARCH("subscription",LOWER($A43&amp;" "&amp;$M43&amp;""))),ISNUMBER(SEARCH("membership",LOWER($A43&amp;" "&amp;$M43&amp;"")))),"",IF(OR($N43="",$I43="",$I43=0),"",$N43/$I43)))</f>
        <v/>
      </c>
      <c r="P43" s="349">
        <f>IF($A43="","",IF(OR(LOWER($D43&amp;"")="n/a",ISNUMBER(SEARCH("subscription",LOWER($A43&amp;" "&amp;$M43&amp;""))),ISNUMBER(SEARCH("membership",LOWER($A43&amp;" "&amp;$M43&amp;"")))),"",IF(LOWER($L43&amp;"")="yes",0,IF($K43&lt;&gt;"",$K43,IF($O43&lt;&gt;"",$O43,"")))))</f>
        <v/>
      </c>
      <c r="Q43" s="351">
        <f>IF($A43="","",IF($U43="Subscription","",IF($U43="Profit",$P43-$H43,0)))</f>
        <v/>
      </c>
      <c r="R43" s="349">
        <f>IF($A43="","",IF($U43="Subscription","",IF($U43="Draw",$H43,0)))</f>
        <v/>
      </c>
      <c r="S43" s="349">
        <f>IF($A43="","",IF($U43="Subscription","",IF($U43="Disqualified",$H43,0)))</f>
        <v/>
      </c>
      <c r="T43" s="380">
        <f>IF($A43="","",IF($U43="Subscription","",IF($H43=0,IF($U43="Profit","N/A",0),IF($U43="Profit",$Q43/$H43,IF($U43="Disqualified",-1,0)))))</f>
        <v/>
      </c>
      <c r="U43" s="351">
        <f>IF($A43="","",IF(OR(LOWER($D43&amp;"")="n/a",ISNUMBER(SEARCH("subscription",LOWER($A43&amp;" "&amp;$M43&amp;""))),ISNUMBER(SEARCH("membership",LOWER($A43&amp;" "&amp;$M43&amp;"")))),"Subscription",IF(LOWER($L43&amp;"")="yes","Disqualified",IF($P43&gt;$H43,"Profit","Draw"))))</f>
        <v/>
      </c>
      <c r="V43" s="383">
        <f>IF(OR($A43="",$B43="",$C43="",$U43="Subscription"),"",IFERROR(ROUNDUP((IF(ISNUMBER($C43),$C43,DATEVALUE($C43))-IF(ISNUMBER($B43),$B43,DATEVALUE($B43)))/7,0),""))</f>
        <v/>
      </c>
      <c r="W43" s="351">
        <f>IF($U43="Subscription","",$Q43-$S43)</f>
        <v/>
      </c>
      <c r="X43" s="384">
        <f>IF(OR($A43="",$U43="Subscription",$J43="",$I43="",$J43=0,$I43=0,$I43&gt;$J43),"",$J43-$I43)</f>
        <v/>
      </c>
      <c r="Y43" s="381">
        <f>IF(OR($A43="",$U43="Subscription",$J43="",$J43=0,$X43=""),"",$X43/$J43)</f>
        <v/>
      </c>
    </row>
    <row r="44" ht="21" customHeight="1" s="270">
      <c r="A44" s="297" t="n"/>
      <c r="B44" s="298" t="n"/>
      <c r="C44" s="298" t="n"/>
      <c r="D44" s="297" t="n"/>
      <c r="E44" s="349" t="n"/>
      <c r="F44" s="349" t="n"/>
      <c r="G44" s="349" t="n"/>
      <c r="H44" s="349" t="n"/>
      <c r="I44" s="382" t="n"/>
      <c r="J44" s="383" t="n"/>
      <c r="K44" s="351" t="n"/>
      <c r="L44" s="296" t="n"/>
      <c r="M44" s="349" t="n"/>
      <c r="N44" s="349">
        <f>IF($A44="","",IF(OR(LOWER($D44&amp;"")="n/a",ISNUMBER(SEARCH("subscription",LOWER($A44&amp;" "&amp;$M44&amp;""))),ISNUMBER(SEARCH("membership",LOWER($A44&amp;" "&amp;$M44&amp;"")))),"",IF($G44="","",IF(ISNUMBER(SEARCH("non",LOWER($E44&amp;""))),$G44*0.85,$G44))))</f>
        <v/>
      </c>
      <c r="O44" s="349">
        <f>IF($A44="","",IF(OR(LOWER($D44&amp;"")="n/a",ISNUMBER(SEARCH("subscription",LOWER($A44&amp;" "&amp;$M44&amp;""))),ISNUMBER(SEARCH("membership",LOWER($A44&amp;" "&amp;$M44&amp;"")))),"",IF(OR($N44="",$I44="",$I44=0),"",$N44/$I44)))</f>
        <v/>
      </c>
      <c r="P44" s="349">
        <f>IF($A44="","",IF(OR(LOWER($D44&amp;"")="n/a",ISNUMBER(SEARCH("subscription",LOWER($A44&amp;" "&amp;$M44&amp;""))),ISNUMBER(SEARCH("membership",LOWER($A44&amp;" "&amp;$M44&amp;"")))),"",IF(LOWER($L44&amp;"")="yes",0,IF($K44&lt;&gt;"",$K44,IF($O44&lt;&gt;"",$O44,"")))))</f>
        <v/>
      </c>
      <c r="Q44" s="351">
        <f>IF($A44="","",IF($U44="Subscription","",IF($U44="Profit",$P44-$H44,0)))</f>
        <v/>
      </c>
      <c r="R44" s="349">
        <f>IF($A44="","",IF($U44="Subscription","",IF($U44="Draw",$H44,0)))</f>
        <v/>
      </c>
      <c r="S44" s="349">
        <f>IF($A44="","",IF($U44="Subscription","",IF($U44="Disqualified",$H44,0)))</f>
        <v/>
      </c>
      <c r="T44" s="380">
        <f>IF($A44="","",IF($U44="Subscription","",IF($H44=0,IF($U44="Profit","N/A",0),IF($U44="Profit",$Q44/$H44,IF($U44="Disqualified",-1,0)))))</f>
        <v/>
      </c>
      <c r="U44" s="351">
        <f>IF($A44="","",IF(OR(LOWER($D44&amp;"")="n/a",ISNUMBER(SEARCH("subscription",LOWER($A44&amp;" "&amp;$M44&amp;""))),ISNUMBER(SEARCH("membership",LOWER($A44&amp;" "&amp;$M44&amp;"")))),"Subscription",IF(LOWER($L44&amp;"")="yes","Disqualified",IF($P44&gt;$H44,"Profit","Draw"))))</f>
        <v/>
      </c>
      <c r="V44" s="383">
        <f>IF(OR($A44="",$B44="",$C44="",$U44="Subscription"),"",IFERROR(ROUNDUP((IF(ISNUMBER($C44),$C44,DATEVALUE($C44))-IF(ISNUMBER($B44),$B44,DATEVALUE($B44)))/7,0),""))</f>
        <v/>
      </c>
      <c r="W44" s="351">
        <f>IF($U44="Subscription","",$Q44-$S44)</f>
        <v/>
      </c>
      <c r="X44" s="384">
        <f>IF(OR($A44="",$U44="Subscription",$J44="",$I44="",$J44=0,$I44=0,$I44&gt;$J44),"",$J44-$I44)</f>
        <v/>
      </c>
      <c r="Y44" s="381">
        <f>IF(OR($A44="",$U44="Subscription",$J44="",$J44=0,$X44=""),"",$X44/$J44)</f>
        <v/>
      </c>
    </row>
    <row r="45" ht="21" customHeight="1" s="270">
      <c r="A45" s="297" t="n"/>
      <c r="B45" s="298" t="n"/>
      <c r="C45" s="298" t="n"/>
      <c r="D45" s="297" t="n"/>
      <c r="E45" s="349" t="n"/>
      <c r="F45" s="349" t="n"/>
      <c r="G45" s="349" t="n"/>
      <c r="H45" s="349" t="n"/>
      <c r="I45" s="382" t="n"/>
      <c r="J45" s="383" t="n"/>
      <c r="K45" s="351" t="n"/>
      <c r="L45" s="296" t="n"/>
      <c r="M45" s="349" t="n"/>
      <c r="N45" s="349">
        <f>IF($A45="","",IF(OR(LOWER($D45&amp;"")="n/a",ISNUMBER(SEARCH("subscription",LOWER($A45&amp;" "&amp;$M45&amp;""))),ISNUMBER(SEARCH("membership",LOWER($A45&amp;" "&amp;$M45&amp;"")))),"",IF($G45="","",IF(ISNUMBER(SEARCH("non",LOWER($E45&amp;""))),$G45*0.85,$G45))))</f>
        <v/>
      </c>
      <c r="O45" s="349">
        <f>IF($A45="","",IF(OR(LOWER($D45&amp;"")="n/a",ISNUMBER(SEARCH("subscription",LOWER($A45&amp;" "&amp;$M45&amp;""))),ISNUMBER(SEARCH("membership",LOWER($A45&amp;" "&amp;$M45&amp;"")))),"",IF(OR($N45="",$I45="",$I45=0),"",$N45/$I45)))</f>
        <v/>
      </c>
      <c r="P45" s="349">
        <f>IF($A45="","",IF(OR(LOWER($D45&amp;"")="n/a",ISNUMBER(SEARCH("subscription",LOWER($A45&amp;" "&amp;$M45&amp;""))),ISNUMBER(SEARCH("membership",LOWER($A45&amp;" "&amp;$M45&amp;"")))),"",IF(LOWER($L45&amp;"")="yes",0,IF($K45&lt;&gt;"",$K45,IF($O45&lt;&gt;"",$O45,"")))))</f>
        <v/>
      </c>
      <c r="Q45" s="351">
        <f>IF($A45="","",IF($U45="Subscription","",IF($U45="Profit",$P45-$H45,0)))</f>
        <v/>
      </c>
      <c r="R45" s="349">
        <f>IF($A45="","",IF($U45="Subscription","",IF($U45="Draw",$H45,0)))</f>
        <v/>
      </c>
      <c r="S45" s="349">
        <f>IF($A45="","",IF($U45="Subscription","",IF($U45="Disqualified",$H45,0)))</f>
        <v/>
      </c>
      <c r="T45" s="380">
        <f>IF($A45="","",IF($U45="Subscription","",IF($H45=0,IF($U45="Profit","N/A",0),IF($U45="Profit",$Q45/$H45,IF($U45="Disqualified",-1,0)))))</f>
        <v/>
      </c>
      <c r="U45" s="351">
        <f>IF($A45="","",IF(OR(LOWER($D45&amp;"")="n/a",ISNUMBER(SEARCH("subscription",LOWER($A45&amp;" "&amp;$M45&amp;""))),ISNUMBER(SEARCH("membership",LOWER($A45&amp;" "&amp;$M45&amp;"")))),"Subscription",IF(LOWER($L45&amp;"")="yes","Disqualified",IF($P45&gt;$H45,"Profit","Draw"))))</f>
        <v/>
      </c>
      <c r="V45" s="383">
        <f>IF(OR($A45="",$B45="",$C45="",$U45="Subscription"),"",IFERROR(ROUNDUP((IF(ISNUMBER($C45),$C45,DATEVALUE($C45))-IF(ISNUMBER($B45),$B45,DATEVALUE($B45)))/7,0),""))</f>
        <v/>
      </c>
      <c r="W45" s="351">
        <f>IF($U45="Subscription","",$Q45-$S45)</f>
        <v/>
      </c>
      <c r="X45" s="384">
        <f>IF(OR($A45="",$U45="Subscription",$J45="",$I45="",$J45=0,$I45=0,$I45&gt;$J45),"",$J45-$I45)</f>
        <v/>
      </c>
      <c r="Y45" s="381">
        <f>IF(OR($A45="",$U45="Subscription",$J45="",$J45=0,$X45=""),"",$X45/$J45)</f>
        <v/>
      </c>
    </row>
    <row r="46" ht="21" customHeight="1" s="270">
      <c r="A46" s="297" t="n"/>
      <c r="B46" s="298" t="n"/>
      <c r="C46" s="298" t="n"/>
      <c r="D46" s="297" t="n"/>
      <c r="E46" s="349" t="n"/>
      <c r="F46" s="349" t="n"/>
      <c r="G46" s="349" t="n"/>
      <c r="H46" s="349" t="n"/>
      <c r="I46" s="382" t="n"/>
      <c r="J46" s="383" t="n"/>
      <c r="K46" s="351" t="n"/>
      <c r="L46" s="296" t="n"/>
      <c r="M46" s="349" t="n"/>
      <c r="N46" s="349">
        <f>IF($A46="","",IF(OR(LOWER($D46&amp;"")="n/a",ISNUMBER(SEARCH("subscription",LOWER($A46&amp;" "&amp;$M46&amp;""))),ISNUMBER(SEARCH("membership",LOWER($A46&amp;" "&amp;$M46&amp;"")))),"",IF($G46="","",IF(ISNUMBER(SEARCH("non",LOWER($E46&amp;""))),$G46*0.85,$G46))))</f>
        <v/>
      </c>
      <c r="O46" s="349">
        <f>IF($A46="","",IF(OR(LOWER($D46&amp;"")="n/a",ISNUMBER(SEARCH("subscription",LOWER($A46&amp;" "&amp;$M46&amp;""))),ISNUMBER(SEARCH("membership",LOWER($A46&amp;" "&amp;$M46&amp;"")))),"",IF(OR($N46="",$I46="",$I46=0),"",$N46/$I46)))</f>
        <v/>
      </c>
      <c r="P46" s="349">
        <f>IF($A46="","",IF(OR(LOWER($D46&amp;"")="n/a",ISNUMBER(SEARCH("subscription",LOWER($A46&amp;" "&amp;$M46&amp;""))),ISNUMBER(SEARCH("membership",LOWER($A46&amp;" "&amp;$M46&amp;"")))),"",IF(LOWER($L46&amp;"")="yes",0,IF($K46&lt;&gt;"",$K46,IF($O46&lt;&gt;"",$O46,"")))))</f>
        <v/>
      </c>
      <c r="Q46" s="351">
        <f>IF($A46="","",IF($U46="Subscription","",IF($U46="Profit",$P46-$H46,0)))</f>
        <v/>
      </c>
      <c r="R46" s="349">
        <f>IF($A46="","",IF($U46="Subscription","",IF($U46="Draw",$H46,0)))</f>
        <v/>
      </c>
      <c r="S46" s="349">
        <f>IF($A46="","",IF($U46="Subscription","",IF($U46="Disqualified",$H46,0)))</f>
        <v/>
      </c>
      <c r="T46" s="380">
        <f>IF($A46="","",IF($U46="Subscription","",IF($H46=0,IF($U46="Profit","N/A",0),IF($U46="Profit",$Q46/$H46,IF($U46="Disqualified",-1,0)))))</f>
        <v/>
      </c>
      <c r="U46" s="351">
        <f>IF($A46="","",IF(OR(LOWER($D46&amp;"")="n/a",ISNUMBER(SEARCH("subscription",LOWER($A46&amp;" "&amp;$M46&amp;""))),ISNUMBER(SEARCH("membership",LOWER($A46&amp;" "&amp;$M46&amp;"")))),"Subscription",IF(LOWER($L46&amp;"")="yes","Disqualified",IF($P46&gt;$H46,"Profit","Draw"))))</f>
        <v/>
      </c>
      <c r="V46" s="383">
        <f>IF(OR($A46="",$B46="",$C46="",$U46="Subscription"),"",IFERROR(ROUNDUP((IF(ISNUMBER($C46),$C46,DATEVALUE($C46))-IF(ISNUMBER($B46),$B46,DATEVALUE($B46)))/7,0),""))</f>
        <v/>
      </c>
      <c r="W46" s="351">
        <f>IF($U46="Subscription","",$Q46-$S46)</f>
        <v/>
      </c>
      <c r="X46" s="384">
        <f>IF(OR($A46="",$U46="Subscription",$J46="",$I46="",$J46=0,$I46=0,$I46&gt;$J46),"",$J46-$I46)</f>
        <v/>
      </c>
      <c r="Y46" s="381">
        <f>IF(OR($A46="",$U46="Subscription",$J46="",$J46=0,$X46=""),"",$X46/$J46)</f>
        <v/>
      </c>
    </row>
    <row r="47" ht="21" customHeight="1" s="270">
      <c r="A47" s="297" t="n"/>
      <c r="B47" s="298" t="n"/>
      <c r="C47" s="298" t="n"/>
      <c r="D47" s="297" t="n"/>
      <c r="E47" s="349" t="n"/>
      <c r="F47" s="349" t="n"/>
      <c r="G47" s="349" t="n"/>
      <c r="H47" s="349" t="n"/>
      <c r="I47" s="382" t="n"/>
      <c r="J47" s="383" t="n"/>
      <c r="K47" s="351" t="n"/>
      <c r="L47" s="296" t="n"/>
      <c r="M47" s="349" t="n"/>
      <c r="N47" s="349">
        <f>IF($A47="","",IF(OR(LOWER($D47&amp;"")="n/a",ISNUMBER(SEARCH("subscription",LOWER($A47&amp;" "&amp;$M47&amp;""))),ISNUMBER(SEARCH("membership",LOWER($A47&amp;" "&amp;$M47&amp;"")))),"",IF($G47="","",IF(ISNUMBER(SEARCH("non",LOWER($E47&amp;""))),$G47*0.85,$G47))))</f>
        <v/>
      </c>
      <c r="O47" s="349">
        <f>IF($A47="","",IF(OR(LOWER($D47&amp;"")="n/a",ISNUMBER(SEARCH("subscription",LOWER($A47&amp;" "&amp;$M47&amp;""))),ISNUMBER(SEARCH("membership",LOWER($A47&amp;" "&amp;$M47&amp;"")))),"",IF(OR($N47="",$I47="",$I47=0),"",$N47/$I47)))</f>
        <v/>
      </c>
      <c r="P47" s="349">
        <f>IF($A47="","",IF(OR(LOWER($D47&amp;"")="n/a",ISNUMBER(SEARCH("subscription",LOWER($A47&amp;" "&amp;$M47&amp;""))),ISNUMBER(SEARCH("membership",LOWER($A47&amp;" "&amp;$M47&amp;"")))),"",IF(LOWER($L47&amp;"")="yes",0,IF($K47&lt;&gt;"",$K47,IF($O47&lt;&gt;"",$O47,"")))))</f>
        <v/>
      </c>
      <c r="Q47" s="351">
        <f>IF($A47="","",IF($U47="Subscription","",IF($U47="Profit",$P47-$H47,0)))</f>
        <v/>
      </c>
      <c r="R47" s="349">
        <f>IF($A47="","",IF($U47="Subscription","",IF($U47="Draw",$H47,0)))</f>
        <v/>
      </c>
      <c r="S47" s="349">
        <f>IF($A47="","",IF($U47="Subscription","",IF($U47="Disqualified",$H47,0)))</f>
        <v/>
      </c>
      <c r="T47" s="380">
        <f>IF($A47="","",IF($U47="Subscription","",IF($H47=0,IF($U47="Profit","N/A",0),IF($U47="Profit",$Q47/$H47,IF($U47="Disqualified",-1,0)))))</f>
        <v/>
      </c>
      <c r="U47" s="351">
        <f>IF($A47="","",IF(OR(LOWER($D47&amp;"")="n/a",ISNUMBER(SEARCH("subscription",LOWER($A47&amp;" "&amp;$M47&amp;""))),ISNUMBER(SEARCH("membership",LOWER($A47&amp;" "&amp;$M47&amp;"")))),"Subscription",IF(LOWER($L47&amp;"")="yes","Disqualified",IF($P47&gt;$H47,"Profit","Draw"))))</f>
        <v/>
      </c>
      <c r="V47" s="383">
        <f>IF(OR($A47="",$B47="",$C47="",$U47="Subscription"),"",IFERROR(ROUNDUP((IF(ISNUMBER($C47),$C47,DATEVALUE($C47))-IF(ISNUMBER($B47),$B47,DATEVALUE($B47)))/7,0),""))</f>
        <v/>
      </c>
      <c r="W47" s="351">
        <f>IF($U47="Subscription","",$Q47-$S47)</f>
        <v/>
      </c>
      <c r="X47" s="384">
        <f>IF(OR($A47="",$U47="Subscription",$J47="",$I47="",$J47=0,$I47=0,$I47&gt;$J47),"",$J47-$I47)</f>
        <v/>
      </c>
      <c r="Y47" s="381">
        <f>IF(OR($A47="",$U47="Subscription",$J47="",$J47=0,$X47=""),"",$X47/$J47)</f>
        <v/>
      </c>
    </row>
    <row r="48" ht="21" customHeight="1" s="270">
      <c r="A48" s="297" t="n"/>
      <c r="B48" s="298" t="n"/>
      <c r="C48" s="298" t="n"/>
      <c r="D48" s="297" t="n"/>
      <c r="E48" s="349" t="n"/>
      <c r="F48" s="349" t="n"/>
      <c r="G48" s="349" t="n"/>
      <c r="H48" s="349" t="n"/>
      <c r="I48" s="382" t="n"/>
      <c r="J48" s="383" t="n"/>
      <c r="K48" s="351" t="n"/>
      <c r="L48" s="296" t="n"/>
      <c r="M48" s="349" t="n"/>
      <c r="N48" s="349">
        <f>IF($A48="","",IF(OR(LOWER($D48&amp;"")="n/a",ISNUMBER(SEARCH("subscription",LOWER($A48&amp;" "&amp;$M48&amp;""))),ISNUMBER(SEARCH("membership",LOWER($A48&amp;" "&amp;$M48&amp;"")))),"",IF($G48="","",IF(ISNUMBER(SEARCH("non",LOWER($E48&amp;""))),$G48*0.85,$G48))))</f>
        <v/>
      </c>
      <c r="O48" s="349">
        <f>IF($A48="","",IF(OR(LOWER($D48&amp;"")="n/a",ISNUMBER(SEARCH("subscription",LOWER($A48&amp;" "&amp;$M48&amp;""))),ISNUMBER(SEARCH("membership",LOWER($A48&amp;" "&amp;$M48&amp;"")))),"",IF(OR($N48="",$I48="",$I48=0),"",$N48/$I48)))</f>
        <v/>
      </c>
      <c r="P48" s="349">
        <f>IF($A48="","",IF(OR(LOWER($D48&amp;"")="n/a",ISNUMBER(SEARCH("subscription",LOWER($A48&amp;" "&amp;$M48&amp;""))),ISNUMBER(SEARCH("membership",LOWER($A48&amp;" "&amp;$M48&amp;"")))),"",IF(LOWER($L48&amp;"")="yes",0,IF($K48&lt;&gt;"",$K48,IF($O48&lt;&gt;"",$O48,"")))))</f>
        <v/>
      </c>
      <c r="Q48" s="351">
        <f>IF($A48="","",IF($U48="Subscription","",IF($U48="Profit",$P48-$H48,0)))</f>
        <v/>
      </c>
      <c r="R48" s="349">
        <f>IF($A48="","",IF($U48="Subscription","",IF($U48="Draw",$H48,0)))</f>
        <v/>
      </c>
      <c r="S48" s="349">
        <f>IF($A48="","",IF($U48="Subscription","",IF($U48="Disqualified",$H48,0)))</f>
        <v/>
      </c>
      <c r="T48" s="380">
        <f>IF($A48="","",IF($U48="Subscription","",IF($H48=0,IF($U48="Profit","N/A",0),IF($U48="Profit",$Q48/$H48,IF($U48="Disqualified",-1,0)))))</f>
        <v/>
      </c>
      <c r="U48" s="351">
        <f>IF($A48="","",IF(OR(LOWER($D48&amp;"")="n/a",ISNUMBER(SEARCH("subscription",LOWER($A48&amp;" "&amp;$M48&amp;""))),ISNUMBER(SEARCH("membership",LOWER($A48&amp;" "&amp;$M48&amp;"")))),"Subscription",IF(LOWER($L48&amp;"")="yes","Disqualified",IF($P48&gt;$H48,"Profit","Draw"))))</f>
        <v/>
      </c>
      <c r="V48" s="383">
        <f>IF(OR($A48="",$B48="",$C48="",$U48="Subscription"),"",IFERROR(ROUNDUP((IF(ISNUMBER($C48),$C48,DATEVALUE($C48))-IF(ISNUMBER($B48),$B48,DATEVALUE($B48)))/7,0),""))</f>
        <v/>
      </c>
      <c r="W48" s="351">
        <f>IF($U48="Subscription","",$Q48-$S48)</f>
        <v/>
      </c>
      <c r="X48" s="384">
        <f>IF(OR($A48="",$U48="Subscription",$J48="",$I48="",$J48=0,$I48=0,$I48&gt;$J48),"",$J48-$I48)</f>
        <v/>
      </c>
      <c r="Y48" s="381">
        <f>IF(OR($A48="",$U48="Subscription",$J48="",$J48=0,$X48=""),"",$X48/$J48)</f>
        <v/>
      </c>
    </row>
    <row r="49" ht="21" customHeight="1" s="270">
      <c r="A49" s="297" t="n"/>
      <c r="B49" s="298" t="n"/>
      <c r="C49" s="298" t="n"/>
      <c r="D49" s="297" t="n"/>
      <c r="E49" s="349" t="n"/>
      <c r="F49" s="349" t="n"/>
      <c r="G49" s="349" t="n"/>
      <c r="H49" s="349" t="n"/>
      <c r="I49" s="382" t="n"/>
      <c r="J49" s="383" t="n"/>
      <c r="K49" s="351" t="n"/>
      <c r="L49" s="296" t="n"/>
      <c r="M49" s="349" t="n"/>
      <c r="N49" s="349">
        <f>IF($A49="","",IF(OR(LOWER($D49&amp;"")="n/a",ISNUMBER(SEARCH("subscription",LOWER($A49&amp;" "&amp;$M49&amp;""))),ISNUMBER(SEARCH("membership",LOWER($A49&amp;" "&amp;$M49&amp;"")))),"",IF($G49="","",IF(ISNUMBER(SEARCH("non",LOWER($E49&amp;""))),$G49*0.85,$G49))))</f>
        <v/>
      </c>
      <c r="O49" s="349">
        <f>IF($A49="","",IF(OR(LOWER($D49&amp;"")="n/a",ISNUMBER(SEARCH("subscription",LOWER($A49&amp;" "&amp;$M49&amp;""))),ISNUMBER(SEARCH("membership",LOWER($A49&amp;" "&amp;$M49&amp;"")))),"",IF(OR($N49="",$I49="",$I49=0),"",$N49/$I49)))</f>
        <v/>
      </c>
      <c r="P49" s="349">
        <f>IF($A49="","",IF(OR(LOWER($D49&amp;"")="n/a",ISNUMBER(SEARCH("subscription",LOWER($A49&amp;" "&amp;$M49&amp;""))),ISNUMBER(SEARCH("membership",LOWER($A49&amp;" "&amp;$M49&amp;"")))),"",IF(LOWER($L49&amp;"")="yes",0,IF($K49&lt;&gt;"",$K49,IF($O49&lt;&gt;"",$O49,"")))))</f>
        <v/>
      </c>
      <c r="Q49" s="351">
        <f>IF($A49="","",IF($U49="Subscription","",IF($U49="Profit",$P49-$H49,0)))</f>
        <v/>
      </c>
      <c r="R49" s="349">
        <f>IF($A49="","",IF($U49="Subscription","",IF($U49="Draw",$H49,0)))</f>
        <v/>
      </c>
      <c r="S49" s="349">
        <f>IF($A49="","",IF($U49="Subscription","",IF($U49="Disqualified",$H49,0)))</f>
        <v/>
      </c>
      <c r="T49" s="380">
        <f>IF($A49="","",IF($U49="Subscription","",IF($H49=0,IF($U49="Profit","N/A",0),IF($U49="Profit",$Q49/$H49,IF($U49="Disqualified",-1,0)))))</f>
        <v/>
      </c>
      <c r="U49" s="351">
        <f>IF($A49="","",IF(OR(LOWER($D49&amp;"")="n/a",ISNUMBER(SEARCH("subscription",LOWER($A49&amp;" "&amp;$M49&amp;""))),ISNUMBER(SEARCH("membership",LOWER($A49&amp;" "&amp;$M49&amp;"")))),"Subscription",IF(LOWER($L49&amp;"")="yes","Disqualified",IF($P49&gt;$H49,"Profit","Draw"))))</f>
        <v/>
      </c>
      <c r="V49" s="383">
        <f>IF(OR($A49="",$B49="",$C49="",$U49="Subscription"),"",IFERROR(ROUNDUP((IF(ISNUMBER($C49),$C49,DATEVALUE($C49))-IF(ISNUMBER($B49),$B49,DATEVALUE($B49)))/7,0),""))</f>
        <v/>
      </c>
      <c r="W49" s="351">
        <f>IF($U49="Subscription","",$Q49-$S49)</f>
        <v/>
      </c>
      <c r="X49" s="384">
        <f>IF(OR($A49="",$U49="Subscription",$J49="",$I49="",$J49=0,$I49=0,$I49&gt;$J49),"",$J49-$I49)</f>
        <v/>
      </c>
      <c r="Y49" s="381">
        <f>IF(OR($A49="",$U49="Subscription",$J49="",$J49=0,$X49=""),"",$X49/$J49)</f>
        <v/>
      </c>
    </row>
    <row r="50" ht="21" customHeight="1" s="270">
      <c r="A50" s="297" t="n"/>
      <c r="B50" s="298" t="n"/>
      <c r="C50" s="298" t="n"/>
      <c r="D50" s="297" t="n"/>
      <c r="E50" s="349" t="n"/>
      <c r="F50" s="349" t="n"/>
      <c r="G50" s="349" t="n"/>
      <c r="H50" s="349" t="n"/>
      <c r="I50" s="382" t="n"/>
      <c r="J50" s="383" t="n"/>
      <c r="K50" s="351" t="n"/>
      <c r="L50" s="296" t="n"/>
      <c r="M50" s="349" t="n"/>
      <c r="N50" s="349">
        <f>IF($A50="","",IF(OR(LOWER($D50&amp;"")="n/a",ISNUMBER(SEARCH("subscription",LOWER($A50&amp;" "&amp;$M50&amp;""))),ISNUMBER(SEARCH("membership",LOWER($A50&amp;" "&amp;$M50&amp;"")))),"",IF($G50="","",IF(ISNUMBER(SEARCH("non",LOWER($E50&amp;""))),$G50*0.85,$G50))))</f>
        <v/>
      </c>
      <c r="O50" s="349">
        <f>IF($A50="","",IF(OR(LOWER($D50&amp;"")="n/a",ISNUMBER(SEARCH("subscription",LOWER($A50&amp;" "&amp;$M50&amp;""))),ISNUMBER(SEARCH("membership",LOWER($A50&amp;" "&amp;$M50&amp;"")))),"",IF(OR($N50="",$I50="",$I50=0),"",$N50/$I50)))</f>
        <v/>
      </c>
      <c r="P50" s="349">
        <f>IF($A50="","",IF(OR(LOWER($D50&amp;"")="n/a",ISNUMBER(SEARCH("subscription",LOWER($A50&amp;" "&amp;$M50&amp;""))),ISNUMBER(SEARCH("membership",LOWER($A50&amp;" "&amp;$M50&amp;"")))),"",IF(LOWER($L50&amp;"")="yes",0,IF($K50&lt;&gt;"",$K50,IF($O50&lt;&gt;"",$O50,"")))))</f>
        <v/>
      </c>
      <c r="Q50" s="351">
        <f>IF($A50="","",IF($U50="Subscription","",IF($U50="Profit",$P50-$H50,0)))</f>
        <v/>
      </c>
      <c r="R50" s="349">
        <f>IF($A50="","",IF($U50="Subscription","",IF($U50="Draw",$H50,0)))</f>
        <v/>
      </c>
      <c r="S50" s="349">
        <f>IF($A50="","",IF($U50="Subscription","",IF($U50="Disqualified",$H50,0)))</f>
        <v/>
      </c>
      <c r="T50" s="380">
        <f>IF($A50="","",IF($U50="Subscription","",IF($H50=0,IF($U50="Profit","N/A",0),IF($U50="Profit",$Q50/$H50,IF($U50="Disqualified",-1,0)))))</f>
        <v/>
      </c>
      <c r="U50" s="351">
        <f>IF($A50="","",IF(OR(LOWER($D50&amp;"")="n/a",ISNUMBER(SEARCH("subscription",LOWER($A50&amp;" "&amp;$M50&amp;""))),ISNUMBER(SEARCH("membership",LOWER($A50&amp;" "&amp;$M50&amp;"")))),"Subscription",IF(LOWER($L50&amp;"")="yes","Disqualified",IF($P50&gt;$H50,"Profit","Draw"))))</f>
        <v/>
      </c>
      <c r="V50" s="383">
        <f>IF(OR($A50="",$B50="",$C50="",$U50="Subscription"),"",IFERROR(ROUNDUP((IF(ISNUMBER($C50),$C50,DATEVALUE($C50))-IF(ISNUMBER($B50),$B50,DATEVALUE($B50)))/7,0),""))</f>
        <v/>
      </c>
      <c r="W50" s="351">
        <f>IF($U50="Subscription","",$Q50-$S50)</f>
        <v/>
      </c>
      <c r="X50" s="384">
        <f>IF(OR($A50="",$U50="Subscription",$J50="",$I50="",$J50=0,$I50=0,$I50&gt;$J50),"",$J50-$I50)</f>
        <v/>
      </c>
      <c r="Y50" s="381">
        <f>IF(OR($A50="",$U50="Subscription",$J50="",$J50=0,$X50=""),"",$X50/$J50)</f>
        <v/>
      </c>
    </row>
    <row r="51" ht="21" customHeight="1" s="270">
      <c r="A51" s="297" t="n"/>
      <c r="B51" s="298" t="n"/>
      <c r="C51" s="298" t="n"/>
      <c r="D51" s="297" t="n"/>
      <c r="E51" s="349" t="n"/>
      <c r="F51" s="349" t="n"/>
      <c r="G51" s="349" t="n"/>
      <c r="H51" s="349" t="n"/>
      <c r="I51" s="382" t="n"/>
      <c r="J51" s="383" t="n"/>
      <c r="K51" s="351" t="n"/>
      <c r="L51" s="296" t="n"/>
      <c r="M51" s="349" t="n"/>
      <c r="N51" s="349">
        <f>IF($A51="","",IF(OR(LOWER($D51&amp;"")="n/a",ISNUMBER(SEARCH("subscription",LOWER($A51&amp;" "&amp;$M51&amp;""))),ISNUMBER(SEARCH("membership",LOWER($A51&amp;" "&amp;$M51&amp;"")))),"",IF($G51="","",IF(ISNUMBER(SEARCH("non",LOWER($E51&amp;""))),$G51*0.85,$G51))))</f>
        <v/>
      </c>
      <c r="O51" s="349">
        <f>IF($A51="","",IF(OR(LOWER($D51&amp;"")="n/a",ISNUMBER(SEARCH("subscription",LOWER($A51&amp;" "&amp;$M51&amp;""))),ISNUMBER(SEARCH("membership",LOWER($A51&amp;" "&amp;$M51&amp;"")))),"",IF(OR($N51="",$I51="",$I51=0),"",$N51/$I51)))</f>
        <v/>
      </c>
      <c r="P51" s="349">
        <f>IF($A51="","",IF(OR(LOWER($D51&amp;"")="n/a",ISNUMBER(SEARCH("subscription",LOWER($A51&amp;" "&amp;$M51&amp;""))),ISNUMBER(SEARCH("membership",LOWER($A51&amp;" "&amp;$M51&amp;"")))),"",IF(LOWER($L51&amp;"")="yes",0,IF($K51&lt;&gt;"",$K51,IF($O51&lt;&gt;"",$O51,"")))))</f>
        <v/>
      </c>
      <c r="Q51" s="351">
        <f>IF($A51="","",IF($U51="Subscription","",IF($U51="Profit",$P51-$H51,0)))</f>
        <v/>
      </c>
      <c r="R51" s="349">
        <f>IF($A51="","",IF($U51="Subscription","",IF($U51="Draw",$H51,0)))</f>
        <v/>
      </c>
      <c r="S51" s="349">
        <f>IF($A51="","",IF($U51="Subscription","",IF($U51="Disqualified",$H51,0)))</f>
        <v/>
      </c>
      <c r="T51" s="380">
        <f>IF($A51="","",IF($U51="Subscription","",IF($H51=0,IF($U51="Profit","N/A",0),IF($U51="Profit",$Q51/$H51,IF($U51="Disqualified",-1,0)))))</f>
        <v/>
      </c>
      <c r="U51" s="351">
        <f>IF($A51="","",IF(OR(LOWER($D51&amp;"")="n/a",ISNUMBER(SEARCH("subscription",LOWER($A51&amp;" "&amp;$M51&amp;""))),ISNUMBER(SEARCH("membership",LOWER($A51&amp;" "&amp;$M51&amp;"")))),"Subscription",IF(LOWER($L51&amp;"")="yes","Disqualified",IF($P51&gt;$H51,"Profit","Draw"))))</f>
        <v/>
      </c>
      <c r="V51" s="383">
        <f>IF(OR($A51="",$B51="",$C51="",$U51="Subscription"),"",IFERROR(ROUNDUP((IF(ISNUMBER($C51),$C51,DATEVALUE($C51))-IF(ISNUMBER($B51),$B51,DATEVALUE($B51)))/7,0),""))</f>
        <v/>
      </c>
      <c r="W51" s="351">
        <f>IF($U51="Subscription","",$Q51-$S51)</f>
        <v/>
      </c>
      <c r="X51" s="384">
        <f>IF(OR($A51="",$U51="Subscription",$J51="",$I51="",$J51=0,$I51=0,$I51&gt;$J51),"",$J51-$I51)</f>
        <v/>
      </c>
      <c r="Y51" s="381">
        <f>IF(OR($A51="",$U51="Subscription",$J51="",$J51=0,$X51=""),"",$X51/$J51)</f>
        <v/>
      </c>
    </row>
    <row r="52" ht="21" customHeight="1" s="270">
      <c r="A52" s="297" t="n"/>
      <c r="B52" s="298" t="n"/>
      <c r="C52" s="298" t="n"/>
      <c r="D52" s="297" t="n"/>
      <c r="E52" s="349" t="n"/>
      <c r="F52" s="349" t="n"/>
      <c r="G52" s="349" t="n"/>
      <c r="H52" s="349" t="n"/>
      <c r="I52" s="382" t="n"/>
      <c r="J52" s="383" t="n"/>
      <c r="K52" s="351" t="n"/>
      <c r="L52" s="296" t="n"/>
      <c r="M52" s="349" t="n"/>
      <c r="N52" s="349">
        <f>IF($A52="","",IF(OR(LOWER($D52&amp;"")="n/a",ISNUMBER(SEARCH("subscription",LOWER($A52&amp;" "&amp;$M52&amp;""))),ISNUMBER(SEARCH("membership",LOWER($A52&amp;" "&amp;$M52&amp;"")))),"",IF($G52="","",IF(ISNUMBER(SEARCH("non",LOWER($E52&amp;""))),$G52*0.85,$G52))))</f>
        <v/>
      </c>
      <c r="O52" s="349">
        <f>IF($A52="","",IF(OR(LOWER($D52&amp;"")="n/a",ISNUMBER(SEARCH("subscription",LOWER($A52&amp;" "&amp;$M52&amp;""))),ISNUMBER(SEARCH("membership",LOWER($A52&amp;" "&amp;$M52&amp;"")))),"",IF(OR($N52="",$I52="",$I52=0),"",$N52/$I52)))</f>
        <v/>
      </c>
      <c r="P52" s="349">
        <f>IF($A52="","",IF(OR(LOWER($D52&amp;"")="n/a",ISNUMBER(SEARCH("subscription",LOWER($A52&amp;" "&amp;$M52&amp;""))),ISNUMBER(SEARCH("membership",LOWER($A52&amp;" "&amp;$M52&amp;"")))),"",IF(LOWER($L52&amp;"")="yes",0,IF($K52&lt;&gt;"",$K52,IF($O52&lt;&gt;"",$O52,"")))))</f>
        <v/>
      </c>
      <c r="Q52" s="351">
        <f>IF($A52="","",IF($U52="Subscription","",IF($U52="Profit",$P52-$H52,0)))</f>
        <v/>
      </c>
      <c r="R52" s="349">
        <f>IF($A52="","",IF($U52="Subscription","",IF($U52="Draw",$H52,0)))</f>
        <v/>
      </c>
      <c r="S52" s="349">
        <f>IF($A52="","",IF($U52="Subscription","",IF($U52="Disqualified",$H52,0)))</f>
        <v/>
      </c>
      <c r="T52" s="380">
        <f>IF($A52="","",IF($U52="Subscription","",IF($H52=0,IF($U52="Profit","N/A",0),IF($U52="Profit",$Q52/$H52,IF($U52="Disqualified",-1,0)))))</f>
        <v/>
      </c>
      <c r="U52" s="351">
        <f>IF($A52="","",IF(OR(LOWER($D52&amp;"")="n/a",ISNUMBER(SEARCH("subscription",LOWER($A52&amp;" "&amp;$M52&amp;""))),ISNUMBER(SEARCH("membership",LOWER($A52&amp;" "&amp;$M52&amp;"")))),"Subscription",IF(LOWER($L52&amp;"")="yes","Disqualified",IF($P52&gt;$H52,"Profit","Draw"))))</f>
        <v/>
      </c>
      <c r="V52" s="383">
        <f>IF(OR($A52="",$B52="",$C52="",$U52="Subscription"),"",IFERROR(ROUNDUP((IF(ISNUMBER($C52),$C52,DATEVALUE($C52))-IF(ISNUMBER($B52),$B52,DATEVALUE($B52)))/7,0),""))</f>
        <v/>
      </c>
      <c r="W52" s="351">
        <f>IF($U52="Subscription","",$Q52-$S52)</f>
        <v/>
      </c>
      <c r="X52" s="384">
        <f>IF(OR($A52="",$U52="Subscription",$J52="",$I52="",$J52=0,$I52=0,$I52&gt;$J52),"",$J52-$I52)</f>
        <v/>
      </c>
      <c r="Y52" s="381">
        <f>IF(OR($A52="",$U52="Subscription",$J52="",$J52=0,$X52=""),"",$X52/$J52)</f>
        <v/>
      </c>
    </row>
    <row r="53" ht="21" customHeight="1" s="270">
      <c r="A53" s="297" t="n"/>
      <c r="B53" s="298" t="n"/>
      <c r="C53" s="298" t="n"/>
      <c r="D53" s="297" t="n"/>
      <c r="E53" s="349" t="n"/>
      <c r="F53" s="349" t="n"/>
      <c r="G53" s="349" t="n"/>
      <c r="H53" s="349" t="n"/>
      <c r="I53" s="382" t="n"/>
      <c r="J53" s="383" t="n"/>
      <c r="K53" s="351" t="n"/>
      <c r="L53" s="296" t="n"/>
      <c r="M53" s="349" t="n"/>
      <c r="N53" s="349">
        <f>IF($A53="","",IF(OR(LOWER($D53&amp;"")="n/a",ISNUMBER(SEARCH("subscription",LOWER($A53&amp;" "&amp;$M53&amp;""))),ISNUMBER(SEARCH("membership",LOWER($A53&amp;" "&amp;$M53&amp;"")))),"",IF($G53="","",IF(ISNUMBER(SEARCH("non",LOWER($E53&amp;""))),$G53*0.85,$G53))))</f>
        <v/>
      </c>
      <c r="O53" s="349">
        <f>IF($A53="","",IF(OR(LOWER($D53&amp;"")="n/a",ISNUMBER(SEARCH("subscription",LOWER($A53&amp;" "&amp;$M53&amp;""))),ISNUMBER(SEARCH("membership",LOWER($A53&amp;" "&amp;$M53&amp;"")))),"",IF(OR($N53="",$I53="",$I53=0),"",$N53/$I53)))</f>
        <v/>
      </c>
      <c r="P53" s="349">
        <f>IF($A53="","",IF(OR(LOWER($D53&amp;"")="n/a",ISNUMBER(SEARCH("subscription",LOWER($A53&amp;" "&amp;$M53&amp;""))),ISNUMBER(SEARCH("membership",LOWER($A53&amp;" "&amp;$M53&amp;"")))),"",IF(LOWER($L53&amp;"")="yes",0,IF($K53&lt;&gt;"",$K53,IF($O53&lt;&gt;"",$O53,"")))))</f>
        <v/>
      </c>
      <c r="Q53" s="351">
        <f>IF($A53="","",IF($U53="Subscription","",IF($U53="Profit",$P53-$H53,0)))</f>
        <v/>
      </c>
      <c r="R53" s="349">
        <f>IF($A53="","",IF($U53="Subscription","",IF($U53="Draw",$H53,0)))</f>
        <v/>
      </c>
      <c r="S53" s="349">
        <f>IF($A53="","",IF($U53="Subscription","",IF($U53="Disqualified",$H53,0)))</f>
        <v/>
      </c>
      <c r="T53" s="380">
        <f>IF($A53="","",IF($U53="Subscription","",IF($H53=0,IF($U53="Profit","N/A",0),IF($U53="Profit",$Q53/$H53,IF($U53="Disqualified",-1,0)))))</f>
        <v/>
      </c>
      <c r="U53" s="351">
        <f>IF($A53="","",IF(OR(LOWER($D53&amp;"")="n/a",ISNUMBER(SEARCH("subscription",LOWER($A53&amp;" "&amp;$M53&amp;""))),ISNUMBER(SEARCH("membership",LOWER($A53&amp;" "&amp;$M53&amp;"")))),"Subscription",IF(LOWER($L53&amp;"")="yes","Disqualified",IF($P53&gt;$H53,"Profit","Draw"))))</f>
        <v/>
      </c>
      <c r="V53" s="383">
        <f>IF(OR($A53="",$B53="",$C53="",$U53="Subscription"),"",IFERROR(ROUNDUP((IF(ISNUMBER($C53),$C53,DATEVALUE($C53))-IF(ISNUMBER($B53),$B53,DATEVALUE($B53)))/7,0),""))</f>
        <v/>
      </c>
      <c r="W53" s="351">
        <f>IF($U53="Subscription","",$Q53-$S53)</f>
        <v/>
      </c>
      <c r="X53" s="384">
        <f>IF(OR($A53="",$U53="Subscription",$J53="",$I53="",$J53=0,$I53=0,$I53&gt;$J53),"",$J53-$I53)</f>
        <v/>
      </c>
      <c r="Y53" s="381">
        <f>IF(OR($A53="",$U53="Subscription",$J53="",$J53=0,$X53=""),"",$X53/$J53)</f>
        <v/>
      </c>
    </row>
    <row r="54" ht="21" customHeight="1" s="270">
      <c r="A54" s="297" t="n"/>
      <c r="B54" s="298" t="n"/>
      <c r="C54" s="298" t="n"/>
      <c r="D54" s="297" t="n"/>
      <c r="E54" s="349" t="n"/>
      <c r="F54" s="349" t="n"/>
      <c r="G54" s="349" t="n"/>
      <c r="H54" s="349" t="n"/>
      <c r="I54" s="382" t="n"/>
      <c r="J54" s="383" t="n"/>
      <c r="K54" s="351" t="n"/>
      <c r="L54" s="296" t="n"/>
      <c r="M54" s="349" t="n"/>
      <c r="N54" s="349">
        <f>IF($A54="","",IF(OR(LOWER($D54&amp;"")="n/a",ISNUMBER(SEARCH("subscription",LOWER($A54&amp;" "&amp;$M54&amp;""))),ISNUMBER(SEARCH("membership",LOWER($A54&amp;" "&amp;$M54&amp;"")))),"",IF($G54="","",IF(ISNUMBER(SEARCH("non",LOWER($E54&amp;""))),$G54*0.85,$G54))))</f>
        <v/>
      </c>
      <c r="O54" s="349">
        <f>IF($A54="","",IF(OR(LOWER($D54&amp;"")="n/a",ISNUMBER(SEARCH("subscription",LOWER($A54&amp;" "&amp;$M54&amp;""))),ISNUMBER(SEARCH("membership",LOWER($A54&amp;" "&amp;$M54&amp;"")))),"",IF(OR($N54="",$I54="",$I54=0),"",$N54/$I54)))</f>
        <v/>
      </c>
      <c r="P54" s="349">
        <f>IF($A54="","",IF(OR(LOWER($D54&amp;"")="n/a",ISNUMBER(SEARCH("subscription",LOWER($A54&amp;" "&amp;$M54&amp;""))),ISNUMBER(SEARCH("membership",LOWER($A54&amp;" "&amp;$M54&amp;"")))),"",IF(LOWER($L54&amp;"")="yes",0,IF($K54&lt;&gt;"",$K54,IF($O54&lt;&gt;"",$O54,"")))))</f>
        <v/>
      </c>
      <c r="Q54" s="351">
        <f>IF($A54="","",IF($U54="Subscription","",IF($U54="Profit",$P54-$H54,0)))</f>
        <v/>
      </c>
      <c r="R54" s="349">
        <f>IF($A54="","",IF($U54="Subscription","",IF($U54="Draw",$H54,0)))</f>
        <v/>
      </c>
      <c r="S54" s="349">
        <f>IF($A54="","",IF($U54="Subscription","",IF($U54="Disqualified",$H54,0)))</f>
        <v/>
      </c>
      <c r="T54" s="380">
        <f>IF($A54="","",IF($U54="Subscription","",IF($H54=0,IF($U54="Profit","N/A",0),IF($U54="Profit",$Q54/$H54,IF($U54="Disqualified",-1,0)))))</f>
        <v/>
      </c>
      <c r="U54" s="351">
        <f>IF($A54="","",IF(OR(LOWER($D54&amp;"")="n/a",ISNUMBER(SEARCH("subscription",LOWER($A54&amp;" "&amp;$M54&amp;""))),ISNUMBER(SEARCH("membership",LOWER($A54&amp;" "&amp;$M54&amp;"")))),"Subscription",IF(LOWER($L54&amp;"")="yes","Disqualified",IF($P54&gt;$H54,"Profit","Draw"))))</f>
        <v/>
      </c>
      <c r="V54" s="383">
        <f>IF(OR($A54="",$B54="",$C54="",$U54="Subscription"),"",IFERROR(ROUNDUP((IF(ISNUMBER($C54),$C54,DATEVALUE($C54))-IF(ISNUMBER($B54),$B54,DATEVALUE($B54)))/7,0),""))</f>
        <v/>
      </c>
      <c r="W54" s="351">
        <f>IF($U54="Subscription","",$Q54-$S54)</f>
        <v/>
      </c>
      <c r="X54" s="384">
        <f>IF(OR($A54="",$U54="Subscription",$J54="",$I54="",$J54=0,$I54=0,$I54&gt;$J54),"",$J54-$I54)</f>
        <v/>
      </c>
      <c r="Y54" s="381">
        <f>IF(OR($A54="",$U54="Subscription",$J54="",$J54=0,$X54=""),"",$X54/$J54)</f>
        <v/>
      </c>
    </row>
    <row r="55" ht="21" customHeight="1" s="270">
      <c r="A55" s="297" t="n"/>
      <c r="B55" s="298" t="n"/>
      <c r="C55" s="298" t="n"/>
      <c r="D55" s="297" t="n"/>
      <c r="E55" s="349" t="n"/>
      <c r="F55" s="349" t="n"/>
      <c r="G55" s="349" t="n"/>
      <c r="H55" s="349" t="n"/>
      <c r="I55" s="382" t="n"/>
      <c r="J55" s="383" t="n"/>
      <c r="K55" s="351" t="n"/>
      <c r="L55" s="296" t="n"/>
      <c r="M55" s="349" t="n"/>
      <c r="N55" s="349">
        <f>IF($A55="","",IF(OR(LOWER($D55&amp;"")="n/a",ISNUMBER(SEARCH("subscription",LOWER($A55&amp;" "&amp;$M55&amp;""))),ISNUMBER(SEARCH("membership",LOWER($A55&amp;" "&amp;$M55&amp;"")))),"",IF($G55="","",IF(ISNUMBER(SEARCH("non",LOWER($E55&amp;""))),$G55*0.85,$G55))))</f>
        <v/>
      </c>
      <c r="O55" s="349">
        <f>IF($A55="","",IF(OR(LOWER($D55&amp;"")="n/a",ISNUMBER(SEARCH("subscription",LOWER($A55&amp;" "&amp;$M55&amp;""))),ISNUMBER(SEARCH("membership",LOWER($A55&amp;" "&amp;$M55&amp;"")))),"",IF(OR($N55="",$I55="",$I55=0),"",$N55/$I55)))</f>
        <v/>
      </c>
      <c r="P55" s="349">
        <f>IF($A55="","",IF(OR(LOWER($D55&amp;"")="n/a",ISNUMBER(SEARCH("subscription",LOWER($A55&amp;" "&amp;$M55&amp;""))),ISNUMBER(SEARCH("membership",LOWER($A55&amp;" "&amp;$M55&amp;"")))),"",IF(LOWER($L55&amp;"")="yes",0,IF($K55&lt;&gt;"",$K55,IF($O55&lt;&gt;"",$O55,"")))))</f>
        <v/>
      </c>
      <c r="Q55" s="351">
        <f>IF($A55="","",IF($U55="Subscription","",IF($U55="Profit",$P55-$H55,0)))</f>
        <v/>
      </c>
      <c r="R55" s="349">
        <f>IF($A55="","",IF($U55="Subscription","",IF($U55="Draw",$H55,0)))</f>
        <v/>
      </c>
      <c r="S55" s="349">
        <f>IF($A55="","",IF($U55="Subscription","",IF($U55="Disqualified",$H55,0)))</f>
        <v/>
      </c>
      <c r="T55" s="380">
        <f>IF($A55="","",IF($U55="Subscription","",IF($H55=0,IF($U55="Profit","N/A",0),IF($U55="Profit",$Q55/$H55,IF($U55="Disqualified",-1,0)))))</f>
        <v/>
      </c>
      <c r="U55" s="351">
        <f>IF($A55="","",IF(OR(LOWER($D55&amp;"")="n/a",ISNUMBER(SEARCH("subscription",LOWER($A55&amp;" "&amp;$M55&amp;""))),ISNUMBER(SEARCH("membership",LOWER($A55&amp;" "&amp;$M55&amp;"")))),"Subscription",IF(LOWER($L55&amp;"")="yes","Disqualified",IF($P55&gt;$H55,"Profit","Draw"))))</f>
        <v/>
      </c>
      <c r="V55" s="383">
        <f>IF(OR($A55="",$B55="",$C55="",$U55="Subscription"),"",IFERROR(ROUNDUP((IF(ISNUMBER($C55),$C55,DATEVALUE($C55))-IF(ISNUMBER($B55),$B55,DATEVALUE($B55)))/7,0),""))</f>
        <v/>
      </c>
      <c r="W55" s="351">
        <f>IF($U55="Subscription","",$Q55-$S55)</f>
        <v/>
      </c>
      <c r="X55" s="384">
        <f>IF(OR($A55="",$U55="Subscription",$J55="",$I55="",$J55=0,$I55=0,$I55&gt;$J55),"",$J55-$I55)</f>
        <v/>
      </c>
      <c r="Y55" s="381">
        <f>IF(OR($A55="",$U55="Subscription",$J55="",$J55=0,$X55=""),"",$X55/$J55)</f>
        <v/>
      </c>
    </row>
    <row r="56" ht="21" customHeight="1" s="270">
      <c r="A56" s="297" t="n"/>
      <c r="B56" s="298" t="n"/>
      <c r="C56" s="298" t="n"/>
      <c r="D56" s="297" t="n"/>
      <c r="E56" s="349" t="n"/>
      <c r="F56" s="349" t="n"/>
      <c r="G56" s="349" t="n"/>
      <c r="H56" s="349" t="n"/>
      <c r="I56" s="382" t="n"/>
      <c r="J56" s="383" t="n"/>
      <c r="K56" s="351" t="n"/>
      <c r="L56" s="296" t="n"/>
      <c r="M56" s="349" t="n"/>
      <c r="N56" s="349">
        <f>IF($A56="","",IF(OR(LOWER($D56&amp;"")="n/a",ISNUMBER(SEARCH("subscription",LOWER($A56&amp;" "&amp;$M56&amp;""))),ISNUMBER(SEARCH("membership",LOWER($A56&amp;" "&amp;$M56&amp;"")))),"",IF($G56="","",IF(ISNUMBER(SEARCH("non",LOWER($E56&amp;""))),$G56*0.85,$G56))))</f>
        <v/>
      </c>
      <c r="O56" s="349">
        <f>IF($A56="","",IF(OR(LOWER($D56&amp;"")="n/a",ISNUMBER(SEARCH("subscription",LOWER($A56&amp;" "&amp;$M56&amp;""))),ISNUMBER(SEARCH("membership",LOWER($A56&amp;" "&amp;$M56&amp;"")))),"",IF(OR($N56="",$I56="",$I56=0),"",$N56/$I56)))</f>
        <v/>
      </c>
      <c r="P56" s="349">
        <f>IF($A56="","",IF(OR(LOWER($D56&amp;"")="n/a",ISNUMBER(SEARCH("subscription",LOWER($A56&amp;" "&amp;$M56&amp;""))),ISNUMBER(SEARCH("membership",LOWER($A56&amp;" "&amp;$M56&amp;"")))),"",IF(LOWER($L56&amp;"")="yes",0,IF($K56&lt;&gt;"",$K56,IF($O56&lt;&gt;"",$O56,"")))))</f>
        <v/>
      </c>
      <c r="Q56" s="351">
        <f>IF($A56="","",IF($U56="Subscription","",IF($U56="Profit",$P56-$H56,0)))</f>
        <v/>
      </c>
      <c r="R56" s="349">
        <f>IF($A56="","",IF($U56="Subscription","",IF($U56="Draw",$H56,0)))</f>
        <v/>
      </c>
      <c r="S56" s="349">
        <f>IF($A56="","",IF($U56="Subscription","",IF($U56="Disqualified",$H56,0)))</f>
        <v/>
      </c>
      <c r="T56" s="380">
        <f>IF($A56="","",IF($U56="Subscription","",IF($H56=0,IF($U56="Profit","N/A",0),IF($U56="Profit",$Q56/$H56,IF($U56="Disqualified",-1,0)))))</f>
        <v/>
      </c>
      <c r="U56" s="351">
        <f>IF($A56="","",IF(OR(LOWER($D56&amp;"")="n/a",ISNUMBER(SEARCH("subscription",LOWER($A56&amp;" "&amp;$M56&amp;""))),ISNUMBER(SEARCH("membership",LOWER($A56&amp;" "&amp;$M56&amp;"")))),"Subscription",IF(LOWER($L56&amp;"")="yes","Disqualified",IF($P56&gt;$H56,"Profit","Draw"))))</f>
        <v/>
      </c>
      <c r="V56" s="383">
        <f>IF(OR($A56="",$B56="",$C56="",$U56="Subscription"),"",IFERROR(ROUNDUP((IF(ISNUMBER($C56),$C56,DATEVALUE($C56))-IF(ISNUMBER($B56),$B56,DATEVALUE($B56)))/7,0),""))</f>
        <v/>
      </c>
      <c r="W56" s="351">
        <f>IF($U56="Subscription","",$Q56-$S56)</f>
        <v/>
      </c>
      <c r="X56" s="384">
        <f>IF(OR($A56="",$U56="Subscription",$J56="",$I56="",$J56=0,$I56=0,$I56&gt;$J56),"",$J56-$I56)</f>
        <v/>
      </c>
      <c r="Y56" s="381">
        <f>IF(OR($A56="",$U56="Subscription",$J56="",$J56=0,$X56=""),"",$X56/$J56)</f>
        <v/>
      </c>
    </row>
    <row r="57" ht="21" customHeight="1" s="270">
      <c r="A57" s="297" t="n"/>
      <c r="B57" s="298" t="n"/>
      <c r="C57" s="298" t="n"/>
      <c r="D57" s="297" t="n"/>
      <c r="E57" s="349" t="n"/>
      <c r="F57" s="349" t="n"/>
      <c r="G57" s="349" t="n"/>
      <c r="H57" s="349" t="n"/>
      <c r="I57" s="382" t="n"/>
      <c r="J57" s="383" t="n"/>
      <c r="K57" s="351" t="n"/>
      <c r="L57" s="296" t="n"/>
      <c r="M57" s="349" t="n"/>
      <c r="N57" s="349">
        <f>IF($A57="","",IF(OR(LOWER($D57&amp;"")="n/a",ISNUMBER(SEARCH("subscription",LOWER($A57&amp;" "&amp;$M57&amp;""))),ISNUMBER(SEARCH("membership",LOWER($A57&amp;" "&amp;$M57&amp;"")))),"",IF($G57="","",IF(ISNUMBER(SEARCH("non",LOWER($E57&amp;""))),$G57*0.85,$G57))))</f>
        <v/>
      </c>
      <c r="O57" s="349">
        <f>IF($A57="","",IF(OR(LOWER($D57&amp;"")="n/a",ISNUMBER(SEARCH("subscription",LOWER($A57&amp;" "&amp;$M57&amp;""))),ISNUMBER(SEARCH("membership",LOWER($A57&amp;" "&amp;$M57&amp;"")))),"",IF(OR($N57="",$I57="",$I57=0),"",$N57/$I57)))</f>
        <v/>
      </c>
      <c r="P57" s="349">
        <f>IF($A57="","",IF(OR(LOWER($D57&amp;"")="n/a",ISNUMBER(SEARCH("subscription",LOWER($A57&amp;" "&amp;$M57&amp;""))),ISNUMBER(SEARCH("membership",LOWER($A57&amp;" "&amp;$M57&amp;"")))),"",IF(LOWER($L57&amp;"")="yes",0,IF($K57&lt;&gt;"",$K57,IF($O57&lt;&gt;"",$O57,"")))))</f>
        <v/>
      </c>
      <c r="Q57" s="351">
        <f>IF($A57="","",IF($U57="Subscription","",IF($U57="Profit",$P57-$H57,0)))</f>
        <v/>
      </c>
      <c r="R57" s="349">
        <f>IF($A57="","",IF($U57="Subscription","",IF($U57="Draw",$H57,0)))</f>
        <v/>
      </c>
      <c r="S57" s="349">
        <f>IF($A57="","",IF($U57="Subscription","",IF($U57="Disqualified",$H57,0)))</f>
        <v/>
      </c>
      <c r="T57" s="380">
        <f>IF($A57="","",IF($U57="Subscription","",IF($H57=0,IF($U57="Profit","N/A",0),IF($U57="Profit",$Q57/$H57,IF($U57="Disqualified",-1,0)))))</f>
        <v/>
      </c>
      <c r="U57" s="351">
        <f>IF($A57="","",IF(OR(LOWER($D57&amp;"")="n/a",ISNUMBER(SEARCH("subscription",LOWER($A57&amp;" "&amp;$M57&amp;""))),ISNUMBER(SEARCH("membership",LOWER($A57&amp;" "&amp;$M57&amp;"")))),"Subscription",IF(LOWER($L57&amp;"")="yes","Disqualified",IF($P57&gt;$H57,"Profit","Draw"))))</f>
        <v/>
      </c>
      <c r="V57" s="383">
        <f>IF(OR($A57="",$B57="",$C57="",$U57="Subscription"),"",IFERROR(ROUNDUP((IF(ISNUMBER($C57),$C57,DATEVALUE($C57))-IF(ISNUMBER($B57),$B57,DATEVALUE($B57)))/7,0),""))</f>
        <v/>
      </c>
      <c r="W57" s="351">
        <f>IF($U57="Subscription","",$Q57-$S57)</f>
        <v/>
      </c>
      <c r="X57" s="384">
        <f>IF(OR($A57="",$U57="Subscription",$J57="",$I57="",$J57=0,$I57=0,$I57&gt;$J57),"",$J57-$I57)</f>
        <v/>
      </c>
      <c r="Y57" s="381">
        <f>IF(OR($A57="",$U57="Subscription",$J57="",$J57=0,$X57=""),"",$X57/$J57)</f>
        <v/>
      </c>
    </row>
    <row r="58" ht="21" customHeight="1" s="270">
      <c r="A58" s="297" t="n"/>
      <c r="B58" s="298" t="n"/>
      <c r="C58" s="298" t="n"/>
      <c r="D58" s="297" t="n"/>
      <c r="E58" s="349" t="n"/>
      <c r="F58" s="349" t="n"/>
      <c r="G58" s="349" t="n"/>
      <c r="H58" s="349" t="n"/>
      <c r="I58" s="382" t="n"/>
      <c r="J58" s="383" t="n"/>
      <c r="K58" s="351" t="n"/>
      <c r="L58" s="296" t="n"/>
      <c r="M58" s="349" t="n"/>
      <c r="N58" s="349">
        <f>IF($A58="","",IF(OR(LOWER($D58&amp;"")="n/a",ISNUMBER(SEARCH("subscription",LOWER($A58&amp;" "&amp;$M58&amp;""))),ISNUMBER(SEARCH("membership",LOWER($A58&amp;" "&amp;$M58&amp;"")))),"",IF($G58="","",IF(ISNUMBER(SEARCH("non",LOWER($E58&amp;""))),$G58*0.85,$G58))))</f>
        <v/>
      </c>
      <c r="O58" s="349">
        <f>IF($A58="","",IF(OR(LOWER($D58&amp;"")="n/a",ISNUMBER(SEARCH("subscription",LOWER($A58&amp;" "&amp;$M58&amp;""))),ISNUMBER(SEARCH("membership",LOWER($A58&amp;" "&amp;$M58&amp;"")))),"",IF(OR($N58="",$I58="",$I58=0),"",$N58/$I58)))</f>
        <v/>
      </c>
      <c r="P58" s="349">
        <f>IF($A58="","",IF(OR(LOWER($D58&amp;"")="n/a",ISNUMBER(SEARCH("subscription",LOWER($A58&amp;" "&amp;$M58&amp;""))),ISNUMBER(SEARCH("membership",LOWER($A58&amp;" "&amp;$M58&amp;"")))),"",IF(LOWER($L58&amp;"")="yes",0,IF($K58&lt;&gt;"",$K58,IF($O58&lt;&gt;"",$O58,"")))))</f>
        <v/>
      </c>
      <c r="Q58" s="351">
        <f>IF($A58="","",IF($U58="Subscription","",IF($U58="Profit",$P58-$H58,0)))</f>
        <v/>
      </c>
      <c r="R58" s="349">
        <f>IF($A58="","",IF($U58="Subscription","",IF($U58="Draw",$H58,0)))</f>
        <v/>
      </c>
      <c r="S58" s="349">
        <f>IF($A58="","",IF($U58="Subscription","",IF($U58="Disqualified",$H58,0)))</f>
        <v/>
      </c>
      <c r="T58" s="380">
        <f>IF($A58="","",IF($U58="Subscription","",IF($H58=0,IF($U58="Profit","N/A",0),IF($U58="Profit",$Q58/$H58,IF($U58="Disqualified",-1,0)))))</f>
        <v/>
      </c>
      <c r="U58" s="351">
        <f>IF($A58="","",IF(OR(LOWER($D58&amp;"")="n/a",ISNUMBER(SEARCH("subscription",LOWER($A58&amp;" "&amp;$M58&amp;""))),ISNUMBER(SEARCH("membership",LOWER($A58&amp;" "&amp;$M58&amp;"")))),"Subscription",IF(LOWER($L58&amp;"")="yes","Disqualified",IF($P58&gt;$H58,"Profit","Draw"))))</f>
        <v/>
      </c>
      <c r="V58" s="383">
        <f>IF(OR($A58="",$B58="",$C58="",$U58="Subscription"),"",IFERROR(ROUNDUP((IF(ISNUMBER($C58),$C58,DATEVALUE($C58))-IF(ISNUMBER($B58),$B58,DATEVALUE($B58)))/7,0),""))</f>
        <v/>
      </c>
      <c r="W58" s="351">
        <f>IF($U58="Subscription","",$Q58-$S58)</f>
        <v/>
      </c>
      <c r="X58" s="384">
        <f>IF(OR($A58="",$U58="Subscription",$J58="",$I58="",$J58=0,$I58=0,$I58&gt;$J58),"",$J58-$I58)</f>
        <v/>
      </c>
      <c r="Y58" s="381">
        <f>IF(OR($A58="",$U58="Subscription",$J58="",$J58=0,$X58=""),"",$X58/$J58)</f>
        <v/>
      </c>
    </row>
    <row r="59" ht="21" customHeight="1" s="270">
      <c r="A59" s="297" t="n"/>
      <c r="B59" s="298" t="n"/>
      <c r="C59" s="298" t="n"/>
      <c r="D59" s="297" t="n"/>
      <c r="E59" s="349" t="n"/>
      <c r="F59" s="349" t="n"/>
      <c r="G59" s="349" t="n"/>
      <c r="H59" s="349" t="n"/>
      <c r="I59" s="382" t="n"/>
      <c r="J59" s="383" t="n"/>
      <c r="K59" s="351" t="n"/>
      <c r="L59" s="296" t="n"/>
      <c r="M59" s="349" t="n"/>
      <c r="N59" s="349">
        <f>IF($A59="","",IF(OR(LOWER($D59&amp;"")="n/a",ISNUMBER(SEARCH("subscription",LOWER($A59&amp;" "&amp;$M59&amp;""))),ISNUMBER(SEARCH("membership",LOWER($A59&amp;" "&amp;$M59&amp;"")))),"",IF($G59="","",IF(ISNUMBER(SEARCH("non",LOWER($E59&amp;""))),$G59*0.85,$G59))))</f>
        <v/>
      </c>
      <c r="O59" s="349">
        <f>IF($A59="","",IF(OR(LOWER($D59&amp;"")="n/a",ISNUMBER(SEARCH("subscription",LOWER($A59&amp;" "&amp;$M59&amp;""))),ISNUMBER(SEARCH("membership",LOWER($A59&amp;" "&amp;$M59&amp;"")))),"",IF(OR($N59="",$I59="",$I59=0),"",$N59/$I59)))</f>
        <v/>
      </c>
      <c r="P59" s="349">
        <f>IF($A59="","",IF(OR(LOWER($D59&amp;"")="n/a",ISNUMBER(SEARCH("subscription",LOWER($A59&amp;" "&amp;$M59&amp;""))),ISNUMBER(SEARCH("membership",LOWER($A59&amp;" "&amp;$M59&amp;"")))),"",IF(LOWER($L59&amp;"")="yes",0,IF($K59&lt;&gt;"",$K59,IF($O59&lt;&gt;"",$O59,"")))))</f>
        <v/>
      </c>
      <c r="Q59" s="351">
        <f>IF($A59="","",IF($U59="Subscription","",IF($U59="Profit",$P59-$H59,0)))</f>
        <v/>
      </c>
      <c r="R59" s="349">
        <f>IF($A59="","",IF($U59="Subscription","",IF($U59="Draw",$H59,0)))</f>
        <v/>
      </c>
      <c r="S59" s="349">
        <f>IF($A59="","",IF($U59="Subscription","",IF($U59="Disqualified",$H59,0)))</f>
        <v/>
      </c>
      <c r="T59" s="380">
        <f>IF($A59="","",IF($U59="Subscription","",IF($H59=0,IF($U59="Profit","N/A",0),IF($U59="Profit",$Q59/$H59,IF($U59="Disqualified",-1,0)))))</f>
        <v/>
      </c>
      <c r="U59" s="351">
        <f>IF($A59="","",IF(OR(LOWER($D59&amp;"")="n/a",ISNUMBER(SEARCH("subscription",LOWER($A59&amp;" "&amp;$M59&amp;""))),ISNUMBER(SEARCH("membership",LOWER($A59&amp;" "&amp;$M59&amp;"")))),"Subscription",IF(LOWER($L59&amp;"")="yes","Disqualified",IF($P59&gt;$H59,"Profit","Draw"))))</f>
        <v/>
      </c>
      <c r="V59" s="383">
        <f>IF(OR($A59="",$B59="",$C59="",$U59="Subscription"),"",IFERROR(ROUNDUP((IF(ISNUMBER($C59),$C59,DATEVALUE($C59))-IF(ISNUMBER($B59),$B59,DATEVALUE($B59)))/7,0),""))</f>
        <v/>
      </c>
      <c r="W59" s="351">
        <f>IF($U59="Subscription","",$Q59-$S59)</f>
        <v/>
      </c>
      <c r="X59" s="384">
        <f>IF(OR($A59="",$U59="Subscription",$J59="",$I59="",$J59=0,$I59=0,$I59&gt;$J59),"",$J59-$I59)</f>
        <v/>
      </c>
      <c r="Y59" s="381">
        <f>IF(OR($A59="",$U59="Subscription",$J59="",$J59=0,$X59=""),"",$X59/$J59)</f>
        <v/>
      </c>
    </row>
    <row r="60" ht="21" customHeight="1" s="270">
      <c r="A60" s="297" t="n"/>
      <c r="B60" s="298" t="n"/>
      <c r="C60" s="298" t="n"/>
      <c r="D60" s="297" t="n"/>
      <c r="E60" s="349" t="n"/>
      <c r="F60" s="349" t="n"/>
      <c r="G60" s="349" t="n"/>
      <c r="H60" s="349" t="n"/>
      <c r="I60" s="382" t="n"/>
      <c r="J60" s="383" t="n"/>
      <c r="K60" s="351" t="n"/>
      <c r="L60" s="296" t="n"/>
      <c r="M60" s="349" t="n"/>
      <c r="N60" s="349">
        <f>IF($A60="","",IF(OR(LOWER($D60&amp;"")="n/a",ISNUMBER(SEARCH("subscription",LOWER($A60&amp;" "&amp;$M60&amp;""))),ISNUMBER(SEARCH("membership",LOWER($A60&amp;" "&amp;$M60&amp;"")))),"",IF($G60="","",IF(ISNUMBER(SEARCH("non",LOWER($E60&amp;""))),$G60*0.85,$G60))))</f>
        <v/>
      </c>
      <c r="O60" s="349">
        <f>IF($A60="","",IF(OR(LOWER($D60&amp;"")="n/a",ISNUMBER(SEARCH("subscription",LOWER($A60&amp;" "&amp;$M60&amp;""))),ISNUMBER(SEARCH("membership",LOWER($A60&amp;" "&amp;$M60&amp;"")))),"",IF(OR($N60="",$I60="",$I60=0),"",$N60/$I60)))</f>
        <v/>
      </c>
      <c r="P60" s="349">
        <f>IF($A60="","",IF(OR(LOWER($D60&amp;"")="n/a",ISNUMBER(SEARCH("subscription",LOWER($A60&amp;" "&amp;$M60&amp;""))),ISNUMBER(SEARCH("membership",LOWER($A60&amp;" "&amp;$M60&amp;"")))),"",IF(LOWER($L60&amp;"")="yes",0,IF($K60&lt;&gt;"",$K60,IF($O60&lt;&gt;"",$O60,"")))))</f>
        <v/>
      </c>
      <c r="Q60" s="351">
        <f>IF($A60="","",IF($U60="Subscription","",IF($U60="Profit",$P60-$H60,0)))</f>
        <v/>
      </c>
      <c r="R60" s="349">
        <f>IF($A60="","",IF($U60="Subscription","",IF($U60="Draw",$H60,0)))</f>
        <v/>
      </c>
      <c r="S60" s="349">
        <f>IF($A60="","",IF($U60="Subscription","",IF($U60="Disqualified",$H60,0)))</f>
        <v/>
      </c>
      <c r="T60" s="380">
        <f>IF($A60="","",IF($U60="Subscription","",IF($H60=0,IF($U60="Profit","N/A",0),IF($U60="Profit",$Q60/$H60,IF($U60="Disqualified",-1,0)))))</f>
        <v/>
      </c>
      <c r="U60" s="351">
        <f>IF($A60="","",IF(OR(LOWER($D60&amp;"")="n/a",ISNUMBER(SEARCH("subscription",LOWER($A60&amp;" "&amp;$M60&amp;""))),ISNUMBER(SEARCH("membership",LOWER($A60&amp;" "&amp;$M60&amp;"")))),"Subscription",IF(LOWER($L60&amp;"")="yes","Disqualified",IF($P60&gt;$H60,"Profit","Draw"))))</f>
        <v/>
      </c>
      <c r="V60" s="383">
        <f>IF(OR($A60="",$B60="",$C60="",$U60="Subscription"),"",IFERROR(ROUNDUP((IF(ISNUMBER($C60),$C60,DATEVALUE($C60))-IF(ISNUMBER($B60),$B60,DATEVALUE($B60)))/7,0),""))</f>
        <v/>
      </c>
      <c r="W60" s="351">
        <f>IF($U60="Subscription","",$Q60-$S60)</f>
        <v/>
      </c>
      <c r="X60" s="384">
        <f>IF(OR($A60="",$U60="Subscription",$J60="",$I60="",$J60=0,$I60=0,$I60&gt;$J60),"",$J60-$I60)</f>
        <v/>
      </c>
      <c r="Y60" s="381">
        <f>IF(OR($A60="",$U60="Subscription",$J60="",$J60=0,$X60=""),"",$X60/$J60)</f>
        <v/>
      </c>
    </row>
    <row r="61" ht="21" customHeight="1" s="270">
      <c r="A61" s="297" t="n"/>
      <c r="B61" s="298" t="n"/>
      <c r="C61" s="298" t="n"/>
      <c r="D61" s="297" t="n"/>
      <c r="E61" s="349" t="n"/>
      <c r="F61" s="349" t="n"/>
      <c r="G61" s="349" t="n"/>
      <c r="H61" s="349" t="n"/>
      <c r="I61" s="382" t="n"/>
      <c r="J61" s="383" t="n"/>
      <c r="K61" s="351" t="n"/>
      <c r="L61" s="296" t="n"/>
      <c r="M61" s="349" t="n"/>
      <c r="N61" s="349">
        <f>IF($A61="","",IF(OR(LOWER($D61&amp;"")="n/a",ISNUMBER(SEARCH("subscription",LOWER($A61&amp;" "&amp;$M61&amp;""))),ISNUMBER(SEARCH("membership",LOWER($A61&amp;" "&amp;$M61&amp;"")))),"",IF($G61="","",IF(ISNUMBER(SEARCH("non",LOWER($E61&amp;""))),$G61*0.85,$G61))))</f>
        <v/>
      </c>
      <c r="O61" s="349">
        <f>IF($A61="","",IF(OR(LOWER($D61&amp;"")="n/a",ISNUMBER(SEARCH("subscription",LOWER($A61&amp;" "&amp;$M61&amp;""))),ISNUMBER(SEARCH("membership",LOWER($A61&amp;" "&amp;$M61&amp;"")))),"",IF(OR($N61="",$I61="",$I61=0),"",$N61/$I61)))</f>
        <v/>
      </c>
      <c r="P61" s="349">
        <f>IF($A61="","",IF(OR(LOWER($D61&amp;"")="n/a",ISNUMBER(SEARCH("subscription",LOWER($A61&amp;" "&amp;$M61&amp;""))),ISNUMBER(SEARCH("membership",LOWER($A61&amp;" "&amp;$M61&amp;"")))),"",IF(LOWER($L61&amp;"")="yes",0,IF($K61&lt;&gt;"",$K61,IF($O61&lt;&gt;"",$O61,"")))))</f>
        <v/>
      </c>
      <c r="Q61" s="351">
        <f>IF($A61="","",IF($U61="Subscription","",IF($U61="Profit",$P61-$H61,0)))</f>
        <v/>
      </c>
      <c r="R61" s="349">
        <f>IF($A61="","",IF($U61="Subscription","",IF($U61="Draw",$H61,0)))</f>
        <v/>
      </c>
      <c r="S61" s="349">
        <f>IF($A61="","",IF($U61="Subscription","",IF($U61="Disqualified",$H61,0)))</f>
        <v/>
      </c>
      <c r="T61" s="380">
        <f>IF($A61="","",IF($U61="Subscription","",IF($H61=0,IF($U61="Profit","N/A",0),IF($U61="Profit",$Q61/$H61,IF($U61="Disqualified",-1,0)))))</f>
        <v/>
      </c>
      <c r="U61" s="351">
        <f>IF($A61="","",IF(OR(LOWER($D61&amp;"")="n/a",ISNUMBER(SEARCH("subscription",LOWER($A61&amp;" "&amp;$M61&amp;""))),ISNUMBER(SEARCH("membership",LOWER($A61&amp;" "&amp;$M61&amp;"")))),"Subscription",IF(LOWER($L61&amp;"")="yes","Disqualified",IF($P61&gt;$H61,"Profit","Draw"))))</f>
        <v/>
      </c>
      <c r="V61" s="383">
        <f>IF(OR($A61="",$B61="",$C61="",$U61="Subscription"),"",IFERROR(ROUNDUP((IF(ISNUMBER($C61),$C61,DATEVALUE($C61))-IF(ISNUMBER($B61),$B61,DATEVALUE($B61)))/7,0),""))</f>
        <v/>
      </c>
      <c r="W61" s="351">
        <f>IF($U61="Subscription","",$Q61-$S61)</f>
        <v/>
      </c>
      <c r="X61" s="384">
        <f>IF(OR($A61="",$U61="Subscription",$J61="",$I61="",$J61=0,$I61=0,$I61&gt;$J61),"",$J61-$I61)</f>
        <v/>
      </c>
      <c r="Y61" s="381">
        <f>IF(OR($A61="",$U61="Subscription",$J61="",$J61=0,$X61=""),"",$X61/$J61)</f>
        <v/>
      </c>
    </row>
    <row r="62" ht="21" customHeight="1" s="270">
      <c r="A62" s="297" t="n"/>
      <c r="B62" s="298" t="n"/>
      <c r="C62" s="298" t="n"/>
      <c r="D62" s="297" t="n"/>
      <c r="E62" s="349" t="n"/>
      <c r="F62" s="349" t="n"/>
      <c r="G62" s="349" t="n"/>
      <c r="H62" s="349" t="n"/>
      <c r="I62" s="382" t="n"/>
      <c r="J62" s="383" t="n"/>
      <c r="K62" s="351" t="n"/>
      <c r="L62" s="296" t="n"/>
      <c r="M62" s="349" t="n"/>
      <c r="N62" s="349">
        <f>IF($A62="","",IF(OR(LOWER($D62&amp;"")="n/a",ISNUMBER(SEARCH("subscription",LOWER($A62&amp;" "&amp;$M62&amp;""))),ISNUMBER(SEARCH("membership",LOWER($A62&amp;" "&amp;$M62&amp;"")))),"",IF($G62="","",IF(ISNUMBER(SEARCH("non",LOWER($E62&amp;""))),$G62*0.85,$G62))))</f>
        <v/>
      </c>
      <c r="O62" s="349">
        <f>IF($A62="","",IF(OR(LOWER($D62&amp;"")="n/a",ISNUMBER(SEARCH("subscription",LOWER($A62&amp;" "&amp;$M62&amp;""))),ISNUMBER(SEARCH("membership",LOWER($A62&amp;" "&amp;$M62&amp;"")))),"",IF(OR($N62="",$I62="",$I62=0),"",$N62/$I62)))</f>
        <v/>
      </c>
      <c r="P62" s="349">
        <f>IF($A62="","",IF(OR(LOWER($D62&amp;"")="n/a",ISNUMBER(SEARCH("subscription",LOWER($A62&amp;" "&amp;$M62&amp;""))),ISNUMBER(SEARCH("membership",LOWER($A62&amp;" "&amp;$M62&amp;"")))),"",IF(LOWER($L62&amp;"")="yes",0,IF($K62&lt;&gt;"",$K62,IF($O62&lt;&gt;"",$O62,"")))))</f>
        <v/>
      </c>
      <c r="Q62" s="351">
        <f>IF($A62="","",IF($U62="Subscription","",IF($U62="Profit",$P62-$H62,0)))</f>
        <v/>
      </c>
      <c r="R62" s="349">
        <f>IF($A62="","",IF($U62="Subscription","",IF($U62="Draw",$H62,0)))</f>
        <v/>
      </c>
      <c r="S62" s="349">
        <f>IF($A62="","",IF($U62="Subscription","",IF($U62="Disqualified",$H62,0)))</f>
        <v/>
      </c>
      <c r="T62" s="380">
        <f>IF($A62="","",IF($U62="Subscription","",IF($H62=0,IF($U62="Profit","N/A",0),IF($U62="Profit",$Q62/$H62,IF($U62="Disqualified",-1,0)))))</f>
        <v/>
      </c>
      <c r="U62" s="351">
        <f>IF($A62="","",IF(OR(LOWER($D62&amp;"")="n/a",ISNUMBER(SEARCH("subscription",LOWER($A62&amp;" "&amp;$M62&amp;""))),ISNUMBER(SEARCH("membership",LOWER($A62&amp;" "&amp;$M62&amp;"")))),"Subscription",IF(LOWER($L62&amp;"")="yes","Disqualified",IF($P62&gt;$H62,"Profit","Draw"))))</f>
        <v/>
      </c>
      <c r="V62" s="383">
        <f>IF(OR($A62="",$B62="",$C62="",$U62="Subscription"),"",IFERROR(ROUNDUP((IF(ISNUMBER($C62),$C62,DATEVALUE($C62))-IF(ISNUMBER($B62),$B62,DATEVALUE($B62)))/7,0),""))</f>
        <v/>
      </c>
      <c r="W62" s="351">
        <f>IF($U62="Subscription","",$Q62-$S62)</f>
        <v/>
      </c>
      <c r="X62" s="384">
        <f>IF(OR($A62="",$U62="Subscription",$J62="",$I62="",$J62=0,$I62=0,$I62&gt;$J62),"",$J62-$I62)</f>
        <v/>
      </c>
      <c r="Y62" s="381">
        <f>IF(OR($A62="",$U62="Subscription",$J62="",$J62=0,$X62=""),"",$X62/$J62)</f>
        <v/>
      </c>
    </row>
    <row r="63" ht="21" customHeight="1" s="270">
      <c r="A63" s="297" t="n"/>
      <c r="B63" s="298" t="n"/>
      <c r="C63" s="298" t="n"/>
      <c r="D63" s="297" t="n"/>
      <c r="E63" s="349" t="n"/>
      <c r="F63" s="349" t="n"/>
      <c r="G63" s="349" t="n"/>
      <c r="H63" s="349" t="n"/>
      <c r="I63" s="382" t="n"/>
      <c r="J63" s="383" t="n"/>
      <c r="K63" s="351" t="n"/>
      <c r="L63" s="296" t="n"/>
      <c r="M63" s="349" t="n"/>
      <c r="N63" s="349">
        <f>IF($A63="","",IF(OR(LOWER($D63&amp;"")="n/a",ISNUMBER(SEARCH("subscription",LOWER($A63&amp;" "&amp;$M63&amp;""))),ISNUMBER(SEARCH("membership",LOWER($A63&amp;" "&amp;$M63&amp;"")))),"",IF($G63="","",IF(ISNUMBER(SEARCH("non",LOWER($E63&amp;""))),$G63*0.85,$G63))))</f>
        <v/>
      </c>
      <c r="O63" s="349">
        <f>IF($A63="","",IF(OR(LOWER($D63&amp;"")="n/a",ISNUMBER(SEARCH("subscription",LOWER($A63&amp;" "&amp;$M63&amp;""))),ISNUMBER(SEARCH("membership",LOWER($A63&amp;" "&amp;$M63&amp;"")))),"",IF(OR($N63="",$I63="",$I63=0),"",$N63/$I63)))</f>
        <v/>
      </c>
      <c r="P63" s="349">
        <f>IF($A63="","",IF(OR(LOWER($D63&amp;"")="n/a",ISNUMBER(SEARCH("subscription",LOWER($A63&amp;" "&amp;$M63&amp;""))),ISNUMBER(SEARCH("membership",LOWER($A63&amp;" "&amp;$M63&amp;"")))),"",IF(LOWER($L63&amp;"")="yes",0,IF($K63&lt;&gt;"",$K63,IF($O63&lt;&gt;"",$O63,"")))))</f>
        <v/>
      </c>
      <c r="Q63" s="351">
        <f>IF($A63="","",IF($U63="Subscription","",IF($U63="Profit",$P63-$H63,0)))</f>
        <v/>
      </c>
      <c r="R63" s="349">
        <f>IF($A63="","",IF($U63="Subscription","",IF($U63="Draw",$H63,0)))</f>
        <v/>
      </c>
      <c r="S63" s="349">
        <f>IF($A63="","",IF($U63="Subscription","",IF($U63="Disqualified",$H63,0)))</f>
        <v/>
      </c>
      <c r="T63" s="380">
        <f>IF($A63="","",IF($U63="Subscription","",IF($H63=0,IF($U63="Profit","N/A",0),IF($U63="Profit",$Q63/$H63,IF($U63="Disqualified",-1,0)))))</f>
        <v/>
      </c>
      <c r="U63" s="351">
        <f>IF($A63="","",IF(OR(LOWER($D63&amp;"")="n/a",ISNUMBER(SEARCH("subscription",LOWER($A63&amp;" "&amp;$M63&amp;""))),ISNUMBER(SEARCH("membership",LOWER($A63&amp;" "&amp;$M63&amp;"")))),"Subscription",IF(LOWER($L63&amp;"")="yes","Disqualified",IF($P63&gt;$H63,"Profit","Draw"))))</f>
        <v/>
      </c>
      <c r="V63" s="383">
        <f>IF(OR($A63="",$B63="",$C63="",$U63="Subscription"),"",IFERROR(ROUNDUP((IF(ISNUMBER($C63),$C63,DATEVALUE($C63))-IF(ISNUMBER($B63),$B63,DATEVALUE($B63)))/7,0),""))</f>
        <v/>
      </c>
      <c r="W63" s="351">
        <f>IF($U63="Subscription","",$Q63-$S63)</f>
        <v/>
      </c>
      <c r="X63" s="384">
        <f>IF(OR($A63="",$U63="Subscription",$J63="",$I63="",$J63=0,$I63=0,$I63&gt;$J63),"",$J63-$I63)</f>
        <v/>
      </c>
      <c r="Y63" s="381">
        <f>IF(OR($A63="",$U63="Subscription",$J63="",$J63=0,$X63=""),"",$X63/$J63)</f>
        <v/>
      </c>
    </row>
    <row r="64" ht="21" customHeight="1" s="270">
      <c r="A64" s="297" t="n"/>
      <c r="B64" s="298" t="n"/>
      <c r="C64" s="298" t="n"/>
      <c r="D64" s="297" t="n"/>
      <c r="E64" s="349" t="n"/>
      <c r="F64" s="349" t="n"/>
      <c r="G64" s="349" t="n"/>
      <c r="H64" s="349" t="n"/>
      <c r="I64" s="382" t="n"/>
      <c r="J64" s="383" t="n"/>
      <c r="K64" s="351" t="n"/>
      <c r="L64" s="296" t="n"/>
      <c r="M64" s="349" t="n"/>
      <c r="N64" s="349">
        <f>IF($A64="","",IF(OR(LOWER($D64&amp;"")="n/a",ISNUMBER(SEARCH("subscription",LOWER($A64&amp;" "&amp;$M64&amp;""))),ISNUMBER(SEARCH("membership",LOWER($A64&amp;" "&amp;$M64&amp;"")))),"",IF($G64="","",IF(ISNUMBER(SEARCH("non",LOWER($E64&amp;""))),$G64*0.85,$G64))))</f>
        <v/>
      </c>
      <c r="O64" s="349">
        <f>IF($A64="","",IF(OR(LOWER($D64&amp;"")="n/a",ISNUMBER(SEARCH("subscription",LOWER($A64&amp;" "&amp;$M64&amp;""))),ISNUMBER(SEARCH("membership",LOWER($A64&amp;" "&amp;$M64&amp;"")))),"",IF(OR($N64="",$I64="",$I64=0),"",$N64/$I64)))</f>
        <v/>
      </c>
      <c r="P64" s="349">
        <f>IF($A64="","",IF(OR(LOWER($D64&amp;"")="n/a",ISNUMBER(SEARCH("subscription",LOWER($A64&amp;" "&amp;$M64&amp;""))),ISNUMBER(SEARCH("membership",LOWER($A64&amp;" "&amp;$M64&amp;"")))),"",IF(LOWER($L64&amp;"")="yes",0,IF($K64&lt;&gt;"",$K64,IF($O64&lt;&gt;"",$O64,"")))))</f>
        <v/>
      </c>
      <c r="Q64" s="351">
        <f>IF($A64="","",IF($U64="Subscription","",IF($U64="Profit",$P64-$H64,0)))</f>
        <v/>
      </c>
      <c r="R64" s="349">
        <f>IF($A64="","",IF($U64="Subscription","",IF($U64="Draw",$H64,0)))</f>
        <v/>
      </c>
      <c r="S64" s="349">
        <f>IF($A64="","",IF($U64="Subscription","",IF($U64="Disqualified",$H64,0)))</f>
        <v/>
      </c>
      <c r="T64" s="380">
        <f>IF($A64="","",IF($U64="Subscription","",IF($H64=0,IF($U64="Profit","N/A",0),IF($U64="Profit",$Q64/$H64,IF($U64="Disqualified",-1,0)))))</f>
        <v/>
      </c>
      <c r="U64" s="351">
        <f>IF($A64="","",IF(OR(LOWER($D64&amp;"")="n/a",ISNUMBER(SEARCH("subscription",LOWER($A64&amp;" "&amp;$M64&amp;""))),ISNUMBER(SEARCH("membership",LOWER($A64&amp;" "&amp;$M64&amp;"")))),"Subscription",IF(LOWER($L64&amp;"")="yes","Disqualified",IF($P64&gt;$H64,"Profit","Draw"))))</f>
        <v/>
      </c>
      <c r="V64" s="383">
        <f>IF(OR($A64="",$B64="",$C64="",$U64="Subscription"),"",IFERROR(ROUNDUP((IF(ISNUMBER($C64),$C64,DATEVALUE($C64))-IF(ISNUMBER($B64),$B64,DATEVALUE($B64)))/7,0),""))</f>
        <v/>
      </c>
      <c r="W64" s="351">
        <f>IF($U64="Subscription","",$Q64-$S64)</f>
        <v/>
      </c>
      <c r="X64" s="384">
        <f>IF(OR($A64="",$U64="Subscription",$J64="",$I64="",$J64=0,$I64=0,$I64&gt;$J64),"",$J64-$I64)</f>
        <v/>
      </c>
      <c r="Y64" s="381">
        <f>IF(OR($A64="",$U64="Subscription",$J64="",$J64=0,$X64=""),"",$X64/$J64)</f>
        <v/>
      </c>
    </row>
    <row r="65" ht="21" customHeight="1" s="270">
      <c r="A65" s="297" t="n"/>
      <c r="B65" s="298" t="n"/>
      <c r="C65" s="298" t="n"/>
      <c r="D65" s="297" t="n"/>
      <c r="E65" s="349" t="n"/>
      <c r="F65" s="349" t="n"/>
      <c r="G65" s="349" t="n"/>
      <c r="H65" s="349" t="n"/>
      <c r="I65" s="382" t="n"/>
      <c r="J65" s="383" t="n"/>
      <c r="K65" s="351" t="n"/>
      <c r="L65" s="296" t="n"/>
      <c r="M65" s="349" t="n"/>
      <c r="N65" s="349">
        <f>IF($A65="","",IF(OR(LOWER($D65&amp;"")="n/a",ISNUMBER(SEARCH("subscription",LOWER($A65&amp;" "&amp;$M65&amp;""))),ISNUMBER(SEARCH("membership",LOWER($A65&amp;" "&amp;$M65&amp;"")))),"",IF($G65="","",IF(ISNUMBER(SEARCH("non",LOWER($E65&amp;""))),$G65*0.85,$G65))))</f>
        <v/>
      </c>
      <c r="O65" s="349">
        <f>IF($A65="","",IF(OR(LOWER($D65&amp;"")="n/a",ISNUMBER(SEARCH("subscription",LOWER($A65&amp;" "&amp;$M65&amp;""))),ISNUMBER(SEARCH("membership",LOWER($A65&amp;" "&amp;$M65&amp;"")))),"",IF(OR($N65="",$I65="",$I65=0),"",$N65/$I65)))</f>
        <v/>
      </c>
      <c r="P65" s="349">
        <f>IF($A65="","",IF(OR(LOWER($D65&amp;"")="n/a",ISNUMBER(SEARCH("subscription",LOWER($A65&amp;" "&amp;$M65&amp;""))),ISNUMBER(SEARCH("membership",LOWER($A65&amp;" "&amp;$M65&amp;"")))),"",IF(LOWER($L65&amp;"")="yes",0,IF($K65&lt;&gt;"",$K65,IF($O65&lt;&gt;"",$O65,"")))))</f>
        <v/>
      </c>
      <c r="Q65" s="351">
        <f>IF($A65="","",IF($U65="Subscription","",IF($U65="Profit",$P65-$H65,0)))</f>
        <v/>
      </c>
      <c r="R65" s="349">
        <f>IF($A65="","",IF($U65="Subscription","",IF($U65="Draw",$H65,0)))</f>
        <v/>
      </c>
      <c r="S65" s="349">
        <f>IF($A65="","",IF($U65="Subscription","",IF($U65="Disqualified",$H65,0)))</f>
        <v/>
      </c>
      <c r="T65" s="380">
        <f>IF($A65="","",IF($U65="Subscription","",IF($H65=0,IF($U65="Profit","N/A",0),IF($U65="Profit",$Q65/$H65,IF($U65="Disqualified",-1,0)))))</f>
        <v/>
      </c>
      <c r="U65" s="351">
        <f>IF($A65="","",IF(OR(LOWER($D65&amp;"")="n/a",ISNUMBER(SEARCH("subscription",LOWER($A65&amp;" "&amp;$M65&amp;""))),ISNUMBER(SEARCH("membership",LOWER($A65&amp;" "&amp;$M65&amp;"")))),"Subscription",IF(LOWER($L65&amp;"")="yes","Disqualified",IF($P65&gt;$H65,"Profit","Draw"))))</f>
        <v/>
      </c>
      <c r="V65" s="383">
        <f>IF(OR($A65="",$B65="",$C65="",$U65="Subscription"),"",IFERROR(ROUNDUP((IF(ISNUMBER($C65),$C65,DATEVALUE($C65))-IF(ISNUMBER($B65),$B65,DATEVALUE($B65)))/7,0),""))</f>
        <v/>
      </c>
      <c r="W65" s="351">
        <f>IF($U65="Subscription","",$Q65-$S65)</f>
        <v/>
      </c>
      <c r="X65" s="384">
        <f>IF(OR($A65="",$U65="Subscription",$J65="",$I65="",$J65=0,$I65=0,$I65&gt;$J65),"",$J65-$I65)</f>
        <v/>
      </c>
      <c r="Y65" s="381">
        <f>IF(OR($A65="",$U65="Subscription",$J65="",$J65=0,$X65=""),"",$X65/$J65)</f>
        <v/>
      </c>
    </row>
    <row r="66" ht="21" customHeight="1" s="270">
      <c r="A66" s="297" t="n"/>
      <c r="B66" s="298" t="n"/>
      <c r="C66" s="298" t="n"/>
      <c r="D66" s="297" t="n"/>
      <c r="E66" s="349" t="n"/>
      <c r="F66" s="349" t="n"/>
      <c r="G66" s="349" t="n"/>
      <c r="H66" s="349" t="n"/>
      <c r="I66" s="382" t="n"/>
      <c r="J66" s="383" t="n"/>
      <c r="K66" s="351" t="n"/>
      <c r="L66" s="296" t="n"/>
      <c r="M66" s="349" t="n"/>
      <c r="N66" s="349">
        <f>IF($A66="","",IF(OR(LOWER($D66&amp;"")="n/a",ISNUMBER(SEARCH("subscription",LOWER($A66&amp;" "&amp;$M66&amp;""))),ISNUMBER(SEARCH("membership",LOWER($A66&amp;" "&amp;$M66&amp;"")))),"",IF($G66="","",IF(ISNUMBER(SEARCH("non",LOWER($E66&amp;""))),$G66*0.85,$G66))))</f>
        <v/>
      </c>
      <c r="O66" s="349">
        <f>IF($A66="","",IF(OR(LOWER($D66&amp;"")="n/a",ISNUMBER(SEARCH("subscription",LOWER($A66&amp;" "&amp;$M66&amp;""))),ISNUMBER(SEARCH("membership",LOWER($A66&amp;" "&amp;$M66&amp;"")))),"",IF(OR($N66="",$I66="",$I66=0),"",$N66/$I66)))</f>
        <v/>
      </c>
      <c r="P66" s="349">
        <f>IF($A66="","",IF(OR(LOWER($D66&amp;"")="n/a",ISNUMBER(SEARCH("subscription",LOWER($A66&amp;" "&amp;$M66&amp;""))),ISNUMBER(SEARCH("membership",LOWER($A66&amp;" "&amp;$M66&amp;"")))),"",IF(LOWER($L66&amp;"")="yes",0,IF($K66&lt;&gt;"",$K66,IF($O66&lt;&gt;"",$O66,"")))))</f>
        <v/>
      </c>
      <c r="Q66" s="351">
        <f>IF($A66="","",IF($U66="Subscription","",IF($U66="Profit",$P66-$H66,0)))</f>
        <v/>
      </c>
      <c r="R66" s="349">
        <f>IF($A66="","",IF($U66="Subscription","",IF($U66="Draw",$H66,0)))</f>
        <v/>
      </c>
      <c r="S66" s="349">
        <f>IF($A66="","",IF($U66="Subscription","",IF($U66="Disqualified",$H66,0)))</f>
        <v/>
      </c>
      <c r="T66" s="380">
        <f>IF($A66="","",IF($U66="Subscription","",IF($H66=0,IF($U66="Profit","N/A",0),IF($U66="Profit",$Q66/$H66,IF($U66="Disqualified",-1,0)))))</f>
        <v/>
      </c>
      <c r="U66" s="351">
        <f>IF($A66="","",IF(OR(LOWER($D66&amp;"")="n/a",ISNUMBER(SEARCH("subscription",LOWER($A66&amp;" "&amp;$M66&amp;""))),ISNUMBER(SEARCH("membership",LOWER($A66&amp;" "&amp;$M66&amp;"")))),"Subscription",IF(LOWER($L66&amp;"")="yes","Disqualified",IF($P66&gt;$H66,"Profit","Draw"))))</f>
        <v/>
      </c>
      <c r="V66" s="383">
        <f>IF(OR($A66="",$B66="",$C66="",$U66="Subscription"),"",IFERROR(ROUNDUP((IF(ISNUMBER($C66),$C66,DATEVALUE($C66))-IF(ISNUMBER($B66),$B66,DATEVALUE($B66)))/7,0),""))</f>
        <v/>
      </c>
      <c r="W66" s="351">
        <f>IF($U66="Subscription","",$Q66-$S66)</f>
        <v/>
      </c>
      <c r="X66" s="384">
        <f>IF(OR($A66="",$U66="Subscription",$J66="",$I66="",$J66=0,$I66=0,$I66&gt;$J66),"",$J66-$I66)</f>
        <v/>
      </c>
      <c r="Y66" s="381">
        <f>IF(OR($A66="",$U66="Subscription",$J66="",$J66=0,$X66=""),"",$X66/$J66)</f>
        <v/>
      </c>
    </row>
    <row r="67" ht="21" customHeight="1" s="270">
      <c r="A67" s="297" t="n"/>
      <c r="B67" s="298" t="n"/>
      <c r="C67" s="298" t="n"/>
      <c r="D67" s="297" t="n"/>
      <c r="E67" s="349" t="n"/>
      <c r="F67" s="349" t="n"/>
      <c r="G67" s="349" t="n"/>
      <c r="H67" s="349" t="n"/>
      <c r="I67" s="382" t="n"/>
      <c r="J67" s="383" t="n"/>
      <c r="K67" s="351" t="n"/>
      <c r="L67" s="296" t="n"/>
      <c r="M67" s="349" t="n"/>
      <c r="N67" s="349">
        <f>IF($A67="","",IF(OR(LOWER($D67&amp;"")="n/a",ISNUMBER(SEARCH("subscription",LOWER($A67&amp;" "&amp;$M67&amp;""))),ISNUMBER(SEARCH("membership",LOWER($A67&amp;" "&amp;$M67&amp;"")))),"",IF($G67="","",IF(ISNUMBER(SEARCH("non",LOWER($E67&amp;""))),$G67*0.85,$G67))))</f>
        <v/>
      </c>
      <c r="O67" s="349">
        <f>IF($A67="","",IF(OR(LOWER($D67&amp;"")="n/a",ISNUMBER(SEARCH("subscription",LOWER($A67&amp;" "&amp;$M67&amp;""))),ISNUMBER(SEARCH("membership",LOWER($A67&amp;" "&amp;$M67&amp;"")))),"",IF(OR($N67="",$I67="",$I67=0),"",$N67/$I67)))</f>
        <v/>
      </c>
      <c r="P67" s="349">
        <f>IF($A67="","",IF(OR(LOWER($D67&amp;"")="n/a",ISNUMBER(SEARCH("subscription",LOWER($A67&amp;" "&amp;$M67&amp;""))),ISNUMBER(SEARCH("membership",LOWER($A67&amp;" "&amp;$M67&amp;"")))),"",IF(LOWER($L67&amp;"")="yes",0,IF($K67&lt;&gt;"",$K67,IF($O67&lt;&gt;"",$O67,"")))))</f>
        <v/>
      </c>
      <c r="Q67" s="351">
        <f>IF($A67="","",IF($U67="Subscription","",IF($U67="Profit",$P67-$H67,0)))</f>
        <v/>
      </c>
      <c r="R67" s="349">
        <f>IF($A67="","",IF($U67="Subscription","",IF($U67="Draw",$H67,0)))</f>
        <v/>
      </c>
      <c r="S67" s="349">
        <f>IF($A67="","",IF($U67="Subscription","",IF($U67="Disqualified",$H67,0)))</f>
        <v/>
      </c>
      <c r="T67" s="380">
        <f>IF($A67="","",IF($U67="Subscription","",IF($H67=0,IF($U67="Profit","N/A",0),IF($U67="Profit",$Q67/$H67,IF($U67="Disqualified",-1,0)))))</f>
        <v/>
      </c>
      <c r="U67" s="351">
        <f>IF($A67="","",IF(OR(LOWER($D67&amp;"")="n/a",ISNUMBER(SEARCH("subscription",LOWER($A67&amp;" "&amp;$M67&amp;""))),ISNUMBER(SEARCH("membership",LOWER($A67&amp;" "&amp;$M67&amp;"")))),"Subscription",IF(LOWER($L67&amp;"")="yes","Disqualified",IF($P67&gt;$H67,"Profit","Draw"))))</f>
        <v/>
      </c>
      <c r="V67" s="383">
        <f>IF(OR($A67="",$B67="",$C67="",$U67="Subscription"),"",IFERROR(ROUNDUP((IF(ISNUMBER($C67),$C67,DATEVALUE($C67))-IF(ISNUMBER($B67),$B67,DATEVALUE($B67)))/7,0),""))</f>
        <v/>
      </c>
      <c r="W67" s="351">
        <f>IF($U67="Subscription","",$Q67-$S67)</f>
        <v/>
      </c>
      <c r="X67" s="384">
        <f>IF(OR($A67="",$U67="Subscription",$J67="",$I67="",$J67=0,$I67=0,$I67&gt;$J67),"",$J67-$I67)</f>
        <v/>
      </c>
      <c r="Y67" s="381">
        <f>IF(OR($A67="",$U67="Subscription",$J67="",$J67=0,$X67=""),"",$X67/$J67)</f>
        <v/>
      </c>
    </row>
    <row r="68" ht="21" customHeight="1" s="270">
      <c r="A68" s="297" t="n"/>
      <c r="B68" s="298" t="n"/>
      <c r="C68" s="298" t="n"/>
      <c r="D68" s="297" t="n"/>
      <c r="E68" s="349" t="n"/>
      <c r="F68" s="349" t="n"/>
      <c r="G68" s="349" t="n"/>
      <c r="H68" s="349" t="n"/>
      <c r="I68" s="382" t="n"/>
      <c r="J68" s="383" t="n"/>
      <c r="K68" s="351" t="n"/>
      <c r="L68" s="296" t="n"/>
      <c r="M68" s="349" t="n"/>
      <c r="N68" s="349">
        <f>IF($A68="","",IF(OR(LOWER($D68&amp;"")="n/a",ISNUMBER(SEARCH("subscription",LOWER($A68&amp;" "&amp;$M68&amp;""))),ISNUMBER(SEARCH("membership",LOWER($A68&amp;" "&amp;$M68&amp;"")))),"",IF($G68="","",IF(ISNUMBER(SEARCH("non",LOWER($E68&amp;""))),$G68*0.85,$G68))))</f>
        <v/>
      </c>
      <c r="O68" s="349">
        <f>IF($A68="","",IF(OR(LOWER($D68&amp;"")="n/a",ISNUMBER(SEARCH("subscription",LOWER($A68&amp;" "&amp;$M68&amp;""))),ISNUMBER(SEARCH("membership",LOWER($A68&amp;" "&amp;$M68&amp;"")))),"",IF(OR($N68="",$I68="",$I68=0),"",$N68/$I68)))</f>
        <v/>
      </c>
      <c r="P68" s="349">
        <f>IF($A68="","",IF(OR(LOWER($D68&amp;"")="n/a",ISNUMBER(SEARCH("subscription",LOWER($A68&amp;" "&amp;$M68&amp;""))),ISNUMBER(SEARCH("membership",LOWER($A68&amp;" "&amp;$M68&amp;"")))),"",IF(LOWER($L68&amp;"")="yes",0,IF($K68&lt;&gt;"",$K68,IF($O68&lt;&gt;"",$O68,"")))))</f>
        <v/>
      </c>
      <c r="Q68" s="351">
        <f>IF($A68="","",IF($U68="Subscription","",IF($U68="Profit",$P68-$H68,0)))</f>
        <v/>
      </c>
      <c r="R68" s="349">
        <f>IF($A68="","",IF($U68="Subscription","",IF($U68="Draw",$H68,0)))</f>
        <v/>
      </c>
      <c r="S68" s="349">
        <f>IF($A68="","",IF($U68="Subscription","",IF($U68="Disqualified",$H68,0)))</f>
        <v/>
      </c>
      <c r="T68" s="380">
        <f>IF($A68="","",IF($U68="Subscription","",IF($H68=0,IF($U68="Profit","N/A",0),IF($U68="Profit",$Q68/$H68,IF($U68="Disqualified",-1,0)))))</f>
        <v/>
      </c>
      <c r="U68" s="351">
        <f>IF($A68="","",IF(OR(LOWER($D68&amp;"")="n/a",ISNUMBER(SEARCH("subscription",LOWER($A68&amp;" "&amp;$M68&amp;""))),ISNUMBER(SEARCH("membership",LOWER($A68&amp;" "&amp;$M68&amp;"")))),"Subscription",IF(LOWER($L68&amp;"")="yes","Disqualified",IF($P68&gt;$H68,"Profit","Draw"))))</f>
        <v/>
      </c>
      <c r="V68" s="383">
        <f>IF(OR($A68="",$B68="",$C68="",$U68="Subscription"),"",IFERROR(ROUNDUP((IF(ISNUMBER($C68),$C68,DATEVALUE($C68))-IF(ISNUMBER($B68),$B68,DATEVALUE($B68)))/7,0),""))</f>
        <v/>
      </c>
      <c r="W68" s="351">
        <f>IF($U68="Subscription","",$Q68-$S68)</f>
        <v/>
      </c>
      <c r="X68" s="384">
        <f>IF(OR($A68="",$U68="Subscription",$J68="",$I68="",$J68=0,$I68=0,$I68&gt;$J68),"",$J68-$I68)</f>
        <v/>
      </c>
      <c r="Y68" s="381">
        <f>IF(OR($A68="",$U68="Subscription",$J68="",$J68=0,$X68=""),"",$X68/$J68)</f>
        <v/>
      </c>
    </row>
    <row r="69" ht="21" customHeight="1" s="270">
      <c r="A69" s="297" t="n"/>
      <c r="B69" s="298" t="n"/>
      <c r="C69" s="298" t="n"/>
      <c r="D69" s="297" t="n"/>
      <c r="E69" s="349" t="n"/>
      <c r="F69" s="349" t="n"/>
      <c r="G69" s="349" t="n"/>
      <c r="H69" s="349" t="n"/>
      <c r="I69" s="382" t="n"/>
      <c r="J69" s="383" t="n"/>
      <c r="K69" s="351" t="n"/>
      <c r="L69" s="296" t="n"/>
      <c r="M69" s="349" t="n"/>
      <c r="N69" s="349">
        <f>IF($A69="","",IF(OR(LOWER($D69&amp;"")="n/a",ISNUMBER(SEARCH("subscription",LOWER($A69&amp;" "&amp;$M69&amp;""))),ISNUMBER(SEARCH("membership",LOWER($A69&amp;" "&amp;$M69&amp;"")))),"",IF($G69="","",IF(ISNUMBER(SEARCH("non",LOWER($E69&amp;""))),$G69*0.85,$G69))))</f>
        <v/>
      </c>
      <c r="O69" s="349">
        <f>IF($A69="","",IF(OR(LOWER($D69&amp;"")="n/a",ISNUMBER(SEARCH("subscription",LOWER($A69&amp;" "&amp;$M69&amp;""))),ISNUMBER(SEARCH("membership",LOWER($A69&amp;" "&amp;$M69&amp;"")))),"",IF(OR($N69="",$I69="",$I69=0),"",$N69/$I69)))</f>
        <v/>
      </c>
      <c r="P69" s="349">
        <f>IF($A69="","",IF(OR(LOWER($D69&amp;"")="n/a",ISNUMBER(SEARCH("subscription",LOWER($A69&amp;" "&amp;$M69&amp;""))),ISNUMBER(SEARCH("membership",LOWER($A69&amp;" "&amp;$M69&amp;"")))),"",IF(LOWER($L69&amp;"")="yes",0,IF($K69&lt;&gt;"",$K69,IF($O69&lt;&gt;"",$O69,"")))))</f>
        <v/>
      </c>
      <c r="Q69" s="351">
        <f>IF($A69="","",IF($U69="Subscription","",IF($U69="Profit",$P69-$H69,0)))</f>
        <v/>
      </c>
      <c r="R69" s="349">
        <f>IF($A69="","",IF($U69="Subscription","",IF($U69="Draw",$H69,0)))</f>
        <v/>
      </c>
      <c r="S69" s="349">
        <f>IF($A69="","",IF($U69="Subscription","",IF($U69="Disqualified",$H69,0)))</f>
        <v/>
      </c>
      <c r="T69" s="380">
        <f>IF($A69="","",IF($U69="Subscription","",IF($H69=0,IF($U69="Profit","N/A",0),IF($U69="Profit",$Q69/$H69,IF($U69="Disqualified",-1,0)))))</f>
        <v/>
      </c>
      <c r="U69" s="351">
        <f>IF($A69="","",IF(OR(LOWER($D69&amp;"")="n/a",ISNUMBER(SEARCH("subscription",LOWER($A69&amp;" "&amp;$M69&amp;""))),ISNUMBER(SEARCH("membership",LOWER($A69&amp;" "&amp;$M69&amp;"")))),"Subscription",IF(LOWER($L69&amp;"")="yes","Disqualified",IF($P69&gt;$H69,"Profit","Draw"))))</f>
        <v/>
      </c>
      <c r="V69" s="383">
        <f>IF(OR($A69="",$B69="",$C69="",$U69="Subscription"),"",IFERROR(ROUNDUP((IF(ISNUMBER($C69),$C69,DATEVALUE($C69))-IF(ISNUMBER($B69),$B69,DATEVALUE($B69)))/7,0),""))</f>
        <v/>
      </c>
      <c r="W69" s="351">
        <f>IF($U69="Subscription","",$Q69-$S69)</f>
        <v/>
      </c>
      <c r="X69" s="384">
        <f>IF(OR($A69="",$U69="Subscription",$J69="",$I69="",$J69=0,$I69=0,$I69&gt;$J69),"",$J69-$I69)</f>
        <v/>
      </c>
      <c r="Y69" s="381">
        <f>IF(OR($A69="",$U69="Subscription",$J69="",$J69=0,$X69=""),"",$X69/$J69)</f>
        <v/>
      </c>
    </row>
    <row r="70" ht="21" customHeight="1" s="270">
      <c r="A70" s="297" t="n"/>
      <c r="B70" s="298" t="n"/>
      <c r="C70" s="298" t="n"/>
      <c r="D70" s="297" t="n"/>
      <c r="E70" s="349" t="n"/>
      <c r="F70" s="349" t="n"/>
      <c r="G70" s="349" t="n"/>
      <c r="H70" s="349" t="n"/>
      <c r="I70" s="382" t="n"/>
      <c r="J70" s="383" t="n"/>
      <c r="K70" s="351" t="n"/>
      <c r="L70" s="296" t="n"/>
      <c r="M70" s="349" t="n"/>
      <c r="N70" s="349">
        <f>IF($A70="","",IF(OR(LOWER($D70&amp;"")="n/a",ISNUMBER(SEARCH("subscription",LOWER($A70&amp;" "&amp;$M70&amp;""))),ISNUMBER(SEARCH("membership",LOWER($A70&amp;" "&amp;$M70&amp;"")))),"",IF($G70="","",IF(ISNUMBER(SEARCH("non",LOWER($E70&amp;""))),$G70*0.85,$G70))))</f>
        <v/>
      </c>
      <c r="O70" s="349">
        <f>IF($A70="","",IF(OR(LOWER($D70&amp;"")="n/a",ISNUMBER(SEARCH("subscription",LOWER($A70&amp;" "&amp;$M70&amp;""))),ISNUMBER(SEARCH("membership",LOWER($A70&amp;" "&amp;$M70&amp;"")))),"",IF(OR($N70="",$I70="",$I70=0),"",$N70/$I70)))</f>
        <v/>
      </c>
      <c r="P70" s="349">
        <f>IF($A70="","",IF(OR(LOWER($D70&amp;"")="n/a",ISNUMBER(SEARCH("subscription",LOWER($A70&amp;" "&amp;$M70&amp;""))),ISNUMBER(SEARCH("membership",LOWER($A70&amp;" "&amp;$M70&amp;"")))),"",IF(LOWER($L70&amp;"")="yes",0,IF($K70&lt;&gt;"",$K70,IF($O70&lt;&gt;"",$O70,"")))))</f>
        <v/>
      </c>
      <c r="Q70" s="351">
        <f>IF($A70="","",IF($U70="Subscription","",IF($U70="Profit",$P70-$H70,0)))</f>
        <v/>
      </c>
      <c r="R70" s="349">
        <f>IF($A70="","",IF($U70="Subscription","",IF($U70="Draw",$H70,0)))</f>
        <v/>
      </c>
      <c r="S70" s="349">
        <f>IF($A70="","",IF($U70="Subscription","",IF($U70="Disqualified",$H70,0)))</f>
        <v/>
      </c>
      <c r="T70" s="380">
        <f>IF($A70="","",IF($U70="Subscription","",IF($H70=0,IF($U70="Profit","N/A",0),IF($U70="Profit",$Q70/$H70,IF($U70="Disqualified",-1,0)))))</f>
        <v/>
      </c>
      <c r="U70" s="351">
        <f>IF($A70="","",IF(OR(LOWER($D70&amp;"")="n/a",ISNUMBER(SEARCH("subscription",LOWER($A70&amp;" "&amp;$M70&amp;""))),ISNUMBER(SEARCH("membership",LOWER($A70&amp;" "&amp;$M70&amp;"")))),"Subscription",IF(LOWER($L70&amp;"")="yes","Disqualified",IF($P70&gt;$H70,"Profit","Draw"))))</f>
        <v/>
      </c>
      <c r="V70" s="383">
        <f>IF(OR($A70="",$B70="",$C70="",$U70="Subscription"),"",IFERROR(ROUNDUP((IF(ISNUMBER($C70),$C70,DATEVALUE($C70))-IF(ISNUMBER($B70),$B70,DATEVALUE($B70)))/7,0),""))</f>
        <v/>
      </c>
      <c r="W70" s="351">
        <f>IF($U70="Subscription","",$Q70-$S70)</f>
        <v/>
      </c>
      <c r="X70" s="384">
        <f>IF(OR($A70="",$U70="Subscription",$J70="",$I70="",$J70=0,$I70=0,$I70&gt;$J70),"",$J70-$I70)</f>
        <v/>
      </c>
      <c r="Y70" s="381">
        <f>IF(OR($A70="",$U70="Subscription",$J70="",$J70=0,$X70=""),"",$X70/$J70)</f>
        <v/>
      </c>
    </row>
    <row r="71" ht="21" customHeight="1" s="270">
      <c r="A71" s="297" t="n"/>
      <c r="B71" s="298" t="n"/>
      <c r="C71" s="298" t="n"/>
      <c r="D71" s="297" t="n"/>
      <c r="E71" s="349" t="n"/>
      <c r="F71" s="349" t="n"/>
      <c r="G71" s="349" t="n"/>
      <c r="H71" s="349" t="n"/>
      <c r="I71" s="382" t="n"/>
      <c r="J71" s="383" t="n"/>
      <c r="K71" s="351" t="n"/>
      <c r="L71" s="296" t="n"/>
      <c r="M71" s="349" t="n"/>
      <c r="N71" s="349">
        <f>IF($A71="","",IF(OR(LOWER($D71&amp;"")="n/a",ISNUMBER(SEARCH("subscription",LOWER($A71&amp;" "&amp;$M71&amp;""))),ISNUMBER(SEARCH("membership",LOWER($A71&amp;" "&amp;$M71&amp;"")))),"",IF($G71="","",IF(ISNUMBER(SEARCH("non",LOWER($E71&amp;""))),$G71*0.85,$G71))))</f>
        <v/>
      </c>
      <c r="O71" s="349">
        <f>IF($A71="","",IF(OR(LOWER($D71&amp;"")="n/a",ISNUMBER(SEARCH("subscription",LOWER($A71&amp;" "&amp;$M71&amp;""))),ISNUMBER(SEARCH("membership",LOWER($A71&amp;" "&amp;$M71&amp;"")))),"",IF(OR($N71="",$I71="",$I71=0),"",$N71/$I71)))</f>
        <v/>
      </c>
      <c r="P71" s="349">
        <f>IF($A71="","",IF(OR(LOWER($D71&amp;"")="n/a",ISNUMBER(SEARCH("subscription",LOWER($A71&amp;" "&amp;$M71&amp;""))),ISNUMBER(SEARCH("membership",LOWER($A71&amp;" "&amp;$M71&amp;"")))),"",IF(LOWER($L71&amp;"")="yes",0,IF($K71&lt;&gt;"",$K71,IF($O71&lt;&gt;"",$O71,"")))))</f>
        <v/>
      </c>
      <c r="Q71" s="351">
        <f>IF($A71="","",IF($U71="Subscription","",IF($U71="Profit",$P71-$H71,0)))</f>
        <v/>
      </c>
      <c r="R71" s="349">
        <f>IF($A71="","",IF($U71="Subscription","",IF($U71="Draw",$H71,0)))</f>
        <v/>
      </c>
      <c r="S71" s="349">
        <f>IF($A71="","",IF($U71="Subscription","",IF($U71="Disqualified",$H71,0)))</f>
        <v/>
      </c>
      <c r="T71" s="380">
        <f>IF($A71="","",IF($U71="Subscription","",IF($H71=0,IF($U71="Profit","N/A",0),IF($U71="Profit",$Q71/$H71,IF($U71="Disqualified",-1,0)))))</f>
        <v/>
      </c>
      <c r="U71" s="351">
        <f>IF($A71="","",IF(OR(LOWER($D71&amp;"")="n/a",ISNUMBER(SEARCH("subscription",LOWER($A71&amp;" "&amp;$M71&amp;""))),ISNUMBER(SEARCH("membership",LOWER($A71&amp;" "&amp;$M71&amp;"")))),"Subscription",IF(LOWER($L71&amp;"")="yes","Disqualified",IF($P71&gt;$H71,"Profit","Draw"))))</f>
        <v/>
      </c>
      <c r="V71" s="383">
        <f>IF(OR($A71="",$B71="",$C71="",$U71="Subscription"),"",IFERROR(ROUNDUP((IF(ISNUMBER($C71),$C71,DATEVALUE($C71))-IF(ISNUMBER($B71),$B71,DATEVALUE($B71)))/7,0),""))</f>
        <v/>
      </c>
      <c r="W71" s="351">
        <f>IF($U71="Subscription","",$Q71-$S71)</f>
        <v/>
      </c>
      <c r="X71" s="384">
        <f>IF(OR($A71="",$U71="Subscription",$J71="",$I71="",$J71=0,$I71=0,$I71&gt;$J71),"",$J71-$I71)</f>
        <v/>
      </c>
      <c r="Y71" s="381">
        <f>IF(OR($A71="",$U71="Subscription",$J71="",$J71=0,$X71=""),"",$X71/$J71)</f>
        <v/>
      </c>
    </row>
    <row r="72" ht="21" customHeight="1" s="270">
      <c r="A72" s="297" t="n"/>
      <c r="B72" s="298" t="n"/>
      <c r="C72" s="298" t="n"/>
      <c r="D72" s="297" t="n"/>
      <c r="E72" s="349" t="n"/>
      <c r="F72" s="349" t="n"/>
      <c r="G72" s="349" t="n"/>
      <c r="H72" s="349" t="n"/>
      <c r="I72" s="382" t="n"/>
      <c r="J72" s="383" t="n"/>
      <c r="K72" s="351" t="n"/>
      <c r="L72" s="296" t="n"/>
      <c r="M72" s="349" t="n"/>
      <c r="N72" s="349">
        <f>IF($A72="","",IF(OR(LOWER($D72&amp;"")="n/a",ISNUMBER(SEARCH("subscription",LOWER($A72&amp;" "&amp;$M72&amp;""))),ISNUMBER(SEARCH("membership",LOWER($A72&amp;" "&amp;$M72&amp;"")))),"",IF($G72="","",IF(ISNUMBER(SEARCH("non",LOWER($E72&amp;""))),$G72*0.85,$G72))))</f>
        <v/>
      </c>
      <c r="O72" s="349">
        <f>IF($A72="","",IF(OR(LOWER($D72&amp;"")="n/a",ISNUMBER(SEARCH("subscription",LOWER($A72&amp;" "&amp;$M72&amp;""))),ISNUMBER(SEARCH("membership",LOWER($A72&amp;" "&amp;$M72&amp;"")))),"",IF(OR($N72="",$I72="",$I72=0),"",$N72/$I72)))</f>
        <v/>
      </c>
      <c r="P72" s="349">
        <f>IF($A72="","",IF(OR(LOWER($D72&amp;"")="n/a",ISNUMBER(SEARCH("subscription",LOWER($A72&amp;" "&amp;$M72&amp;""))),ISNUMBER(SEARCH("membership",LOWER($A72&amp;" "&amp;$M72&amp;"")))),"",IF(LOWER($L72&amp;"")="yes",0,IF($K72&lt;&gt;"",$K72,IF($O72&lt;&gt;"",$O72,"")))))</f>
        <v/>
      </c>
      <c r="Q72" s="351">
        <f>IF($A72="","",IF($U72="Subscription","",IF($U72="Profit",$P72-$H72,0)))</f>
        <v/>
      </c>
      <c r="R72" s="349">
        <f>IF($A72="","",IF($U72="Subscription","",IF($U72="Draw",$H72,0)))</f>
        <v/>
      </c>
      <c r="S72" s="349">
        <f>IF($A72="","",IF($U72="Subscription","",IF($U72="Disqualified",$H72,0)))</f>
        <v/>
      </c>
      <c r="T72" s="380">
        <f>IF($A72="","",IF($U72="Subscription","",IF($H72=0,IF($U72="Profit","N/A",0),IF($U72="Profit",$Q72/$H72,IF($U72="Disqualified",-1,0)))))</f>
        <v/>
      </c>
      <c r="U72" s="351">
        <f>IF($A72="","",IF(OR(LOWER($D72&amp;"")="n/a",ISNUMBER(SEARCH("subscription",LOWER($A72&amp;" "&amp;$M72&amp;""))),ISNUMBER(SEARCH("membership",LOWER($A72&amp;" "&amp;$M72&amp;"")))),"Subscription",IF(LOWER($L72&amp;"")="yes","Disqualified",IF($P72&gt;$H72,"Profit","Draw"))))</f>
        <v/>
      </c>
      <c r="V72" s="383">
        <f>IF(OR($A72="",$B72="",$C72="",$U72="Subscription"),"",IFERROR(ROUNDUP((IF(ISNUMBER($C72),$C72,DATEVALUE($C72))-IF(ISNUMBER($B72),$B72,DATEVALUE($B72)))/7,0),""))</f>
        <v/>
      </c>
      <c r="W72" s="351">
        <f>IF($U72="Subscription","",$Q72-$S72)</f>
        <v/>
      </c>
      <c r="X72" s="384">
        <f>IF(OR($A72="",$U72="Subscription",$J72="",$I72="",$J72=0,$I72=0,$I72&gt;$J72),"",$J72-$I72)</f>
        <v/>
      </c>
      <c r="Y72" s="381">
        <f>IF(OR($A72="",$U72="Subscription",$J72="",$J72=0,$X72=""),"",$X72/$J72)</f>
        <v/>
      </c>
    </row>
    <row r="73" ht="21" customHeight="1" s="270">
      <c r="A73" s="297" t="n"/>
      <c r="B73" s="298" t="n"/>
      <c r="C73" s="298" t="n"/>
      <c r="D73" s="297" t="n"/>
      <c r="E73" s="349" t="n"/>
      <c r="F73" s="349" t="n"/>
      <c r="G73" s="349" t="n"/>
      <c r="H73" s="349" t="n"/>
      <c r="I73" s="382" t="n"/>
      <c r="J73" s="383" t="n"/>
      <c r="K73" s="351" t="n"/>
      <c r="L73" s="296" t="n"/>
      <c r="M73" s="349" t="n"/>
      <c r="N73" s="349">
        <f>IF($A73="","",IF(OR(LOWER($D73&amp;"")="n/a",ISNUMBER(SEARCH("subscription",LOWER($A73&amp;" "&amp;$M73&amp;""))),ISNUMBER(SEARCH("membership",LOWER($A73&amp;" "&amp;$M73&amp;"")))),"",IF($G73="","",IF(ISNUMBER(SEARCH("non",LOWER($E73&amp;""))),$G73*0.85,$G73))))</f>
        <v/>
      </c>
      <c r="O73" s="349">
        <f>IF($A73="","",IF(OR(LOWER($D73&amp;"")="n/a",ISNUMBER(SEARCH("subscription",LOWER($A73&amp;" "&amp;$M73&amp;""))),ISNUMBER(SEARCH("membership",LOWER($A73&amp;" "&amp;$M73&amp;"")))),"",IF(OR($N73="",$I73="",$I73=0),"",$N73/$I73)))</f>
        <v/>
      </c>
      <c r="P73" s="349">
        <f>IF($A73="","",IF(OR(LOWER($D73&amp;"")="n/a",ISNUMBER(SEARCH("subscription",LOWER($A73&amp;" "&amp;$M73&amp;""))),ISNUMBER(SEARCH("membership",LOWER($A73&amp;" "&amp;$M73&amp;"")))),"",IF(LOWER($L73&amp;"")="yes",0,IF($K73&lt;&gt;"",$K73,IF($O73&lt;&gt;"",$O73,"")))))</f>
        <v/>
      </c>
      <c r="Q73" s="351">
        <f>IF($A73="","",IF($U73="Subscription","",IF($U73="Profit",$P73-$H73,0)))</f>
        <v/>
      </c>
      <c r="R73" s="349">
        <f>IF($A73="","",IF($U73="Subscription","",IF($U73="Draw",$H73,0)))</f>
        <v/>
      </c>
      <c r="S73" s="349">
        <f>IF($A73="","",IF($U73="Subscription","",IF($U73="Disqualified",$H73,0)))</f>
        <v/>
      </c>
      <c r="T73" s="380">
        <f>IF($A73="","",IF($U73="Subscription","",IF($H73=0,IF($U73="Profit","N/A",0),IF($U73="Profit",$Q73/$H73,IF($U73="Disqualified",-1,0)))))</f>
        <v/>
      </c>
      <c r="U73" s="351">
        <f>IF($A73="","",IF(OR(LOWER($D73&amp;"")="n/a",ISNUMBER(SEARCH("subscription",LOWER($A73&amp;" "&amp;$M73&amp;""))),ISNUMBER(SEARCH("membership",LOWER($A73&amp;" "&amp;$M73&amp;"")))),"Subscription",IF(LOWER($L73&amp;"")="yes","Disqualified",IF($P73&gt;$H73,"Profit","Draw"))))</f>
        <v/>
      </c>
      <c r="V73" s="383">
        <f>IF(OR($A73="",$B73="",$C73="",$U73="Subscription"),"",IFERROR(ROUNDUP((IF(ISNUMBER($C73),$C73,DATEVALUE($C73))-IF(ISNUMBER($B73),$B73,DATEVALUE($B73)))/7,0),""))</f>
        <v/>
      </c>
      <c r="W73" s="351">
        <f>IF($U73="Subscription","",$Q73-$S73)</f>
        <v/>
      </c>
      <c r="X73" s="384">
        <f>IF(OR($A73="",$U73="Subscription",$J73="",$I73="",$J73=0,$I73=0,$I73&gt;$J73),"",$J73-$I73)</f>
        <v/>
      </c>
      <c r="Y73" s="381">
        <f>IF(OR($A73="",$U73="Subscription",$J73="",$J73=0,$X73=""),"",$X73/$J73)</f>
        <v/>
      </c>
    </row>
    <row r="74" ht="21" customHeight="1" s="270">
      <c r="A74" s="297" t="n"/>
      <c r="B74" s="298" t="n"/>
      <c r="C74" s="298" t="n"/>
      <c r="D74" s="297" t="n"/>
      <c r="E74" s="349" t="n"/>
      <c r="F74" s="349" t="n"/>
      <c r="G74" s="349" t="n"/>
      <c r="H74" s="349" t="n"/>
      <c r="I74" s="382" t="n"/>
      <c r="J74" s="383" t="n"/>
      <c r="K74" s="351" t="n"/>
      <c r="L74" s="296" t="n"/>
      <c r="M74" s="349" t="n"/>
      <c r="N74" s="349">
        <f>IF($A74="","",IF(OR(LOWER($D74&amp;"")="n/a",ISNUMBER(SEARCH("subscription",LOWER($A74&amp;" "&amp;$M74&amp;""))),ISNUMBER(SEARCH("membership",LOWER($A74&amp;" "&amp;$M74&amp;"")))),"",IF($G74="","",IF(ISNUMBER(SEARCH("non",LOWER($E74&amp;""))),$G74*0.85,$G74))))</f>
        <v/>
      </c>
      <c r="O74" s="349">
        <f>IF($A74="","",IF(OR(LOWER($D74&amp;"")="n/a",ISNUMBER(SEARCH("subscription",LOWER($A74&amp;" "&amp;$M74&amp;""))),ISNUMBER(SEARCH("membership",LOWER($A74&amp;" "&amp;$M74&amp;"")))),"",IF(OR($N74="",$I74="",$I74=0),"",$N74/$I74)))</f>
        <v/>
      </c>
      <c r="P74" s="349">
        <f>IF($A74="","",IF(OR(LOWER($D74&amp;"")="n/a",ISNUMBER(SEARCH("subscription",LOWER($A74&amp;" "&amp;$M74&amp;""))),ISNUMBER(SEARCH("membership",LOWER($A74&amp;" "&amp;$M74&amp;"")))),"",IF(LOWER($L74&amp;"")="yes",0,IF($K74&lt;&gt;"",$K74,IF($O74&lt;&gt;"",$O74,"")))))</f>
        <v/>
      </c>
      <c r="Q74" s="351">
        <f>IF($A74="","",IF($U74="Subscription","",IF($U74="Profit",$P74-$H74,0)))</f>
        <v/>
      </c>
      <c r="R74" s="349">
        <f>IF($A74="","",IF($U74="Subscription","",IF($U74="Draw",$H74,0)))</f>
        <v/>
      </c>
      <c r="S74" s="349">
        <f>IF($A74="","",IF($U74="Subscription","",IF($U74="Disqualified",$H74,0)))</f>
        <v/>
      </c>
      <c r="T74" s="380">
        <f>IF($A74="","",IF($U74="Subscription","",IF($H74=0,IF($U74="Profit","N/A",0),IF($U74="Profit",$Q74/$H74,IF($U74="Disqualified",-1,0)))))</f>
        <v/>
      </c>
      <c r="U74" s="351">
        <f>IF($A74="","",IF(OR(LOWER($D74&amp;"")="n/a",ISNUMBER(SEARCH("subscription",LOWER($A74&amp;" "&amp;$M74&amp;""))),ISNUMBER(SEARCH("membership",LOWER($A74&amp;" "&amp;$M74&amp;"")))),"Subscription",IF(LOWER($L74&amp;"")="yes","Disqualified",IF($P74&gt;$H74,"Profit","Draw"))))</f>
        <v/>
      </c>
      <c r="V74" s="383">
        <f>IF(OR($A74="",$B74="",$C74="",$U74="Subscription"),"",IFERROR(ROUNDUP((IF(ISNUMBER($C74),$C74,DATEVALUE($C74))-IF(ISNUMBER($B74),$B74,DATEVALUE($B74)))/7,0),""))</f>
        <v/>
      </c>
      <c r="W74" s="351">
        <f>IF($U74="Subscription","",$Q74-$S74)</f>
        <v/>
      </c>
      <c r="X74" s="384">
        <f>IF(OR($A74="",$U74="Subscription",$J74="",$I74="",$J74=0,$I74=0,$I74&gt;$J74),"",$J74-$I74)</f>
        <v/>
      </c>
      <c r="Y74" s="381">
        <f>IF(OR($A74="",$U74="Subscription",$J74="",$J74=0,$X74=""),"",$X74/$J74)</f>
        <v/>
      </c>
    </row>
    <row r="75" ht="21" customHeight="1" s="270">
      <c r="A75" s="297" t="n"/>
      <c r="B75" s="298" t="n"/>
      <c r="C75" s="298" t="n"/>
      <c r="D75" s="297" t="n"/>
      <c r="E75" s="349" t="n"/>
      <c r="F75" s="349" t="n"/>
      <c r="G75" s="349" t="n"/>
      <c r="H75" s="349" t="n"/>
      <c r="I75" s="382" t="n"/>
      <c r="J75" s="383" t="n"/>
      <c r="K75" s="351" t="n"/>
      <c r="L75" s="296" t="n"/>
      <c r="M75" s="349" t="n"/>
      <c r="N75" s="349">
        <f>IF($A75="","",IF(OR(LOWER($D75&amp;"")="n/a",ISNUMBER(SEARCH("subscription",LOWER($A75&amp;" "&amp;$M75&amp;""))),ISNUMBER(SEARCH("membership",LOWER($A75&amp;" "&amp;$M75&amp;"")))),"",IF($G75="","",IF(ISNUMBER(SEARCH("non",LOWER($E75&amp;""))),$G75*0.85,$G75))))</f>
        <v/>
      </c>
      <c r="O75" s="349">
        <f>IF($A75="","",IF(OR(LOWER($D75&amp;"")="n/a",ISNUMBER(SEARCH("subscription",LOWER($A75&amp;" "&amp;$M75&amp;""))),ISNUMBER(SEARCH("membership",LOWER($A75&amp;" "&amp;$M75&amp;"")))),"",IF(OR($N75="",$I75="",$I75=0),"",$N75/$I75)))</f>
        <v/>
      </c>
      <c r="P75" s="349">
        <f>IF($A75="","",IF(OR(LOWER($D75&amp;"")="n/a",ISNUMBER(SEARCH("subscription",LOWER($A75&amp;" "&amp;$M75&amp;""))),ISNUMBER(SEARCH("membership",LOWER($A75&amp;" "&amp;$M75&amp;"")))),"",IF(LOWER($L75&amp;"")="yes",0,IF($K75&lt;&gt;"",$K75,IF($O75&lt;&gt;"",$O75,"")))))</f>
        <v/>
      </c>
      <c r="Q75" s="351">
        <f>IF($A75="","",IF($U75="Subscription","",IF($U75="Profit",$P75-$H75,0)))</f>
        <v/>
      </c>
      <c r="R75" s="349">
        <f>IF($A75="","",IF($U75="Subscription","",IF($U75="Draw",$H75,0)))</f>
        <v/>
      </c>
      <c r="S75" s="349">
        <f>IF($A75="","",IF($U75="Subscription","",IF($U75="Disqualified",$H75,0)))</f>
        <v/>
      </c>
      <c r="T75" s="380">
        <f>IF($A75="","",IF($U75="Subscription","",IF($H75=0,IF($U75="Profit","N/A",0),IF($U75="Profit",$Q75/$H75,IF($U75="Disqualified",-1,0)))))</f>
        <v/>
      </c>
      <c r="U75" s="351">
        <f>IF($A75="","",IF(OR(LOWER($D75&amp;"")="n/a",ISNUMBER(SEARCH("subscription",LOWER($A75&amp;" "&amp;$M75&amp;""))),ISNUMBER(SEARCH("membership",LOWER($A75&amp;" "&amp;$M75&amp;"")))),"Subscription",IF(LOWER($L75&amp;"")="yes","Disqualified",IF($P75&gt;$H75,"Profit","Draw"))))</f>
        <v/>
      </c>
      <c r="V75" s="383">
        <f>IF(OR($A75="",$B75="",$C75="",$U75="Subscription"),"",IFERROR(ROUNDUP((IF(ISNUMBER($C75),$C75,DATEVALUE($C75))-IF(ISNUMBER($B75),$B75,DATEVALUE($B75)))/7,0),""))</f>
        <v/>
      </c>
      <c r="W75" s="351">
        <f>IF($U75="Subscription","",$Q75-$S75)</f>
        <v/>
      </c>
      <c r="X75" s="384">
        <f>IF(OR($A75="",$U75="Subscription",$J75="",$I75="",$J75=0,$I75=0,$I75&gt;$J75),"",$J75-$I75)</f>
        <v/>
      </c>
      <c r="Y75" s="381">
        <f>IF(OR($A75="",$U75="Subscription",$J75="",$J75=0,$X75=""),"",$X75/$J75)</f>
        <v/>
      </c>
    </row>
    <row r="76" ht="21" customHeight="1" s="270">
      <c r="A76" s="297" t="n"/>
      <c r="B76" s="298" t="n"/>
      <c r="C76" s="298" t="n"/>
      <c r="D76" s="297" t="n"/>
      <c r="E76" s="349" t="n"/>
      <c r="F76" s="349" t="n"/>
      <c r="G76" s="349" t="n"/>
      <c r="H76" s="349" t="n"/>
      <c r="I76" s="382" t="n"/>
      <c r="J76" s="383" t="n"/>
      <c r="K76" s="351" t="n"/>
      <c r="L76" s="296" t="n"/>
      <c r="M76" s="349" t="n"/>
      <c r="N76" s="349">
        <f>IF($A76="","",IF(OR(LOWER($D76&amp;"")="n/a",ISNUMBER(SEARCH("subscription",LOWER($A76&amp;" "&amp;$M76&amp;""))),ISNUMBER(SEARCH("membership",LOWER($A76&amp;" "&amp;$M76&amp;"")))),"",IF($G76="","",IF(ISNUMBER(SEARCH("non",LOWER($E76&amp;""))),$G76*0.85,$G76))))</f>
        <v/>
      </c>
      <c r="O76" s="349">
        <f>IF($A76="","",IF(OR(LOWER($D76&amp;"")="n/a",ISNUMBER(SEARCH("subscription",LOWER($A76&amp;" "&amp;$M76&amp;""))),ISNUMBER(SEARCH("membership",LOWER($A76&amp;" "&amp;$M76&amp;"")))),"",IF(OR($N76="",$I76="",$I76=0),"",$N76/$I76)))</f>
        <v/>
      </c>
      <c r="P76" s="349">
        <f>IF($A76="","",IF(OR(LOWER($D76&amp;"")="n/a",ISNUMBER(SEARCH("subscription",LOWER($A76&amp;" "&amp;$M76&amp;""))),ISNUMBER(SEARCH("membership",LOWER($A76&amp;" "&amp;$M76&amp;"")))),"",IF(LOWER($L76&amp;"")="yes",0,IF($K76&lt;&gt;"",$K76,IF($O76&lt;&gt;"",$O76,"")))))</f>
        <v/>
      </c>
      <c r="Q76" s="351">
        <f>IF($A76="","",IF($U76="Subscription","",IF($U76="Profit",$P76-$H76,0)))</f>
        <v/>
      </c>
      <c r="R76" s="349">
        <f>IF($A76="","",IF($U76="Subscription","",IF($U76="Draw",$H76,0)))</f>
        <v/>
      </c>
      <c r="S76" s="349">
        <f>IF($A76="","",IF($U76="Subscription","",IF($U76="Disqualified",$H76,0)))</f>
        <v/>
      </c>
      <c r="T76" s="380">
        <f>IF($A76="","",IF($U76="Subscription","",IF($H76=0,IF($U76="Profit","N/A",0),IF($U76="Profit",$Q76/$H76,IF($U76="Disqualified",-1,0)))))</f>
        <v/>
      </c>
      <c r="U76" s="351">
        <f>IF($A76="","",IF(OR(LOWER($D76&amp;"")="n/a",ISNUMBER(SEARCH("subscription",LOWER($A76&amp;" "&amp;$M76&amp;""))),ISNUMBER(SEARCH("membership",LOWER($A76&amp;" "&amp;$M76&amp;"")))),"Subscription",IF(LOWER($L76&amp;"")="yes","Disqualified",IF($P76&gt;$H76,"Profit","Draw"))))</f>
        <v/>
      </c>
      <c r="V76" s="383">
        <f>IF(OR($A76="",$B76="",$C76="",$U76="Subscription"),"",IFERROR(ROUNDUP((IF(ISNUMBER($C76),$C76,DATEVALUE($C76))-IF(ISNUMBER($B76),$B76,DATEVALUE($B76)))/7,0),""))</f>
        <v/>
      </c>
      <c r="W76" s="351">
        <f>IF($U76="Subscription","",$Q76-$S76)</f>
        <v/>
      </c>
      <c r="X76" s="384">
        <f>IF(OR($A76="",$U76="Subscription",$J76="",$I76="",$J76=0,$I76=0,$I76&gt;$J76),"",$J76-$I76)</f>
        <v/>
      </c>
      <c r="Y76" s="381">
        <f>IF(OR($A76="",$U76="Subscription",$J76="",$J76=0,$X76=""),"",$X76/$J76)</f>
        <v/>
      </c>
    </row>
    <row r="77" ht="21" customHeight="1" s="270">
      <c r="A77" s="297" t="n"/>
      <c r="B77" s="298" t="n"/>
      <c r="C77" s="298" t="n"/>
      <c r="D77" s="297" t="n"/>
      <c r="E77" s="349" t="n"/>
      <c r="F77" s="349" t="n"/>
      <c r="G77" s="349" t="n"/>
      <c r="H77" s="349" t="n"/>
      <c r="I77" s="382" t="n"/>
      <c r="J77" s="383" t="n"/>
      <c r="K77" s="351" t="n"/>
      <c r="L77" s="296" t="n"/>
      <c r="M77" s="349" t="n"/>
      <c r="N77" s="349">
        <f>IF($A77="","",IF(OR(LOWER($D77&amp;"")="n/a",ISNUMBER(SEARCH("subscription",LOWER($A77&amp;" "&amp;$M77&amp;""))),ISNUMBER(SEARCH("membership",LOWER($A77&amp;" "&amp;$M77&amp;"")))),"",IF($G77="","",IF(ISNUMBER(SEARCH("non",LOWER($E77&amp;""))),$G77*0.85,$G77))))</f>
        <v/>
      </c>
      <c r="O77" s="349">
        <f>IF($A77="","",IF(OR(LOWER($D77&amp;"")="n/a",ISNUMBER(SEARCH("subscription",LOWER($A77&amp;" "&amp;$M77&amp;""))),ISNUMBER(SEARCH("membership",LOWER($A77&amp;" "&amp;$M77&amp;"")))),"",IF(OR($N77="",$I77="",$I77=0),"",$N77/$I77)))</f>
        <v/>
      </c>
      <c r="P77" s="349">
        <f>IF($A77="","",IF(OR(LOWER($D77&amp;"")="n/a",ISNUMBER(SEARCH("subscription",LOWER($A77&amp;" "&amp;$M77&amp;""))),ISNUMBER(SEARCH("membership",LOWER($A77&amp;" "&amp;$M77&amp;"")))),"",IF(LOWER($L77&amp;"")="yes",0,IF($K77&lt;&gt;"",$K77,IF($O77&lt;&gt;"",$O77,"")))))</f>
        <v/>
      </c>
      <c r="Q77" s="351">
        <f>IF($A77="","",IF($U77="Subscription","",IF($U77="Profit",$P77-$H77,0)))</f>
        <v/>
      </c>
      <c r="R77" s="349">
        <f>IF($A77="","",IF($U77="Subscription","",IF($U77="Draw",$H77,0)))</f>
        <v/>
      </c>
      <c r="S77" s="349">
        <f>IF($A77="","",IF($U77="Subscription","",IF($U77="Disqualified",$H77,0)))</f>
        <v/>
      </c>
      <c r="T77" s="380">
        <f>IF($A77="","",IF($U77="Subscription","",IF($H77=0,IF($U77="Profit","N/A",0),IF($U77="Profit",$Q77/$H77,IF($U77="Disqualified",-1,0)))))</f>
        <v/>
      </c>
      <c r="U77" s="351">
        <f>IF($A77="","",IF(OR(LOWER($D77&amp;"")="n/a",ISNUMBER(SEARCH("subscription",LOWER($A77&amp;" "&amp;$M77&amp;""))),ISNUMBER(SEARCH("membership",LOWER($A77&amp;" "&amp;$M77&amp;"")))),"Subscription",IF(LOWER($L77&amp;"")="yes","Disqualified",IF($P77&gt;$H77,"Profit","Draw"))))</f>
        <v/>
      </c>
      <c r="V77" s="383">
        <f>IF(OR($A77="",$B77="",$C77="",$U77="Subscription"),"",IFERROR(ROUNDUP((IF(ISNUMBER($C77),$C77,DATEVALUE($C77))-IF(ISNUMBER($B77),$B77,DATEVALUE($B77)))/7,0),""))</f>
        <v/>
      </c>
      <c r="W77" s="351">
        <f>IF($U77="Subscription","",$Q77-$S77)</f>
        <v/>
      </c>
      <c r="X77" s="384">
        <f>IF(OR($A77="",$U77="Subscription",$J77="",$I77="",$J77=0,$I77=0,$I77&gt;$J77),"",$J77-$I77)</f>
        <v/>
      </c>
      <c r="Y77" s="381">
        <f>IF(OR($A77="",$U77="Subscription",$J77="",$J77=0,$X77=""),"",$X77/$J77)</f>
        <v/>
      </c>
    </row>
    <row r="78" ht="21" customHeight="1" s="270">
      <c r="A78" s="297" t="n"/>
      <c r="B78" s="298" t="n"/>
      <c r="C78" s="298" t="n"/>
      <c r="D78" s="297" t="n"/>
      <c r="E78" s="349" t="n"/>
      <c r="F78" s="349" t="n"/>
      <c r="G78" s="349" t="n"/>
      <c r="H78" s="349" t="n"/>
      <c r="I78" s="382" t="n"/>
      <c r="J78" s="383" t="n"/>
      <c r="K78" s="351" t="n"/>
      <c r="L78" s="296" t="n"/>
      <c r="M78" s="349" t="n"/>
      <c r="N78" s="349">
        <f>IF($A78="","",IF(OR(LOWER($D78&amp;"")="n/a",ISNUMBER(SEARCH("subscription",LOWER($A78&amp;" "&amp;$M78&amp;""))),ISNUMBER(SEARCH("membership",LOWER($A78&amp;" "&amp;$M78&amp;"")))),"",IF($G78="","",IF(ISNUMBER(SEARCH("non",LOWER($E78&amp;""))),$G78*0.85,$G78))))</f>
        <v/>
      </c>
      <c r="O78" s="349">
        <f>IF($A78="","",IF(OR(LOWER($D78&amp;"")="n/a",ISNUMBER(SEARCH("subscription",LOWER($A78&amp;" "&amp;$M78&amp;""))),ISNUMBER(SEARCH("membership",LOWER($A78&amp;" "&amp;$M78&amp;"")))),"",IF(OR($N78="",$I78="",$I78=0),"",$N78/$I78)))</f>
        <v/>
      </c>
      <c r="P78" s="349">
        <f>IF($A78="","",IF(OR(LOWER($D78&amp;"")="n/a",ISNUMBER(SEARCH("subscription",LOWER($A78&amp;" "&amp;$M78&amp;""))),ISNUMBER(SEARCH("membership",LOWER($A78&amp;" "&amp;$M78&amp;"")))),"",IF(LOWER($L78&amp;"")="yes",0,IF($K78&lt;&gt;"",$K78,IF($O78&lt;&gt;"",$O78,"")))))</f>
        <v/>
      </c>
      <c r="Q78" s="351">
        <f>IF($A78="","",IF($U78="Subscription","",IF($U78="Profit",$P78-$H78,0)))</f>
        <v/>
      </c>
      <c r="R78" s="349">
        <f>IF($A78="","",IF($U78="Subscription","",IF($U78="Draw",$H78,0)))</f>
        <v/>
      </c>
      <c r="S78" s="349">
        <f>IF($A78="","",IF($U78="Subscription","",IF($U78="Disqualified",$H78,0)))</f>
        <v/>
      </c>
      <c r="T78" s="380">
        <f>IF($A78="","",IF($U78="Subscription","",IF($H78=0,IF($U78="Profit","N/A",0),IF($U78="Profit",$Q78/$H78,IF($U78="Disqualified",-1,0)))))</f>
        <v/>
      </c>
      <c r="U78" s="351">
        <f>IF($A78="","",IF(OR(LOWER($D78&amp;"")="n/a",ISNUMBER(SEARCH("subscription",LOWER($A78&amp;" "&amp;$M78&amp;""))),ISNUMBER(SEARCH("membership",LOWER($A78&amp;" "&amp;$M78&amp;"")))),"Subscription",IF(LOWER($L78&amp;"")="yes","Disqualified",IF($P78&gt;$H78,"Profit","Draw"))))</f>
        <v/>
      </c>
      <c r="V78" s="383">
        <f>IF(OR($A78="",$B78="",$C78="",$U78="Subscription"),"",IFERROR(ROUNDUP((IF(ISNUMBER($C78),$C78,DATEVALUE($C78))-IF(ISNUMBER($B78),$B78,DATEVALUE($B78)))/7,0),""))</f>
        <v/>
      </c>
      <c r="W78" s="351">
        <f>IF($U78="Subscription","",$Q78-$S78)</f>
        <v/>
      </c>
      <c r="X78" s="384">
        <f>IF(OR($A78="",$U78="Subscription",$J78="",$I78="",$J78=0,$I78=0,$I78&gt;$J78),"",$J78-$I78)</f>
        <v/>
      </c>
      <c r="Y78" s="381">
        <f>IF(OR($A78="",$U78="Subscription",$J78="",$J78=0,$X78=""),"",$X78/$J78)</f>
        <v/>
      </c>
    </row>
    <row r="79" ht="21" customHeight="1" s="270">
      <c r="A79" s="297" t="n"/>
      <c r="B79" s="298" t="n"/>
      <c r="C79" s="298" t="n"/>
      <c r="D79" s="297" t="n"/>
      <c r="E79" s="349" t="n"/>
      <c r="F79" s="349" t="n"/>
      <c r="G79" s="349" t="n"/>
      <c r="H79" s="349" t="n"/>
      <c r="I79" s="382" t="n"/>
      <c r="J79" s="383" t="n"/>
      <c r="K79" s="351" t="n"/>
      <c r="L79" s="296" t="n"/>
      <c r="M79" s="349" t="n"/>
      <c r="N79" s="349">
        <f>IF($A79="","",IF(OR(LOWER($D79&amp;"")="n/a",ISNUMBER(SEARCH("subscription",LOWER($A79&amp;" "&amp;$M79&amp;""))),ISNUMBER(SEARCH("membership",LOWER($A79&amp;" "&amp;$M79&amp;"")))),"",IF($G79="","",IF(ISNUMBER(SEARCH("non",LOWER($E79&amp;""))),$G79*0.85,$G79))))</f>
        <v/>
      </c>
      <c r="O79" s="349">
        <f>IF($A79="","",IF(OR(LOWER($D79&amp;"")="n/a",ISNUMBER(SEARCH("subscription",LOWER($A79&amp;" "&amp;$M79&amp;""))),ISNUMBER(SEARCH("membership",LOWER($A79&amp;" "&amp;$M79&amp;"")))),"",IF(OR($N79="",$I79="",$I79=0),"",$N79/$I79)))</f>
        <v/>
      </c>
      <c r="P79" s="349">
        <f>IF($A79="","",IF(OR(LOWER($D79&amp;"")="n/a",ISNUMBER(SEARCH("subscription",LOWER($A79&amp;" "&amp;$M79&amp;""))),ISNUMBER(SEARCH("membership",LOWER($A79&amp;" "&amp;$M79&amp;"")))),"",IF(LOWER($L79&amp;"")="yes",0,IF($K79&lt;&gt;"",$K79,IF($O79&lt;&gt;"",$O79,"")))))</f>
        <v/>
      </c>
      <c r="Q79" s="351">
        <f>IF($A79="","",IF($U79="Subscription","",IF($U79="Profit",$P79-$H79,0)))</f>
        <v/>
      </c>
      <c r="R79" s="349">
        <f>IF($A79="","",IF($U79="Subscription","",IF($U79="Draw",$H79,0)))</f>
        <v/>
      </c>
      <c r="S79" s="349">
        <f>IF($A79="","",IF($U79="Subscription","",IF($U79="Disqualified",$H79,0)))</f>
        <v/>
      </c>
      <c r="T79" s="380">
        <f>IF($A79="","",IF($U79="Subscription","",IF($H79=0,IF($U79="Profit","N/A",0),IF($U79="Profit",$Q79/$H79,IF($U79="Disqualified",-1,0)))))</f>
        <v/>
      </c>
      <c r="U79" s="351">
        <f>IF($A79="","",IF(OR(LOWER($D79&amp;"")="n/a",ISNUMBER(SEARCH("subscription",LOWER($A79&amp;" "&amp;$M79&amp;""))),ISNUMBER(SEARCH("membership",LOWER($A79&amp;" "&amp;$M79&amp;"")))),"Subscription",IF(LOWER($L79&amp;"")="yes","Disqualified",IF($P79&gt;$H79,"Profit","Draw"))))</f>
        <v/>
      </c>
      <c r="V79" s="383">
        <f>IF(OR($A79="",$B79="",$C79="",$U79="Subscription"),"",IFERROR(ROUNDUP((IF(ISNUMBER($C79),$C79,DATEVALUE($C79))-IF(ISNUMBER($B79),$B79,DATEVALUE($B79)))/7,0),""))</f>
        <v/>
      </c>
      <c r="W79" s="351">
        <f>IF($U79="Subscription","",$Q79-$S79)</f>
        <v/>
      </c>
      <c r="X79" s="384">
        <f>IF(OR($A79="",$U79="Subscription",$J79="",$I79="",$J79=0,$I79=0,$I79&gt;$J79),"",$J79-$I79)</f>
        <v/>
      </c>
      <c r="Y79" s="381">
        <f>IF(OR($A79="",$U79="Subscription",$J79="",$J79=0,$X79=""),"",$X79/$J79)</f>
        <v/>
      </c>
    </row>
    <row r="80" ht="21" customHeight="1" s="270">
      <c r="A80" s="297" t="n"/>
      <c r="B80" s="298" t="n"/>
      <c r="C80" s="298" t="n"/>
      <c r="D80" s="297" t="n"/>
      <c r="E80" s="349" t="n"/>
      <c r="F80" s="349" t="n"/>
      <c r="G80" s="349" t="n"/>
      <c r="H80" s="349" t="n"/>
      <c r="I80" s="382" t="n"/>
      <c r="J80" s="383" t="n"/>
      <c r="K80" s="351" t="n"/>
      <c r="L80" s="296" t="n"/>
      <c r="M80" s="349" t="n"/>
      <c r="N80" s="349">
        <f>IF($A80="","",IF(OR(LOWER($D80&amp;"")="n/a",ISNUMBER(SEARCH("subscription",LOWER($A80&amp;" "&amp;$M80&amp;""))),ISNUMBER(SEARCH("membership",LOWER($A80&amp;" "&amp;$M80&amp;"")))),"",IF($G80="","",IF(ISNUMBER(SEARCH("non",LOWER($E80&amp;""))),$G80*0.85,$G80))))</f>
        <v/>
      </c>
      <c r="O80" s="349">
        <f>IF($A80="","",IF(OR(LOWER($D80&amp;"")="n/a",ISNUMBER(SEARCH("subscription",LOWER($A80&amp;" "&amp;$M80&amp;""))),ISNUMBER(SEARCH("membership",LOWER($A80&amp;" "&amp;$M80&amp;"")))),"",IF(OR($N80="",$I80="",$I80=0),"",$N80/$I80)))</f>
        <v/>
      </c>
      <c r="P80" s="349">
        <f>IF($A80="","",IF(OR(LOWER($D80&amp;"")="n/a",ISNUMBER(SEARCH("subscription",LOWER($A80&amp;" "&amp;$M80&amp;""))),ISNUMBER(SEARCH("membership",LOWER($A80&amp;" "&amp;$M80&amp;"")))),"",IF(LOWER($L80&amp;"")="yes",0,IF($K80&lt;&gt;"",$K80,IF($O80&lt;&gt;"",$O80,"")))))</f>
        <v/>
      </c>
      <c r="Q80" s="351">
        <f>IF($A80="","",IF($U80="Subscription","",IF($U80="Profit",$P80-$H80,0)))</f>
        <v/>
      </c>
      <c r="R80" s="349">
        <f>IF($A80="","",IF($U80="Subscription","",IF($U80="Draw",$H80,0)))</f>
        <v/>
      </c>
      <c r="S80" s="349">
        <f>IF($A80="","",IF($U80="Subscription","",IF($U80="Disqualified",$H80,0)))</f>
        <v/>
      </c>
      <c r="T80" s="380">
        <f>IF($A80="","",IF($U80="Subscription","",IF($H80=0,IF($U80="Profit","N/A",0),IF($U80="Profit",$Q80/$H80,IF($U80="Disqualified",-1,0)))))</f>
        <v/>
      </c>
      <c r="U80" s="351">
        <f>IF($A80="","",IF(OR(LOWER($D80&amp;"")="n/a",ISNUMBER(SEARCH("subscription",LOWER($A80&amp;" "&amp;$M80&amp;""))),ISNUMBER(SEARCH("membership",LOWER($A80&amp;" "&amp;$M80&amp;"")))),"Subscription",IF(LOWER($L80&amp;"")="yes","Disqualified",IF($P80&gt;$H80,"Profit","Draw"))))</f>
        <v/>
      </c>
      <c r="V80" s="383">
        <f>IF(OR($A80="",$B80="",$C80="",$U80="Subscription"),"",IFERROR(ROUNDUP((IF(ISNUMBER($C80),$C80,DATEVALUE($C80))-IF(ISNUMBER($B80),$B80,DATEVALUE($B80)))/7,0),""))</f>
        <v/>
      </c>
      <c r="W80" s="351">
        <f>IF($U80="Subscription","",$Q80-$S80)</f>
        <v/>
      </c>
      <c r="X80" s="384">
        <f>IF(OR($A80="",$U80="Subscription",$J80="",$I80="",$J80=0,$I80=0,$I80&gt;$J80),"",$J80-$I80)</f>
        <v/>
      </c>
      <c r="Y80" s="381">
        <f>IF(OR($A80="",$U80="Subscription",$J80="",$J80=0,$X80=""),"",$X80/$J80)</f>
        <v/>
      </c>
    </row>
    <row r="81" ht="21" customHeight="1" s="270">
      <c r="A81" s="297" t="n"/>
      <c r="B81" s="298" t="n"/>
      <c r="C81" s="298" t="n"/>
      <c r="D81" s="297" t="n"/>
      <c r="E81" s="349" t="n"/>
      <c r="F81" s="349" t="n"/>
      <c r="G81" s="349" t="n"/>
      <c r="H81" s="349" t="n"/>
      <c r="I81" s="382" t="n"/>
      <c r="J81" s="383" t="n"/>
      <c r="K81" s="351" t="n"/>
      <c r="L81" s="296" t="n"/>
      <c r="M81" s="349" t="n"/>
      <c r="N81" s="349">
        <f>IF($A81="","",IF(OR(LOWER($D81&amp;"")="n/a",ISNUMBER(SEARCH("subscription",LOWER($A81&amp;" "&amp;$M81&amp;""))),ISNUMBER(SEARCH("membership",LOWER($A81&amp;" "&amp;$M81&amp;"")))),"",IF($G81="","",IF(ISNUMBER(SEARCH("non",LOWER($E81&amp;""))),$G81*0.85,$G81))))</f>
        <v/>
      </c>
      <c r="O81" s="349">
        <f>IF($A81="","",IF(OR(LOWER($D81&amp;"")="n/a",ISNUMBER(SEARCH("subscription",LOWER($A81&amp;" "&amp;$M81&amp;""))),ISNUMBER(SEARCH("membership",LOWER($A81&amp;" "&amp;$M81&amp;"")))),"",IF(OR($N81="",$I81="",$I81=0),"",$N81/$I81)))</f>
        <v/>
      </c>
      <c r="P81" s="349">
        <f>IF($A81="","",IF(OR(LOWER($D81&amp;"")="n/a",ISNUMBER(SEARCH("subscription",LOWER($A81&amp;" "&amp;$M81&amp;""))),ISNUMBER(SEARCH("membership",LOWER($A81&amp;" "&amp;$M81&amp;"")))),"",IF(LOWER($L81&amp;"")="yes",0,IF($K81&lt;&gt;"",$K81,IF($O81&lt;&gt;"",$O81,"")))))</f>
        <v/>
      </c>
      <c r="Q81" s="351">
        <f>IF($A81="","",IF($U81="Subscription","",IF($U81="Profit",$P81-$H81,0)))</f>
        <v/>
      </c>
      <c r="R81" s="349">
        <f>IF($A81="","",IF($U81="Subscription","",IF($U81="Draw",$H81,0)))</f>
        <v/>
      </c>
      <c r="S81" s="349">
        <f>IF($A81="","",IF($U81="Subscription","",IF($U81="Disqualified",$H81,0)))</f>
        <v/>
      </c>
      <c r="T81" s="380">
        <f>IF($A81="","",IF($U81="Subscription","",IF($H81=0,IF($U81="Profit","N/A",0),IF($U81="Profit",$Q81/$H81,IF($U81="Disqualified",-1,0)))))</f>
        <v/>
      </c>
      <c r="U81" s="351">
        <f>IF($A81="","",IF(OR(LOWER($D81&amp;"")="n/a",ISNUMBER(SEARCH("subscription",LOWER($A81&amp;" "&amp;$M81&amp;""))),ISNUMBER(SEARCH("membership",LOWER($A81&amp;" "&amp;$M81&amp;"")))),"Subscription",IF(LOWER($L81&amp;"")="yes","Disqualified",IF($P81&gt;$H81,"Profit","Draw"))))</f>
        <v/>
      </c>
      <c r="V81" s="383">
        <f>IF(OR($A81="",$B81="",$C81="",$U81="Subscription"),"",IFERROR(ROUNDUP((IF(ISNUMBER($C81),$C81,DATEVALUE($C81))-IF(ISNUMBER($B81),$B81,DATEVALUE($B81)))/7,0),""))</f>
        <v/>
      </c>
      <c r="W81" s="351">
        <f>IF($U81="Subscription","",$Q81-$S81)</f>
        <v/>
      </c>
      <c r="X81" s="384">
        <f>IF(OR($A81="",$U81="Subscription",$J81="",$I81="",$J81=0,$I81=0,$I81&gt;$J81),"",$J81-$I81)</f>
        <v/>
      </c>
      <c r="Y81" s="381">
        <f>IF(OR($A81="",$U81="Subscription",$J81="",$J81=0,$X81=""),"",$X81/$J81)</f>
        <v/>
      </c>
    </row>
    <row r="82" ht="21" customHeight="1" s="270">
      <c r="A82" s="297" t="n"/>
      <c r="B82" s="298" t="n"/>
      <c r="C82" s="298" t="n"/>
      <c r="D82" s="297" t="n"/>
      <c r="E82" s="349" t="n"/>
      <c r="F82" s="349" t="n"/>
      <c r="G82" s="349" t="n"/>
      <c r="H82" s="349" t="n"/>
      <c r="I82" s="382" t="n"/>
      <c r="J82" s="383" t="n"/>
      <c r="K82" s="351" t="n"/>
      <c r="L82" s="296" t="n"/>
      <c r="M82" s="349" t="n"/>
      <c r="N82" s="349">
        <f>IF($A82="","",IF(OR(LOWER($D82&amp;"")="n/a",ISNUMBER(SEARCH("subscription",LOWER($A82&amp;" "&amp;$M82&amp;""))),ISNUMBER(SEARCH("membership",LOWER($A82&amp;" "&amp;$M82&amp;"")))),"",IF($G82="","",IF(ISNUMBER(SEARCH("non",LOWER($E82&amp;""))),$G82*0.85,$G82))))</f>
        <v/>
      </c>
      <c r="O82" s="349">
        <f>IF($A82="","",IF(OR(LOWER($D82&amp;"")="n/a",ISNUMBER(SEARCH("subscription",LOWER($A82&amp;" "&amp;$M82&amp;""))),ISNUMBER(SEARCH("membership",LOWER($A82&amp;" "&amp;$M82&amp;"")))),"",IF(OR($N82="",$I82="",$I82=0),"",$N82/$I82)))</f>
        <v/>
      </c>
      <c r="P82" s="349">
        <f>IF($A82="","",IF(OR(LOWER($D82&amp;"")="n/a",ISNUMBER(SEARCH("subscription",LOWER($A82&amp;" "&amp;$M82&amp;""))),ISNUMBER(SEARCH("membership",LOWER($A82&amp;" "&amp;$M82&amp;"")))),"",IF(LOWER($L82&amp;"")="yes",0,IF($K82&lt;&gt;"",$K82,IF($O82&lt;&gt;"",$O82,"")))))</f>
        <v/>
      </c>
      <c r="Q82" s="351">
        <f>IF($A82="","",IF($U82="Subscription","",IF($U82="Profit",$P82-$H82,0)))</f>
        <v/>
      </c>
      <c r="R82" s="349">
        <f>IF($A82="","",IF($U82="Subscription","",IF($U82="Draw",$H82,0)))</f>
        <v/>
      </c>
      <c r="S82" s="349">
        <f>IF($A82="","",IF($U82="Subscription","",IF($U82="Disqualified",$H82,0)))</f>
        <v/>
      </c>
      <c r="T82" s="380">
        <f>IF($A82="","",IF($U82="Subscription","",IF($H82=0,IF($U82="Profit","N/A",0),IF($U82="Profit",$Q82/$H82,IF($U82="Disqualified",-1,0)))))</f>
        <v/>
      </c>
      <c r="U82" s="351">
        <f>IF($A82="","",IF(OR(LOWER($D82&amp;"")="n/a",ISNUMBER(SEARCH("subscription",LOWER($A82&amp;" "&amp;$M82&amp;""))),ISNUMBER(SEARCH("membership",LOWER($A82&amp;" "&amp;$M82&amp;"")))),"Subscription",IF(LOWER($L82&amp;"")="yes","Disqualified",IF($P82&gt;$H82,"Profit","Draw"))))</f>
        <v/>
      </c>
      <c r="V82" s="383">
        <f>IF(OR($A82="",$B82="",$C82="",$U82="Subscription"),"",IFERROR(ROUNDUP((IF(ISNUMBER($C82),$C82,DATEVALUE($C82))-IF(ISNUMBER($B82),$B82,DATEVALUE($B82)))/7,0),""))</f>
        <v/>
      </c>
      <c r="W82" s="351">
        <f>IF($U82="Subscription","",$Q82-$S82)</f>
        <v/>
      </c>
      <c r="X82" s="384">
        <f>IF(OR($A82="",$U82="Subscription",$J82="",$I82="",$J82=0,$I82=0,$I82&gt;$J82),"",$J82-$I82)</f>
        <v/>
      </c>
      <c r="Y82" s="381">
        <f>IF(OR($A82="",$U82="Subscription",$J82="",$J82=0,$X82=""),"",$X82/$J82)</f>
        <v/>
      </c>
    </row>
    <row r="83" ht="21" customHeight="1" s="270">
      <c r="A83" s="297" t="n"/>
      <c r="B83" s="298" t="n"/>
      <c r="C83" s="298" t="n"/>
      <c r="D83" s="297" t="n"/>
      <c r="E83" s="349" t="n"/>
      <c r="F83" s="349" t="n"/>
      <c r="G83" s="349" t="n"/>
      <c r="H83" s="349" t="n"/>
      <c r="I83" s="382" t="n"/>
      <c r="J83" s="383" t="n"/>
      <c r="K83" s="351" t="n"/>
      <c r="L83" s="296" t="n"/>
      <c r="M83" s="349" t="n"/>
      <c r="N83" s="349">
        <f>IF($A83="","",IF(OR(LOWER($D83&amp;"")="n/a",ISNUMBER(SEARCH("subscription",LOWER($A83&amp;" "&amp;$M83&amp;""))),ISNUMBER(SEARCH("membership",LOWER($A83&amp;" "&amp;$M83&amp;"")))),"",IF($G83="","",IF(ISNUMBER(SEARCH("non",LOWER($E83&amp;""))),$G83*0.85,$G83))))</f>
        <v/>
      </c>
      <c r="O83" s="349">
        <f>IF($A83="","",IF(OR(LOWER($D83&amp;"")="n/a",ISNUMBER(SEARCH("subscription",LOWER($A83&amp;" "&amp;$M83&amp;""))),ISNUMBER(SEARCH("membership",LOWER($A83&amp;" "&amp;$M83&amp;"")))),"",IF(OR($N83="",$I83="",$I83=0),"",$N83/$I83)))</f>
        <v/>
      </c>
      <c r="P83" s="349">
        <f>IF($A83="","",IF(OR(LOWER($D83&amp;"")="n/a",ISNUMBER(SEARCH("subscription",LOWER($A83&amp;" "&amp;$M83&amp;""))),ISNUMBER(SEARCH("membership",LOWER($A83&amp;" "&amp;$M83&amp;"")))),"",IF(LOWER($L83&amp;"")="yes",0,IF($K83&lt;&gt;"",$K83,IF($O83&lt;&gt;"",$O83,"")))))</f>
        <v/>
      </c>
      <c r="Q83" s="351">
        <f>IF($A83="","",IF($U83="Subscription","",IF($U83="Profit",$P83-$H83,0)))</f>
        <v/>
      </c>
      <c r="R83" s="349">
        <f>IF($A83="","",IF($U83="Subscription","",IF($U83="Draw",$H83,0)))</f>
        <v/>
      </c>
      <c r="S83" s="349">
        <f>IF($A83="","",IF($U83="Subscription","",IF($U83="Disqualified",$H83,0)))</f>
        <v/>
      </c>
      <c r="T83" s="380">
        <f>IF($A83="","",IF($U83="Subscription","",IF($H83=0,IF($U83="Profit","N/A",0),IF($U83="Profit",$Q83/$H83,IF($U83="Disqualified",-1,0)))))</f>
        <v/>
      </c>
      <c r="U83" s="351">
        <f>IF($A83="","",IF(OR(LOWER($D83&amp;"")="n/a",ISNUMBER(SEARCH("subscription",LOWER($A83&amp;" "&amp;$M83&amp;""))),ISNUMBER(SEARCH("membership",LOWER($A83&amp;" "&amp;$M83&amp;"")))),"Subscription",IF(LOWER($L83&amp;"")="yes","Disqualified",IF($P83&gt;$H83,"Profit","Draw"))))</f>
        <v/>
      </c>
      <c r="V83" s="383">
        <f>IF(OR($A83="",$B83="",$C83="",$U83="Subscription"),"",IFERROR(ROUNDUP((IF(ISNUMBER($C83),$C83,DATEVALUE($C83))-IF(ISNUMBER($B83),$B83,DATEVALUE($B83)))/7,0),""))</f>
        <v/>
      </c>
      <c r="W83" s="351">
        <f>IF($U83="Subscription","",$Q83-$S83)</f>
        <v/>
      </c>
      <c r="X83" s="384">
        <f>IF(OR($A83="",$U83="Subscription",$J83="",$I83="",$J83=0,$I83=0,$I83&gt;$J83),"",$J83-$I83)</f>
        <v/>
      </c>
      <c r="Y83" s="381">
        <f>IF(OR($A83="",$U83="Subscription",$J83="",$J83=0,$X83=""),"",$X83/$J83)</f>
        <v/>
      </c>
    </row>
    <row r="84" ht="21" customHeight="1" s="270">
      <c r="A84" s="297" t="n"/>
      <c r="B84" s="298" t="n"/>
      <c r="C84" s="298" t="n"/>
      <c r="D84" s="297" t="n"/>
      <c r="E84" s="349" t="n"/>
      <c r="F84" s="349" t="n"/>
      <c r="G84" s="349" t="n"/>
      <c r="H84" s="349" t="n"/>
      <c r="I84" s="382" t="n"/>
      <c r="J84" s="383" t="n"/>
      <c r="K84" s="351" t="n"/>
      <c r="L84" s="296" t="n"/>
      <c r="M84" s="349" t="n"/>
      <c r="N84" s="349">
        <f>IF($A84="","",IF(OR(LOWER($D84&amp;"")="n/a",ISNUMBER(SEARCH("subscription",LOWER($A84&amp;" "&amp;$M84&amp;""))),ISNUMBER(SEARCH("membership",LOWER($A84&amp;" "&amp;$M84&amp;"")))),"",IF($G84="","",IF(ISNUMBER(SEARCH("non",LOWER($E84&amp;""))),$G84*0.85,$G84))))</f>
        <v/>
      </c>
      <c r="O84" s="349">
        <f>IF($A84="","",IF(OR(LOWER($D84&amp;"")="n/a",ISNUMBER(SEARCH("subscription",LOWER($A84&amp;" "&amp;$M84&amp;""))),ISNUMBER(SEARCH("membership",LOWER($A84&amp;" "&amp;$M84&amp;"")))),"",IF(OR($N84="",$I84="",$I84=0),"",$N84/$I84)))</f>
        <v/>
      </c>
      <c r="P84" s="349">
        <f>IF($A84="","",IF(OR(LOWER($D84&amp;"")="n/a",ISNUMBER(SEARCH("subscription",LOWER($A84&amp;" "&amp;$M84&amp;""))),ISNUMBER(SEARCH("membership",LOWER($A84&amp;" "&amp;$M84&amp;"")))),"",IF(LOWER($L84&amp;"")="yes",0,IF($K84&lt;&gt;"",$K84,IF($O84&lt;&gt;"",$O84,"")))))</f>
        <v/>
      </c>
      <c r="Q84" s="351">
        <f>IF($A84="","",IF($U84="Subscription","",IF($U84="Profit",$P84-$H84,0)))</f>
        <v/>
      </c>
      <c r="R84" s="349">
        <f>IF($A84="","",IF($U84="Subscription","",IF($U84="Draw",$H84,0)))</f>
        <v/>
      </c>
      <c r="S84" s="349">
        <f>IF($A84="","",IF($U84="Subscription","",IF($U84="Disqualified",$H84,0)))</f>
        <v/>
      </c>
      <c r="T84" s="380">
        <f>IF($A84="","",IF($U84="Subscription","",IF($H84=0,IF($U84="Profit","N/A",0),IF($U84="Profit",$Q84/$H84,IF($U84="Disqualified",-1,0)))))</f>
        <v/>
      </c>
      <c r="U84" s="351">
        <f>IF($A84="","",IF(OR(LOWER($D84&amp;"")="n/a",ISNUMBER(SEARCH("subscription",LOWER($A84&amp;" "&amp;$M84&amp;""))),ISNUMBER(SEARCH("membership",LOWER($A84&amp;" "&amp;$M84&amp;"")))),"Subscription",IF(LOWER($L84&amp;"")="yes","Disqualified",IF($P84&gt;$H84,"Profit","Draw"))))</f>
        <v/>
      </c>
      <c r="V84" s="383">
        <f>IF(OR($A84="",$B84="",$C84="",$U84="Subscription"),"",IFERROR(ROUNDUP((IF(ISNUMBER($C84),$C84,DATEVALUE($C84))-IF(ISNUMBER($B84),$B84,DATEVALUE($B84)))/7,0),""))</f>
        <v/>
      </c>
      <c r="W84" s="351">
        <f>IF($U84="Subscription","",$Q84-$S84)</f>
        <v/>
      </c>
      <c r="X84" s="384">
        <f>IF(OR($A84="",$U84="Subscription",$J84="",$I84="",$J84=0,$I84=0,$I84&gt;$J84),"",$J84-$I84)</f>
        <v/>
      </c>
      <c r="Y84" s="381">
        <f>IF(OR($A84="",$U84="Subscription",$J84="",$J84=0,$X84=""),"",$X84/$J84)</f>
        <v/>
      </c>
    </row>
    <row r="85" ht="21" customHeight="1" s="270">
      <c r="A85" s="297" t="n"/>
      <c r="B85" s="298" t="n"/>
      <c r="C85" s="298" t="n"/>
      <c r="D85" s="297" t="n"/>
      <c r="E85" s="349" t="n"/>
      <c r="F85" s="349" t="n"/>
      <c r="G85" s="349" t="n"/>
      <c r="H85" s="349" t="n"/>
      <c r="I85" s="382" t="n"/>
      <c r="J85" s="383" t="n"/>
      <c r="K85" s="351" t="n"/>
      <c r="L85" s="296" t="n"/>
      <c r="M85" s="349" t="n"/>
      <c r="N85" s="349">
        <f>IF($A85="","",IF(OR(LOWER($D85&amp;"")="n/a",ISNUMBER(SEARCH("subscription",LOWER($A85&amp;" "&amp;$M85&amp;""))),ISNUMBER(SEARCH("membership",LOWER($A85&amp;" "&amp;$M85&amp;"")))),"",IF($G85="","",IF(ISNUMBER(SEARCH("non",LOWER($E85&amp;""))),$G85*0.85,$G85))))</f>
        <v/>
      </c>
      <c r="O85" s="349">
        <f>IF($A85="","",IF(OR(LOWER($D85&amp;"")="n/a",ISNUMBER(SEARCH("subscription",LOWER($A85&amp;" "&amp;$M85&amp;""))),ISNUMBER(SEARCH("membership",LOWER($A85&amp;" "&amp;$M85&amp;"")))),"",IF(OR($N85="",$I85="",$I85=0),"",$N85/$I85)))</f>
        <v/>
      </c>
      <c r="P85" s="349">
        <f>IF($A85="","",IF(OR(LOWER($D85&amp;"")="n/a",ISNUMBER(SEARCH("subscription",LOWER($A85&amp;" "&amp;$M85&amp;""))),ISNUMBER(SEARCH("membership",LOWER($A85&amp;" "&amp;$M85&amp;"")))),"",IF(LOWER($L85&amp;"")="yes",0,IF($K85&lt;&gt;"",$K85,IF($O85&lt;&gt;"",$O85,"")))))</f>
        <v/>
      </c>
      <c r="Q85" s="351">
        <f>IF($A85="","",IF($U85="Subscription","",IF($U85="Profit",$P85-$H85,0)))</f>
        <v/>
      </c>
      <c r="R85" s="349">
        <f>IF($A85="","",IF($U85="Subscription","",IF($U85="Draw",$H85,0)))</f>
        <v/>
      </c>
      <c r="S85" s="349">
        <f>IF($A85="","",IF($U85="Subscription","",IF($U85="Disqualified",$H85,0)))</f>
        <v/>
      </c>
      <c r="T85" s="380">
        <f>IF($A85="","",IF($U85="Subscription","",IF($H85=0,IF($U85="Profit","N/A",0),IF($U85="Profit",$Q85/$H85,IF($U85="Disqualified",-1,0)))))</f>
        <v/>
      </c>
      <c r="U85" s="351">
        <f>IF($A85="","",IF(OR(LOWER($D85&amp;"")="n/a",ISNUMBER(SEARCH("subscription",LOWER($A85&amp;" "&amp;$M85&amp;""))),ISNUMBER(SEARCH("membership",LOWER($A85&amp;" "&amp;$M85&amp;"")))),"Subscription",IF(LOWER($L85&amp;"")="yes","Disqualified",IF($P85&gt;$H85,"Profit","Draw"))))</f>
        <v/>
      </c>
      <c r="V85" s="383">
        <f>IF(OR($A85="",$B85="",$C85="",$U85="Subscription"),"",IFERROR(ROUNDUP((IF(ISNUMBER($C85),$C85,DATEVALUE($C85))-IF(ISNUMBER($B85),$B85,DATEVALUE($B85)))/7,0),""))</f>
        <v/>
      </c>
      <c r="W85" s="351">
        <f>IF($U85="Subscription","",$Q85-$S85)</f>
        <v/>
      </c>
      <c r="X85" s="384">
        <f>IF(OR($A85="",$U85="Subscription",$J85="",$I85="",$J85=0,$I85=0,$I85&gt;$J85),"",$J85-$I85)</f>
        <v/>
      </c>
      <c r="Y85" s="381">
        <f>IF(OR($A85="",$U85="Subscription",$J85="",$J85=0,$X85=""),"",$X85/$J85)</f>
        <v/>
      </c>
    </row>
    <row r="86" ht="21" customHeight="1" s="270">
      <c r="A86" s="297" t="n"/>
      <c r="B86" s="298" t="n"/>
      <c r="C86" s="298" t="n"/>
      <c r="D86" s="297" t="n"/>
      <c r="E86" s="349" t="n"/>
      <c r="F86" s="349" t="n"/>
      <c r="G86" s="349" t="n"/>
      <c r="H86" s="349" t="n"/>
      <c r="I86" s="382" t="n"/>
      <c r="J86" s="383" t="n"/>
      <c r="K86" s="351" t="n"/>
      <c r="L86" s="296" t="n"/>
      <c r="M86" s="349" t="n"/>
      <c r="N86" s="349">
        <f>IF($A86="","",IF(OR(LOWER($D86&amp;"")="n/a",ISNUMBER(SEARCH("subscription",LOWER($A86&amp;" "&amp;$M86&amp;""))),ISNUMBER(SEARCH("membership",LOWER($A86&amp;" "&amp;$M86&amp;"")))),"",IF($G86="","",IF(ISNUMBER(SEARCH("non",LOWER($E86&amp;""))),$G86*0.85,$G86))))</f>
        <v/>
      </c>
      <c r="O86" s="349">
        <f>IF($A86="","",IF(OR(LOWER($D86&amp;"")="n/a",ISNUMBER(SEARCH("subscription",LOWER($A86&amp;" "&amp;$M86&amp;""))),ISNUMBER(SEARCH("membership",LOWER($A86&amp;" "&amp;$M86&amp;"")))),"",IF(OR($N86="",$I86="",$I86=0),"",$N86/$I86)))</f>
        <v/>
      </c>
      <c r="P86" s="349">
        <f>IF($A86="","",IF(OR(LOWER($D86&amp;"")="n/a",ISNUMBER(SEARCH("subscription",LOWER($A86&amp;" "&amp;$M86&amp;""))),ISNUMBER(SEARCH("membership",LOWER($A86&amp;" "&amp;$M86&amp;"")))),"",IF(LOWER($L86&amp;"")="yes",0,IF($K86&lt;&gt;"",$K86,IF($O86&lt;&gt;"",$O86,"")))))</f>
        <v/>
      </c>
      <c r="Q86" s="351">
        <f>IF($A86="","",IF($U86="Subscription","",IF($U86="Profit",$P86-$H86,0)))</f>
        <v/>
      </c>
      <c r="R86" s="349">
        <f>IF($A86="","",IF($U86="Subscription","",IF($U86="Draw",$H86,0)))</f>
        <v/>
      </c>
      <c r="S86" s="349">
        <f>IF($A86="","",IF($U86="Subscription","",IF($U86="Disqualified",$H86,0)))</f>
        <v/>
      </c>
      <c r="T86" s="380">
        <f>IF($A86="","",IF($U86="Subscription","",IF($H86=0,IF($U86="Profit","N/A",0),IF($U86="Profit",$Q86/$H86,IF($U86="Disqualified",-1,0)))))</f>
        <v/>
      </c>
      <c r="U86" s="351">
        <f>IF($A86="","",IF(OR(LOWER($D86&amp;"")="n/a",ISNUMBER(SEARCH("subscription",LOWER($A86&amp;" "&amp;$M86&amp;""))),ISNUMBER(SEARCH("membership",LOWER($A86&amp;" "&amp;$M86&amp;"")))),"Subscription",IF(LOWER($L86&amp;"")="yes","Disqualified",IF($P86&gt;$H86,"Profit","Draw"))))</f>
        <v/>
      </c>
      <c r="V86" s="383">
        <f>IF(OR($A86="",$B86="",$C86="",$U86="Subscription"),"",IFERROR(ROUNDUP((IF(ISNUMBER($C86),$C86,DATEVALUE($C86))-IF(ISNUMBER($B86),$B86,DATEVALUE($B86)))/7,0),""))</f>
        <v/>
      </c>
      <c r="W86" s="351">
        <f>IF($U86="Subscription","",$Q86-$S86)</f>
        <v/>
      </c>
      <c r="X86" s="384">
        <f>IF(OR($A86="",$U86="Subscription",$J86="",$I86="",$J86=0,$I86=0,$I86&gt;$J86),"",$J86-$I86)</f>
        <v/>
      </c>
      <c r="Y86" s="381">
        <f>IF(OR($A86="",$U86="Subscription",$J86="",$J86=0,$X86=""),"",$X86/$J86)</f>
        <v/>
      </c>
    </row>
    <row r="87" ht="21" customHeight="1" s="270">
      <c r="A87" s="297" t="n"/>
      <c r="B87" s="298" t="n"/>
      <c r="C87" s="298" t="n"/>
      <c r="D87" s="297" t="n"/>
      <c r="E87" s="349" t="n"/>
      <c r="F87" s="349" t="n"/>
      <c r="G87" s="349" t="n"/>
      <c r="H87" s="349" t="n"/>
      <c r="I87" s="382" t="n"/>
      <c r="J87" s="383" t="n"/>
      <c r="K87" s="351" t="n"/>
      <c r="L87" s="296" t="n"/>
      <c r="M87" s="349" t="n"/>
      <c r="N87" s="349">
        <f>IF($A87="","",IF(OR(LOWER($D87&amp;"")="n/a",ISNUMBER(SEARCH("subscription",LOWER($A87&amp;" "&amp;$M87&amp;""))),ISNUMBER(SEARCH("membership",LOWER($A87&amp;" "&amp;$M87&amp;"")))),"",IF($G87="","",IF(ISNUMBER(SEARCH("non",LOWER($E87&amp;""))),$G87*0.85,$G87))))</f>
        <v/>
      </c>
      <c r="O87" s="349">
        <f>IF($A87="","",IF(OR(LOWER($D87&amp;"")="n/a",ISNUMBER(SEARCH("subscription",LOWER($A87&amp;" "&amp;$M87&amp;""))),ISNUMBER(SEARCH("membership",LOWER($A87&amp;" "&amp;$M87&amp;"")))),"",IF(OR($N87="",$I87="",$I87=0),"",$N87/$I87)))</f>
        <v/>
      </c>
      <c r="P87" s="349">
        <f>IF($A87="","",IF(OR(LOWER($D87&amp;"")="n/a",ISNUMBER(SEARCH("subscription",LOWER($A87&amp;" "&amp;$M87&amp;""))),ISNUMBER(SEARCH("membership",LOWER($A87&amp;" "&amp;$M87&amp;"")))),"",IF(LOWER($L87&amp;"")="yes",0,IF($K87&lt;&gt;"",$K87,IF($O87&lt;&gt;"",$O87,"")))))</f>
        <v/>
      </c>
      <c r="Q87" s="351">
        <f>IF($A87="","",IF($U87="Subscription","",IF($U87="Profit",$P87-$H87,0)))</f>
        <v/>
      </c>
      <c r="R87" s="349">
        <f>IF($A87="","",IF($U87="Subscription","",IF($U87="Draw",$H87,0)))</f>
        <v/>
      </c>
      <c r="S87" s="349">
        <f>IF($A87="","",IF($U87="Subscription","",IF($U87="Disqualified",$H87,0)))</f>
        <v/>
      </c>
      <c r="T87" s="380">
        <f>IF($A87="","",IF($U87="Subscription","",IF($H87=0,IF($U87="Profit","N/A",0),IF($U87="Profit",$Q87/$H87,IF($U87="Disqualified",-1,0)))))</f>
        <v/>
      </c>
      <c r="U87" s="351">
        <f>IF($A87="","",IF(OR(LOWER($D87&amp;"")="n/a",ISNUMBER(SEARCH("subscription",LOWER($A87&amp;" "&amp;$M87&amp;""))),ISNUMBER(SEARCH("membership",LOWER($A87&amp;" "&amp;$M87&amp;"")))),"Subscription",IF(LOWER($L87&amp;"")="yes","Disqualified",IF($P87&gt;$H87,"Profit","Draw"))))</f>
        <v/>
      </c>
      <c r="V87" s="383">
        <f>IF(OR($A87="",$B87="",$C87="",$U87="Subscription"),"",IFERROR(ROUNDUP((IF(ISNUMBER($C87),$C87,DATEVALUE($C87))-IF(ISNUMBER($B87),$B87,DATEVALUE($B87)))/7,0),""))</f>
        <v/>
      </c>
      <c r="W87" s="351">
        <f>IF($U87="Subscription","",$Q87-$S87)</f>
        <v/>
      </c>
      <c r="X87" s="384">
        <f>IF(OR($A87="",$U87="Subscription",$J87="",$I87="",$J87=0,$I87=0,$I87&gt;$J87),"",$J87-$I87)</f>
        <v/>
      </c>
      <c r="Y87" s="381">
        <f>IF(OR($A87="",$U87="Subscription",$J87="",$J87=0,$X87=""),"",$X87/$J87)</f>
        <v/>
      </c>
    </row>
    <row r="88" ht="21" customHeight="1" s="270">
      <c r="A88" s="297" t="n"/>
      <c r="B88" s="298" t="n"/>
      <c r="C88" s="298" t="n"/>
      <c r="D88" s="297" t="n"/>
      <c r="E88" s="349" t="n"/>
      <c r="F88" s="349" t="n"/>
      <c r="G88" s="349" t="n"/>
      <c r="H88" s="349" t="n"/>
      <c r="I88" s="382" t="n"/>
      <c r="J88" s="383" t="n"/>
      <c r="K88" s="351" t="n"/>
      <c r="L88" s="296" t="n"/>
      <c r="M88" s="349" t="n"/>
      <c r="N88" s="349">
        <f>IF($A88="","",IF(OR(LOWER($D88&amp;"")="n/a",ISNUMBER(SEARCH("subscription",LOWER($A88&amp;" "&amp;$M88&amp;""))),ISNUMBER(SEARCH("membership",LOWER($A88&amp;" "&amp;$M88&amp;"")))),"",IF($G88="","",IF(ISNUMBER(SEARCH("non",LOWER($E88&amp;""))),$G88*0.85,$G88))))</f>
        <v/>
      </c>
      <c r="O88" s="349">
        <f>IF($A88="","",IF(OR(LOWER($D88&amp;"")="n/a",ISNUMBER(SEARCH("subscription",LOWER($A88&amp;" "&amp;$M88&amp;""))),ISNUMBER(SEARCH("membership",LOWER($A88&amp;" "&amp;$M88&amp;"")))),"",IF(OR($N88="",$I88="",$I88=0),"",$N88/$I88)))</f>
        <v/>
      </c>
      <c r="P88" s="349">
        <f>IF($A88="","",IF(OR(LOWER($D88&amp;"")="n/a",ISNUMBER(SEARCH("subscription",LOWER($A88&amp;" "&amp;$M88&amp;""))),ISNUMBER(SEARCH("membership",LOWER($A88&amp;" "&amp;$M88&amp;"")))),"",IF(LOWER($L88&amp;"")="yes",0,IF($K88&lt;&gt;"",$K88,IF($O88&lt;&gt;"",$O88,"")))))</f>
        <v/>
      </c>
      <c r="Q88" s="351">
        <f>IF($A88="","",IF($U88="Subscription","",IF($U88="Profit",$P88-$H88,0)))</f>
        <v/>
      </c>
      <c r="R88" s="349">
        <f>IF($A88="","",IF($U88="Subscription","",IF($U88="Draw",$H88,0)))</f>
        <v/>
      </c>
      <c r="S88" s="349">
        <f>IF($A88="","",IF($U88="Subscription","",IF($U88="Disqualified",$H88,0)))</f>
        <v/>
      </c>
      <c r="T88" s="380">
        <f>IF($A88="","",IF($U88="Subscription","",IF($H88=0,IF($U88="Profit","N/A",0),IF($U88="Profit",$Q88/$H88,IF($U88="Disqualified",-1,0)))))</f>
        <v/>
      </c>
      <c r="U88" s="351">
        <f>IF($A88="","",IF(OR(LOWER($D88&amp;"")="n/a",ISNUMBER(SEARCH("subscription",LOWER($A88&amp;" "&amp;$M88&amp;""))),ISNUMBER(SEARCH("membership",LOWER($A88&amp;" "&amp;$M88&amp;"")))),"Subscription",IF(LOWER($L88&amp;"")="yes","Disqualified",IF($P88&gt;$H88,"Profit","Draw"))))</f>
        <v/>
      </c>
      <c r="V88" s="383">
        <f>IF(OR($A88="",$B88="",$C88="",$U88="Subscription"),"",IFERROR(ROUNDUP((IF(ISNUMBER($C88),$C88,DATEVALUE($C88))-IF(ISNUMBER($B88),$B88,DATEVALUE($B88)))/7,0),""))</f>
        <v/>
      </c>
      <c r="W88" s="351">
        <f>IF($U88="Subscription","",$Q88-$S88)</f>
        <v/>
      </c>
      <c r="X88" s="384">
        <f>IF(OR($A88="",$U88="Subscription",$J88="",$I88="",$J88=0,$I88=0,$I88&gt;$J88),"",$J88-$I88)</f>
        <v/>
      </c>
      <c r="Y88" s="381">
        <f>IF(OR($A88="",$U88="Subscription",$J88="",$J88=0,$X88=""),"",$X88/$J88)</f>
        <v/>
      </c>
    </row>
    <row r="89" ht="21" customHeight="1" s="270">
      <c r="A89" s="297" t="n"/>
      <c r="B89" s="298" t="n"/>
      <c r="C89" s="298" t="n"/>
      <c r="D89" s="297" t="n"/>
      <c r="E89" s="349" t="n"/>
      <c r="F89" s="349" t="n"/>
      <c r="G89" s="349" t="n"/>
      <c r="H89" s="349" t="n"/>
      <c r="I89" s="382" t="n"/>
      <c r="J89" s="383" t="n"/>
      <c r="K89" s="351" t="n"/>
      <c r="L89" s="296" t="n"/>
      <c r="M89" s="349" t="n"/>
      <c r="N89" s="349">
        <f>IF($A89="","",IF(OR(LOWER($D89&amp;"")="n/a",ISNUMBER(SEARCH("subscription",LOWER($A89&amp;" "&amp;$M89&amp;""))),ISNUMBER(SEARCH("membership",LOWER($A89&amp;" "&amp;$M89&amp;"")))),"",IF($G89="","",IF(ISNUMBER(SEARCH("non",LOWER($E89&amp;""))),$G89*0.85,$G89))))</f>
        <v/>
      </c>
      <c r="O89" s="349">
        <f>IF($A89="","",IF(OR(LOWER($D89&amp;"")="n/a",ISNUMBER(SEARCH("subscription",LOWER($A89&amp;" "&amp;$M89&amp;""))),ISNUMBER(SEARCH("membership",LOWER($A89&amp;" "&amp;$M89&amp;"")))),"",IF(OR($N89="",$I89="",$I89=0),"",$N89/$I89)))</f>
        <v/>
      </c>
      <c r="P89" s="349">
        <f>IF($A89="","",IF(OR(LOWER($D89&amp;"")="n/a",ISNUMBER(SEARCH("subscription",LOWER($A89&amp;" "&amp;$M89&amp;""))),ISNUMBER(SEARCH("membership",LOWER($A89&amp;" "&amp;$M89&amp;"")))),"",IF(LOWER($L89&amp;"")="yes",0,IF($K89&lt;&gt;"",$K89,IF($O89&lt;&gt;"",$O89,"")))))</f>
        <v/>
      </c>
      <c r="Q89" s="351">
        <f>IF($A89="","",IF($U89="Subscription","",IF($U89="Profit",$P89-$H89,0)))</f>
        <v/>
      </c>
      <c r="R89" s="349">
        <f>IF($A89="","",IF($U89="Subscription","",IF($U89="Draw",$H89,0)))</f>
        <v/>
      </c>
      <c r="S89" s="349">
        <f>IF($A89="","",IF($U89="Subscription","",IF($U89="Disqualified",$H89,0)))</f>
        <v/>
      </c>
      <c r="T89" s="380">
        <f>IF($A89="","",IF($U89="Subscription","",IF($H89=0,IF($U89="Profit","N/A",0),IF($U89="Profit",$Q89/$H89,IF($U89="Disqualified",-1,0)))))</f>
        <v/>
      </c>
      <c r="U89" s="351">
        <f>IF($A89="","",IF(OR(LOWER($D89&amp;"")="n/a",ISNUMBER(SEARCH("subscription",LOWER($A89&amp;" "&amp;$M89&amp;""))),ISNUMBER(SEARCH("membership",LOWER($A89&amp;" "&amp;$M89&amp;"")))),"Subscription",IF(LOWER($L89&amp;"")="yes","Disqualified",IF($P89&gt;$H89,"Profit","Draw"))))</f>
        <v/>
      </c>
      <c r="V89" s="383">
        <f>IF(OR($A89="",$B89="",$C89="",$U89="Subscription"),"",IFERROR(ROUNDUP((IF(ISNUMBER($C89),$C89,DATEVALUE($C89))-IF(ISNUMBER($B89),$B89,DATEVALUE($B89)))/7,0),""))</f>
        <v/>
      </c>
      <c r="W89" s="351">
        <f>IF($U89="Subscription","",$Q89-$S89)</f>
        <v/>
      </c>
      <c r="X89" s="384">
        <f>IF(OR($A89="",$U89="Subscription",$J89="",$I89="",$J89=0,$I89=0,$I89&gt;$J89),"",$J89-$I89)</f>
        <v/>
      </c>
      <c r="Y89" s="381">
        <f>IF(OR($A89="",$U89="Subscription",$J89="",$J89=0,$X89=""),"",$X89/$J89)</f>
        <v/>
      </c>
    </row>
    <row r="90" ht="21" customHeight="1" s="270">
      <c r="A90" s="297" t="n"/>
      <c r="B90" s="298" t="n"/>
      <c r="C90" s="298" t="n"/>
      <c r="D90" s="297" t="n"/>
      <c r="E90" s="349" t="n"/>
      <c r="F90" s="349" t="n"/>
      <c r="G90" s="349" t="n"/>
      <c r="H90" s="349" t="n"/>
      <c r="I90" s="382" t="n"/>
      <c r="J90" s="383" t="n"/>
      <c r="K90" s="351" t="n"/>
      <c r="L90" s="296" t="n"/>
      <c r="M90" s="349" t="n"/>
      <c r="N90" s="349">
        <f>IF($A90="","",IF(OR(LOWER($D90&amp;"")="n/a",ISNUMBER(SEARCH("subscription",LOWER($A90&amp;" "&amp;$M90&amp;""))),ISNUMBER(SEARCH("membership",LOWER($A90&amp;" "&amp;$M90&amp;"")))),"",IF($G90="","",IF(ISNUMBER(SEARCH("non",LOWER($E90&amp;""))),$G90*0.85,$G90))))</f>
        <v/>
      </c>
      <c r="O90" s="349">
        <f>IF($A90="","",IF(OR(LOWER($D90&amp;"")="n/a",ISNUMBER(SEARCH("subscription",LOWER($A90&amp;" "&amp;$M90&amp;""))),ISNUMBER(SEARCH("membership",LOWER($A90&amp;" "&amp;$M90&amp;"")))),"",IF(OR($N90="",$I90="",$I90=0),"",$N90/$I90)))</f>
        <v/>
      </c>
      <c r="P90" s="349">
        <f>IF($A90="","",IF(OR(LOWER($D90&amp;"")="n/a",ISNUMBER(SEARCH("subscription",LOWER($A90&amp;" "&amp;$M90&amp;""))),ISNUMBER(SEARCH("membership",LOWER($A90&amp;" "&amp;$M90&amp;"")))),"",IF(LOWER($L90&amp;"")="yes",0,IF($K90&lt;&gt;"",$K90,IF($O90&lt;&gt;"",$O90,"")))))</f>
        <v/>
      </c>
      <c r="Q90" s="351">
        <f>IF($A90="","",IF($U90="Subscription","",IF($U90="Profit",$P90-$H90,0)))</f>
        <v/>
      </c>
      <c r="R90" s="349">
        <f>IF($A90="","",IF($U90="Subscription","",IF($U90="Draw",$H90,0)))</f>
        <v/>
      </c>
      <c r="S90" s="349">
        <f>IF($A90="","",IF($U90="Subscription","",IF($U90="Disqualified",$H90,0)))</f>
        <v/>
      </c>
      <c r="T90" s="380">
        <f>IF($A90="","",IF($U90="Subscription","",IF($H90=0,IF($U90="Profit","N/A",0),IF($U90="Profit",$Q90/$H90,IF($U90="Disqualified",-1,0)))))</f>
        <v/>
      </c>
      <c r="U90" s="351">
        <f>IF($A90="","",IF(OR(LOWER($D90&amp;"")="n/a",ISNUMBER(SEARCH("subscription",LOWER($A90&amp;" "&amp;$M90&amp;""))),ISNUMBER(SEARCH("membership",LOWER($A90&amp;" "&amp;$M90&amp;"")))),"Subscription",IF(LOWER($L90&amp;"")="yes","Disqualified",IF($P90&gt;$H90,"Profit","Draw"))))</f>
        <v/>
      </c>
      <c r="V90" s="383">
        <f>IF(OR($A90="",$B90="",$C90="",$U90="Subscription"),"",IFERROR(ROUNDUP((IF(ISNUMBER($C90),$C90,DATEVALUE($C90))-IF(ISNUMBER($B90),$B90,DATEVALUE($B90)))/7,0),""))</f>
        <v/>
      </c>
      <c r="W90" s="351">
        <f>IF($U90="Subscription","",$Q90-$S90)</f>
        <v/>
      </c>
      <c r="X90" s="384">
        <f>IF(OR($A90="",$U90="Subscription",$J90="",$I90="",$J90=0,$I90=0,$I90&gt;$J90),"",$J90-$I90)</f>
        <v/>
      </c>
      <c r="Y90" s="381">
        <f>IF(OR($A90="",$U90="Subscription",$J90="",$J90=0,$X90=""),"",$X90/$J90)</f>
        <v/>
      </c>
    </row>
    <row r="91" ht="21" customHeight="1" s="270">
      <c r="A91" s="297" t="n"/>
      <c r="B91" s="298" t="n"/>
      <c r="C91" s="298" t="n"/>
      <c r="D91" s="297" t="n"/>
      <c r="E91" s="349" t="n"/>
      <c r="F91" s="349" t="n"/>
      <c r="G91" s="349" t="n"/>
      <c r="H91" s="349" t="n"/>
      <c r="I91" s="382" t="n"/>
      <c r="J91" s="383" t="n"/>
      <c r="K91" s="351" t="n"/>
      <c r="L91" s="296" t="n"/>
      <c r="M91" s="349" t="n"/>
      <c r="N91" s="349">
        <f>IF($A91="","",IF(OR(LOWER($D91&amp;"")="n/a",ISNUMBER(SEARCH("subscription",LOWER($A91&amp;" "&amp;$M91&amp;""))),ISNUMBER(SEARCH("membership",LOWER($A91&amp;" "&amp;$M91&amp;"")))),"",IF($G91="","",IF(ISNUMBER(SEARCH("non",LOWER($E91&amp;""))),$G91*0.85,$G91))))</f>
        <v/>
      </c>
      <c r="O91" s="349">
        <f>IF($A91="","",IF(OR(LOWER($D91&amp;"")="n/a",ISNUMBER(SEARCH("subscription",LOWER($A91&amp;" "&amp;$M91&amp;""))),ISNUMBER(SEARCH("membership",LOWER($A91&amp;" "&amp;$M91&amp;"")))),"",IF(OR($N91="",$I91="",$I91=0),"",$N91/$I91)))</f>
        <v/>
      </c>
      <c r="P91" s="349">
        <f>IF($A91="","",IF(OR(LOWER($D91&amp;"")="n/a",ISNUMBER(SEARCH("subscription",LOWER($A91&amp;" "&amp;$M91&amp;""))),ISNUMBER(SEARCH("membership",LOWER($A91&amp;" "&amp;$M91&amp;"")))),"",IF(LOWER($L91&amp;"")="yes",0,IF($K91&lt;&gt;"",$K91,IF($O91&lt;&gt;"",$O91,"")))))</f>
        <v/>
      </c>
      <c r="Q91" s="351">
        <f>IF($A91="","",IF($U91="Subscription","",IF($U91="Profit",$P91-$H91,0)))</f>
        <v/>
      </c>
      <c r="R91" s="349">
        <f>IF($A91="","",IF($U91="Subscription","",IF($U91="Draw",$H91,0)))</f>
        <v/>
      </c>
      <c r="S91" s="349">
        <f>IF($A91="","",IF($U91="Subscription","",IF($U91="Disqualified",$H91,0)))</f>
        <v/>
      </c>
      <c r="T91" s="380">
        <f>IF($A91="","",IF($U91="Subscription","",IF($H91=0,IF($U91="Profit","N/A",0),IF($U91="Profit",$Q91/$H91,IF($U91="Disqualified",-1,0)))))</f>
        <v/>
      </c>
      <c r="U91" s="351">
        <f>IF($A91="","",IF(OR(LOWER($D91&amp;"")="n/a",ISNUMBER(SEARCH("subscription",LOWER($A91&amp;" "&amp;$M91&amp;""))),ISNUMBER(SEARCH("membership",LOWER($A91&amp;" "&amp;$M91&amp;"")))),"Subscription",IF(LOWER($L91&amp;"")="yes","Disqualified",IF($P91&gt;$H91,"Profit","Draw"))))</f>
        <v/>
      </c>
      <c r="V91" s="383">
        <f>IF(OR($A91="",$B91="",$C91="",$U91="Subscription"),"",IFERROR(ROUNDUP((IF(ISNUMBER($C91),$C91,DATEVALUE($C91))-IF(ISNUMBER($B91),$B91,DATEVALUE($B91)))/7,0),""))</f>
        <v/>
      </c>
      <c r="W91" s="351">
        <f>IF($U91="Subscription","",$Q91-$S91)</f>
        <v/>
      </c>
      <c r="X91" s="384">
        <f>IF(OR($A91="",$U91="Subscription",$J91="",$I91="",$J91=0,$I91=0,$I91&gt;$J91),"",$J91-$I91)</f>
        <v/>
      </c>
      <c r="Y91" s="381">
        <f>IF(OR($A91="",$U91="Subscription",$J91="",$J91=0,$X91=""),"",$X91/$J91)</f>
        <v/>
      </c>
    </row>
    <row r="92" ht="21" customHeight="1" s="270">
      <c r="A92" s="297" t="n"/>
      <c r="B92" s="298" t="n"/>
      <c r="C92" s="298" t="n"/>
      <c r="D92" s="297" t="n"/>
      <c r="E92" s="349" t="n"/>
      <c r="F92" s="349" t="n"/>
      <c r="G92" s="349" t="n"/>
      <c r="H92" s="349" t="n"/>
      <c r="I92" s="382" t="n"/>
      <c r="J92" s="383" t="n"/>
      <c r="K92" s="351" t="n"/>
      <c r="L92" s="296" t="n"/>
      <c r="M92" s="349" t="n"/>
      <c r="N92" s="349">
        <f>IF($A92="","",IF(OR(LOWER($D92&amp;"")="n/a",ISNUMBER(SEARCH("subscription",LOWER($A92&amp;" "&amp;$M92&amp;""))),ISNUMBER(SEARCH("membership",LOWER($A92&amp;" "&amp;$M92&amp;"")))),"",IF($G92="","",IF(ISNUMBER(SEARCH("non",LOWER($E92&amp;""))),$G92*0.85,$G92))))</f>
        <v/>
      </c>
      <c r="O92" s="349">
        <f>IF($A92="","",IF(OR(LOWER($D92&amp;"")="n/a",ISNUMBER(SEARCH("subscription",LOWER($A92&amp;" "&amp;$M92&amp;""))),ISNUMBER(SEARCH("membership",LOWER($A92&amp;" "&amp;$M92&amp;"")))),"",IF(OR($N92="",$I92="",$I92=0),"",$N92/$I92)))</f>
        <v/>
      </c>
      <c r="P92" s="349">
        <f>IF($A92="","",IF(OR(LOWER($D92&amp;"")="n/a",ISNUMBER(SEARCH("subscription",LOWER($A92&amp;" "&amp;$M92&amp;""))),ISNUMBER(SEARCH("membership",LOWER($A92&amp;" "&amp;$M92&amp;"")))),"",IF(LOWER($L92&amp;"")="yes",0,IF($K92&lt;&gt;"",$K92,IF($O92&lt;&gt;"",$O92,"")))))</f>
        <v/>
      </c>
      <c r="Q92" s="351">
        <f>IF($A92="","",IF($U92="Subscription","",IF($U92="Profit",$P92-$H92,0)))</f>
        <v/>
      </c>
      <c r="R92" s="349">
        <f>IF($A92="","",IF($U92="Subscription","",IF($U92="Draw",$H92,0)))</f>
        <v/>
      </c>
      <c r="S92" s="349">
        <f>IF($A92="","",IF($U92="Subscription","",IF($U92="Disqualified",$H92,0)))</f>
        <v/>
      </c>
      <c r="T92" s="380">
        <f>IF($A92="","",IF($U92="Subscription","",IF($H92=0,IF($U92="Profit","N/A",0),IF($U92="Profit",$Q92/$H92,IF($U92="Disqualified",-1,0)))))</f>
        <v/>
      </c>
      <c r="U92" s="351">
        <f>IF($A92="","",IF(OR(LOWER($D92&amp;"")="n/a",ISNUMBER(SEARCH("subscription",LOWER($A92&amp;" "&amp;$M92&amp;""))),ISNUMBER(SEARCH("membership",LOWER($A92&amp;" "&amp;$M92&amp;"")))),"Subscription",IF(LOWER($L92&amp;"")="yes","Disqualified",IF($P92&gt;$H92,"Profit","Draw"))))</f>
        <v/>
      </c>
      <c r="V92" s="383">
        <f>IF(OR($A92="",$B92="",$C92="",$U92="Subscription"),"",IFERROR(ROUNDUP((IF(ISNUMBER($C92),$C92,DATEVALUE($C92))-IF(ISNUMBER($B92),$B92,DATEVALUE($B92)))/7,0),""))</f>
        <v/>
      </c>
      <c r="W92" s="351">
        <f>IF($U92="Subscription","",$Q92-$S92)</f>
        <v/>
      </c>
      <c r="X92" s="384">
        <f>IF(OR($A92="",$U92="Subscription",$J92="",$I92="",$J92=0,$I92=0,$I92&gt;$J92),"",$J92-$I92)</f>
        <v/>
      </c>
      <c r="Y92" s="381">
        <f>IF(OR($A92="",$U92="Subscription",$J92="",$J92=0,$X92=""),"",$X92/$J92)</f>
        <v/>
      </c>
    </row>
    <row r="93" ht="21" customHeight="1" s="270">
      <c r="A93" s="297" t="n"/>
      <c r="B93" s="298" t="n"/>
      <c r="C93" s="298" t="n"/>
      <c r="D93" s="297" t="n"/>
      <c r="E93" s="349" t="n"/>
      <c r="F93" s="349" t="n"/>
      <c r="G93" s="349" t="n"/>
      <c r="H93" s="349" t="n"/>
      <c r="I93" s="382" t="n"/>
      <c r="J93" s="383" t="n"/>
      <c r="K93" s="351" t="n"/>
      <c r="L93" s="296" t="n"/>
      <c r="M93" s="349" t="n"/>
      <c r="N93" s="349">
        <f>IF($A93="","",IF(OR(LOWER($D93&amp;"")="n/a",ISNUMBER(SEARCH("subscription",LOWER($A93&amp;" "&amp;$M93&amp;""))),ISNUMBER(SEARCH("membership",LOWER($A93&amp;" "&amp;$M93&amp;"")))),"",IF($G93="","",IF(ISNUMBER(SEARCH("non",LOWER($E93&amp;""))),$G93*0.85,$G93))))</f>
        <v/>
      </c>
      <c r="O93" s="349">
        <f>IF($A93="","",IF(OR(LOWER($D93&amp;"")="n/a",ISNUMBER(SEARCH("subscription",LOWER($A93&amp;" "&amp;$M93&amp;""))),ISNUMBER(SEARCH("membership",LOWER($A93&amp;" "&amp;$M93&amp;"")))),"",IF(OR($N93="",$I93="",$I93=0),"",$N93/$I93)))</f>
        <v/>
      </c>
      <c r="P93" s="349">
        <f>IF($A93="","",IF(OR(LOWER($D93&amp;"")="n/a",ISNUMBER(SEARCH("subscription",LOWER($A93&amp;" "&amp;$M93&amp;""))),ISNUMBER(SEARCH("membership",LOWER($A93&amp;" "&amp;$M93&amp;"")))),"",IF(LOWER($L93&amp;"")="yes",0,IF($K93&lt;&gt;"",$K93,IF($O93&lt;&gt;"",$O93,"")))))</f>
        <v/>
      </c>
      <c r="Q93" s="351">
        <f>IF($A93="","",IF($U93="Subscription","",IF($U93="Profit",$P93-$H93,0)))</f>
        <v/>
      </c>
      <c r="R93" s="349">
        <f>IF($A93="","",IF($U93="Subscription","",IF($U93="Draw",$H93,0)))</f>
        <v/>
      </c>
      <c r="S93" s="349">
        <f>IF($A93="","",IF($U93="Subscription","",IF($U93="Disqualified",$H93,0)))</f>
        <v/>
      </c>
      <c r="T93" s="380">
        <f>IF($A93="","",IF($U93="Subscription","",IF($H93=0,IF($U93="Profit","N/A",0),IF($U93="Profit",$Q93/$H93,IF($U93="Disqualified",-1,0)))))</f>
        <v/>
      </c>
      <c r="U93" s="351">
        <f>IF($A93="","",IF(OR(LOWER($D93&amp;"")="n/a",ISNUMBER(SEARCH("subscription",LOWER($A93&amp;" "&amp;$M93&amp;""))),ISNUMBER(SEARCH("membership",LOWER($A93&amp;" "&amp;$M93&amp;"")))),"Subscription",IF(LOWER($L93&amp;"")="yes","Disqualified",IF($P93&gt;$H93,"Profit","Draw"))))</f>
        <v/>
      </c>
      <c r="V93" s="383">
        <f>IF(OR($A93="",$B93="",$C93="",$U93="Subscription"),"",IFERROR(ROUNDUP((IF(ISNUMBER($C93),$C93,DATEVALUE($C93))-IF(ISNUMBER($B93),$B93,DATEVALUE($B93)))/7,0),""))</f>
        <v/>
      </c>
      <c r="W93" s="351">
        <f>IF($U93="Subscription","",$Q93-$S93)</f>
        <v/>
      </c>
      <c r="X93" s="384">
        <f>IF(OR($A93="",$U93="Subscription",$J93="",$I93="",$J93=0,$I93=0,$I93&gt;$J93),"",$J93-$I93)</f>
        <v/>
      </c>
      <c r="Y93" s="381">
        <f>IF(OR($A93="",$U93="Subscription",$J93="",$J93=0,$X93=""),"",$X93/$J93)</f>
        <v/>
      </c>
    </row>
    <row r="94" ht="21" customHeight="1" s="270">
      <c r="A94" s="297" t="n"/>
      <c r="B94" s="298" t="n"/>
      <c r="C94" s="298" t="n"/>
      <c r="D94" s="297" t="n"/>
      <c r="E94" s="349" t="n"/>
      <c r="F94" s="349" t="n"/>
      <c r="G94" s="349" t="n"/>
      <c r="H94" s="349" t="n"/>
      <c r="I94" s="382" t="n"/>
      <c r="J94" s="383" t="n"/>
      <c r="K94" s="351" t="n"/>
      <c r="L94" s="296" t="n"/>
      <c r="M94" s="349" t="n"/>
      <c r="N94" s="349">
        <f>IF($A94="","",IF(OR(LOWER($D94&amp;"")="n/a",ISNUMBER(SEARCH("subscription",LOWER($A94&amp;" "&amp;$M94&amp;""))),ISNUMBER(SEARCH("membership",LOWER($A94&amp;" "&amp;$M94&amp;"")))),"",IF($G94="","",IF(ISNUMBER(SEARCH("non",LOWER($E94&amp;""))),$G94*0.85,$G94))))</f>
        <v/>
      </c>
      <c r="O94" s="349">
        <f>IF($A94="","",IF(OR(LOWER($D94&amp;"")="n/a",ISNUMBER(SEARCH("subscription",LOWER($A94&amp;" "&amp;$M94&amp;""))),ISNUMBER(SEARCH("membership",LOWER($A94&amp;" "&amp;$M94&amp;"")))),"",IF(OR($N94="",$I94="",$I94=0),"",$N94/$I94)))</f>
        <v/>
      </c>
      <c r="P94" s="349">
        <f>IF($A94="","",IF(OR(LOWER($D94&amp;"")="n/a",ISNUMBER(SEARCH("subscription",LOWER($A94&amp;" "&amp;$M94&amp;""))),ISNUMBER(SEARCH("membership",LOWER($A94&amp;" "&amp;$M94&amp;"")))),"",IF(LOWER($L94&amp;"")="yes",0,IF($K94&lt;&gt;"",$K94,IF($O94&lt;&gt;"",$O94,"")))))</f>
        <v/>
      </c>
      <c r="Q94" s="351">
        <f>IF($A94="","",IF($U94="Subscription","",IF($U94="Profit",$P94-$H94,0)))</f>
        <v/>
      </c>
      <c r="R94" s="349">
        <f>IF($A94="","",IF($U94="Subscription","",IF($U94="Draw",$H94,0)))</f>
        <v/>
      </c>
      <c r="S94" s="349">
        <f>IF($A94="","",IF($U94="Subscription","",IF($U94="Disqualified",$H94,0)))</f>
        <v/>
      </c>
      <c r="T94" s="380">
        <f>IF($A94="","",IF($U94="Subscription","",IF($H94=0,IF($U94="Profit","N/A",0),IF($U94="Profit",$Q94/$H94,IF($U94="Disqualified",-1,0)))))</f>
        <v/>
      </c>
      <c r="U94" s="351">
        <f>IF($A94="","",IF(OR(LOWER($D94&amp;"")="n/a",ISNUMBER(SEARCH("subscription",LOWER($A94&amp;" "&amp;$M94&amp;""))),ISNUMBER(SEARCH("membership",LOWER($A94&amp;" "&amp;$M94&amp;"")))),"Subscription",IF(LOWER($L94&amp;"")="yes","Disqualified",IF($P94&gt;$H94,"Profit","Draw"))))</f>
        <v/>
      </c>
      <c r="V94" s="383">
        <f>IF(OR($A94="",$B94="",$C94="",$U94="Subscription"),"",IFERROR(ROUNDUP((IF(ISNUMBER($C94),$C94,DATEVALUE($C94))-IF(ISNUMBER($B94),$B94,DATEVALUE($B94)))/7,0),""))</f>
        <v/>
      </c>
      <c r="W94" s="351">
        <f>IF($U94="Subscription","",$Q94-$S94)</f>
        <v/>
      </c>
      <c r="X94" s="384">
        <f>IF(OR($A94="",$U94="Subscription",$J94="",$I94="",$J94=0,$I94=0,$I94&gt;$J94),"",$J94-$I94)</f>
        <v/>
      </c>
      <c r="Y94" s="381">
        <f>IF(OR($A94="",$U94="Subscription",$J94="",$J94=0,$X94=""),"",$X94/$J94)</f>
        <v/>
      </c>
    </row>
    <row r="95" ht="21" customHeight="1" s="270">
      <c r="A95" s="297" t="n"/>
      <c r="B95" s="298" t="n"/>
      <c r="C95" s="298" t="n"/>
      <c r="D95" s="297" t="n"/>
      <c r="E95" s="349" t="n"/>
      <c r="F95" s="349" t="n"/>
      <c r="G95" s="349" t="n"/>
      <c r="H95" s="349" t="n"/>
      <c r="I95" s="382" t="n"/>
      <c r="J95" s="383" t="n"/>
      <c r="K95" s="351" t="n"/>
      <c r="L95" s="296" t="n"/>
      <c r="M95" s="349" t="n"/>
      <c r="N95" s="349">
        <f>IF($A95="","",IF(OR(LOWER($D95&amp;"")="n/a",ISNUMBER(SEARCH("subscription",LOWER($A95&amp;" "&amp;$M95&amp;""))),ISNUMBER(SEARCH("membership",LOWER($A95&amp;" "&amp;$M95&amp;"")))),"",IF($G95="","",IF(ISNUMBER(SEARCH("non",LOWER($E95&amp;""))),$G95*0.85,$G95))))</f>
        <v/>
      </c>
      <c r="O95" s="349">
        <f>IF($A95="","",IF(OR(LOWER($D95&amp;"")="n/a",ISNUMBER(SEARCH("subscription",LOWER($A95&amp;" "&amp;$M95&amp;""))),ISNUMBER(SEARCH("membership",LOWER($A95&amp;" "&amp;$M95&amp;"")))),"",IF(OR($N95="",$I95="",$I95=0),"",$N95/$I95)))</f>
        <v/>
      </c>
      <c r="P95" s="349">
        <f>IF($A95="","",IF(OR(LOWER($D95&amp;"")="n/a",ISNUMBER(SEARCH("subscription",LOWER($A95&amp;" "&amp;$M95&amp;""))),ISNUMBER(SEARCH("membership",LOWER($A95&amp;" "&amp;$M95&amp;"")))),"",IF(LOWER($L95&amp;"")="yes",0,IF($K95&lt;&gt;"",$K95,IF($O95&lt;&gt;"",$O95,"")))))</f>
        <v/>
      </c>
      <c r="Q95" s="351">
        <f>IF($A95="","",IF($U95="Subscription","",IF($U95="Profit",$P95-$H95,0)))</f>
        <v/>
      </c>
      <c r="R95" s="349">
        <f>IF($A95="","",IF($U95="Subscription","",IF($U95="Draw",$H95,0)))</f>
        <v/>
      </c>
      <c r="S95" s="349">
        <f>IF($A95="","",IF($U95="Subscription","",IF($U95="Disqualified",$H95,0)))</f>
        <v/>
      </c>
      <c r="T95" s="380">
        <f>IF($A95="","",IF($U95="Subscription","",IF($H95=0,IF($U95="Profit","N/A",0),IF($U95="Profit",$Q95/$H95,IF($U95="Disqualified",-1,0)))))</f>
        <v/>
      </c>
      <c r="U95" s="351">
        <f>IF($A95="","",IF(OR(LOWER($D95&amp;"")="n/a",ISNUMBER(SEARCH("subscription",LOWER($A95&amp;" "&amp;$M95&amp;""))),ISNUMBER(SEARCH("membership",LOWER($A95&amp;" "&amp;$M95&amp;"")))),"Subscription",IF(LOWER($L95&amp;"")="yes","Disqualified",IF($P95&gt;$H95,"Profit","Draw"))))</f>
        <v/>
      </c>
      <c r="V95" s="383">
        <f>IF(OR($A95="",$B95="",$C95="",$U95="Subscription"),"",IFERROR(ROUNDUP((IF(ISNUMBER($C95),$C95,DATEVALUE($C95))-IF(ISNUMBER($B95),$B95,DATEVALUE($B95)))/7,0),""))</f>
        <v/>
      </c>
      <c r="W95" s="351">
        <f>IF($U95="Subscription","",$Q95-$S95)</f>
        <v/>
      </c>
      <c r="X95" s="384">
        <f>IF(OR($A95="",$U95="Subscription",$J95="",$I95="",$J95=0,$I95=0,$I95&gt;$J95),"",$J95-$I95)</f>
        <v/>
      </c>
      <c r="Y95" s="381">
        <f>IF(OR($A95="",$U95="Subscription",$J95="",$J95=0,$X95=""),"",$X95/$J95)</f>
        <v/>
      </c>
    </row>
    <row r="96" ht="21" customHeight="1" s="270">
      <c r="A96" s="297" t="n"/>
      <c r="B96" s="298" t="n"/>
      <c r="C96" s="298" t="n"/>
      <c r="D96" s="297" t="n"/>
      <c r="E96" s="349" t="n"/>
      <c r="F96" s="349" t="n"/>
      <c r="G96" s="349" t="n"/>
      <c r="H96" s="349" t="n"/>
      <c r="I96" s="382" t="n"/>
      <c r="J96" s="383" t="n"/>
      <c r="K96" s="351" t="n"/>
      <c r="L96" s="296" t="n"/>
      <c r="M96" s="349" t="n"/>
      <c r="N96" s="349">
        <f>IF($A96="","",IF(OR(LOWER($D96&amp;"")="n/a",ISNUMBER(SEARCH("subscription",LOWER($A96&amp;" "&amp;$M96&amp;""))),ISNUMBER(SEARCH("membership",LOWER($A96&amp;" "&amp;$M96&amp;"")))),"",IF($G96="","",IF(ISNUMBER(SEARCH("non",LOWER($E96&amp;""))),$G96*0.85,$G96))))</f>
        <v/>
      </c>
      <c r="O96" s="349">
        <f>IF($A96="","",IF(OR(LOWER($D96&amp;"")="n/a",ISNUMBER(SEARCH("subscription",LOWER($A96&amp;" "&amp;$M96&amp;""))),ISNUMBER(SEARCH("membership",LOWER($A96&amp;" "&amp;$M96&amp;"")))),"",IF(OR($N96="",$I96="",$I96=0),"",$N96/$I96)))</f>
        <v/>
      </c>
      <c r="P96" s="349">
        <f>IF($A96="","",IF(OR(LOWER($D96&amp;"")="n/a",ISNUMBER(SEARCH("subscription",LOWER($A96&amp;" "&amp;$M96&amp;""))),ISNUMBER(SEARCH("membership",LOWER($A96&amp;" "&amp;$M96&amp;"")))),"",IF(LOWER($L96&amp;"")="yes",0,IF($K96&lt;&gt;"",$K96,IF($O96&lt;&gt;"",$O96,"")))))</f>
        <v/>
      </c>
      <c r="Q96" s="351">
        <f>IF($A96="","",IF($U96="Subscription","",IF($U96="Profit",$P96-$H96,0)))</f>
        <v/>
      </c>
      <c r="R96" s="349">
        <f>IF($A96="","",IF($U96="Subscription","",IF($U96="Draw",$H96,0)))</f>
        <v/>
      </c>
      <c r="S96" s="349">
        <f>IF($A96="","",IF($U96="Subscription","",IF($U96="Disqualified",$H96,0)))</f>
        <v/>
      </c>
      <c r="T96" s="380">
        <f>IF($A96="","",IF($U96="Subscription","",IF($H96=0,IF($U96="Profit","N/A",0),IF($U96="Profit",$Q96/$H96,IF($U96="Disqualified",-1,0)))))</f>
        <v/>
      </c>
      <c r="U96" s="351">
        <f>IF($A96="","",IF(OR(LOWER($D96&amp;"")="n/a",ISNUMBER(SEARCH("subscription",LOWER($A96&amp;" "&amp;$M96&amp;""))),ISNUMBER(SEARCH("membership",LOWER($A96&amp;" "&amp;$M96&amp;"")))),"Subscription",IF(LOWER($L96&amp;"")="yes","Disqualified",IF($P96&gt;$H96,"Profit","Draw"))))</f>
        <v/>
      </c>
      <c r="V96" s="383">
        <f>IF(OR($A96="",$B96="",$C96="",$U96="Subscription"),"",IFERROR(ROUNDUP((IF(ISNUMBER($C96),$C96,DATEVALUE($C96))-IF(ISNUMBER($B96),$B96,DATEVALUE($B96)))/7,0),""))</f>
        <v/>
      </c>
      <c r="W96" s="351">
        <f>IF($U96="Subscription","",$Q96-$S96)</f>
        <v/>
      </c>
      <c r="X96" s="384">
        <f>IF(OR($A96="",$U96="Subscription",$J96="",$I96="",$J96=0,$I96=0,$I96&gt;$J96),"",$J96-$I96)</f>
        <v/>
      </c>
      <c r="Y96" s="381">
        <f>IF(OR($A96="",$U96="Subscription",$J96="",$J96=0,$X96=""),"",$X96/$J96)</f>
        <v/>
      </c>
    </row>
    <row r="97" ht="21" customHeight="1" s="270">
      <c r="A97" s="297" t="n"/>
      <c r="B97" s="298" t="n"/>
      <c r="C97" s="298" t="n"/>
      <c r="D97" s="297" t="n"/>
      <c r="E97" s="349" t="n"/>
      <c r="F97" s="349" t="n"/>
      <c r="G97" s="349" t="n"/>
      <c r="H97" s="349" t="n"/>
      <c r="I97" s="382" t="n"/>
      <c r="J97" s="383" t="n"/>
      <c r="K97" s="351" t="n"/>
      <c r="L97" s="296" t="n"/>
      <c r="M97" s="349" t="n"/>
      <c r="N97" s="349">
        <f>IF($A97="","",IF(OR(LOWER($D97&amp;"")="n/a",ISNUMBER(SEARCH("subscription",LOWER($A97&amp;" "&amp;$M97&amp;""))),ISNUMBER(SEARCH("membership",LOWER($A97&amp;" "&amp;$M97&amp;"")))),"",IF($G97="","",IF(ISNUMBER(SEARCH("non",LOWER($E97&amp;""))),$G97*0.85,$G97))))</f>
        <v/>
      </c>
      <c r="O97" s="349">
        <f>IF($A97="","",IF(OR(LOWER($D97&amp;"")="n/a",ISNUMBER(SEARCH("subscription",LOWER($A97&amp;" "&amp;$M97&amp;""))),ISNUMBER(SEARCH("membership",LOWER($A97&amp;" "&amp;$M97&amp;"")))),"",IF(OR($N97="",$I97="",$I97=0),"",$N97/$I97)))</f>
        <v/>
      </c>
      <c r="P97" s="349">
        <f>IF($A97="","",IF(OR(LOWER($D97&amp;"")="n/a",ISNUMBER(SEARCH("subscription",LOWER($A97&amp;" "&amp;$M97&amp;""))),ISNUMBER(SEARCH("membership",LOWER($A97&amp;" "&amp;$M97&amp;"")))),"",IF(LOWER($L97&amp;"")="yes",0,IF($K97&lt;&gt;"",$K97,IF($O97&lt;&gt;"",$O97,"")))))</f>
        <v/>
      </c>
      <c r="Q97" s="351">
        <f>IF($A97="","",IF($U97="Subscription","",IF($U97="Profit",$P97-$H97,0)))</f>
        <v/>
      </c>
      <c r="R97" s="349">
        <f>IF($A97="","",IF($U97="Subscription","",IF($U97="Draw",$H97,0)))</f>
        <v/>
      </c>
      <c r="S97" s="349">
        <f>IF($A97="","",IF($U97="Subscription","",IF($U97="Disqualified",$H97,0)))</f>
        <v/>
      </c>
      <c r="T97" s="380">
        <f>IF($A97="","",IF($U97="Subscription","",IF($H97=0,IF($U97="Profit","N/A",0),IF($U97="Profit",$Q97/$H97,IF($U97="Disqualified",-1,0)))))</f>
        <v/>
      </c>
      <c r="U97" s="351">
        <f>IF($A97="","",IF(OR(LOWER($D97&amp;"")="n/a",ISNUMBER(SEARCH("subscription",LOWER($A97&amp;" "&amp;$M97&amp;""))),ISNUMBER(SEARCH("membership",LOWER($A97&amp;" "&amp;$M97&amp;"")))),"Subscription",IF(LOWER($L97&amp;"")="yes","Disqualified",IF($P97&gt;$H97,"Profit","Draw"))))</f>
        <v/>
      </c>
      <c r="V97" s="383">
        <f>IF(OR($A97="",$B97="",$C97="",$U97="Subscription"),"",IFERROR(ROUNDUP((IF(ISNUMBER($C97),$C97,DATEVALUE($C97))-IF(ISNUMBER($B97),$B97,DATEVALUE($B97)))/7,0),""))</f>
        <v/>
      </c>
      <c r="W97" s="351">
        <f>IF($U97="Subscription","",$Q97-$S97)</f>
        <v/>
      </c>
      <c r="X97" s="384">
        <f>IF(OR($A97="",$U97="Subscription",$J97="",$I97="",$J97=0,$I97=0,$I97&gt;$J97),"",$J97-$I97)</f>
        <v/>
      </c>
      <c r="Y97" s="381">
        <f>IF(OR($A97="",$U97="Subscription",$J97="",$J97=0,$X97=""),"",$X97/$J97)</f>
        <v/>
      </c>
    </row>
    <row r="98" ht="21" customHeight="1" s="270">
      <c r="A98" s="297" t="n"/>
      <c r="B98" s="298" t="n"/>
      <c r="C98" s="298" t="n"/>
      <c r="D98" s="297" t="n"/>
      <c r="E98" s="349" t="n"/>
      <c r="F98" s="349" t="n"/>
      <c r="G98" s="349" t="n"/>
      <c r="H98" s="349" t="n"/>
      <c r="I98" s="382" t="n"/>
      <c r="J98" s="383" t="n"/>
      <c r="K98" s="351" t="n"/>
      <c r="L98" s="296" t="n"/>
      <c r="M98" s="349" t="n"/>
      <c r="N98" s="349">
        <f>IF($A98="","",IF(OR(LOWER($D98&amp;"")="n/a",ISNUMBER(SEARCH("subscription",LOWER($A98&amp;" "&amp;$M98&amp;""))),ISNUMBER(SEARCH("membership",LOWER($A98&amp;" "&amp;$M98&amp;"")))),"",IF($G98="","",IF(ISNUMBER(SEARCH("non",LOWER($E98&amp;""))),$G98*0.85,$G98))))</f>
        <v/>
      </c>
      <c r="O98" s="349">
        <f>IF($A98="","",IF(OR(LOWER($D98&amp;"")="n/a",ISNUMBER(SEARCH("subscription",LOWER($A98&amp;" "&amp;$M98&amp;""))),ISNUMBER(SEARCH("membership",LOWER($A98&amp;" "&amp;$M98&amp;"")))),"",IF(OR($N98="",$I98="",$I98=0),"",$N98/$I98)))</f>
        <v/>
      </c>
      <c r="P98" s="349">
        <f>IF($A98="","",IF(OR(LOWER($D98&amp;"")="n/a",ISNUMBER(SEARCH("subscription",LOWER($A98&amp;" "&amp;$M98&amp;""))),ISNUMBER(SEARCH("membership",LOWER($A98&amp;" "&amp;$M98&amp;"")))),"",IF(LOWER($L98&amp;"")="yes",0,IF($K98&lt;&gt;"",$K98,IF($O98&lt;&gt;"",$O98,"")))))</f>
        <v/>
      </c>
      <c r="Q98" s="351">
        <f>IF($A98="","",IF($U98="Subscription","",IF($U98="Profit",$P98-$H98,0)))</f>
        <v/>
      </c>
      <c r="R98" s="349">
        <f>IF($A98="","",IF($U98="Subscription","",IF($U98="Draw",$H98,0)))</f>
        <v/>
      </c>
      <c r="S98" s="349">
        <f>IF($A98="","",IF($U98="Subscription","",IF($U98="Disqualified",$H98,0)))</f>
        <v/>
      </c>
      <c r="T98" s="380">
        <f>IF($A98="","",IF($U98="Subscription","",IF($H98=0,IF($U98="Profit","N/A",0),IF($U98="Profit",$Q98/$H98,IF($U98="Disqualified",-1,0)))))</f>
        <v/>
      </c>
      <c r="U98" s="351">
        <f>IF($A98="","",IF(OR(LOWER($D98&amp;"")="n/a",ISNUMBER(SEARCH("subscription",LOWER($A98&amp;" "&amp;$M98&amp;""))),ISNUMBER(SEARCH("membership",LOWER($A98&amp;" "&amp;$M98&amp;"")))),"Subscription",IF(LOWER($L98&amp;"")="yes","Disqualified",IF($P98&gt;$H98,"Profit","Draw"))))</f>
        <v/>
      </c>
      <c r="V98" s="383">
        <f>IF(OR($A98="",$B98="",$C98="",$U98="Subscription"),"",IFERROR(ROUNDUP((IF(ISNUMBER($C98),$C98,DATEVALUE($C98))-IF(ISNUMBER($B98),$B98,DATEVALUE($B98)))/7,0),""))</f>
        <v/>
      </c>
      <c r="W98" s="351">
        <f>IF($U98="Subscription","",$Q98-$S98)</f>
        <v/>
      </c>
      <c r="X98" s="384">
        <f>IF(OR($A98="",$U98="Subscription",$J98="",$I98="",$J98=0,$I98=0,$I98&gt;$J98),"",$J98-$I98)</f>
        <v/>
      </c>
      <c r="Y98" s="381">
        <f>IF(OR($A98="",$U98="Subscription",$J98="",$J98=0,$X98=""),"",$X98/$J98)</f>
        <v/>
      </c>
    </row>
    <row r="99" ht="21" customHeight="1" s="270">
      <c r="A99" s="297" t="n"/>
      <c r="B99" s="298" t="n"/>
      <c r="C99" s="298" t="n"/>
      <c r="D99" s="297" t="n"/>
      <c r="E99" s="349" t="n"/>
      <c r="F99" s="349" t="n"/>
      <c r="G99" s="349" t="n"/>
      <c r="H99" s="349" t="n"/>
      <c r="I99" s="382" t="n"/>
      <c r="J99" s="383" t="n"/>
      <c r="K99" s="351" t="n"/>
      <c r="L99" s="296" t="n"/>
      <c r="M99" s="349" t="n"/>
      <c r="N99" s="349">
        <f>IF($A99="","",IF(OR(LOWER($D99&amp;"")="n/a",ISNUMBER(SEARCH("subscription",LOWER($A99&amp;" "&amp;$M99&amp;""))),ISNUMBER(SEARCH("membership",LOWER($A99&amp;" "&amp;$M99&amp;"")))),"",IF($G99="","",IF(ISNUMBER(SEARCH("non",LOWER($E99&amp;""))),$G99*0.85,$G99))))</f>
        <v/>
      </c>
      <c r="O99" s="349">
        <f>IF($A99="","",IF(OR(LOWER($D99&amp;"")="n/a",ISNUMBER(SEARCH("subscription",LOWER($A99&amp;" "&amp;$M99&amp;""))),ISNUMBER(SEARCH("membership",LOWER($A99&amp;" "&amp;$M99&amp;"")))),"",IF(OR($N99="",$I99="",$I99=0),"",$N99/$I99)))</f>
        <v/>
      </c>
      <c r="P99" s="349">
        <f>IF($A99="","",IF(OR(LOWER($D99&amp;"")="n/a",ISNUMBER(SEARCH("subscription",LOWER($A99&amp;" "&amp;$M99&amp;""))),ISNUMBER(SEARCH("membership",LOWER($A99&amp;" "&amp;$M99&amp;"")))),"",IF(LOWER($L99&amp;"")="yes",0,IF($K99&lt;&gt;"",$K99,IF($O99&lt;&gt;"",$O99,"")))))</f>
        <v/>
      </c>
      <c r="Q99" s="351">
        <f>IF($A99="","",IF($U99="Subscription","",IF($U99="Profit",$P99-$H99,0)))</f>
        <v/>
      </c>
      <c r="R99" s="349">
        <f>IF($A99="","",IF($U99="Subscription","",IF($U99="Draw",$H99,0)))</f>
        <v/>
      </c>
      <c r="S99" s="349">
        <f>IF($A99="","",IF($U99="Subscription","",IF($U99="Disqualified",$H99,0)))</f>
        <v/>
      </c>
      <c r="T99" s="380">
        <f>IF($A99="","",IF($U99="Subscription","",IF($H99=0,IF($U99="Profit","N/A",0),IF($U99="Profit",$Q99/$H99,IF($U99="Disqualified",-1,0)))))</f>
        <v/>
      </c>
      <c r="U99" s="351">
        <f>IF($A99="","",IF(OR(LOWER($D99&amp;"")="n/a",ISNUMBER(SEARCH("subscription",LOWER($A99&amp;" "&amp;$M99&amp;""))),ISNUMBER(SEARCH("membership",LOWER($A99&amp;" "&amp;$M99&amp;"")))),"Subscription",IF(LOWER($L99&amp;"")="yes","Disqualified",IF($P99&gt;$H99,"Profit","Draw"))))</f>
        <v/>
      </c>
      <c r="V99" s="383">
        <f>IF(OR($A99="",$B99="",$C99="",$U99="Subscription"),"",IFERROR(ROUNDUP((IF(ISNUMBER($C99),$C99,DATEVALUE($C99))-IF(ISNUMBER($B99),$B99,DATEVALUE($B99)))/7,0),""))</f>
        <v/>
      </c>
      <c r="W99" s="351">
        <f>IF($U99="Subscription","",$Q99-$S99)</f>
        <v/>
      </c>
      <c r="X99" s="384">
        <f>IF(OR($A99="",$U99="Subscription",$J99="",$I99="",$J99=0,$I99=0,$I99&gt;$J99),"",$J99-$I99)</f>
        <v/>
      </c>
      <c r="Y99" s="381">
        <f>IF(OR($A99="",$U99="Subscription",$J99="",$J99=0,$X99=""),"",$X99/$J99)</f>
        <v/>
      </c>
    </row>
    <row r="100" ht="21" customHeight="1" s="270">
      <c r="A100" s="297" t="n"/>
      <c r="B100" s="298" t="n"/>
      <c r="C100" s="298" t="n"/>
      <c r="D100" s="297" t="n"/>
      <c r="E100" s="349" t="n"/>
      <c r="F100" s="349" t="n"/>
      <c r="G100" s="349" t="n"/>
      <c r="H100" s="349" t="n"/>
      <c r="I100" s="382" t="n"/>
      <c r="J100" s="383" t="n"/>
      <c r="K100" s="351" t="n"/>
      <c r="L100" s="296" t="n"/>
      <c r="M100" s="349" t="n"/>
      <c r="N100" s="349">
        <f>IF($A100="","",IF(OR(LOWER($D100&amp;"")="n/a",ISNUMBER(SEARCH("subscription",LOWER($A100&amp;" "&amp;$M100&amp;""))),ISNUMBER(SEARCH("membership",LOWER($A100&amp;" "&amp;$M100&amp;"")))),"",IF($G100="","",IF(ISNUMBER(SEARCH("non",LOWER($E100&amp;""))),$G100*0.85,$G100))))</f>
        <v/>
      </c>
      <c r="O100" s="349">
        <f>IF($A100="","",IF(OR(LOWER($D100&amp;"")="n/a",ISNUMBER(SEARCH("subscription",LOWER($A100&amp;" "&amp;$M100&amp;""))),ISNUMBER(SEARCH("membership",LOWER($A100&amp;" "&amp;$M100&amp;"")))),"",IF(OR($N100="",$I100="",$I100=0),"",$N100/$I100)))</f>
        <v/>
      </c>
      <c r="P100" s="349">
        <f>IF($A100="","",IF(OR(LOWER($D100&amp;"")="n/a",ISNUMBER(SEARCH("subscription",LOWER($A100&amp;" "&amp;$M100&amp;""))),ISNUMBER(SEARCH("membership",LOWER($A100&amp;" "&amp;$M100&amp;"")))),"",IF(LOWER($L100&amp;"")="yes",0,IF($K100&lt;&gt;"",$K100,IF($O100&lt;&gt;"",$O100,"")))))</f>
        <v/>
      </c>
      <c r="Q100" s="351">
        <f>IF($A100="","",IF($U100="Subscription","",IF($U100="Profit",$P100-$H100,0)))</f>
        <v/>
      </c>
      <c r="R100" s="349">
        <f>IF($A100="","",IF($U100="Subscription","",IF($U100="Draw",$H100,0)))</f>
        <v/>
      </c>
      <c r="S100" s="349">
        <f>IF($A100="","",IF($U100="Subscription","",IF($U100="Disqualified",$H100,0)))</f>
        <v/>
      </c>
      <c r="T100" s="380">
        <f>IF($A100="","",IF($U100="Subscription","",IF($H100=0,IF($U100="Profit","N/A",0),IF($U100="Profit",$Q100/$H100,IF($U100="Disqualified",-1,0)))))</f>
        <v/>
      </c>
      <c r="U100" s="351">
        <f>IF($A100="","",IF(OR(LOWER($D100&amp;"")="n/a",ISNUMBER(SEARCH("subscription",LOWER($A100&amp;" "&amp;$M100&amp;""))),ISNUMBER(SEARCH("membership",LOWER($A100&amp;" "&amp;$M100&amp;"")))),"Subscription",IF(LOWER($L100&amp;"")="yes","Disqualified",IF($P100&gt;$H100,"Profit","Draw"))))</f>
        <v/>
      </c>
      <c r="V100" s="383">
        <f>IF(OR($A100="",$B100="",$C100="",$U100="Subscription"),"",IFERROR(ROUNDUP((IF(ISNUMBER($C100),$C100,DATEVALUE($C100))-IF(ISNUMBER($B100),$B100,DATEVALUE($B100)))/7,0),""))</f>
        <v/>
      </c>
      <c r="W100" s="351">
        <f>IF($U100="Subscription","",$Q100-$S100)</f>
        <v/>
      </c>
      <c r="X100" s="384">
        <f>IF(OR($A100="",$U100="Subscription",$J100="",$I100="",$J100=0,$I100=0,$I100&gt;$J100),"",$J100-$I100)</f>
        <v/>
      </c>
      <c r="Y100" s="381">
        <f>IF(OR($A100="",$U100="Subscription",$J100="",$J100=0,$X100=""),"",$X100/$J100)</f>
        <v/>
      </c>
    </row>
    <row r="101" ht="21" customHeight="1" s="270">
      <c r="A101" s="297" t="n"/>
      <c r="B101" s="298" t="n"/>
      <c r="C101" s="298" t="n"/>
      <c r="D101" s="297" t="n"/>
      <c r="E101" s="349" t="n"/>
      <c r="F101" s="349" t="n"/>
      <c r="G101" s="349" t="n"/>
      <c r="H101" s="349" t="n"/>
      <c r="I101" s="382" t="n"/>
      <c r="J101" s="383" t="n"/>
      <c r="K101" s="351" t="n"/>
      <c r="L101" s="296" t="n"/>
      <c r="M101" s="349" t="n"/>
      <c r="N101" s="349">
        <f>IF($A101="","",IF(OR(LOWER($D101&amp;"")="n/a",ISNUMBER(SEARCH("subscription",LOWER($A101&amp;" "&amp;$M101&amp;""))),ISNUMBER(SEARCH("membership",LOWER($A101&amp;" "&amp;$M101&amp;"")))),"",IF($G101="","",IF(ISNUMBER(SEARCH("non",LOWER($E101&amp;""))),$G101*0.85,$G101))))</f>
        <v/>
      </c>
      <c r="O101" s="349">
        <f>IF($A101="","",IF(OR(LOWER($D101&amp;"")="n/a",ISNUMBER(SEARCH("subscription",LOWER($A101&amp;" "&amp;$M101&amp;""))),ISNUMBER(SEARCH("membership",LOWER($A101&amp;" "&amp;$M101&amp;"")))),"",IF(OR($N101="",$I101="",$I101=0),"",$N101/$I101)))</f>
        <v/>
      </c>
      <c r="P101" s="349">
        <f>IF($A101="","",IF(OR(LOWER($D101&amp;"")="n/a",ISNUMBER(SEARCH("subscription",LOWER($A101&amp;" "&amp;$M101&amp;""))),ISNUMBER(SEARCH("membership",LOWER($A101&amp;" "&amp;$M101&amp;"")))),"",IF(LOWER($L101&amp;"")="yes",0,IF($K101&lt;&gt;"",$K101,IF($O101&lt;&gt;"",$O101,"")))))</f>
        <v/>
      </c>
      <c r="Q101" s="351">
        <f>IF($A101="","",IF($U101="Subscription","",IF($U101="Profit",$P101-$H101,0)))</f>
        <v/>
      </c>
      <c r="R101" s="349">
        <f>IF($A101="","",IF($U101="Subscription","",IF($U101="Draw",$H101,0)))</f>
        <v/>
      </c>
      <c r="S101" s="349">
        <f>IF($A101="","",IF($U101="Subscription","",IF($U101="Disqualified",$H101,0)))</f>
        <v/>
      </c>
      <c r="T101" s="380">
        <f>IF($A101="","",IF($U101="Subscription","",IF($H101=0,IF($U101="Profit","N/A",0),IF($U101="Profit",$Q101/$H101,IF($U101="Disqualified",-1,0)))))</f>
        <v/>
      </c>
      <c r="U101" s="351">
        <f>IF($A101="","",IF(OR(LOWER($D101&amp;"")="n/a",ISNUMBER(SEARCH("subscription",LOWER($A101&amp;" "&amp;$M101&amp;""))),ISNUMBER(SEARCH("membership",LOWER($A101&amp;" "&amp;$M101&amp;"")))),"Subscription",IF(LOWER($L101&amp;"")="yes","Disqualified",IF($P101&gt;$H101,"Profit","Draw"))))</f>
        <v/>
      </c>
      <c r="V101" s="383">
        <f>IF(OR($A101="",$B101="",$C101="",$U101="Subscription"),"",IFERROR(ROUNDUP((IF(ISNUMBER($C101),$C101,DATEVALUE($C101))-IF(ISNUMBER($B101),$B101,DATEVALUE($B101)))/7,0),""))</f>
        <v/>
      </c>
      <c r="W101" s="351">
        <f>IF($U101="Subscription","",$Q101-$S101)</f>
        <v/>
      </c>
      <c r="X101" s="384">
        <f>IF(OR($A101="",$U101="Subscription",$J101="",$I101="",$J101=0,$I101=0,$I101&gt;$J101),"",$J101-$I101)</f>
        <v/>
      </c>
      <c r="Y101" s="381">
        <f>IF(OR($A101="",$U101="Subscription",$J101="",$J101=0,$X101=""),"",$X101/$J101)</f>
        <v/>
      </c>
    </row>
    <row r="102" ht="21" customHeight="1" s="270">
      <c r="A102" s="297" t="n"/>
      <c r="B102" s="298" t="n"/>
      <c r="C102" s="298" t="n"/>
      <c r="D102" s="297" t="n"/>
      <c r="E102" s="349" t="n"/>
      <c r="F102" s="349" t="n"/>
      <c r="G102" s="349" t="n"/>
      <c r="H102" s="349" t="n"/>
      <c r="I102" s="382" t="n"/>
      <c r="J102" s="383" t="n"/>
      <c r="K102" s="351" t="n"/>
      <c r="L102" s="296" t="n"/>
      <c r="M102" s="349" t="n"/>
      <c r="N102" s="349">
        <f>IF($A102="","",IF(OR(LOWER($D102&amp;"")="n/a",ISNUMBER(SEARCH("subscription",LOWER($A102&amp;" "&amp;$M102&amp;""))),ISNUMBER(SEARCH("membership",LOWER($A102&amp;" "&amp;$M102&amp;"")))),"",IF($G102="","",IF(ISNUMBER(SEARCH("non",LOWER($E102&amp;""))),$G102*0.85,$G102))))</f>
        <v/>
      </c>
      <c r="O102" s="349">
        <f>IF($A102="","",IF(OR(LOWER($D102&amp;"")="n/a",ISNUMBER(SEARCH("subscription",LOWER($A102&amp;" "&amp;$M102&amp;""))),ISNUMBER(SEARCH("membership",LOWER($A102&amp;" "&amp;$M102&amp;"")))),"",IF(OR($N102="",$I102="",$I102=0),"",$N102/$I102)))</f>
        <v/>
      </c>
      <c r="P102" s="349">
        <f>IF($A102="","",IF(OR(LOWER($D102&amp;"")="n/a",ISNUMBER(SEARCH("subscription",LOWER($A102&amp;" "&amp;$M102&amp;""))),ISNUMBER(SEARCH("membership",LOWER($A102&amp;" "&amp;$M102&amp;"")))),"",IF(LOWER($L102&amp;"")="yes",0,IF($K102&lt;&gt;"",$K102,IF($O102&lt;&gt;"",$O102,"")))))</f>
        <v/>
      </c>
      <c r="Q102" s="351">
        <f>IF($A102="","",IF($U102="Subscription","",IF($U102="Profit",$P102-$H102,0)))</f>
        <v/>
      </c>
      <c r="R102" s="349">
        <f>IF($A102="","",IF($U102="Subscription","",IF($U102="Draw",$H102,0)))</f>
        <v/>
      </c>
      <c r="S102" s="349">
        <f>IF($A102="","",IF($U102="Subscription","",IF($U102="Disqualified",$H102,0)))</f>
        <v/>
      </c>
      <c r="T102" s="380">
        <f>IF($A102="","",IF($U102="Subscription","",IF($H102=0,IF($U102="Profit","N/A",0),IF($U102="Profit",$Q102/$H102,IF($U102="Disqualified",-1,0)))))</f>
        <v/>
      </c>
      <c r="U102" s="351">
        <f>IF($A102="","",IF(OR(LOWER($D102&amp;"")="n/a",ISNUMBER(SEARCH("subscription",LOWER($A102&amp;" "&amp;$M102&amp;""))),ISNUMBER(SEARCH("membership",LOWER($A102&amp;" "&amp;$M102&amp;"")))),"Subscription",IF(LOWER($L102&amp;"")="yes","Disqualified",IF($P102&gt;$H102,"Profit","Draw"))))</f>
        <v/>
      </c>
      <c r="V102" s="383">
        <f>IF(OR($A102="",$B102="",$C102="",$U102="Subscription"),"",IFERROR(ROUNDUP((IF(ISNUMBER($C102),$C102,DATEVALUE($C102))-IF(ISNUMBER($B102),$B102,DATEVALUE($B102)))/7,0),""))</f>
        <v/>
      </c>
      <c r="W102" s="351">
        <f>IF($U102="Subscription","",$Q102-$S102)</f>
        <v/>
      </c>
      <c r="X102" s="384">
        <f>IF(OR($A102="",$U102="Subscription",$J102="",$I102="",$J102=0,$I102=0,$I102&gt;$J102),"",$J102-$I102)</f>
        <v/>
      </c>
      <c r="Y102" s="381">
        <f>IF(OR($A102="",$U102="Subscription",$J102="",$J102=0,$X102=""),"",$X102/$J102)</f>
        <v/>
      </c>
    </row>
    <row r="103" ht="21" customHeight="1" s="270">
      <c r="A103" s="297" t="n"/>
      <c r="B103" s="298" t="n"/>
      <c r="C103" s="298" t="n"/>
      <c r="D103" s="297" t="n"/>
      <c r="E103" s="349" t="n"/>
      <c r="F103" s="349" t="n"/>
      <c r="G103" s="349" t="n"/>
      <c r="H103" s="349" t="n"/>
      <c r="I103" s="382" t="n"/>
      <c r="J103" s="383" t="n"/>
      <c r="K103" s="351" t="n"/>
      <c r="L103" s="296" t="n"/>
      <c r="M103" s="349" t="n"/>
      <c r="N103" s="349">
        <f>IF($A103="","",IF(OR(LOWER($D103&amp;"")="n/a",ISNUMBER(SEARCH("subscription",LOWER($A103&amp;" "&amp;$M103&amp;""))),ISNUMBER(SEARCH("membership",LOWER($A103&amp;" "&amp;$M103&amp;"")))),"",IF($G103="","",IF(ISNUMBER(SEARCH("non",LOWER($E103&amp;""))),$G103*0.85,$G103))))</f>
        <v/>
      </c>
      <c r="O103" s="349">
        <f>IF($A103="","",IF(OR(LOWER($D103&amp;"")="n/a",ISNUMBER(SEARCH("subscription",LOWER($A103&amp;" "&amp;$M103&amp;""))),ISNUMBER(SEARCH("membership",LOWER($A103&amp;" "&amp;$M103&amp;"")))),"",IF(OR($N103="",$I103="",$I103=0),"",$N103/$I103)))</f>
        <v/>
      </c>
      <c r="P103" s="349">
        <f>IF($A103="","",IF(OR(LOWER($D103&amp;"")="n/a",ISNUMBER(SEARCH("subscription",LOWER($A103&amp;" "&amp;$M103&amp;""))),ISNUMBER(SEARCH("membership",LOWER($A103&amp;" "&amp;$M103&amp;"")))),"",IF(LOWER($L103&amp;"")="yes",0,IF($K103&lt;&gt;"",$K103,IF($O103&lt;&gt;"",$O103,"")))))</f>
        <v/>
      </c>
      <c r="Q103" s="351">
        <f>IF($A103="","",IF($U103="Subscription","",IF($U103="Profit",$P103-$H103,0)))</f>
        <v/>
      </c>
      <c r="R103" s="349">
        <f>IF($A103="","",IF($U103="Subscription","",IF($U103="Draw",$H103,0)))</f>
        <v/>
      </c>
      <c r="S103" s="349">
        <f>IF($A103="","",IF($U103="Subscription","",IF($U103="Disqualified",$H103,0)))</f>
        <v/>
      </c>
      <c r="T103" s="380">
        <f>IF($A103="","",IF($U103="Subscription","",IF($H103=0,IF($U103="Profit","N/A",0),IF($U103="Profit",$Q103/$H103,IF($U103="Disqualified",-1,0)))))</f>
        <v/>
      </c>
      <c r="U103" s="351">
        <f>IF($A103="","",IF(OR(LOWER($D103&amp;"")="n/a",ISNUMBER(SEARCH("subscription",LOWER($A103&amp;" "&amp;$M103&amp;""))),ISNUMBER(SEARCH("membership",LOWER($A103&amp;" "&amp;$M103&amp;"")))),"Subscription",IF(LOWER($L103&amp;"")="yes","Disqualified",IF($P103&gt;$H103,"Profit","Draw"))))</f>
        <v/>
      </c>
      <c r="V103" s="383">
        <f>IF(OR($A103="",$B103="",$C103="",$U103="Subscription"),"",IFERROR(ROUNDUP((IF(ISNUMBER($C103),$C103,DATEVALUE($C103))-IF(ISNUMBER($B103),$B103,DATEVALUE($B103)))/7,0),""))</f>
        <v/>
      </c>
      <c r="W103" s="351">
        <f>IF($U103="Subscription","",$Q103-$S103)</f>
        <v/>
      </c>
      <c r="X103" s="384">
        <f>IF(OR($A103="",$U103="Subscription",$J103="",$I103="",$J103=0,$I103=0,$I103&gt;$J103),"",$J103-$I103)</f>
        <v/>
      </c>
      <c r="Y103" s="381">
        <f>IF(OR($A103="",$U103="Subscription",$J103="",$J103=0,$X103=""),"",$X103/$J103)</f>
        <v/>
      </c>
    </row>
    <row r="104" ht="21" customHeight="1" s="270">
      <c r="A104" s="297" t="n"/>
      <c r="B104" s="298" t="n"/>
      <c r="C104" s="298" t="n"/>
      <c r="D104" s="297" t="n"/>
      <c r="E104" s="349" t="n"/>
      <c r="F104" s="349" t="n"/>
      <c r="G104" s="349" t="n"/>
      <c r="H104" s="349" t="n"/>
      <c r="I104" s="382" t="n"/>
      <c r="J104" s="383" t="n"/>
      <c r="K104" s="351" t="n"/>
      <c r="L104" s="296" t="n"/>
      <c r="M104" s="349" t="n"/>
      <c r="N104" s="349">
        <f>IF($A104="","",IF(OR(LOWER($D104&amp;"")="n/a",ISNUMBER(SEARCH("subscription",LOWER($A104&amp;" "&amp;$M104&amp;""))),ISNUMBER(SEARCH("membership",LOWER($A104&amp;" "&amp;$M104&amp;"")))),"",IF($G104="","",IF(ISNUMBER(SEARCH("non",LOWER($E104&amp;""))),$G104*0.85,$G104))))</f>
        <v/>
      </c>
      <c r="O104" s="349">
        <f>IF($A104="","",IF(OR(LOWER($D104&amp;"")="n/a",ISNUMBER(SEARCH("subscription",LOWER($A104&amp;" "&amp;$M104&amp;""))),ISNUMBER(SEARCH("membership",LOWER($A104&amp;" "&amp;$M104&amp;"")))),"",IF(OR($N104="",$I104="",$I104=0),"",$N104/$I104)))</f>
        <v/>
      </c>
      <c r="P104" s="349">
        <f>IF($A104="","",IF(OR(LOWER($D104&amp;"")="n/a",ISNUMBER(SEARCH("subscription",LOWER($A104&amp;" "&amp;$M104&amp;""))),ISNUMBER(SEARCH("membership",LOWER($A104&amp;" "&amp;$M104&amp;"")))),"",IF(LOWER($L104&amp;"")="yes",0,IF($K104&lt;&gt;"",$K104,IF($O104&lt;&gt;"",$O104,"")))))</f>
        <v/>
      </c>
      <c r="Q104" s="351">
        <f>IF($A104="","",IF($U104="Subscription","",IF($U104="Profit",$P104-$H104,0)))</f>
        <v/>
      </c>
      <c r="R104" s="349">
        <f>IF($A104="","",IF($U104="Subscription","",IF($U104="Draw",$H104,0)))</f>
        <v/>
      </c>
      <c r="S104" s="349">
        <f>IF($A104="","",IF($U104="Subscription","",IF($U104="Disqualified",$H104,0)))</f>
        <v/>
      </c>
      <c r="T104" s="380">
        <f>IF($A104="","",IF($U104="Subscription","",IF($H104=0,IF($U104="Profit","N/A",0),IF($U104="Profit",$Q104/$H104,IF($U104="Disqualified",-1,0)))))</f>
        <v/>
      </c>
      <c r="U104" s="351">
        <f>IF($A104="","",IF(OR(LOWER($D104&amp;"")="n/a",ISNUMBER(SEARCH("subscription",LOWER($A104&amp;" "&amp;$M104&amp;""))),ISNUMBER(SEARCH("membership",LOWER($A104&amp;" "&amp;$M104&amp;"")))),"Subscription",IF(LOWER($L104&amp;"")="yes","Disqualified",IF($P104&gt;$H104,"Profit","Draw"))))</f>
        <v/>
      </c>
      <c r="V104" s="383">
        <f>IF(OR($A104="",$B104="",$C104="",$U104="Subscription"),"",IFERROR(ROUNDUP((IF(ISNUMBER($C104),$C104,DATEVALUE($C104))-IF(ISNUMBER($B104),$B104,DATEVALUE($B104)))/7,0),""))</f>
        <v/>
      </c>
      <c r="W104" s="351">
        <f>IF($U104="Subscription","",$Q104-$S104)</f>
        <v/>
      </c>
      <c r="X104" s="384">
        <f>IF(OR($A104="",$U104="Subscription",$J104="",$I104="",$J104=0,$I104=0,$I104&gt;$J104),"",$J104-$I104)</f>
        <v/>
      </c>
      <c r="Y104" s="381">
        <f>IF(OR($A104="",$U104="Subscription",$J104="",$J104=0,$X104=""),"",$X104/$J104)</f>
        <v/>
      </c>
    </row>
    <row r="105" ht="21" customHeight="1" s="270">
      <c r="A105" s="297" t="n"/>
      <c r="B105" s="298" t="n"/>
      <c r="C105" s="298" t="n"/>
      <c r="D105" s="297" t="n"/>
      <c r="E105" s="349" t="n"/>
      <c r="F105" s="349" t="n"/>
      <c r="G105" s="349" t="n"/>
      <c r="H105" s="349" t="n"/>
      <c r="I105" s="382" t="n"/>
      <c r="J105" s="383" t="n"/>
      <c r="K105" s="351" t="n"/>
      <c r="L105" s="296" t="n"/>
      <c r="M105" s="349" t="n"/>
      <c r="N105" s="349">
        <f>IF($A105="","",IF(OR(LOWER($D105&amp;"")="n/a",ISNUMBER(SEARCH("subscription",LOWER($A105&amp;" "&amp;$M105&amp;""))),ISNUMBER(SEARCH("membership",LOWER($A105&amp;" "&amp;$M105&amp;"")))),"",IF($G105="","",IF(ISNUMBER(SEARCH("non",LOWER($E105&amp;""))),$G105*0.85,$G105))))</f>
        <v/>
      </c>
      <c r="O105" s="349">
        <f>IF($A105="","",IF(OR(LOWER($D105&amp;"")="n/a",ISNUMBER(SEARCH("subscription",LOWER($A105&amp;" "&amp;$M105&amp;""))),ISNUMBER(SEARCH("membership",LOWER($A105&amp;" "&amp;$M105&amp;"")))),"",IF(OR($N105="",$I105="",$I105=0),"",$N105/$I105)))</f>
        <v/>
      </c>
      <c r="P105" s="349">
        <f>IF($A105="","",IF(OR(LOWER($D105&amp;"")="n/a",ISNUMBER(SEARCH("subscription",LOWER($A105&amp;" "&amp;$M105&amp;""))),ISNUMBER(SEARCH("membership",LOWER($A105&amp;" "&amp;$M105&amp;"")))),"",IF(LOWER($L105&amp;"")="yes",0,IF($K105&lt;&gt;"",$K105,IF($O105&lt;&gt;"",$O105,"")))))</f>
        <v/>
      </c>
      <c r="Q105" s="351">
        <f>IF($A105="","",IF($U105="Subscription","",IF($U105="Profit",$P105-$H105,0)))</f>
        <v/>
      </c>
      <c r="R105" s="349">
        <f>IF($A105="","",IF($U105="Subscription","",IF($U105="Draw",$H105,0)))</f>
        <v/>
      </c>
      <c r="S105" s="349">
        <f>IF($A105="","",IF($U105="Subscription","",IF($U105="Disqualified",$H105,0)))</f>
        <v/>
      </c>
      <c r="T105" s="380">
        <f>IF($A105="","",IF($U105="Subscription","",IF($H105=0,IF($U105="Profit","N/A",0),IF($U105="Profit",$Q105/$H105,IF($U105="Disqualified",-1,0)))))</f>
        <v/>
      </c>
      <c r="U105" s="351">
        <f>IF($A105="","",IF(OR(LOWER($D105&amp;"")="n/a",ISNUMBER(SEARCH("subscription",LOWER($A105&amp;" "&amp;$M105&amp;""))),ISNUMBER(SEARCH("membership",LOWER($A105&amp;" "&amp;$M105&amp;"")))),"Subscription",IF(LOWER($L105&amp;"")="yes","Disqualified",IF($P105&gt;$H105,"Profit","Draw"))))</f>
        <v/>
      </c>
      <c r="V105" s="383">
        <f>IF(OR($A105="",$B105="",$C105="",$U105="Subscription"),"",IFERROR(ROUNDUP((IF(ISNUMBER($C105),$C105,DATEVALUE($C105))-IF(ISNUMBER($B105),$B105,DATEVALUE($B105)))/7,0),""))</f>
        <v/>
      </c>
      <c r="W105" s="351">
        <f>IF($U105="Subscription","",$Q105-$S105)</f>
        <v/>
      </c>
      <c r="X105" s="384">
        <f>IF(OR($A105="",$U105="Subscription",$J105="",$I105="",$J105=0,$I105=0,$I105&gt;$J105),"",$J105-$I105)</f>
        <v/>
      </c>
      <c r="Y105" s="381">
        <f>IF(OR($A105="",$U105="Subscription",$J105="",$J105=0,$X105=""),"",$X105/$J105)</f>
        <v/>
      </c>
    </row>
    <row r="106" ht="21" customHeight="1" s="270">
      <c r="A106" s="297" t="n"/>
      <c r="B106" s="298" t="n"/>
      <c r="C106" s="298" t="n"/>
      <c r="D106" s="297" t="n"/>
      <c r="E106" s="349" t="n"/>
      <c r="F106" s="349" t="n"/>
      <c r="G106" s="349" t="n"/>
      <c r="H106" s="349" t="n"/>
      <c r="I106" s="382" t="n"/>
      <c r="J106" s="383" t="n"/>
      <c r="K106" s="351" t="n"/>
      <c r="L106" s="296" t="n"/>
      <c r="M106" s="349" t="n"/>
      <c r="N106" s="349">
        <f>IF($A106="","",IF(OR(LOWER($D106&amp;"")="n/a",ISNUMBER(SEARCH("subscription",LOWER($A106&amp;" "&amp;$M106&amp;""))),ISNUMBER(SEARCH("membership",LOWER($A106&amp;" "&amp;$M106&amp;"")))),"",IF($G106="","",IF(ISNUMBER(SEARCH("non",LOWER($E106&amp;""))),$G106*0.85,$G106))))</f>
        <v/>
      </c>
      <c r="O106" s="349">
        <f>IF($A106="","",IF(OR(LOWER($D106&amp;"")="n/a",ISNUMBER(SEARCH("subscription",LOWER($A106&amp;" "&amp;$M106&amp;""))),ISNUMBER(SEARCH("membership",LOWER($A106&amp;" "&amp;$M106&amp;"")))),"",IF(OR($N106="",$I106="",$I106=0),"",$N106/$I106)))</f>
        <v/>
      </c>
      <c r="P106" s="349">
        <f>IF($A106="","",IF(OR(LOWER($D106&amp;"")="n/a",ISNUMBER(SEARCH("subscription",LOWER($A106&amp;" "&amp;$M106&amp;""))),ISNUMBER(SEARCH("membership",LOWER($A106&amp;" "&amp;$M106&amp;"")))),"",IF(LOWER($L106&amp;"")="yes",0,IF($K106&lt;&gt;"",$K106,IF($O106&lt;&gt;"",$O106,"")))))</f>
        <v/>
      </c>
      <c r="Q106" s="351">
        <f>IF($A106="","",IF($U106="Subscription","",IF($U106="Profit",$P106-$H106,0)))</f>
        <v/>
      </c>
      <c r="R106" s="349">
        <f>IF($A106="","",IF($U106="Subscription","",IF($U106="Draw",$H106,0)))</f>
        <v/>
      </c>
      <c r="S106" s="349">
        <f>IF($A106="","",IF($U106="Subscription","",IF($U106="Disqualified",$H106,0)))</f>
        <v/>
      </c>
      <c r="T106" s="380">
        <f>IF($A106="","",IF($U106="Subscription","",IF($H106=0,IF($U106="Profit","N/A",0),IF($U106="Profit",$Q106/$H106,IF($U106="Disqualified",-1,0)))))</f>
        <v/>
      </c>
      <c r="U106" s="351">
        <f>IF($A106="","",IF(OR(LOWER($D106&amp;"")="n/a",ISNUMBER(SEARCH("subscription",LOWER($A106&amp;" "&amp;$M106&amp;""))),ISNUMBER(SEARCH("membership",LOWER($A106&amp;" "&amp;$M106&amp;"")))),"Subscription",IF(LOWER($L106&amp;"")="yes","Disqualified",IF($P106&gt;$H106,"Profit","Draw"))))</f>
        <v/>
      </c>
      <c r="V106" s="383">
        <f>IF(OR($A106="",$B106="",$C106="",$U106="Subscription"),"",IFERROR(ROUNDUP((IF(ISNUMBER($C106),$C106,DATEVALUE($C106))-IF(ISNUMBER($B106),$B106,DATEVALUE($B106)))/7,0),""))</f>
        <v/>
      </c>
      <c r="W106" s="351">
        <f>IF($U106="Subscription","",$Q106-$S106)</f>
        <v/>
      </c>
      <c r="X106" s="384">
        <f>IF(OR($A106="",$U106="Subscription",$J106="",$I106="",$J106=0,$I106=0,$I106&gt;$J106),"",$J106-$I106)</f>
        <v/>
      </c>
      <c r="Y106" s="381">
        <f>IF(OR($A106="",$U106="Subscription",$J106="",$J106=0,$X106=""),"",$X106/$J106)</f>
        <v/>
      </c>
    </row>
    <row r="107" ht="21" customHeight="1" s="270">
      <c r="A107" s="297" t="n"/>
      <c r="B107" s="298" t="n"/>
      <c r="C107" s="298" t="n"/>
      <c r="D107" s="297" t="n"/>
      <c r="E107" s="349" t="n"/>
      <c r="F107" s="349" t="n"/>
      <c r="G107" s="349" t="n"/>
      <c r="H107" s="349" t="n"/>
      <c r="I107" s="382" t="n"/>
      <c r="J107" s="383" t="n"/>
      <c r="K107" s="351" t="n"/>
      <c r="L107" s="296" t="n"/>
      <c r="M107" s="349" t="n"/>
      <c r="N107" s="349">
        <f>IF($A107="","",IF(OR(LOWER($D107&amp;"")="n/a",ISNUMBER(SEARCH("subscription",LOWER($A107&amp;" "&amp;$M107&amp;""))),ISNUMBER(SEARCH("membership",LOWER($A107&amp;" "&amp;$M107&amp;"")))),"",IF($G107="","",IF(ISNUMBER(SEARCH("non",LOWER($E107&amp;""))),$G107*0.85,$G107))))</f>
        <v/>
      </c>
      <c r="O107" s="349">
        <f>IF($A107="","",IF(OR(LOWER($D107&amp;"")="n/a",ISNUMBER(SEARCH("subscription",LOWER($A107&amp;" "&amp;$M107&amp;""))),ISNUMBER(SEARCH("membership",LOWER($A107&amp;" "&amp;$M107&amp;"")))),"",IF(OR($N107="",$I107="",$I107=0),"",$N107/$I107)))</f>
        <v/>
      </c>
      <c r="P107" s="349">
        <f>IF($A107="","",IF(OR(LOWER($D107&amp;"")="n/a",ISNUMBER(SEARCH("subscription",LOWER($A107&amp;" "&amp;$M107&amp;""))),ISNUMBER(SEARCH("membership",LOWER($A107&amp;" "&amp;$M107&amp;"")))),"",IF(LOWER($L107&amp;"")="yes",0,IF($K107&lt;&gt;"",$K107,IF($O107&lt;&gt;"",$O107,"")))))</f>
        <v/>
      </c>
      <c r="Q107" s="351">
        <f>IF($A107="","",IF($U107="Subscription","",IF($U107="Profit",$P107-$H107,0)))</f>
        <v/>
      </c>
      <c r="R107" s="349">
        <f>IF($A107="","",IF($U107="Subscription","",IF($U107="Draw",$H107,0)))</f>
        <v/>
      </c>
      <c r="S107" s="349">
        <f>IF($A107="","",IF($U107="Subscription","",IF($U107="Disqualified",$H107,0)))</f>
        <v/>
      </c>
      <c r="T107" s="380">
        <f>IF($A107="","",IF($U107="Subscription","",IF($H107=0,IF($U107="Profit","N/A",0),IF($U107="Profit",$Q107/$H107,IF($U107="Disqualified",-1,0)))))</f>
        <v/>
      </c>
      <c r="U107" s="351">
        <f>IF($A107="","",IF(OR(LOWER($D107&amp;"")="n/a",ISNUMBER(SEARCH("subscription",LOWER($A107&amp;" "&amp;$M107&amp;""))),ISNUMBER(SEARCH("membership",LOWER($A107&amp;" "&amp;$M107&amp;"")))),"Subscription",IF(LOWER($L107&amp;"")="yes","Disqualified",IF($P107&gt;$H107,"Profit","Draw"))))</f>
        <v/>
      </c>
      <c r="V107" s="383">
        <f>IF(OR($A107="",$B107="",$C107="",$U107="Subscription"),"",IFERROR(ROUNDUP((IF(ISNUMBER($C107),$C107,DATEVALUE($C107))-IF(ISNUMBER($B107),$B107,DATEVALUE($B107)))/7,0),""))</f>
        <v/>
      </c>
      <c r="W107" s="351">
        <f>IF($U107="Subscription","",$Q107-$S107)</f>
        <v/>
      </c>
      <c r="X107" s="384">
        <f>IF(OR($A107="",$U107="Subscription",$J107="",$I107="",$J107=0,$I107=0,$I107&gt;$J107),"",$J107-$I107)</f>
        <v/>
      </c>
      <c r="Y107" s="381">
        <f>IF(OR($A107="",$U107="Subscription",$J107="",$J107=0,$X107=""),"",$X107/$J107)</f>
        <v/>
      </c>
    </row>
    <row r="108" ht="21" customHeight="1" s="270">
      <c r="A108" s="297" t="n"/>
      <c r="B108" s="298" t="n"/>
      <c r="C108" s="298" t="n"/>
      <c r="D108" s="297" t="n"/>
      <c r="E108" s="349" t="n"/>
      <c r="F108" s="349" t="n"/>
      <c r="G108" s="349" t="n"/>
      <c r="H108" s="349" t="n"/>
      <c r="I108" s="382" t="n"/>
      <c r="J108" s="383" t="n"/>
      <c r="K108" s="351" t="n"/>
      <c r="L108" s="296" t="n"/>
      <c r="M108" s="349" t="n"/>
      <c r="N108" s="349">
        <f>IF($A108="","",IF(OR(LOWER($D108&amp;"")="n/a",ISNUMBER(SEARCH("subscription",LOWER($A108&amp;" "&amp;$M108&amp;""))),ISNUMBER(SEARCH("membership",LOWER($A108&amp;" "&amp;$M108&amp;"")))),"",IF($G108="","",IF(ISNUMBER(SEARCH("non",LOWER($E108&amp;""))),$G108*0.85,$G108))))</f>
        <v/>
      </c>
      <c r="O108" s="349">
        <f>IF($A108="","",IF(OR(LOWER($D108&amp;"")="n/a",ISNUMBER(SEARCH("subscription",LOWER($A108&amp;" "&amp;$M108&amp;""))),ISNUMBER(SEARCH("membership",LOWER($A108&amp;" "&amp;$M108&amp;"")))),"",IF(OR($N108="",$I108="",$I108=0),"",$N108/$I108)))</f>
        <v/>
      </c>
      <c r="P108" s="349">
        <f>IF($A108="","",IF(OR(LOWER($D108&amp;"")="n/a",ISNUMBER(SEARCH("subscription",LOWER($A108&amp;" "&amp;$M108&amp;""))),ISNUMBER(SEARCH("membership",LOWER($A108&amp;" "&amp;$M108&amp;"")))),"",IF(LOWER($L108&amp;"")="yes",0,IF($K108&lt;&gt;"",$K108,IF($O108&lt;&gt;"",$O108,"")))))</f>
        <v/>
      </c>
      <c r="Q108" s="351">
        <f>IF($A108="","",IF($U108="Subscription","",IF($U108="Profit",$P108-$H108,0)))</f>
        <v/>
      </c>
      <c r="R108" s="349">
        <f>IF($A108="","",IF($U108="Subscription","",IF($U108="Draw",$H108,0)))</f>
        <v/>
      </c>
      <c r="S108" s="349">
        <f>IF($A108="","",IF($U108="Subscription","",IF($U108="Disqualified",$H108,0)))</f>
        <v/>
      </c>
      <c r="T108" s="380">
        <f>IF($A108="","",IF($U108="Subscription","",IF($H108=0,IF($U108="Profit","N/A",0),IF($U108="Profit",$Q108/$H108,IF($U108="Disqualified",-1,0)))))</f>
        <v/>
      </c>
      <c r="U108" s="351">
        <f>IF($A108="","",IF(OR(LOWER($D108&amp;"")="n/a",ISNUMBER(SEARCH("subscription",LOWER($A108&amp;" "&amp;$M108&amp;""))),ISNUMBER(SEARCH("membership",LOWER($A108&amp;" "&amp;$M108&amp;"")))),"Subscription",IF(LOWER($L108&amp;"")="yes","Disqualified",IF($P108&gt;$H108,"Profit","Draw"))))</f>
        <v/>
      </c>
      <c r="V108" s="383">
        <f>IF(OR($A108="",$B108="",$C108="",$U108="Subscription"),"",IFERROR(ROUNDUP((IF(ISNUMBER($C108),$C108,DATEVALUE($C108))-IF(ISNUMBER($B108),$B108,DATEVALUE($B108)))/7,0),""))</f>
        <v/>
      </c>
      <c r="W108" s="351">
        <f>IF($U108="Subscription","",$Q108-$S108)</f>
        <v/>
      </c>
      <c r="X108" s="384">
        <f>IF(OR($A108="",$U108="Subscription",$J108="",$I108="",$J108=0,$I108=0,$I108&gt;$J108),"",$J108-$I108)</f>
        <v/>
      </c>
      <c r="Y108" s="381">
        <f>IF(OR($A108="",$U108="Subscription",$J108="",$J108=0,$X108=""),"",$X108/$J108)</f>
        <v/>
      </c>
    </row>
    <row r="109" ht="21" customHeight="1" s="270">
      <c r="A109" s="297" t="n"/>
      <c r="B109" s="298" t="n"/>
      <c r="C109" s="298" t="n"/>
      <c r="D109" s="297" t="n"/>
      <c r="E109" s="349" t="n"/>
      <c r="F109" s="349" t="n"/>
      <c r="G109" s="349" t="n"/>
      <c r="H109" s="349" t="n"/>
      <c r="I109" s="382" t="n"/>
      <c r="J109" s="383" t="n"/>
      <c r="K109" s="351" t="n"/>
      <c r="L109" s="296" t="n"/>
      <c r="M109" s="349" t="n"/>
      <c r="N109" s="349">
        <f>IF($A109="","",IF(OR(LOWER($D109&amp;"")="n/a",ISNUMBER(SEARCH("subscription",LOWER($A109&amp;" "&amp;$M109&amp;""))),ISNUMBER(SEARCH("membership",LOWER($A109&amp;" "&amp;$M109&amp;"")))),"",IF($G109="","",IF(ISNUMBER(SEARCH("non",LOWER($E109&amp;""))),$G109*0.85,$G109))))</f>
        <v/>
      </c>
      <c r="O109" s="349">
        <f>IF($A109="","",IF(OR(LOWER($D109&amp;"")="n/a",ISNUMBER(SEARCH("subscription",LOWER($A109&amp;" "&amp;$M109&amp;""))),ISNUMBER(SEARCH("membership",LOWER($A109&amp;" "&amp;$M109&amp;"")))),"",IF(OR($N109="",$I109="",$I109=0),"",$N109/$I109)))</f>
        <v/>
      </c>
      <c r="P109" s="349">
        <f>IF($A109="","",IF(OR(LOWER($D109&amp;"")="n/a",ISNUMBER(SEARCH("subscription",LOWER($A109&amp;" "&amp;$M109&amp;""))),ISNUMBER(SEARCH("membership",LOWER($A109&amp;" "&amp;$M109&amp;"")))),"",IF(LOWER($L109&amp;"")="yes",0,IF($K109&lt;&gt;"",$K109,IF($O109&lt;&gt;"",$O109,"")))))</f>
        <v/>
      </c>
      <c r="Q109" s="351">
        <f>IF($A109="","",IF($U109="Subscription","",IF($U109="Profit",$P109-$H109,0)))</f>
        <v/>
      </c>
      <c r="R109" s="349">
        <f>IF($A109="","",IF($U109="Subscription","",IF($U109="Draw",$H109,0)))</f>
        <v/>
      </c>
      <c r="S109" s="349">
        <f>IF($A109="","",IF($U109="Subscription","",IF($U109="Disqualified",$H109,0)))</f>
        <v/>
      </c>
      <c r="T109" s="380">
        <f>IF($A109="","",IF($U109="Subscription","",IF($H109=0,IF($U109="Profit","N/A",0),IF($U109="Profit",$Q109/$H109,IF($U109="Disqualified",-1,0)))))</f>
        <v/>
      </c>
      <c r="U109" s="351">
        <f>IF($A109="","",IF(OR(LOWER($D109&amp;"")="n/a",ISNUMBER(SEARCH("subscription",LOWER($A109&amp;" "&amp;$M109&amp;""))),ISNUMBER(SEARCH("membership",LOWER($A109&amp;" "&amp;$M109&amp;"")))),"Subscription",IF(LOWER($L109&amp;"")="yes","Disqualified",IF($P109&gt;$H109,"Profit","Draw"))))</f>
        <v/>
      </c>
      <c r="V109" s="383">
        <f>IF(OR($A109="",$B109="",$C109="",$U109="Subscription"),"",IFERROR(ROUNDUP((IF(ISNUMBER($C109),$C109,DATEVALUE($C109))-IF(ISNUMBER($B109),$B109,DATEVALUE($B109)))/7,0),""))</f>
        <v/>
      </c>
      <c r="W109" s="351">
        <f>IF($U109="Subscription","",$Q109-$S109)</f>
        <v/>
      </c>
      <c r="X109" s="384">
        <f>IF(OR($A109="",$U109="Subscription",$J109="",$I109="",$J109=0,$I109=0,$I109&gt;$J109),"",$J109-$I109)</f>
        <v/>
      </c>
      <c r="Y109" s="381">
        <f>IF(OR($A109="",$U109="Subscription",$J109="",$J109=0,$X109=""),"",$X109/$J109)</f>
        <v/>
      </c>
    </row>
    <row r="110" ht="21" customHeight="1" s="270">
      <c r="A110" s="297" t="n"/>
      <c r="B110" s="298" t="n"/>
      <c r="C110" s="298" t="n"/>
      <c r="D110" s="297" t="n"/>
      <c r="E110" s="349" t="n"/>
      <c r="F110" s="349" t="n"/>
      <c r="G110" s="349" t="n"/>
      <c r="H110" s="349" t="n"/>
      <c r="I110" s="382" t="n"/>
      <c r="J110" s="383" t="n"/>
      <c r="K110" s="351" t="n"/>
      <c r="L110" s="296" t="n"/>
      <c r="M110" s="349" t="n"/>
      <c r="N110" s="349">
        <f>IF($A110="","",IF(OR(LOWER($D110&amp;"")="n/a",ISNUMBER(SEARCH("subscription",LOWER($A110&amp;" "&amp;$M110&amp;""))),ISNUMBER(SEARCH("membership",LOWER($A110&amp;" "&amp;$M110&amp;"")))),"",IF($G110="","",IF(ISNUMBER(SEARCH("non",LOWER($E110&amp;""))),$G110*0.85,$G110))))</f>
        <v/>
      </c>
      <c r="O110" s="349">
        <f>IF($A110="","",IF(OR(LOWER($D110&amp;"")="n/a",ISNUMBER(SEARCH("subscription",LOWER($A110&amp;" "&amp;$M110&amp;""))),ISNUMBER(SEARCH("membership",LOWER($A110&amp;" "&amp;$M110&amp;"")))),"",IF(OR($N110="",$I110="",$I110=0),"",$N110/$I110)))</f>
        <v/>
      </c>
      <c r="P110" s="349">
        <f>IF($A110="","",IF(OR(LOWER($D110&amp;"")="n/a",ISNUMBER(SEARCH("subscription",LOWER($A110&amp;" "&amp;$M110&amp;""))),ISNUMBER(SEARCH("membership",LOWER($A110&amp;" "&amp;$M110&amp;"")))),"",IF(LOWER($L110&amp;"")="yes",0,IF($K110&lt;&gt;"",$K110,IF($O110&lt;&gt;"",$O110,"")))))</f>
        <v/>
      </c>
      <c r="Q110" s="351">
        <f>IF($A110="","",IF($U110="Subscription","",IF($U110="Profit",$P110-$H110,0)))</f>
        <v/>
      </c>
      <c r="R110" s="349">
        <f>IF($A110="","",IF($U110="Subscription","",IF($U110="Draw",$H110,0)))</f>
        <v/>
      </c>
      <c r="S110" s="349">
        <f>IF($A110="","",IF($U110="Subscription","",IF($U110="Disqualified",$H110,0)))</f>
        <v/>
      </c>
      <c r="T110" s="380">
        <f>IF($A110="","",IF($U110="Subscription","",IF($H110=0,IF($U110="Profit","N/A",0),IF($U110="Profit",$Q110/$H110,IF($U110="Disqualified",-1,0)))))</f>
        <v/>
      </c>
      <c r="U110" s="351">
        <f>IF($A110="","",IF(OR(LOWER($D110&amp;"")="n/a",ISNUMBER(SEARCH("subscription",LOWER($A110&amp;" "&amp;$M110&amp;""))),ISNUMBER(SEARCH("membership",LOWER($A110&amp;" "&amp;$M110&amp;"")))),"Subscription",IF(LOWER($L110&amp;"")="yes","Disqualified",IF($P110&gt;$H110,"Profit","Draw"))))</f>
        <v/>
      </c>
      <c r="V110" s="383">
        <f>IF(OR($A110="",$B110="",$C110="",$U110="Subscription"),"",IFERROR(ROUNDUP((IF(ISNUMBER($C110),$C110,DATEVALUE($C110))-IF(ISNUMBER($B110),$B110,DATEVALUE($B110)))/7,0),""))</f>
        <v/>
      </c>
      <c r="W110" s="351">
        <f>IF($U110="Subscription","",$Q110-$S110)</f>
        <v/>
      </c>
      <c r="X110" s="384">
        <f>IF(OR($A110="",$U110="Subscription",$J110="",$I110="",$J110=0,$I110=0,$I110&gt;$J110),"",$J110-$I110)</f>
        <v/>
      </c>
      <c r="Y110" s="381">
        <f>IF(OR($A110="",$U110="Subscription",$J110="",$J110=0,$X110=""),"",$X110/$J110)</f>
        <v/>
      </c>
    </row>
    <row r="111" ht="21" customHeight="1" s="270">
      <c r="A111" s="297" t="n"/>
      <c r="B111" s="298" t="n"/>
      <c r="C111" s="298" t="n"/>
      <c r="D111" s="297" t="n"/>
      <c r="E111" s="349" t="n"/>
      <c r="F111" s="349" t="n"/>
      <c r="G111" s="349" t="n"/>
      <c r="H111" s="349" t="n"/>
      <c r="I111" s="382" t="n"/>
      <c r="J111" s="383" t="n"/>
      <c r="K111" s="351" t="n"/>
      <c r="L111" s="296" t="n"/>
      <c r="M111" s="349" t="n"/>
      <c r="N111" s="349">
        <f>IF($A111="","",IF(OR(LOWER($D111&amp;"")="n/a",ISNUMBER(SEARCH("subscription",LOWER($A111&amp;" "&amp;$M111&amp;""))),ISNUMBER(SEARCH("membership",LOWER($A111&amp;" "&amp;$M111&amp;"")))),"",IF($G111="","",IF(ISNUMBER(SEARCH("non",LOWER($E111&amp;""))),$G111*0.85,$G111))))</f>
        <v/>
      </c>
      <c r="O111" s="349">
        <f>IF($A111="","",IF(OR(LOWER($D111&amp;"")="n/a",ISNUMBER(SEARCH("subscription",LOWER($A111&amp;" "&amp;$M111&amp;""))),ISNUMBER(SEARCH("membership",LOWER($A111&amp;" "&amp;$M111&amp;"")))),"",IF(OR($N111="",$I111="",$I111=0),"",$N111/$I111)))</f>
        <v/>
      </c>
      <c r="P111" s="349">
        <f>IF($A111="","",IF(OR(LOWER($D111&amp;"")="n/a",ISNUMBER(SEARCH("subscription",LOWER($A111&amp;" "&amp;$M111&amp;""))),ISNUMBER(SEARCH("membership",LOWER($A111&amp;" "&amp;$M111&amp;"")))),"",IF(LOWER($L111&amp;"")="yes",0,IF($K111&lt;&gt;"",$K111,IF($O111&lt;&gt;"",$O111,"")))))</f>
        <v/>
      </c>
      <c r="Q111" s="351">
        <f>IF($A111="","",IF($U111="Subscription","",IF($U111="Profit",$P111-$H111,0)))</f>
        <v/>
      </c>
      <c r="R111" s="349">
        <f>IF($A111="","",IF($U111="Subscription","",IF($U111="Draw",$H111,0)))</f>
        <v/>
      </c>
      <c r="S111" s="349">
        <f>IF($A111="","",IF($U111="Subscription","",IF($U111="Disqualified",$H111,0)))</f>
        <v/>
      </c>
      <c r="T111" s="380">
        <f>IF($A111="","",IF($U111="Subscription","",IF($H111=0,IF($U111="Profit","N/A",0),IF($U111="Profit",$Q111/$H111,IF($U111="Disqualified",-1,0)))))</f>
        <v/>
      </c>
      <c r="U111" s="351">
        <f>IF($A111="","",IF(OR(LOWER($D111&amp;"")="n/a",ISNUMBER(SEARCH("subscription",LOWER($A111&amp;" "&amp;$M111&amp;""))),ISNUMBER(SEARCH("membership",LOWER($A111&amp;" "&amp;$M111&amp;"")))),"Subscription",IF(LOWER($L111&amp;"")="yes","Disqualified",IF($P111&gt;$H111,"Profit","Draw"))))</f>
        <v/>
      </c>
      <c r="V111" s="383">
        <f>IF(OR($A111="",$B111="",$C111="",$U111="Subscription"),"",IFERROR(ROUNDUP((IF(ISNUMBER($C111),$C111,DATEVALUE($C111))-IF(ISNUMBER($B111),$B111,DATEVALUE($B111)))/7,0),""))</f>
        <v/>
      </c>
      <c r="W111" s="351">
        <f>IF($U111="Subscription","",$Q111-$S111)</f>
        <v/>
      </c>
      <c r="X111" s="384">
        <f>IF(OR($A111="",$U111="Subscription",$J111="",$I111="",$J111=0,$I111=0,$I111&gt;$J111),"",$J111-$I111)</f>
        <v/>
      </c>
      <c r="Y111" s="381">
        <f>IF(OR($A111="",$U111="Subscription",$J111="",$J111=0,$X111=""),"",$X111/$J111)</f>
        <v/>
      </c>
    </row>
    <row r="112" ht="21" customHeight="1" s="270">
      <c r="A112" s="297" t="n"/>
      <c r="B112" s="298" t="n"/>
      <c r="C112" s="298" t="n"/>
      <c r="D112" s="297" t="n"/>
      <c r="E112" s="349" t="n"/>
      <c r="F112" s="349" t="n"/>
      <c r="G112" s="349" t="n"/>
      <c r="H112" s="349" t="n"/>
      <c r="I112" s="382" t="n"/>
      <c r="J112" s="383" t="n"/>
      <c r="K112" s="351" t="n"/>
      <c r="L112" s="296" t="n"/>
      <c r="M112" s="349" t="n"/>
      <c r="N112" s="349">
        <f>IF($A112="","",IF(OR(LOWER($D112&amp;"")="n/a",ISNUMBER(SEARCH("subscription",LOWER($A112&amp;" "&amp;$M112&amp;""))),ISNUMBER(SEARCH("membership",LOWER($A112&amp;" "&amp;$M112&amp;"")))),"",IF($G112="","",IF(ISNUMBER(SEARCH("non",LOWER($E112&amp;""))),$G112*0.85,$G112))))</f>
        <v/>
      </c>
      <c r="O112" s="349">
        <f>IF($A112="","",IF(OR(LOWER($D112&amp;"")="n/a",ISNUMBER(SEARCH("subscription",LOWER($A112&amp;" "&amp;$M112&amp;""))),ISNUMBER(SEARCH("membership",LOWER($A112&amp;" "&amp;$M112&amp;"")))),"",IF(OR($N112="",$I112="",$I112=0),"",$N112/$I112)))</f>
        <v/>
      </c>
      <c r="P112" s="349">
        <f>IF($A112="","",IF(OR(LOWER($D112&amp;"")="n/a",ISNUMBER(SEARCH("subscription",LOWER($A112&amp;" "&amp;$M112&amp;""))),ISNUMBER(SEARCH("membership",LOWER($A112&amp;" "&amp;$M112&amp;"")))),"",IF(LOWER($L112&amp;"")="yes",0,IF($K112&lt;&gt;"",$K112,IF($O112&lt;&gt;"",$O112,"")))))</f>
        <v/>
      </c>
      <c r="Q112" s="351">
        <f>IF($A112="","",IF($U112="Subscription","",IF($U112="Profit",$P112-$H112,0)))</f>
        <v/>
      </c>
      <c r="R112" s="349">
        <f>IF($A112="","",IF($U112="Subscription","",IF($U112="Draw",$H112,0)))</f>
        <v/>
      </c>
      <c r="S112" s="349">
        <f>IF($A112="","",IF($U112="Subscription","",IF($U112="Disqualified",$H112,0)))</f>
        <v/>
      </c>
      <c r="T112" s="380">
        <f>IF($A112="","",IF($U112="Subscription","",IF($H112=0,IF($U112="Profit","N/A",0),IF($U112="Profit",$Q112/$H112,IF($U112="Disqualified",-1,0)))))</f>
        <v/>
      </c>
      <c r="U112" s="351">
        <f>IF($A112="","",IF(OR(LOWER($D112&amp;"")="n/a",ISNUMBER(SEARCH("subscription",LOWER($A112&amp;" "&amp;$M112&amp;""))),ISNUMBER(SEARCH("membership",LOWER($A112&amp;" "&amp;$M112&amp;"")))),"Subscription",IF(LOWER($L112&amp;"")="yes","Disqualified",IF($P112&gt;$H112,"Profit","Draw"))))</f>
        <v/>
      </c>
      <c r="V112" s="383">
        <f>IF(OR($A112="",$B112="",$C112="",$U112="Subscription"),"",IFERROR(ROUNDUP((IF(ISNUMBER($C112),$C112,DATEVALUE($C112))-IF(ISNUMBER($B112),$B112,DATEVALUE($B112)))/7,0),""))</f>
        <v/>
      </c>
      <c r="W112" s="351">
        <f>IF($U112="Subscription","",$Q112-$S112)</f>
        <v/>
      </c>
      <c r="X112" s="384">
        <f>IF(OR($A112="",$U112="Subscription",$J112="",$I112="",$J112=0,$I112=0,$I112&gt;$J112),"",$J112-$I112)</f>
        <v/>
      </c>
      <c r="Y112" s="381">
        <f>IF(OR($A112="",$U112="Subscription",$J112="",$J112=0,$X112=""),"",$X112/$J112)</f>
        <v/>
      </c>
    </row>
    <row r="113" ht="21" customHeight="1" s="270">
      <c r="A113" s="297" t="n"/>
      <c r="B113" s="298" t="n"/>
      <c r="C113" s="298" t="n"/>
      <c r="D113" s="297" t="n"/>
      <c r="E113" s="349" t="n"/>
      <c r="F113" s="349" t="n"/>
      <c r="G113" s="349" t="n"/>
      <c r="H113" s="349" t="n"/>
      <c r="I113" s="382" t="n"/>
      <c r="J113" s="383" t="n"/>
      <c r="K113" s="351" t="n"/>
      <c r="L113" s="296" t="n"/>
      <c r="M113" s="349" t="n"/>
      <c r="N113" s="349">
        <f>IF($A113="","",IF(OR(LOWER($D113&amp;"")="n/a",ISNUMBER(SEARCH("subscription",LOWER($A113&amp;" "&amp;$M113&amp;""))),ISNUMBER(SEARCH("membership",LOWER($A113&amp;" "&amp;$M113&amp;"")))),"",IF($G113="","",IF(ISNUMBER(SEARCH("non",LOWER($E113&amp;""))),$G113*0.85,$G113))))</f>
        <v/>
      </c>
      <c r="O113" s="349">
        <f>IF($A113="","",IF(OR(LOWER($D113&amp;"")="n/a",ISNUMBER(SEARCH("subscription",LOWER($A113&amp;" "&amp;$M113&amp;""))),ISNUMBER(SEARCH("membership",LOWER($A113&amp;" "&amp;$M113&amp;"")))),"",IF(OR($N113="",$I113="",$I113=0),"",$N113/$I113)))</f>
        <v/>
      </c>
      <c r="P113" s="349">
        <f>IF($A113="","",IF(OR(LOWER($D113&amp;"")="n/a",ISNUMBER(SEARCH("subscription",LOWER($A113&amp;" "&amp;$M113&amp;""))),ISNUMBER(SEARCH("membership",LOWER($A113&amp;" "&amp;$M113&amp;"")))),"",IF(LOWER($L113&amp;"")="yes",0,IF($K113&lt;&gt;"",$K113,IF($O113&lt;&gt;"",$O113,"")))))</f>
        <v/>
      </c>
      <c r="Q113" s="351">
        <f>IF($A113="","",IF($U113="Subscription","",IF($U113="Profit",$P113-$H113,0)))</f>
        <v/>
      </c>
      <c r="R113" s="349">
        <f>IF($A113="","",IF($U113="Subscription","",IF($U113="Draw",$H113,0)))</f>
        <v/>
      </c>
      <c r="S113" s="349">
        <f>IF($A113="","",IF($U113="Subscription","",IF($U113="Disqualified",$H113,0)))</f>
        <v/>
      </c>
      <c r="T113" s="380">
        <f>IF($A113="","",IF($U113="Subscription","",IF($H113=0,IF($U113="Profit","N/A",0),IF($U113="Profit",$Q113/$H113,IF($U113="Disqualified",-1,0)))))</f>
        <v/>
      </c>
      <c r="U113" s="351">
        <f>IF($A113="","",IF(OR(LOWER($D113&amp;"")="n/a",ISNUMBER(SEARCH("subscription",LOWER($A113&amp;" "&amp;$M113&amp;""))),ISNUMBER(SEARCH("membership",LOWER($A113&amp;" "&amp;$M113&amp;"")))),"Subscription",IF(LOWER($L113&amp;"")="yes","Disqualified",IF($P113&gt;$H113,"Profit","Draw"))))</f>
        <v/>
      </c>
      <c r="V113" s="383">
        <f>IF(OR($A113="",$B113="",$C113="",$U113="Subscription"),"",IFERROR(ROUNDUP((IF(ISNUMBER($C113),$C113,DATEVALUE($C113))-IF(ISNUMBER($B113),$B113,DATEVALUE($B113)))/7,0),""))</f>
        <v/>
      </c>
      <c r="W113" s="351">
        <f>IF($U113="Subscription","",$Q113-$S113)</f>
        <v/>
      </c>
      <c r="X113" s="384">
        <f>IF(OR($A113="",$U113="Subscription",$J113="",$I113="",$J113=0,$I113=0,$I113&gt;$J113),"",$J113-$I113)</f>
        <v/>
      </c>
      <c r="Y113" s="381">
        <f>IF(OR($A113="",$U113="Subscription",$J113="",$J113=0,$X113=""),"",$X113/$J113)</f>
        <v/>
      </c>
    </row>
    <row r="114" ht="21" customHeight="1" s="270">
      <c r="A114" s="297" t="n"/>
      <c r="B114" s="298" t="n"/>
      <c r="C114" s="298" t="n"/>
      <c r="D114" s="297" t="n"/>
      <c r="E114" s="349" t="n"/>
      <c r="F114" s="349" t="n"/>
      <c r="G114" s="349" t="n"/>
      <c r="H114" s="349" t="n"/>
      <c r="I114" s="382" t="n"/>
      <c r="J114" s="383" t="n"/>
      <c r="K114" s="351" t="n"/>
      <c r="L114" s="296" t="n"/>
      <c r="M114" s="349" t="n"/>
      <c r="N114" s="349">
        <f>IF($A114="","",IF(OR(LOWER($D114&amp;"")="n/a",ISNUMBER(SEARCH("subscription",LOWER($A114&amp;" "&amp;$M114&amp;""))),ISNUMBER(SEARCH("membership",LOWER($A114&amp;" "&amp;$M114&amp;"")))),"",IF($G114="","",IF(ISNUMBER(SEARCH("non",LOWER($E114&amp;""))),$G114*0.85,$G114))))</f>
        <v/>
      </c>
      <c r="O114" s="349">
        <f>IF($A114="","",IF(OR(LOWER($D114&amp;"")="n/a",ISNUMBER(SEARCH("subscription",LOWER($A114&amp;" "&amp;$M114&amp;""))),ISNUMBER(SEARCH("membership",LOWER($A114&amp;" "&amp;$M114&amp;"")))),"",IF(OR($N114="",$I114="",$I114=0),"",$N114/$I114)))</f>
        <v/>
      </c>
      <c r="P114" s="349">
        <f>IF($A114="","",IF(OR(LOWER($D114&amp;"")="n/a",ISNUMBER(SEARCH("subscription",LOWER($A114&amp;" "&amp;$M114&amp;""))),ISNUMBER(SEARCH("membership",LOWER($A114&amp;" "&amp;$M114&amp;"")))),"",IF(LOWER($L114&amp;"")="yes",0,IF($K114&lt;&gt;"",$K114,IF($O114&lt;&gt;"",$O114,"")))))</f>
        <v/>
      </c>
      <c r="Q114" s="351">
        <f>IF($A114="","",IF($U114="Subscription","",IF($U114="Profit",$P114-$H114,0)))</f>
        <v/>
      </c>
      <c r="R114" s="349">
        <f>IF($A114="","",IF($U114="Subscription","",IF($U114="Draw",$H114,0)))</f>
        <v/>
      </c>
      <c r="S114" s="349">
        <f>IF($A114="","",IF($U114="Subscription","",IF($U114="Disqualified",$H114,0)))</f>
        <v/>
      </c>
      <c r="T114" s="380">
        <f>IF($A114="","",IF($U114="Subscription","",IF($H114=0,IF($U114="Profit","N/A",0),IF($U114="Profit",$Q114/$H114,IF($U114="Disqualified",-1,0)))))</f>
        <v/>
      </c>
      <c r="U114" s="351">
        <f>IF($A114="","",IF(OR(LOWER($D114&amp;"")="n/a",ISNUMBER(SEARCH("subscription",LOWER($A114&amp;" "&amp;$M114&amp;""))),ISNUMBER(SEARCH("membership",LOWER($A114&amp;" "&amp;$M114&amp;"")))),"Subscription",IF(LOWER($L114&amp;"")="yes","Disqualified",IF($P114&gt;$H114,"Profit","Draw"))))</f>
        <v/>
      </c>
      <c r="V114" s="383">
        <f>IF(OR($A114="",$B114="",$C114="",$U114="Subscription"),"",IFERROR(ROUNDUP((IF(ISNUMBER($C114),$C114,DATEVALUE($C114))-IF(ISNUMBER($B114),$B114,DATEVALUE($B114)))/7,0),""))</f>
        <v/>
      </c>
      <c r="W114" s="351">
        <f>IF($U114="Subscription","",$Q114-$S114)</f>
        <v/>
      </c>
      <c r="X114" s="384">
        <f>IF(OR($A114="",$U114="Subscription",$J114="",$I114="",$J114=0,$I114=0,$I114&gt;$J114),"",$J114-$I114)</f>
        <v/>
      </c>
      <c r="Y114" s="381">
        <f>IF(OR($A114="",$U114="Subscription",$J114="",$J114=0,$X114=""),"",$X114/$J114)</f>
        <v/>
      </c>
    </row>
    <row r="115" ht="21" customHeight="1" s="270">
      <c r="A115" s="297" t="n"/>
      <c r="B115" s="298" t="n"/>
      <c r="C115" s="298" t="n"/>
      <c r="D115" s="297" t="n"/>
      <c r="E115" s="349" t="n"/>
      <c r="F115" s="349" t="n"/>
      <c r="G115" s="349" t="n"/>
      <c r="H115" s="349" t="n"/>
      <c r="I115" s="382" t="n"/>
      <c r="J115" s="383" t="n"/>
      <c r="K115" s="351" t="n"/>
      <c r="L115" s="296" t="n"/>
      <c r="M115" s="349" t="n"/>
      <c r="N115" s="349">
        <f>IF($A115="","",IF(OR(LOWER($D115&amp;"")="n/a",ISNUMBER(SEARCH("subscription",LOWER($A115&amp;" "&amp;$M115&amp;""))),ISNUMBER(SEARCH("membership",LOWER($A115&amp;" "&amp;$M115&amp;"")))),"",IF($G115="","",IF(ISNUMBER(SEARCH("non",LOWER($E115&amp;""))),$G115*0.85,$G115))))</f>
        <v/>
      </c>
      <c r="O115" s="349">
        <f>IF($A115="","",IF(OR(LOWER($D115&amp;"")="n/a",ISNUMBER(SEARCH("subscription",LOWER($A115&amp;" "&amp;$M115&amp;""))),ISNUMBER(SEARCH("membership",LOWER($A115&amp;" "&amp;$M115&amp;"")))),"",IF(OR($N115="",$I115="",$I115=0),"",$N115/$I115)))</f>
        <v/>
      </c>
      <c r="P115" s="349">
        <f>IF($A115="","",IF(OR(LOWER($D115&amp;"")="n/a",ISNUMBER(SEARCH("subscription",LOWER($A115&amp;" "&amp;$M115&amp;""))),ISNUMBER(SEARCH("membership",LOWER($A115&amp;" "&amp;$M115&amp;"")))),"",IF(LOWER($L115&amp;"")="yes",0,IF($K115&lt;&gt;"",$K115,IF($O115&lt;&gt;"",$O115,"")))))</f>
        <v/>
      </c>
      <c r="Q115" s="351">
        <f>IF($A115="","",IF($U115="Subscription","",IF($U115="Profit",$P115-$H115,0)))</f>
        <v/>
      </c>
      <c r="R115" s="349">
        <f>IF($A115="","",IF($U115="Subscription","",IF($U115="Draw",$H115,0)))</f>
        <v/>
      </c>
      <c r="S115" s="349">
        <f>IF($A115="","",IF($U115="Subscription","",IF($U115="Disqualified",$H115,0)))</f>
        <v/>
      </c>
      <c r="T115" s="380">
        <f>IF($A115="","",IF($U115="Subscription","",IF($H115=0,IF($U115="Profit","N/A",0),IF($U115="Profit",$Q115/$H115,IF($U115="Disqualified",-1,0)))))</f>
        <v/>
      </c>
      <c r="U115" s="351">
        <f>IF($A115="","",IF(OR(LOWER($D115&amp;"")="n/a",ISNUMBER(SEARCH("subscription",LOWER($A115&amp;" "&amp;$M115&amp;""))),ISNUMBER(SEARCH("membership",LOWER($A115&amp;" "&amp;$M115&amp;"")))),"Subscription",IF(LOWER($L115&amp;"")="yes","Disqualified",IF($P115&gt;$H115,"Profit","Draw"))))</f>
        <v/>
      </c>
      <c r="V115" s="383">
        <f>IF(OR($A115="",$B115="",$C115="",$U115="Subscription"),"",IFERROR(ROUNDUP((IF(ISNUMBER($C115),$C115,DATEVALUE($C115))-IF(ISNUMBER($B115),$B115,DATEVALUE($B115)))/7,0),""))</f>
        <v/>
      </c>
      <c r="W115" s="351">
        <f>IF($U115="Subscription","",$Q115-$S115)</f>
        <v/>
      </c>
      <c r="X115" s="384">
        <f>IF(OR($A115="",$U115="Subscription",$J115="",$I115="",$J115=0,$I115=0,$I115&gt;$J115),"",$J115-$I115)</f>
        <v/>
      </c>
      <c r="Y115" s="381">
        <f>IF(OR($A115="",$U115="Subscription",$J115="",$J115=0,$X115=""),"",$X115/$J115)</f>
        <v/>
      </c>
    </row>
    <row r="116" ht="21" customHeight="1" s="270">
      <c r="A116" s="297" t="n"/>
      <c r="B116" s="298" t="n"/>
      <c r="C116" s="298" t="n"/>
      <c r="D116" s="297" t="n"/>
      <c r="E116" s="349" t="n"/>
      <c r="F116" s="349" t="n"/>
      <c r="G116" s="349" t="n"/>
      <c r="H116" s="349" t="n"/>
      <c r="I116" s="382" t="n"/>
      <c r="J116" s="383" t="n"/>
      <c r="K116" s="351" t="n"/>
      <c r="L116" s="296" t="n"/>
      <c r="M116" s="349" t="n"/>
      <c r="N116" s="349">
        <f>IF($A116="","",IF(OR(LOWER($D116&amp;"")="n/a",ISNUMBER(SEARCH("subscription",LOWER($A116&amp;" "&amp;$M116&amp;""))),ISNUMBER(SEARCH("membership",LOWER($A116&amp;" "&amp;$M116&amp;"")))),"",IF($G116="","",IF(ISNUMBER(SEARCH("non",LOWER($E116&amp;""))),$G116*0.85,$G116))))</f>
        <v/>
      </c>
      <c r="O116" s="349">
        <f>IF($A116="","",IF(OR(LOWER($D116&amp;"")="n/a",ISNUMBER(SEARCH("subscription",LOWER($A116&amp;" "&amp;$M116&amp;""))),ISNUMBER(SEARCH("membership",LOWER($A116&amp;" "&amp;$M116&amp;"")))),"",IF(OR($N116="",$I116="",$I116=0),"",$N116/$I116)))</f>
        <v/>
      </c>
      <c r="P116" s="349">
        <f>IF($A116="","",IF(OR(LOWER($D116&amp;"")="n/a",ISNUMBER(SEARCH("subscription",LOWER($A116&amp;" "&amp;$M116&amp;""))),ISNUMBER(SEARCH("membership",LOWER($A116&amp;" "&amp;$M116&amp;"")))),"",IF(LOWER($L116&amp;"")="yes",0,IF($K116&lt;&gt;"",$K116,IF($O116&lt;&gt;"",$O116,"")))))</f>
        <v/>
      </c>
      <c r="Q116" s="351">
        <f>IF($A116="","",IF($U116="Subscription","",IF($U116="Profit",$P116-$H116,0)))</f>
        <v/>
      </c>
      <c r="R116" s="349">
        <f>IF($A116="","",IF($U116="Subscription","",IF($U116="Draw",$H116,0)))</f>
        <v/>
      </c>
      <c r="S116" s="349">
        <f>IF($A116="","",IF($U116="Subscription","",IF($U116="Disqualified",$H116,0)))</f>
        <v/>
      </c>
      <c r="T116" s="380">
        <f>IF($A116="","",IF($U116="Subscription","",IF($H116=0,IF($U116="Profit","N/A",0),IF($U116="Profit",$Q116/$H116,IF($U116="Disqualified",-1,0)))))</f>
        <v/>
      </c>
      <c r="U116" s="351">
        <f>IF($A116="","",IF(OR(LOWER($D116&amp;"")="n/a",ISNUMBER(SEARCH("subscription",LOWER($A116&amp;" "&amp;$M116&amp;""))),ISNUMBER(SEARCH("membership",LOWER($A116&amp;" "&amp;$M116&amp;"")))),"Subscription",IF(LOWER($L116&amp;"")="yes","Disqualified",IF($P116&gt;$H116,"Profit","Draw"))))</f>
        <v/>
      </c>
      <c r="V116" s="383">
        <f>IF(OR($A116="",$B116="",$C116="",$U116="Subscription"),"",IFERROR(ROUNDUP((IF(ISNUMBER($C116),$C116,DATEVALUE($C116))-IF(ISNUMBER($B116),$B116,DATEVALUE($B116)))/7,0),""))</f>
        <v/>
      </c>
      <c r="W116" s="351">
        <f>IF($U116="Subscription","",$Q116-$S116)</f>
        <v/>
      </c>
      <c r="X116" s="384">
        <f>IF(OR($A116="",$U116="Subscription",$J116="",$I116="",$J116=0,$I116=0,$I116&gt;$J116),"",$J116-$I116)</f>
        <v/>
      </c>
      <c r="Y116" s="381">
        <f>IF(OR($A116="",$U116="Subscription",$J116="",$J116=0,$X116=""),"",$X116/$J116)</f>
        <v/>
      </c>
    </row>
    <row r="117" ht="21" customHeight="1" s="270">
      <c r="A117" s="297" t="n"/>
      <c r="B117" s="298" t="n"/>
      <c r="C117" s="298" t="n"/>
      <c r="D117" s="297" t="n"/>
      <c r="E117" s="349" t="n"/>
      <c r="F117" s="349" t="n"/>
      <c r="G117" s="349" t="n"/>
      <c r="H117" s="349" t="n"/>
      <c r="I117" s="382" t="n"/>
      <c r="J117" s="383" t="n"/>
      <c r="K117" s="351" t="n"/>
      <c r="L117" s="296" t="n"/>
      <c r="M117" s="349" t="n"/>
      <c r="N117" s="349">
        <f>IF($A117="","",IF(OR(LOWER($D117&amp;"")="n/a",ISNUMBER(SEARCH("subscription",LOWER($A117&amp;" "&amp;$M117&amp;""))),ISNUMBER(SEARCH("membership",LOWER($A117&amp;" "&amp;$M117&amp;"")))),"",IF($G117="","",IF(ISNUMBER(SEARCH("non",LOWER($E117&amp;""))),$G117*0.85,$G117))))</f>
        <v/>
      </c>
      <c r="O117" s="349">
        <f>IF($A117="","",IF(OR(LOWER($D117&amp;"")="n/a",ISNUMBER(SEARCH("subscription",LOWER($A117&amp;" "&amp;$M117&amp;""))),ISNUMBER(SEARCH("membership",LOWER($A117&amp;" "&amp;$M117&amp;"")))),"",IF(OR($N117="",$I117="",$I117=0),"",$N117/$I117)))</f>
        <v/>
      </c>
      <c r="P117" s="349">
        <f>IF($A117="","",IF(OR(LOWER($D117&amp;"")="n/a",ISNUMBER(SEARCH("subscription",LOWER($A117&amp;" "&amp;$M117&amp;""))),ISNUMBER(SEARCH("membership",LOWER($A117&amp;" "&amp;$M117&amp;"")))),"",IF(LOWER($L117&amp;"")="yes",0,IF($K117&lt;&gt;"",$K117,IF($O117&lt;&gt;"",$O117,"")))))</f>
        <v/>
      </c>
      <c r="Q117" s="351">
        <f>IF($A117="","",IF($U117="Subscription","",IF($U117="Profit",$P117-$H117,0)))</f>
        <v/>
      </c>
      <c r="R117" s="349">
        <f>IF($A117="","",IF($U117="Subscription","",IF($U117="Draw",$H117,0)))</f>
        <v/>
      </c>
      <c r="S117" s="349">
        <f>IF($A117="","",IF($U117="Subscription","",IF($U117="Disqualified",$H117,0)))</f>
        <v/>
      </c>
      <c r="T117" s="380">
        <f>IF($A117="","",IF($U117="Subscription","",IF($H117=0,IF($U117="Profit","N/A",0),IF($U117="Profit",$Q117/$H117,IF($U117="Disqualified",-1,0)))))</f>
        <v/>
      </c>
      <c r="U117" s="351">
        <f>IF($A117="","",IF(OR(LOWER($D117&amp;"")="n/a",ISNUMBER(SEARCH("subscription",LOWER($A117&amp;" "&amp;$M117&amp;""))),ISNUMBER(SEARCH("membership",LOWER($A117&amp;" "&amp;$M117&amp;"")))),"Subscription",IF(LOWER($L117&amp;"")="yes","Disqualified",IF($P117&gt;$H117,"Profit","Draw"))))</f>
        <v/>
      </c>
      <c r="V117" s="383">
        <f>IF(OR($A117="",$B117="",$C117="",$U117="Subscription"),"",IFERROR(ROUNDUP((IF(ISNUMBER($C117),$C117,DATEVALUE($C117))-IF(ISNUMBER($B117),$B117,DATEVALUE($B117)))/7,0),""))</f>
        <v/>
      </c>
      <c r="W117" s="351">
        <f>IF($U117="Subscription","",$Q117-$S117)</f>
        <v/>
      </c>
      <c r="X117" s="384">
        <f>IF(OR($A117="",$U117="Subscription",$J117="",$I117="",$J117=0,$I117=0,$I117&gt;$J117),"",$J117-$I117)</f>
        <v/>
      </c>
      <c r="Y117" s="381">
        <f>IF(OR($A117="",$U117="Subscription",$J117="",$J117=0,$X117=""),"",$X117/$J117)</f>
        <v/>
      </c>
    </row>
    <row r="118" ht="21" customHeight="1" s="270">
      <c r="A118" s="297" t="n"/>
      <c r="B118" s="298" t="n"/>
      <c r="C118" s="298" t="n"/>
      <c r="D118" s="297" t="n"/>
      <c r="E118" s="349" t="n"/>
      <c r="F118" s="349" t="n"/>
      <c r="G118" s="349" t="n"/>
      <c r="H118" s="349" t="n"/>
      <c r="I118" s="382" t="n"/>
      <c r="J118" s="383" t="n"/>
      <c r="K118" s="351" t="n"/>
      <c r="L118" s="296" t="n"/>
      <c r="M118" s="349" t="n"/>
      <c r="N118" s="349">
        <f>IF($A118="","",IF(OR(LOWER($D118&amp;"")="n/a",ISNUMBER(SEARCH("subscription",LOWER($A118&amp;" "&amp;$M118&amp;""))),ISNUMBER(SEARCH("membership",LOWER($A118&amp;" "&amp;$M118&amp;"")))),"",IF($G118="","",IF(ISNUMBER(SEARCH("non",LOWER($E118&amp;""))),$G118*0.85,$G118))))</f>
        <v/>
      </c>
      <c r="O118" s="349">
        <f>IF($A118="","",IF(OR(LOWER($D118&amp;"")="n/a",ISNUMBER(SEARCH("subscription",LOWER($A118&amp;" "&amp;$M118&amp;""))),ISNUMBER(SEARCH("membership",LOWER($A118&amp;" "&amp;$M118&amp;"")))),"",IF(OR($N118="",$I118="",$I118=0),"",$N118/$I118)))</f>
        <v/>
      </c>
      <c r="P118" s="349">
        <f>IF($A118="","",IF(OR(LOWER($D118&amp;"")="n/a",ISNUMBER(SEARCH("subscription",LOWER($A118&amp;" "&amp;$M118&amp;""))),ISNUMBER(SEARCH("membership",LOWER($A118&amp;" "&amp;$M118&amp;"")))),"",IF(LOWER($L118&amp;"")="yes",0,IF($K118&lt;&gt;"",$K118,IF($O118&lt;&gt;"",$O118,"")))))</f>
        <v/>
      </c>
      <c r="Q118" s="351">
        <f>IF($A118="","",IF($U118="Subscription","",IF($U118="Profit",$P118-$H118,0)))</f>
        <v/>
      </c>
      <c r="R118" s="349">
        <f>IF($A118="","",IF($U118="Subscription","",IF($U118="Draw",$H118,0)))</f>
        <v/>
      </c>
      <c r="S118" s="349">
        <f>IF($A118="","",IF($U118="Subscription","",IF($U118="Disqualified",$H118,0)))</f>
        <v/>
      </c>
      <c r="T118" s="380">
        <f>IF($A118="","",IF($U118="Subscription","",IF($H118=0,IF($U118="Profit","N/A",0),IF($U118="Profit",$Q118/$H118,IF($U118="Disqualified",-1,0)))))</f>
        <v/>
      </c>
      <c r="U118" s="351">
        <f>IF($A118="","",IF(OR(LOWER($D118&amp;"")="n/a",ISNUMBER(SEARCH("subscription",LOWER($A118&amp;" "&amp;$M118&amp;""))),ISNUMBER(SEARCH("membership",LOWER($A118&amp;" "&amp;$M118&amp;"")))),"Subscription",IF(LOWER($L118&amp;"")="yes","Disqualified",IF($P118&gt;$H118,"Profit","Draw"))))</f>
        <v/>
      </c>
      <c r="V118" s="383">
        <f>IF(OR($A118="",$B118="",$C118="",$U118="Subscription"),"",IFERROR(ROUNDUP((IF(ISNUMBER($C118),$C118,DATEVALUE($C118))-IF(ISNUMBER($B118),$B118,DATEVALUE($B118)))/7,0),""))</f>
        <v/>
      </c>
      <c r="W118" s="351">
        <f>IF($U118="Subscription","",$Q118-$S118)</f>
        <v/>
      </c>
      <c r="X118" s="384">
        <f>IF(OR($A118="",$U118="Subscription",$J118="",$I118="",$J118=0,$I118=0,$I118&gt;$J118),"",$J118-$I118)</f>
        <v/>
      </c>
      <c r="Y118" s="381">
        <f>IF(OR($A118="",$U118="Subscription",$J118="",$J118=0,$X118=""),"",$X118/$J118)</f>
        <v/>
      </c>
    </row>
    <row r="119" ht="21" customHeight="1" s="270">
      <c r="A119" s="297" t="n"/>
      <c r="B119" s="298" t="n"/>
      <c r="C119" s="298" t="n"/>
      <c r="D119" s="297" t="n"/>
      <c r="E119" s="349" t="n"/>
      <c r="F119" s="349" t="n"/>
      <c r="G119" s="349" t="n"/>
      <c r="H119" s="349" t="n"/>
      <c r="I119" s="382" t="n"/>
      <c r="J119" s="383" t="n"/>
      <c r="K119" s="351" t="n"/>
      <c r="L119" s="296" t="n"/>
      <c r="M119" s="349" t="n"/>
      <c r="N119" s="349">
        <f>IF($A119="","",IF(OR(LOWER($D119&amp;"")="n/a",ISNUMBER(SEARCH("subscription",LOWER($A119&amp;" "&amp;$M119&amp;""))),ISNUMBER(SEARCH("membership",LOWER($A119&amp;" "&amp;$M119&amp;"")))),"",IF($G119="","",IF(ISNUMBER(SEARCH("non",LOWER($E119&amp;""))),$G119*0.85,$G119))))</f>
        <v/>
      </c>
      <c r="O119" s="349">
        <f>IF($A119="","",IF(OR(LOWER($D119&amp;"")="n/a",ISNUMBER(SEARCH("subscription",LOWER($A119&amp;" "&amp;$M119&amp;""))),ISNUMBER(SEARCH("membership",LOWER($A119&amp;" "&amp;$M119&amp;"")))),"",IF(OR($N119="",$I119="",$I119=0),"",$N119/$I119)))</f>
        <v/>
      </c>
      <c r="P119" s="349">
        <f>IF($A119="","",IF(OR(LOWER($D119&amp;"")="n/a",ISNUMBER(SEARCH("subscription",LOWER($A119&amp;" "&amp;$M119&amp;""))),ISNUMBER(SEARCH("membership",LOWER($A119&amp;" "&amp;$M119&amp;"")))),"",IF(LOWER($L119&amp;"")="yes",0,IF($K119&lt;&gt;"",$K119,IF($O119&lt;&gt;"",$O119,"")))))</f>
        <v/>
      </c>
      <c r="Q119" s="351">
        <f>IF($A119="","",IF($U119="Subscription","",IF($U119="Profit",$P119-$H119,0)))</f>
        <v/>
      </c>
      <c r="R119" s="349">
        <f>IF($A119="","",IF($U119="Subscription","",IF($U119="Draw",$H119,0)))</f>
        <v/>
      </c>
      <c r="S119" s="349">
        <f>IF($A119="","",IF($U119="Subscription","",IF($U119="Disqualified",$H119,0)))</f>
        <v/>
      </c>
      <c r="T119" s="380">
        <f>IF($A119="","",IF($U119="Subscription","",IF($H119=0,IF($U119="Profit","N/A",0),IF($U119="Profit",$Q119/$H119,IF($U119="Disqualified",-1,0)))))</f>
        <v/>
      </c>
      <c r="U119" s="351">
        <f>IF($A119="","",IF(OR(LOWER($D119&amp;"")="n/a",ISNUMBER(SEARCH("subscription",LOWER($A119&amp;" "&amp;$M119&amp;""))),ISNUMBER(SEARCH("membership",LOWER($A119&amp;" "&amp;$M119&amp;"")))),"Subscription",IF(LOWER($L119&amp;"")="yes","Disqualified",IF($P119&gt;$H119,"Profit","Draw"))))</f>
        <v/>
      </c>
      <c r="V119" s="383">
        <f>IF(OR($A119="",$B119="",$C119="",$U119="Subscription"),"",IFERROR(ROUNDUP((IF(ISNUMBER($C119),$C119,DATEVALUE($C119))-IF(ISNUMBER($B119),$B119,DATEVALUE($B119)))/7,0),""))</f>
        <v/>
      </c>
      <c r="W119" s="351">
        <f>IF($U119="Subscription","",$Q119-$S119)</f>
        <v/>
      </c>
      <c r="X119" s="384">
        <f>IF(OR($A119="",$U119="Subscription",$J119="",$I119="",$J119=0,$I119=0,$I119&gt;$J119),"",$J119-$I119)</f>
        <v/>
      </c>
      <c r="Y119" s="381">
        <f>IF(OR($A119="",$U119="Subscription",$J119="",$J119=0,$X119=""),"",$X119/$J119)</f>
        <v/>
      </c>
    </row>
    <row r="120" ht="21" customHeight="1" s="270">
      <c r="A120" s="297" t="n"/>
      <c r="B120" s="298" t="n"/>
      <c r="C120" s="298" t="n"/>
      <c r="D120" s="297" t="n"/>
      <c r="E120" s="349" t="n"/>
      <c r="F120" s="349" t="n"/>
      <c r="G120" s="349" t="n"/>
      <c r="H120" s="349" t="n"/>
      <c r="I120" s="382" t="n"/>
      <c r="J120" s="383" t="n"/>
      <c r="K120" s="351" t="n"/>
      <c r="L120" s="296" t="n"/>
      <c r="M120" s="349" t="n"/>
      <c r="N120" s="349">
        <f>IF($A120="","",IF(OR(LOWER($D120&amp;"")="n/a",ISNUMBER(SEARCH("subscription",LOWER($A120&amp;" "&amp;$M120&amp;""))),ISNUMBER(SEARCH("membership",LOWER($A120&amp;" "&amp;$M120&amp;"")))),"",IF($G120="","",IF(ISNUMBER(SEARCH("non",LOWER($E120&amp;""))),$G120*0.85,$G120))))</f>
        <v/>
      </c>
      <c r="O120" s="349">
        <f>IF($A120="","",IF(OR(LOWER($D120&amp;"")="n/a",ISNUMBER(SEARCH("subscription",LOWER($A120&amp;" "&amp;$M120&amp;""))),ISNUMBER(SEARCH("membership",LOWER($A120&amp;" "&amp;$M120&amp;"")))),"",IF(OR($N120="",$I120="",$I120=0),"",$N120/$I120)))</f>
        <v/>
      </c>
      <c r="P120" s="349">
        <f>IF($A120="","",IF(OR(LOWER($D120&amp;"")="n/a",ISNUMBER(SEARCH("subscription",LOWER($A120&amp;" "&amp;$M120&amp;""))),ISNUMBER(SEARCH("membership",LOWER($A120&amp;" "&amp;$M120&amp;"")))),"",IF(LOWER($L120&amp;"")="yes",0,IF($K120&lt;&gt;"",$K120,IF($O120&lt;&gt;"",$O120,"")))))</f>
        <v/>
      </c>
      <c r="Q120" s="351">
        <f>IF($A120="","",IF($U120="Subscription","",IF($U120="Profit",$P120-$H120,0)))</f>
        <v/>
      </c>
      <c r="R120" s="349">
        <f>IF($A120="","",IF($U120="Subscription","",IF($U120="Draw",$H120,0)))</f>
        <v/>
      </c>
      <c r="S120" s="349">
        <f>IF($A120="","",IF($U120="Subscription","",IF($U120="Disqualified",$H120,0)))</f>
        <v/>
      </c>
      <c r="T120" s="380">
        <f>IF($A120="","",IF($U120="Subscription","",IF($H120=0,IF($U120="Profit","N/A",0),IF($U120="Profit",$Q120/$H120,IF($U120="Disqualified",-1,0)))))</f>
        <v/>
      </c>
      <c r="U120" s="351">
        <f>IF($A120="","",IF(OR(LOWER($D120&amp;"")="n/a",ISNUMBER(SEARCH("subscription",LOWER($A120&amp;" "&amp;$M120&amp;""))),ISNUMBER(SEARCH("membership",LOWER($A120&amp;" "&amp;$M120&amp;"")))),"Subscription",IF(LOWER($L120&amp;"")="yes","Disqualified",IF($P120&gt;$H120,"Profit","Draw"))))</f>
        <v/>
      </c>
      <c r="V120" s="383">
        <f>IF(OR($A120="",$B120="",$C120="",$U120="Subscription"),"",IFERROR(ROUNDUP((IF(ISNUMBER($C120),$C120,DATEVALUE($C120))-IF(ISNUMBER($B120),$B120,DATEVALUE($B120)))/7,0),""))</f>
        <v/>
      </c>
      <c r="W120" s="351">
        <f>IF($U120="Subscription","",$Q120-$S120)</f>
        <v/>
      </c>
      <c r="X120" s="384">
        <f>IF(OR($A120="",$U120="Subscription",$J120="",$I120="",$J120=0,$I120=0,$I120&gt;$J120),"",$J120-$I120)</f>
        <v/>
      </c>
      <c r="Y120" s="381">
        <f>IF(OR($A120="",$U120="Subscription",$J120="",$J120=0,$X120=""),"",$X120/$J120)</f>
        <v/>
      </c>
    </row>
    <row r="121" ht="21" customHeight="1" s="270">
      <c r="A121" s="297" t="n"/>
      <c r="B121" s="298" t="n"/>
      <c r="C121" s="298" t="n"/>
      <c r="D121" s="297" t="n"/>
      <c r="E121" s="349" t="n"/>
      <c r="F121" s="349" t="n"/>
      <c r="G121" s="349" t="n"/>
      <c r="H121" s="349" t="n"/>
      <c r="I121" s="382" t="n"/>
      <c r="J121" s="383" t="n"/>
      <c r="K121" s="351" t="n"/>
      <c r="L121" s="296" t="n"/>
      <c r="M121" s="349" t="n"/>
      <c r="N121" s="349">
        <f>IF($A121="","",IF(OR(LOWER($D121&amp;"")="n/a",ISNUMBER(SEARCH("subscription",LOWER($A121&amp;" "&amp;$M121&amp;""))),ISNUMBER(SEARCH("membership",LOWER($A121&amp;" "&amp;$M121&amp;"")))),"",IF($G121="","",IF(ISNUMBER(SEARCH("non",LOWER($E121&amp;""))),$G121*0.85,$G121))))</f>
        <v/>
      </c>
      <c r="O121" s="349">
        <f>IF($A121="","",IF(OR(LOWER($D121&amp;"")="n/a",ISNUMBER(SEARCH("subscription",LOWER($A121&amp;" "&amp;$M121&amp;""))),ISNUMBER(SEARCH("membership",LOWER($A121&amp;" "&amp;$M121&amp;"")))),"",IF(OR($N121="",$I121="",$I121=0),"",$N121/$I121)))</f>
        <v/>
      </c>
      <c r="P121" s="349">
        <f>IF($A121="","",IF(OR(LOWER($D121&amp;"")="n/a",ISNUMBER(SEARCH("subscription",LOWER($A121&amp;" "&amp;$M121&amp;""))),ISNUMBER(SEARCH("membership",LOWER($A121&amp;" "&amp;$M121&amp;"")))),"",IF(LOWER($L121&amp;"")="yes",0,IF($K121&lt;&gt;"",$K121,IF($O121&lt;&gt;"",$O121,"")))))</f>
        <v/>
      </c>
      <c r="Q121" s="351">
        <f>IF($A121="","",IF($U121="Subscription","",IF($U121="Profit",$P121-$H121,0)))</f>
        <v/>
      </c>
      <c r="R121" s="349">
        <f>IF($A121="","",IF($U121="Subscription","",IF($U121="Draw",$H121,0)))</f>
        <v/>
      </c>
      <c r="S121" s="349">
        <f>IF($A121="","",IF($U121="Subscription","",IF($U121="Disqualified",$H121,0)))</f>
        <v/>
      </c>
      <c r="T121" s="380">
        <f>IF($A121="","",IF($U121="Subscription","",IF($H121=0,IF($U121="Profit","N/A",0),IF($U121="Profit",$Q121/$H121,IF($U121="Disqualified",-1,0)))))</f>
        <v/>
      </c>
      <c r="U121" s="351">
        <f>IF($A121="","",IF(OR(LOWER($D121&amp;"")="n/a",ISNUMBER(SEARCH("subscription",LOWER($A121&amp;" "&amp;$M121&amp;""))),ISNUMBER(SEARCH("membership",LOWER($A121&amp;" "&amp;$M121&amp;"")))),"Subscription",IF(LOWER($L121&amp;"")="yes","Disqualified",IF($P121&gt;$H121,"Profit","Draw"))))</f>
        <v/>
      </c>
      <c r="V121" s="383">
        <f>IF(OR($A121="",$B121="",$C121="",$U121="Subscription"),"",IFERROR(ROUNDUP((IF(ISNUMBER($C121),$C121,DATEVALUE($C121))-IF(ISNUMBER($B121),$B121,DATEVALUE($B121)))/7,0),""))</f>
        <v/>
      </c>
      <c r="W121" s="351">
        <f>IF($U121="Subscription","",$Q121-$S121)</f>
        <v/>
      </c>
      <c r="X121" s="384">
        <f>IF(OR($A121="",$U121="Subscription",$J121="",$I121="",$J121=0,$I121=0,$I121&gt;$J121),"",$J121-$I121)</f>
        <v/>
      </c>
      <c r="Y121" s="381">
        <f>IF(OR($A121="",$U121="Subscription",$J121="",$J121=0,$X121=""),"",$X121/$J121)</f>
        <v/>
      </c>
    </row>
    <row r="122" ht="21" customHeight="1" s="270">
      <c r="A122" s="297" t="n"/>
      <c r="B122" s="298" t="n"/>
      <c r="C122" s="298" t="n"/>
      <c r="D122" s="297" t="n"/>
      <c r="E122" s="349" t="n"/>
      <c r="F122" s="349" t="n"/>
      <c r="G122" s="349" t="n"/>
      <c r="H122" s="349" t="n"/>
      <c r="I122" s="382" t="n"/>
      <c r="J122" s="383" t="n"/>
      <c r="K122" s="351" t="n"/>
      <c r="L122" s="296" t="n"/>
      <c r="M122" s="349" t="n"/>
      <c r="N122" s="349">
        <f>IF($A122="","",IF(OR(LOWER($D122&amp;"")="n/a",ISNUMBER(SEARCH("subscription",LOWER($A122&amp;" "&amp;$M122&amp;""))),ISNUMBER(SEARCH("membership",LOWER($A122&amp;" "&amp;$M122&amp;"")))),"",IF($G122="","",IF(ISNUMBER(SEARCH("non",LOWER($E122&amp;""))),$G122*0.85,$G122))))</f>
        <v/>
      </c>
      <c r="O122" s="349">
        <f>IF($A122="","",IF(OR(LOWER($D122&amp;"")="n/a",ISNUMBER(SEARCH("subscription",LOWER($A122&amp;" "&amp;$M122&amp;""))),ISNUMBER(SEARCH("membership",LOWER($A122&amp;" "&amp;$M122&amp;"")))),"",IF(OR($N122="",$I122="",$I122=0),"",$N122/$I122)))</f>
        <v/>
      </c>
      <c r="P122" s="349">
        <f>IF($A122="","",IF(OR(LOWER($D122&amp;"")="n/a",ISNUMBER(SEARCH("subscription",LOWER($A122&amp;" "&amp;$M122&amp;""))),ISNUMBER(SEARCH("membership",LOWER($A122&amp;" "&amp;$M122&amp;"")))),"",IF(LOWER($L122&amp;"")="yes",0,IF($K122&lt;&gt;"",$K122,IF($O122&lt;&gt;"",$O122,"")))))</f>
        <v/>
      </c>
      <c r="Q122" s="351">
        <f>IF($A122="","",IF($U122="Subscription","",IF($U122="Profit",$P122-$H122,0)))</f>
        <v/>
      </c>
      <c r="R122" s="349">
        <f>IF($A122="","",IF($U122="Subscription","",IF($U122="Draw",$H122,0)))</f>
        <v/>
      </c>
      <c r="S122" s="349">
        <f>IF($A122="","",IF($U122="Subscription","",IF($U122="Disqualified",$H122,0)))</f>
        <v/>
      </c>
      <c r="T122" s="380">
        <f>IF($A122="","",IF($U122="Subscription","",IF($H122=0,IF($U122="Profit","N/A",0),IF($U122="Profit",$Q122/$H122,IF($U122="Disqualified",-1,0)))))</f>
        <v/>
      </c>
      <c r="U122" s="351">
        <f>IF($A122="","",IF(OR(LOWER($D122&amp;"")="n/a",ISNUMBER(SEARCH("subscription",LOWER($A122&amp;" "&amp;$M122&amp;""))),ISNUMBER(SEARCH("membership",LOWER($A122&amp;" "&amp;$M122&amp;"")))),"Subscription",IF(LOWER($L122&amp;"")="yes","Disqualified",IF($P122&gt;$H122,"Profit","Draw"))))</f>
        <v/>
      </c>
      <c r="V122" s="383">
        <f>IF(OR($A122="",$B122="",$C122="",$U122="Subscription"),"",IFERROR(ROUNDUP((IF(ISNUMBER($C122),$C122,DATEVALUE($C122))-IF(ISNUMBER($B122),$B122,DATEVALUE($B122)))/7,0),""))</f>
        <v/>
      </c>
      <c r="W122" s="351">
        <f>IF($U122="Subscription","",$Q122-$S122)</f>
        <v/>
      </c>
      <c r="X122" s="384">
        <f>IF(OR($A122="",$U122="Subscription",$J122="",$I122="",$J122=0,$I122=0,$I122&gt;$J122),"",$J122-$I122)</f>
        <v/>
      </c>
      <c r="Y122" s="381">
        <f>IF(OR($A122="",$U122="Subscription",$J122="",$J122=0,$X122=""),"",$X122/$J122)</f>
        <v/>
      </c>
    </row>
    <row r="123" ht="21" customHeight="1" s="270">
      <c r="A123" s="297" t="n"/>
      <c r="B123" s="298" t="n"/>
      <c r="C123" s="298" t="n"/>
      <c r="D123" s="297" t="n"/>
      <c r="E123" s="349" t="n"/>
      <c r="F123" s="349" t="n"/>
      <c r="G123" s="349" t="n"/>
      <c r="H123" s="349" t="n"/>
      <c r="I123" s="382" t="n"/>
      <c r="J123" s="383" t="n"/>
      <c r="K123" s="351" t="n"/>
      <c r="L123" s="296" t="n"/>
      <c r="M123" s="349" t="n"/>
      <c r="N123" s="349">
        <f>IF($A123="","",IF(OR(LOWER($D123&amp;"")="n/a",ISNUMBER(SEARCH("subscription",LOWER($A123&amp;" "&amp;$M123&amp;""))),ISNUMBER(SEARCH("membership",LOWER($A123&amp;" "&amp;$M123&amp;"")))),"",IF($G123="","",IF(ISNUMBER(SEARCH("non",LOWER($E123&amp;""))),$G123*0.85,$G123))))</f>
        <v/>
      </c>
      <c r="O123" s="349">
        <f>IF($A123="","",IF(OR(LOWER($D123&amp;"")="n/a",ISNUMBER(SEARCH("subscription",LOWER($A123&amp;" "&amp;$M123&amp;""))),ISNUMBER(SEARCH("membership",LOWER($A123&amp;" "&amp;$M123&amp;"")))),"",IF(OR($N123="",$I123="",$I123=0),"",$N123/$I123)))</f>
        <v/>
      </c>
      <c r="P123" s="349">
        <f>IF($A123="","",IF(OR(LOWER($D123&amp;"")="n/a",ISNUMBER(SEARCH("subscription",LOWER($A123&amp;" "&amp;$M123&amp;""))),ISNUMBER(SEARCH("membership",LOWER($A123&amp;" "&amp;$M123&amp;"")))),"",IF(LOWER($L123&amp;"")="yes",0,IF($K123&lt;&gt;"",$K123,IF($O123&lt;&gt;"",$O123,"")))))</f>
        <v/>
      </c>
      <c r="Q123" s="351">
        <f>IF($A123="","",IF($U123="Subscription","",IF($U123="Profit",$P123-$H123,0)))</f>
        <v/>
      </c>
      <c r="R123" s="349">
        <f>IF($A123="","",IF($U123="Subscription","",IF($U123="Draw",$H123,0)))</f>
        <v/>
      </c>
      <c r="S123" s="349">
        <f>IF($A123="","",IF($U123="Subscription","",IF($U123="Disqualified",$H123,0)))</f>
        <v/>
      </c>
      <c r="T123" s="380">
        <f>IF($A123="","",IF($U123="Subscription","",IF($H123=0,IF($U123="Profit","N/A",0),IF($U123="Profit",$Q123/$H123,IF($U123="Disqualified",-1,0)))))</f>
        <v/>
      </c>
      <c r="U123" s="351">
        <f>IF($A123="","",IF(OR(LOWER($D123&amp;"")="n/a",ISNUMBER(SEARCH("subscription",LOWER($A123&amp;" "&amp;$M123&amp;""))),ISNUMBER(SEARCH("membership",LOWER($A123&amp;" "&amp;$M123&amp;"")))),"Subscription",IF(LOWER($L123&amp;"")="yes","Disqualified",IF($P123&gt;$H123,"Profit","Draw"))))</f>
        <v/>
      </c>
      <c r="V123" s="383">
        <f>IF(OR($A123="",$B123="",$C123="",$U123="Subscription"),"",IFERROR(ROUNDUP((IF(ISNUMBER($C123),$C123,DATEVALUE($C123))-IF(ISNUMBER($B123),$B123,DATEVALUE($B123)))/7,0),""))</f>
        <v/>
      </c>
      <c r="W123" s="351">
        <f>IF($U123="Subscription","",$Q123-$S123)</f>
        <v/>
      </c>
      <c r="X123" s="384">
        <f>IF(OR($A123="",$U123="Subscription",$J123="",$I123="",$J123=0,$I123=0,$I123&gt;$J123),"",$J123-$I123)</f>
        <v/>
      </c>
      <c r="Y123" s="381">
        <f>IF(OR($A123="",$U123="Subscription",$J123="",$J123=0,$X123=""),"",$X123/$J123)</f>
        <v/>
      </c>
    </row>
    <row r="124" ht="21" customHeight="1" s="270">
      <c r="A124" s="297" t="n"/>
      <c r="B124" s="298" t="n"/>
      <c r="C124" s="298" t="n"/>
      <c r="D124" s="297" t="n"/>
      <c r="E124" s="349" t="n"/>
      <c r="F124" s="349" t="n"/>
      <c r="G124" s="349" t="n"/>
      <c r="H124" s="349" t="n"/>
      <c r="I124" s="382" t="n"/>
      <c r="J124" s="383" t="n"/>
      <c r="K124" s="351" t="n"/>
      <c r="L124" s="296" t="n"/>
      <c r="M124" s="349" t="n"/>
      <c r="N124" s="349">
        <f>IF($A124="","",IF(OR(LOWER($D124&amp;"")="n/a",ISNUMBER(SEARCH("subscription",LOWER($A124&amp;" "&amp;$M124&amp;""))),ISNUMBER(SEARCH("membership",LOWER($A124&amp;" "&amp;$M124&amp;"")))),"",IF($G124="","",IF(ISNUMBER(SEARCH("non",LOWER($E124&amp;""))),$G124*0.85,$G124))))</f>
        <v/>
      </c>
      <c r="O124" s="349">
        <f>IF($A124="","",IF(OR(LOWER($D124&amp;"")="n/a",ISNUMBER(SEARCH("subscription",LOWER($A124&amp;" "&amp;$M124&amp;""))),ISNUMBER(SEARCH("membership",LOWER($A124&amp;" "&amp;$M124&amp;"")))),"",IF(OR($N124="",$I124="",$I124=0),"",$N124/$I124)))</f>
        <v/>
      </c>
      <c r="P124" s="349">
        <f>IF($A124="","",IF(OR(LOWER($D124&amp;"")="n/a",ISNUMBER(SEARCH("subscription",LOWER($A124&amp;" "&amp;$M124&amp;""))),ISNUMBER(SEARCH("membership",LOWER($A124&amp;" "&amp;$M124&amp;"")))),"",IF(LOWER($L124&amp;"")="yes",0,IF($K124&lt;&gt;"",$K124,IF($O124&lt;&gt;"",$O124,"")))))</f>
        <v/>
      </c>
      <c r="Q124" s="351">
        <f>IF($A124="","",IF($U124="Subscription","",IF($U124="Profit",$P124-$H124,0)))</f>
        <v/>
      </c>
      <c r="R124" s="349">
        <f>IF($A124="","",IF($U124="Subscription","",IF($U124="Draw",$H124,0)))</f>
        <v/>
      </c>
      <c r="S124" s="349">
        <f>IF($A124="","",IF($U124="Subscription","",IF($U124="Disqualified",$H124,0)))</f>
        <v/>
      </c>
      <c r="T124" s="380">
        <f>IF($A124="","",IF($U124="Subscription","",IF($H124=0,IF($U124="Profit","N/A",0),IF($U124="Profit",$Q124/$H124,IF($U124="Disqualified",-1,0)))))</f>
        <v/>
      </c>
      <c r="U124" s="351">
        <f>IF($A124="","",IF(OR(LOWER($D124&amp;"")="n/a",ISNUMBER(SEARCH("subscription",LOWER($A124&amp;" "&amp;$M124&amp;""))),ISNUMBER(SEARCH("membership",LOWER($A124&amp;" "&amp;$M124&amp;"")))),"Subscription",IF(LOWER($L124&amp;"")="yes","Disqualified",IF($P124&gt;$H124,"Profit","Draw"))))</f>
        <v/>
      </c>
      <c r="V124" s="383">
        <f>IF(OR($A124="",$B124="",$C124="",$U124="Subscription"),"",IFERROR(ROUNDUP((IF(ISNUMBER($C124),$C124,DATEVALUE($C124))-IF(ISNUMBER($B124),$B124,DATEVALUE($B124)))/7,0),""))</f>
        <v/>
      </c>
      <c r="W124" s="351">
        <f>IF($U124="Subscription","",$Q124-$S124)</f>
        <v/>
      </c>
      <c r="X124" s="384">
        <f>IF(OR($A124="",$U124="Subscription",$J124="",$I124="",$J124=0,$I124=0,$I124&gt;$J124),"",$J124-$I124)</f>
        <v/>
      </c>
      <c r="Y124" s="381">
        <f>IF(OR($A124="",$U124="Subscription",$J124="",$J124=0,$X124=""),"",$X124/$J124)</f>
        <v/>
      </c>
    </row>
    <row r="125" ht="21" customHeight="1" s="270">
      <c r="A125" s="297" t="n"/>
      <c r="B125" s="298" t="n"/>
      <c r="C125" s="298" t="n"/>
      <c r="D125" s="297" t="n"/>
      <c r="E125" s="349" t="n"/>
      <c r="F125" s="349" t="n"/>
      <c r="G125" s="349" t="n"/>
      <c r="H125" s="349" t="n"/>
      <c r="I125" s="382" t="n"/>
      <c r="J125" s="383" t="n"/>
      <c r="K125" s="351" t="n"/>
      <c r="L125" s="296" t="n"/>
      <c r="M125" s="349" t="n"/>
      <c r="N125" s="349">
        <f>IF($A125="","",IF(OR(LOWER($D125&amp;"")="n/a",ISNUMBER(SEARCH("subscription",LOWER($A125&amp;" "&amp;$M125&amp;""))),ISNUMBER(SEARCH("membership",LOWER($A125&amp;" "&amp;$M125&amp;"")))),"",IF($G125="","",IF(ISNUMBER(SEARCH("non",LOWER($E125&amp;""))),$G125*0.85,$G125))))</f>
        <v/>
      </c>
      <c r="O125" s="349">
        <f>IF($A125="","",IF(OR(LOWER($D125&amp;"")="n/a",ISNUMBER(SEARCH("subscription",LOWER($A125&amp;" "&amp;$M125&amp;""))),ISNUMBER(SEARCH("membership",LOWER($A125&amp;" "&amp;$M125&amp;"")))),"",IF(OR($N125="",$I125="",$I125=0),"",$N125/$I125)))</f>
        <v/>
      </c>
      <c r="P125" s="349">
        <f>IF($A125="","",IF(OR(LOWER($D125&amp;"")="n/a",ISNUMBER(SEARCH("subscription",LOWER($A125&amp;" "&amp;$M125&amp;""))),ISNUMBER(SEARCH("membership",LOWER($A125&amp;" "&amp;$M125&amp;"")))),"",IF(LOWER($L125&amp;"")="yes",0,IF($K125&lt;&gt;"",$K125,IF($O125&lt;&gt;"",$O125,"")))))</f>
        <v/>
      </c>
      <c r="Q125" s="351">
        <f>IF($A125="","",IF($U125="Subscription","",IF($U125="Profit",$P125-$H125,0)))</f>
        <v/>
      </c>
      <c r="R125" s="349">
        <f>IF($A125="","",IF($U125="Subscription","",IF($U125="Draw",$H125,0)))</f>
        <v/>
      </c>
      <c r="S125" s="349">
        <f>IF($A125="","",IF($U125="Subscription","",IF($U125="Disqualified",$H125,0)))</f>
        <v/>
      </c>
      <c r="T125" s="380">
        <f>IF($A125="","",IF($U125="Subscription","",IF($H125=0,IF($U125="Profit","N/A",0),IF($U125="Profit",$Q125/$H125,IF($U125="Disqualified",-1,0)))))</f>
        <v/>
      </c>
      <c r="U125" s="351">
        <f>IF($A125="","",IF(OR(LOWER($D125&amp;"")="n/a",ISNUMBER(SEARCH("subscription",LOWER($A125&amp;" "&amp;$M125&amp;""))),ISNUMBER(SEARCH("membership",LOWER($A125&amp;" "&amp;$M125&amp;"")))),"Subscription",IF(LOWER($L125&amp;"")="yes","Disqualified",IF($P125&gt;$H125,"Profit","Draw"))))</f>
        <v/>
      </c>
      <c r="V125" s="383">
        <f>IF(OR($A125="",$B125="",$C125="",$U125="Subscription"),"",IFERROR(ROUNDUP((IF(ISNUMBER($C125),$C125,DATEVALUE($C125))-IF(ISNUMBER($B125),$B125,DATEVALUE($B125)))/7,0),""))</f>
        <v/>
      </c>
      <c r="W125" s="351">
        <f>IF($U125="Subscription","",$Q125-$S125)</f>
        <v/>
      </c>
      <c r="X125" s="384">
        <f>IF(OR($A125="",$U125="Subscription",$J125="",$I125="",$J125=0,$I125=0,$I125&gt;$J125),"",$J125-$I125)</f>
        <v/>
      </c>
      <c r="Y125" s="381">
        <f>IF(OR($A125="",$U125="Subscription",$J125="",$J125=0,$X125=""),"",$X125/$J125)</f>
        <v/>
      </c>
    </row>
    <row r="126" ht="21" customHeight="1" s="270">
      <c r="A126" s="297" t="n"/>
      <c r="B126" s="298" t="n"/>
      <c r="C126" s="298" t="n"/>
      <c r="D126" s="297" t="n"/>
      <c r="E126" s="349" t="n"/>
      <c r="F126" s="349" t="n"/>
      <c r="G126" s="349" t="n"/>
      <c r="H126" s="349" t="n"/>
      <c r="I126" s="382" t="n"/>
      <c r="J126" s="383" t="n"/>
      <c r="K126" s="351" t="n"/>
      <c r="L126" s="296" t="n"/>
      <c r="M126" s="349" t="n"/>
      <c r="N126" s="349">
        <f>IF($A126="","",IF(OR(LOWER($D126&amp;"")="n/a",ISNUMBER(SEARCH("subscription",LOWER($A126&amp;" "&amp;$M126&amp;""))),ISNUMBER(SEARCH("membership",LOWER($A126&amp;" "&amp;$M126&amp;"")))),"",IF($G126="","",IF(ISNUMBER(SEARCH("non",LOWER($E126&amp;""))),$G126*0.85,$G126))))</f>
        <v/>
      </c>
      <c r="O126" s="349">
        <f>IF($A126="","",IF(OR(LOWER($D126&amp;"")="n/a",ISNUMBER(SEARCH("subscription",LOWER($A126&amp;" "&amp;$M126&amp;""))),ISNUMBER(SEARCH("membership",LOWER($A126&amp;" "&amp;$M126&amp;"")))),"",IF(OR($N126="",$I126="",$I126=0),"",$N126/$I126)))</f>
        <v/>
      </c>
      <c r="P126" s="349">
        <f>IF($A126="","",IF(OR(LOWER($D126&amp;"")="n/a",ISNUMBER(SEARCH("subscription",LOWER($A126&amp;" "&amp;$M126&amp;""))),ISNUMBER(SEARCH("membership",LOWER($A126&amp;" "&amp;$M126&amp;"")))),"",IF(LOWER($L126&amp;"")="yes",0,IF($K126&lt;&gt;"",$K126,IF($O126&lt;&gt;"",$O126,"")))))</f>
        <v/>
      </c>
      <c r="Q126" s="351">
        <f>IF($A126="","",IF($U126="Subscription","",IF($U126="Profit",$P126-$H126,0)))</f>
        <v/>
      </c>
      <c r="R126" s="349">
        <f>IF($A126="","",IF($U126="Subscription","",IF($U126="Draw",$H126,0)))</f>
        <v/>
      </c>
      <c r="S126" s="349">
        <f>IF($A126="","",IF($U126="Subscription","",IF($U126="Disqualified",$H126,0)))</f>
        <v/>
      </c>
      <c r="T126" s="380">
        <f>IF($A126="","",IF($U126="Subscription","",IF($H126=0,IF($U126="Profit","N/A",0),IF($U126="Profit",$Q126/$H126,IF($U126="Disqualified",-1,0)))))</f>
        <v/>
      </c>
      <c r="U126" s="351">
        <f>IF($A126="","",IF(OR(LOWER($D126&amp;"")="n/a",ISNUMBER(SEARCH("subscription",LOWER($A126&amp;" "&amp;$M126&amp;""))),ISNUMBER(SEARCH("membership",LOWER($A126&amp;" "&amp;$M126&amp;"")))),"Subscription",IF(LOWER($L126&amp;"")="yes","Disqualified",IF($P126&gt;$H126,"Profit","Draw"))))</f>
        <v/>
      </c>
      <c r="V126" s="383">
        <f>IF(OR($A126="",$B126="",$C126="",$U126="Subscription"),"",IFERROR(ROUNDUP((IF(ISNUMBER($C126),$C126,DATEVALUE($C126))-IF(ISNUMBER($B126),$B126,DATEVALUE($B126)))/7,0),""))</f>
        <v/>
      </c>
      <c r="W126" s="351">
        <f>IF($U126="Subscription","",$Q126-$S126)</f>
        <v/>
      </c>
      <c r="X126" s="384">
        <f>IF(OR($A126="",$U126="Subscription",$J126="",$I126="",$J126=0,$I126=0,$I126&gt;$J126),"",$J126-$I126)</f>
        <v/>
      </c>
      <c r="Y126" s="381">
        <f>IF(OR($A126="",$U126="Subscription",$J126="",$J126=0,$X126=""),"",$X126/$J126)</f>
        <v/>
      </c>
    </row>
    <row r="127" ht="21" customHeight="1" s="270">
      <c r="A127" s="297" t="n"/>
      <c r="B127" s="298" t="n"/>
      <c r="C127" s="298" t="n"/>
      <c r="D127" s="297" t="n"/>
      <c r="E127" s="349" t="n"/>
      <c r="F127" s="349" t="n"/>
      <c r="G127" s="349" t="n"/>
      <c r="H127" s="349" t="n"/>
      <c r="I127" s="382" t="n"/>
      <c r="J127" s="383" t="n"/>
      <c r="K127" s="351" t="n"/>
      <c r="L127" s="296" t="n"/>
      <c r="M127" s="349" t="n"/>
      <c r="N127" s="349">
        <f>IF($A127="","",IF(OR(LOWER($D127&amp;"")="n/a",ISNUMBER(SEARCH("subscription",LOWER($A127&amp;" "&amp;$M127&amp;""))),ISNUMBER(SEARCH("membership",LOWER($A127&amp;" "&amp;$M127&amp;"")))),"",IF($G127="","",IF(ISNUMBER(SEARCH("non",LOWER($E127&amp;""))),$G127*0.85,$G127))))</f>
        <v/>
      </c>
      <c r="O127" s="349">
        <f>IF($A127="","",IF(OR(LOWER($D127&amp;"")="n/a",ISNUMBER(SEARCH("subscription",LOWER($A127&amp;" "&amp;$M127&amp;""))),ISNUMBER(SEARCH("membership",LOWER($A127&amp;" "&amp;$M127&amp;"")))),"",IF(OR($N127="",$I127="",$I127=0),"",$N127/$I127)))</f>
        <v/>
      </c>
      <c r="P127" s="349">
        <f>IF($A127="","",IF(OR(LOWER($D127&amp;"")="n/a",ISNUMBER(SEARCH("subscription",LOWER($A127&amp;" "&amp;$M127&amp;""))),ISNUMBER(SEARCH("membership",LOWER($A127&amp;" "&amp;$M127&amp;"")))),"",IF(LOWER($L127&amp;"")="yes",0,IF($K127&lt;&gt;"",$K127,IF($O127&lt;&gt;"",$O127,"")))))</f>
        <v/>
      </c>
      <c r="Q127" s="351">
        <f>IF($A127="","",IF($U127="Subscription","",IF($U127="Profit",$P127-$H127,0)))</f>
        <v/>
      </c>
      <c r="R127" s="349">
        <f>IF($A127="","",IF($U127="Subscription","",IF($U127="Draw",$H127,0)))</f>
        <v/>
      </c>
      <c r="S127" s="349">
        <f>IF($A127="","",IF($U127="Subscription","",IF($U127="Disqualified",$H127,0)))</f>
        <v/>
      </c>
      <c r="T127" s="380">
        <f>IF($A127="","",IF($U127="Subscription","",IF($H127=0,IF($U127="Profit","N/A",0),IF($U127="Profit",$Q127/$H127,IF($U127="Disqualified",-1,0)))))</f>
        <v/>
      </c>
      <c r="U127" s="351">
        <f>IF($A127="","",IF(OR(LOWER($D127&amp;"")="n/a",ISNUMBER(SEARCH("subscription",LOWER($A127&amp;" "&amp;$M127&amp;""))),ISNUMBER(SEARCH("membership",LOWER($A127&amp;" "&amp;$M127&amp;"")))),"Subscription",IF(LOWER($L127&amp;"")="yes","Disqualified",IF($P127&gt;$H127,"Profit","Draw"))))</f>
        <v/>
      </c>
      <c r="V127" s="383">
        <f>IF(OR($A127="",$B127="",$C127="",$U127="Subscription"),"",IFERROR(ROUNDUP((IF(ISNUMBER($C127),$C127,DATEVALUE($C127))-IF(ISNUMBER($B127),$B127,DATEVALUE($B127)))/7,0),""))</f>
        <v/>
      </c>
      <c r="W127" s="351">
        <f>IF($U127="Subscription","",$Q127-$S127)</f>
        <v/>
      </c>
      <c r="X127" s="384">
        <f>IF(OR($A127="",$U127="Subscription",$J127="",$I127="",$J127=0,$I127=0,$I127&gt;$J127),"",$J127-$I127)</f>
        <v/>
      </c>
      <c r="Y127" s="381">
        <f>IF(OR($A127="",$U127="Subscription",$J127="",$J127=0,$X127=""),"",$X127/$J127)</f>
        <v/>
      </c>
    </row>
    <row r="128" ht="21" customHeight="1" s="270">
      <c r="A128" s="297" t="n"/>
      <c r="B128" s="298" t="n"/>
      <c r="C128" s="298" t="n"/>
      <c r="D128" s="297" t="n"/>
      <c r="E128" s="349" t="n"/>
      <c r="F128" s="349" t="n"/>
      <c r="G128" s="349" t="n"/>
      <c r="H128" s="349" t="n"/>
      <c r="I128" s="382" t="n"/>
      <c r="J128" s="383" t="n"/>
      <c r="K128" s="351" t="n"/>
      <c r="L128" s="296" t="n"/>
      <c r="M128" s="349" t="n"/>
      <c r="N128" s="349">
        <f>IF($A128="","",IF(OR(LOWER($D128&amp;"")="n/a",ISNUMBER(SEARCH("subscription",LOWER($A128&amp;" "&amp;$M128&amp;""))),ISNUMBER(SEARCH("membership",LOWER($A128&amp;" "&amp;$M128&amp;"")))),"",IF($G128="","",IF(ISNUMBER(SEARCH("non",LOWER($E128&amp;""))),$G128*0.85,$G128))))</f>
        <v/>
      </c>
      <c r="O128" s="349">
        <f>IF($A128="","",IF(OR(LOWER($D128&amp;"")="n/a",ISNUMBER(SEARCH("subscription",LOWER($A128&amp;" "&amp;$M128&amp;""))),ISNUMBER(SEARCH("membership",LOWER($A128&amp;" "&amp;$M128&amp;"")))),"",IF(OR($N128="",$I128="",$I128=0),"",$N128/$I128)))</f>
        <v/>
      </c>
      <c r="P128" s="349">
        <f>IF($A128="","",IF(OR(LOWER($D128&amp;"")="n/a",ISNUMBER(SEARCH("subscription",LOWER($A128&amp;" "&amp;$M128&amp;""))),ISNUMBER(SEARCH("membership",LOWER($A128&amp;" "&amp;$M128&amp;"")))),"",IF(LOWER($L128&amp;"")="yes",0,IF($K128&lt;&gt;"",$K128,IF($O128&lt;&gt;"",$O128,"")))))</f>
        <v/>
      </c>
      <c r="Q128" s="351">
        <f>IF($A128="","",IF($U128="Subscription","",IF($U128="Profit",$P128-$H128,0)))</f>
        <v/>
      </c>
      <c r="R128" s="349">
        <f>IF($A128="","",IF($U128="Subscription","",IF($U128="Draw",$H128,0)))</f>
        <v/>
      </c>
      <c r="S128" s="349">
        <f>IF($A128="","",IF($U128="Subscription","",IF($U128="Disqualified",$H128,0)))</f>
        <v/>
      </c>
      <c r="T128" s="380">
        <f>IF($A128="","",IF($U128="Subscription","",IF($H128=0,IF($U128="Profit","N/A",0),IF($U128="Profit",$Q128/$H128,IF($U128="Disqualified",-1,0)))))</f>
        <v/>
      </c>
      <c r="U128" s="351">
        <f>IF($A128="","",IF(OR(LOWER($D128&amp;"")="n/a",ISNUMBER(SEARCH("subscription",LOWER($A128&amp;" "&amp;$M128&amp;""))),ISNUMBER(SEARCH("membership",LOWER($A128&amp;" "&amp;$M128&amp;"")))),"Subscription",IF(LOWER($L128&amp;"")="yes","Disqualified",IF($P128&gt;$H128,"Profit","Draw"))))</f>
        <v/>
      </c>
      <c r="V128" s="383">
        <f>IF(OR($A128="",$B128="",$C128="",$U128="Subscription"),"",IFERROR(ROUNDUP((IF(ISNUMBER($C128),$C128,DATEVALUE($C128))-IF(ISNUMBER($B128),$B128,DATEVALUE($B128)))/7,0),""))</f>
        <v/>
      </c>
      <c r="W128" s="351">
        <f>IF($U128="Subscription","",$Q128-$S128)</f>
        <v/>
      </c>
      <c r="X128" s="384">
        <f>IF(OR($A128="",$U128="Subscription",$J128="",$I128="",$J128=0,$I128=0,$I128&gt;$J128),"",$J128-$I128)</f>
        <v/>
      </c>
      <c r="Y128" s="381">
        <f>IF(OR($A128="",$U128="Subscription",$J128="",$J128=0,$X128=""),"",$X128/$J128)</f>
        <v/>
      </c>
    </row>
    <row r="129" ht="21" customHeight="1" s="270">
      <c r="A129" s="297" t="n"/>
      <c r="B129" s="298" t="n"/>
      <c r="C129" s="298" t="n"/>
      <c r="D129" s="297" t="n"/>
      <c r="E129" s="349" t="n"/>
      <c r="F129" s="349" t="n"/>
      <c r="G129" s="349" t="n"/>
      <c r="H129" s="349" t="n"/>
      <c r="I129" s="382" t="n"/>
      <c r="J129" s="383" t="n"/>
      <c r="K129" s="351" t="n"/>
      <c r="L129" s="296" t="n"/>
      <c r="M129" s="349" t="n"/>
      <c r="N129" s="349">
        <f>IF($A129="","",IF(OR(LOWER($D129&amp;"")="n/a",ISNUMBER(SEARCH("subscription",LOWER($A129&amp;" "&amp;$M129&amp;""))),ISNUMBER(SEARCH("membership",LOWER($A129&amp;" "&amp;$M129&amp;"")))),"",IF($G129="","",IF(ISNUMBER(SEARCH("non",LOWER($E129&amp;""))),$G129*0.85,$G129))))</f>
        <v/>
      </c>
      <c r="O129" s="349">
        <f>IF($A129="","",IF(OR(LOWER($D129&amp;"")="n/a",ISNUMBER(SEARCH("subscription",LOWER($A129&amp;" "&amp;$M129&amp;""))),ISNUMBER(SEARCH("membership",LOWER($A129&amp;" "&amp;$M129&amp;"")))),"",IF(OR($N129="",$I129="",$I129=0),"",$N129/$I129)))</f>
        <v/>
      </c>
      <c r="P129" s="349">
        <f>IF($A129="","",IF(OR(LOWER($D129&amp;"")="n/a",ISNUMBER(SEARCH("subscription",LOWER($A129&amp;" "&amp;$M129&amp;""))),ISNUMBER(SEARCH("membership",LOWER($A129&amp;" "&amp;$M129&amp;"")))),"",IF(LOWER($L129&amp;"")="yes",0,IF($K129&lt;&gt;"",$K129,IF($O129&lt;&gt;"",$O129,"")))))</f>
        <v/>
      </c>
      <c r="Q129" s="351">
        <f>IF($A129="","",IF($U129="Subscription","",IF($U129="Profit",$P129-$H129,0)))</f>
        <v/>
      </c>
      <c r="R129" s="349">
        <f>IF($A129="","",IF($U129="Subscription","",IF($U129="Draw",$H129,0)))</f>
        <v/>
      </c>
      <c r="S129" s="349">
        <f>IF($A129="","",IF($U129="Subscription","",IF($U129="Disqualified",$H129,0)))</f>
        <v/>
      </c>
      <c r="T129" s="380">
        <f>IF($A129="","",IF($U129="Subscription","",IF($H129=0,IF($U129="Profit","N/A",0),IF($U129="Profit",$Q129/$H129,IF($U129="Disqualified",-1,0)))))</f>
        <v/>
      </c>
      <c r="U129" s="351">
        <f>IF($A129="","",IF(OR(LOWER($D129&amp;"")="n/a",ISNUMBER(SEARCH("subscription",LOWER($A129&amp;" "&amp;$M129&amp;""))),ISNUMBER(SEARCH("membership",LOWER($A129&amp;" "&amp;$M129&amp;"")))),"Subscription",IF(LOWER($L129&amp;"")="yes","Disqualified",IF($P129&gt;$H129,"Profit","Draw"))))</f>
        <v/>
      </c>
      <c r="V129" s="383">
        <f>IF(OR($A129="",$B129="",$C129="",$U129="Subscription"),"",IFERROR(ROUNDUP((IF(ISNUMBER($C129),$C129,DATEVALUE($C129))-IF(ISNUMBER($B129),$B129,DATEVALUE($B129)))/7,0),""))</f>
        <v/>
      </c>
      <c r="W129" s="351">
        <f>IF($U129="Subscription","",$Q129-$S129)</f>
        <v/>
      </c>
      <c r="X129" s="384">
        <f>IF(OR($A129="",$U129="Subscription",$J129="",$I129="",$J129=0,$I129=0,$I129&gt;$J129),"",$J129-$I129)</f>
        <v/>
      </c>
      <c r="Y129" s="381">
        <f>IF(OR($A129="",$U129="Subscription",$J129="",$J129=0,$X129=""),"",$X129/$J129)</f>
        <v/>
      </c>
    </row>
    <row r="130" ht="21" customHeight="1" s="270">
      <c r="A130" s="297" t="n"/>
      <c r="B130" s="298" t="n"/>
      <c r="C130" s="298" t="n"/>
      <c r="D130" s="297" t="n"/>
      <c r="E130" s="349" t="n"/>
      <c r="F130" s="349" t="n"/>
      <c r="G130" s="349" t="n"/>
      <c r="H130" s="349" t="n"/>
      <c r="I130" s="382" t="n"/>
      <c r="J130" s="383" t="n"/>
      <c r="K130" s="351" t="n"/>
      <c r="L130" s="296" t="n"/>
      <c r="M130" s="349" t="n"/>
      <c r="N130" s="349">
        <f>IF($A130="","",IF(OR(LOWER($D130&amp;"")="n/a",ISNUMBER(SEARCH("subscription",LOWER($A130&amp;" "&amp;$M130&amp;""))),ISNUMBER(SEARCH("membership",LOWER($A130&amp;" "&amp;$M130&amp;"")))),"",IF($G130="","",IF(ISNUMBER(SEARCH("non",LOWER($E130&amp;""))),$G130*0.85,$G130))))</f>
        <v/>
      </c>
      <c r="O130" s="349">
        <f>IF($A130="","",IF(OR(LOWER($D130&amp;"")="n/a",ISNUMBER(SEARCH("subscription",LOWER($A130&amp;" "&amp;$M130&amp;""))),ISNUMBER(SEARCH("membership",LOWER($A130&amp;" "&amp;$M130&amp;"")))),"",IF(OR($N130="",$I130="",$I130=0),"",$N130/$I130)))</f>
        <v/>
      </c>
      <c r="P130" s="349">
        <f>IF($A130="","",IF(OR(LOWER($D130&amp;"")="n/a",ISNUMBER(SEARCH("subscription",LOWER($A130&amp;" "&amp;$M130&amp;""))),ISNUMBER(SEARCH("membership",LOWER($A130&amp;" "&amp;$M130&amp;"")))),"",IF(LOWER($L130&amp;"")="yes",0,IF($K130&lt;&gt;"",$K130,IF($O130&lt;&gt;"",$O130,"")))))</f>
        <v/>
      </c>
      <c r="Q130" s="351">
        <f>IF($A130="","",IF($U130="Subscription","",IF($U130="Profit",$P130-$H130,0)))</f>
        <v/>
      </c>
      <c r="R130" s="349">
        <f>IF($A130="","",IF($U130="Subscription","",IF($U130="Draw",$H130,0)))</f>
        <v/>
      </c>
      <c r="S130" s="349">
        <f>IF($A130="","",IF($U130="Subscription","",IF($U130="Disqualified",$H130,0)))</f>
        <v/>
      </c>
      <c r="T130" s="380">
        <f>IF($A130="","",IF($U130="Subscription","",IF($H130=0,IF($U130="Profit","N/A",0),IF($U130="Profit",$Q130/$H130,IF($U130="Disqualified",-1,0)))))</f>
        <v/>
      </c>
      <c r="U130" s="351">
        <f>IF($A130="","",IF(OR(LOWER($D130&amp;"")="n/a",ISNUMBER(SEARCH("subscription",LOWER($A130&amp;" "&amp;$M130&amp;""))),ISNUMBER(SEARCH("membership",LOWER($A130&amp;" "&amp;$M130&amp;"")))),"Subscription",IF(LOWER($L130&amp;"")="yes","Disqualified",IF($P130&gt;$H130,"Profit","Draw"))))</f>
        <v/>
      </c>
      <c r="V130" s="383">
        <f>IF(OR($A130="",$B130="",$C130="",$U130="Subscription"),"",IFERROR(ROUNDUP((IF(ISNUMBER($C130),$C130,DATEVALUE($C130))-IF(ISNUMBER($B130),$B130,DATEVALUE($B130)))/7,0),""))</f>
        <v/>
      </c>
      <c r="W130" s="351">
        <f>IF($U130="Subscription","",$Q130-$S130)</f>
        <v/>
      </c>
      <c r="X130" s="384">
        <f>IF(OR($A130="",$U130="Subscription",$J130="",$I130="",$J130=0,$I130=0,$I130&gt;$J130),"",$J130-$I130)</f>
        <v/>
      </c>
      <c r="Y130" s="381">
        <f>IF(OR($A130="",$U130="Subscription",$J130="",$J130=0,$X130=""),"",$X130/$J130)</f>
        <v/>
      </c>
    </row>
    <row r="131" ht="21" customHeight="1" s="270">
      <c r="A131" s="297" t="n"/>
      <c r="B131" s="298" t="n"/>
      <c r="C131" s="298" t="n"/>
      <c r="D131" s="297" t="n"/>
      <c r="E131" s="349" t="n"/>
      <c r="F131" s="349" t="n"/>
      <c r="G131" s="349" t="n"/>
      <c r="H131" s="349" t="n"/>
      <c r="I131" s="382" t="n"/>
      <c r="J131" s="383" t="n"/>
      <c r="K131" s="351" t="n"/>
      <c r="L131" s="296" t="n"/>
      <c r="M131" s="349" t="n"/>
      <c r="N131" s="349">
        <f>IF($A131="","",IF(OR(LOWER($D131&amp;"")="n/a",ISNUMBER(SEARCH("subscription",LOWER($A131&amp;" "&amp;$M131&amp;""))),ISNUMBER(SEARCH("membership",LOWER($A131&amp;" "&amp;$M131&amp;"")))),"",IF($G131="","",IF(ISNUMBER(SEARCH("non",LOWER($E131&amp;""))),$G131*0.85,$G131))))</f>
        <v/>
      </c>
      <c r="O131" s="349">
        <f>IF($A131="","",IF(OR(LOWER($D131&amp;"")="n/a",ISNUMBER(SEARCH("subscription",LOWER($A131&amp;" "&amp;$M131&amp;""))),ISNUMBER(SEARCH("membership",LOWER($A131&amp;" "&amp;$M131&amp;"")))),"",IF(OR($N131="",$I131="",$I131=0),"",$N131/$I131)))</f>
        <v/>
      </c>
      <c r="P131" s="349">
        <f>IF($A131="","",IF(OR(LOWER($D131&amp;"")="n/a",ISNUMBER(SEARCH("subscription",LOWER($A131&amp;" "&amp;$M131&amp;""))),ISNUMBER(SEARCH("membership",LOWER($A131&amp;" "&amp;$M131&amp;"")))),"",IF(LOWER($L131&amp;"")="yes",0,IF($K131&lt;&gt;"",$K131,IF($O131&lt;&gt;"",$O131,"")))))</f>
        <v/>
      </c>
      <c r="Q131" s="351">
        <f>IF($A131="","",IF($U131="Subscription","",IF($U131="Profit",$P131-$H131,0)))</f>
        <v/>
      </c>
      <c r="R131" s="349">
        <f>IF($A131="","",IF($U131="Subscription","",IF($U131="Draw",$H131,0)))</f>
        <v/>
      </c>
      <c r="S131" s="349">
        <f>IF($A131="","",IF($U131="Subscription","",IF($U131="Disqualified",$H131,0)))</f>
        <v/>
      </c>
      <c r="T131" s="380">
        <f>IF($A131="","",IF($U131="Subscription","",IF($H131=0,IF($U131="Profit","N/A",0),IF($U131="Profit",$Q131/$H131,IF($U131="Disqualified",-1,0)))))</f>
        <v/>
      </c>
      <c r="U131" s="351">
        <f>IF($A131="","",IF(OR(LOWER($D131&amp;"")="n/a",ISNUMBER(SEARCH("subscription",LOWER($A131&amp;" "&amp;$M131&amp;""))),ISNUMBER(SEARCH("membership",LOWER($A131&amp;" "&amp;$M131&amp;"")))),"Subscription",IF(LOWER($L131&amp;"")="yes","Disqualified",IF($P131&gt;$H131,"Profit","Draw"))))</f>
        <v/>
      </c>
      <c r="V131" s="383">
        <f>IF(OR($A131="",$B131="",$C131="",$U131="Subscription"),"",IFERROR(ROUNDUP((IF(ISNUMBER($C131),$C131,DATEVALUE($C131))-IF(ISNUMBER($B131),$B131,DATEVALUE($B131)))/7,0),""))</f>
        <v/>
      </c>
      <c r="W131" s="351">
        <f>IF($U131="Subscription","",$Q131-$S131)</f>
        <v/>
      </c>
      <c r="X131" s="384">
        <f>IF(OR($A131="",$U131="Subscription",$J131="",$I131="",$J131=0,$I131=0,$I131&gt;$J131),"",$J131-$I131)</f>
        <v/>
      </c>
      <c r="Y131" s="381">
        <f>IF(OR($A131="",$U131="Subscription",$J131="",$J131=0,$X131=""),"",$X131/$J131)</f>
        <v/>
      </c>
    </row>
    <row r="132" ht="21" customHeight="1" s="270">
      <c r="A132" s="297" t="n"/>
      <c r="B132" s="298" t="n"/>
      <c r="C132" s="298" t="n"/>
      <c r="D132" s="297" t="n"/>
      <c r="E132" s="349" t="n"/>
      <c r="F132" s="349" t="n"/>
      <c r="G132" s="349" t="n"/>
      <c r="H132" s="349" t="n"/>
      <c r="I132" s="382" t="n"/>
      <c r="J132" s="383" t="n"/>
      <c r="K132" s="351" t="n"/>
      <c r="L132" s="296" t="n"/>
      <c r="M132" s="349" t="n"/>
      <c r="N132" s="349">
        <f>IF($A132="","",IF(OR(LOWER($D132&amp;"")="n/a",ISNUMBER(SEARCH("subscription",LOWER($A132&amp;" "&amp;$M132&amp;""))),ISNUMBER(SEARCH("membership",LOWER($A132&amp;" "&amp;$M132&amp;"")))),"",IF($G132="","",IF(ISNUMBER(SEARCH("non",LOWER($E132&amp;""))),$G132*0.85,$G132))))</f>
        <v/>
      </c>
      <c r="O132" s="349">
        <f>IF($A132="","",IF(OR(LOWER($D132&amp;"")="n/a",ISNUMBER(SEARCH("subscription",LOWER($A132&amp;" "&amp;$M132&amp;""))),ISNUMBER(SEARCH("membership",LOWER($A132&amp;" "&amp;$M132&amp;"")))),"",IF(OR($N132="",$I132="",$I132=0),"",$N132/$I132)))</f>
        <v/>
      </c>
      <c r="P132" s="349">
        <f>IF($A132="","",IF(OR(LOWER($D132&amp;"")="n/a",ISNUMBER(SEARCH("subscription",LOWER($A132&amp;" "&amp;$M132&amp;""))),ISNUMBER(SEARCH("membership",LOWER($A132&amp;" "&amp;$M132&amp;"")))),"",IF(LOWER($L132&amp;"")="yes",0,IF($K132&lt;&gt;"",$K132,IF($O132&lt;&gt;"",$O132,"")))))</f>
        <v/>
      </c>
      <c r="Q132" s="351">
        <f>IF($A132="","",IF($U132="Subscription","",IF($U132="Profit",$P132-$H132,0)))</f>
        <v/>
      </c>
      <c r="R132" s="349">
        <f>IF($A132="","",IF($U132="Subscription","",IF($U132="Draw",$H132,0)))</f>
        <v/>
      </c>
      <c r="S132" s="349">
        <f>IF($A132="","",IF($U132="Subscription","",IF($U132="Disqualified",$H132,0)))</f>
        <v/>
      </c>
      <c r="T132" s="380">
        <f>IF($A132="","",IF($U132="Subscription","",IF($H132=0,IF($U132="Profit","N/A",0),IF($U132="Profit",$Q132/$H132,IF($U132="Disqualified",-1,0)))))</f>
        <v/>
      </c>
      <c r="U132" s="351">
        <f>IF($A132="","",IF(OR(LOWER($D132&amp;"")="n/a",ISNUMBER(SEARCH("subscription",LOWER($A132&amp;" "&amp;$M132&amp;""))),ISNUMBER(SEARCH("membership",LOWER($A132&amp;" "&amp;$M132&amp;"")))),"Subscription",IF(LOWER($L132&amp;"")="yes","Disqualified",IF($P132&gt;$H132,"Profit","Draw"))))</f>
        <v/>
      </c>
      <c r="V132" s="383">
        <f>IF(OR($A132="",$B132="",$C132="",$U132="Subscription"),"",IFERROR(ROUNDUP((IF(ISNUMBER($C132),$C132,DATEVALUE($C132))-IF(ISNUMBER($B132),$B132,DATEVALUE($B132)))/7,0),""))</f>
        <v/>
      </c>
      <c r="W132" s="351">
        <f>IF($U132="Subscription","",$Q132-$S132)</f>
        <v/>
      </c>
      <c r="X132" s="384">
        <f>IF(OR($A132="",$U132="Subscription",$J132="",$I132="",$J132=0,$I132=0,$I132&gt;$J132),"",$J132-$I132)</f>
        <v/>
      </c>
      <c r="Y132" s="381">
        <f>IF(OR($A132="",$U132="Subscription",$J132="",$J132=0,$X132=""),"",$X132/$J132)</f>
        <v/>
      </c>
    </row>
    <row r="133" ht="21" customHeight="1" s="270">
      <c r="A133" s="297" t="n"/>
      <c r="B133" s="298" t="n"/>
      <c r="C133" s="298" t="n"/>
      <c r="D133" s="297" t="n"/>
      <c r="E133" s="349" t="n"/>
      <c r="F133" s="349" t="n"/>
      <c r="G133" s="349" t="n"/>
      <c r="H133" s="349" t="n"/>
      <c r="I133" s="382" t="n"/>
      <c r="J133" s="383" t="n"/>
      <c r="K133" s="351" t="n"/>
      <c r="L133" s="296" t="n"/>
      <c r="M133" s="349" t="n"/>
      <c r="N133" s="349">
        <f>IF($A133="","",IF(OR(LOWER($D133&amp;"")="n/a",ISNUMBER(SEARCH("subscription",LOWER($A133&amp;" "&amp;$M133&amp;""))),ISNUMBER(SEARCH("membership",LOWER($A133&amp;" "&amp;$M133&amp;"")))),"",IF($G133="","",IF(ISNUMBER(SEARCH("non",LOWER($E133&amp;""))),$G133*0.85,$G133))))</f>
        <v/>
      </c>
      <c r="O133" s="349">
        <f>IF($A133="","",IF(OR(LOWER($D133&amp;"")="n/a",ISNUMBER(SEARCH("subscription",LOWER($A133&amp;" "&amp;$M133&amp;""))),ISNUMBER(SEARCH("membership",LOWER($A133&amp;" "&amp;$M133&amp;"")))),"",IF(OR($N133="",$I133="",$I133=0),"",$N133/$I133)))</f>
        <v/>
      </c>
      <c r="P133" s="349">
        <f>IF($A133="","",IF(OR(LOWER($D133&amp;"")="n/a",ISNUMBER(SEARCH("subscription",LOWER($A133&amp;" "&amp;$M133&amp;""))),ISNUMBER(SEARCH("membership",LOWER($A133&amp;" "&amp;$M133&amp;"")))),"",IF(LOWER($L133&amp;"")="yes",0,IF($K133&lt;&gt;"",$K133,IF($O133&lt;&gt;"",$O133,"")))))</f>
        <v/>
      </c>
      <c r="Q133" s="351">
        <f>IF($A133="","",IF($U133="Subscription","",IF($U133="Profit",$P133-$H133,0)))</f>
        <v/>
      </c>
      <c r="R133" s="349">
        <f>IF($A133="","",IF($U133="Subscription","",IF($U133="Draw",$H133,0)))</f>
        <v/>
      </c>
      <c r="S133" s="349">
        <f>IF($A133="","",IF($U133="Subscription","",IF($U133="Disqualified",$H133,0)))</f>
        <v/>
      </c>
      <c r="T133" s="380">
        <f>IF($A133="","",IF($U133="Subscription","",IF($H133=0,IF($U133="Profit","N/A",0),IF($U133="Profit",$Q133/$H133,IF($U133="Disqualified",-1,0)))))</f>
        <v/>
      </c>
      <c r="U133" s="351">
        <f>IF($A133="","",IF(OR(LOWER($D133&amp;"")="n/a",ISNUMBER(SEARCH("subscription",LOWER($A133&amp;" "&amp;$M133&amp;""))),ISNUMBER(SEARCH("membership",LOWER($A133&amp;" "&amp;$M133&amp;"")))),"Subscription",IF(LOWER($L133&amp;"")="yes","Disqualified",IF($P133&gt;$H133,"Profit","Draw"))))</f>
        <v/>
      </c>
      <c r="V133" s="383">
        <f>IF(OR($A133="",$B133="",$C133="",$U133="Subscription"),"",IFERROR(ROUNDUP((IF(ISNUMBER($C133),$C133,DATEVALUE($C133))-IF(ISNUMBER($B133),$B133,DATEVALUE($B133)))/7,0),""))</f>
        <v/>
      </c>
      <c r="W133" s="351">
        <f>IF($U133="Subscription","",$Q133-$S133)</f>
        <v/>
      </c>
      <c r="X133" s="384">
        <f>IF(OR($A133="",$U133="Subscription",$J133="",$I133="",$J133=0,$I133=0,$I133&gt;$J133),"",$J133-$I133)</f>
        <v/>
      </c>
      <c r="Y133" s="381">
        <f>IF(OR($A133="",$U133="Subscription",$J133="",$J133=0,$X133=""),"",$X133/$J133)</f>
        <v/>
      </c>
    </row>
    <row r="134" ht="21" customHeight="1" s="270">
      <c r="A134" s="297" t="n"/>
      <c r="B134" s="298" t="n"/>
      <c r="C134" s="298" t="n"/>
      <c r="D134" s="297" t="n"/>
      <c r="E134" s="349" t="n"/>
      <c r="F134" s="349" t="n"/>
      <c r="G134" s="349" t="n"/>
      <c r="H134" s="349" t="n"/>
      <c r="I134" s="382" t="n"/>
      <c r="J134" s="383" t="n"/>
      <c r="K134" s="351" t="n"/>
      <c r="L134" s="296" t="n"/>
      <c r="M134" s="349" t="n"/>
      <c r="N134" s="349">
        <f>IF($A134="","",IF(OR(LOWER($D134&amp;"")="n/a",ISNUMBER(SEARCH("subscription",LOWER($A134&amp;" "&amp;$M134&amp;""))),ISNUMBER(SEARCH("membership",LOWER($A134&amp;" "&amp;$M134&amp;"")))),"",IF($G134="","",IF(ISNUMBER(SEARCH("non",LOWER($E134&amp;""))),$G134*0.85,$G134))))</f>
        <v/>
      </c>
      <c r="O134" s="349">
        <f>IF($A134="","",IF(OR(LOWER($D134&amp;"")="n/a",ISNUMBER(SEARCH("subscription",LOWER($A134&amp;" "&amp;$M134&amp;""))),ISNUMBER(SEARCH("membership",LOWER($A134&amp;" "&amp;$M134&amp;"")))),"",IF(OR($N134="",$I134="",$I134=0),"",$N134/$I134)))</f>
        <v/>
      </c>
      <c r="P134" s="349">
        <f>IF($A134="","",IF(OR(LOWER($D134&amp;"")="n/a",ISNUMBER(SEARCH("subscription",LOWER($A134&amp;" "&amp;$M134&amp;""))),ISNUMBER(SEARCH("membership",LOWER($A134&amp;" "&amp;$M134&amp;"")))),"",IF(LOWER($L134&amp;"")="yes",0,IF($K134&lt;&gt;"",$K134,IF($O134&lt;&gt;"",$O134,"")))))</f>
        <v/>
      </c>
      <c r="Q134" s="351">
        <f>IF($A134="","",IF($U134="Subscription","",IF($U134="Profit",$P134-$H134,0)))</f>
        <v/>
      </c>
      <c r="R134" s="349">
        <f>IF($A134="","",IF($U134="Subscription","",IF($U134="Draw",$H134,0)))</f>
        <v/>
      </c>
      <c r="S134" s="349">
        <f>IF($A134="","",IF($U134="Subscription","",IF($U134="Disqualified",$H134,0)))</f>
        <v/>
      </c>
      <c r="T134" s="380">
        <f>IF($A134="","",IF($U134="Subscription","",IF($H134=0,IF($U134="Profit","N/A",0),IF($U134="Profit",$Q134/$H134,IF($U134="Disqualified",-1,0)))))</f>
        <v/>
      </c>
      <c r="U134" s="351">
        <f>IF($A134="","",IF(OR(LOWER($D134&amp;"")="n/a",ISNUMBER(SEARCH("subscription",LOWER($A134&amp;" "&amp;$M134&amp;""))),ISNUMBER(SEARCH("membership",LOWER($A134&amp;" "&amp;$M134&amp;"")))),"Subscription",IF(LOWER($L134&amp;"")="yes","Disqualified",IF($P134&gt;$H134,"Profit","Draw"))))</f>
        <v/>
      </c>
      <c r="V134" s="383">
        <f>IF(OR($A134="",$B134="",$C134="",$U134="Subscription"),"",IFERROR(ROUNDUP((IF(ISNUMBER($C134),$C134,DATEVALUE($C134))-IF(ISNUMBER($B134),$B134,DATEVALUE($B134)))/7,0),""))</f>
        <v/>
      </c>
      <c r="W134" s="351">
        <f>IF($U134="Subscription","",$Q134-$S134)</f>
        <v/>
      </c>
      <c r="X134" s="384">
        <f>IF(OR($A134="",$U134="Subscription",$J134="",$I134="",$J134=0,$I134=0,$I134&gt;$J134),"",$J134-$I134)</f>
        <v/>
      </c>
      <c r="Y134" s="381">
        <f>IF(OR($A134="",$U134="Subscription",$J134="",$J134=0,$X134=""),"",$X134/$J134)</f>
        <v/>
      </c>
    </row>
    <row r="135" ht="21" customHeight="1" s="270">
      <c r="A135" s="297" t="n"/>
      <c r="B135" s="298" t="n"/>
      <c r="C135" s="298" t="n"/>
      <c r="D135" s="297" t="n"/>
      <c r="E135" s="349" t="n"/>
      <c r="F135" s="349" t="n"/>
      <c r="G135" s="349" t="n"/>
      <c r="H135" s="349" t="n"/>
      <c r="I135" s="382" t="n"/>
      <c r="J135" s="383" t="n"/>
      <c r="K135" s="351" t="n"/>
      <c r="L135" s="296" t="n"/>
      <c r="M135" s="349" t="n"/>
      <c r="N135" s="349">
        <f>IF($A135="","",IF(OR(LOWER($D135&amp;"")="n/a",ISNUMBER(SEARCH("subscription",LOWER($A135&amp;" "&amp;$M135&amp;""))),ISNUMBER(SEARCH("membership",LOWER($A135&amp;" "&amp;$M135&amp;"")))),"",IF($G135="","",IF(ISNUMBER(SEARCH("non",LOWER($E135&amp;""))),$G135*0.85,$G135))))</f>
        <v/>
      </c>
      <c r="O135" s="349">
        <f>IF($A135="","",IF(OR(LOWER($D135&amp;"")="n/a",ISNUMBER(SEARCH("subscription",LOWER($A135&amp;" "&amp;$M135&amp;""))),ISNUMBER(SEARCH("membership",LOWER($A135&amp;" "&amp;$M135&amp;"")))),"",IF(OR($N135="",$I135="",$I135=0),"",$N135/$I135)))</f>
        <v/>
      </c>
      <c r="P135" s="349">
        <f>IF($A135="","",IF(OR(LOWER($D135&amp;"")="n/a",ISNUMBER(SEARCH("subscription",LOWER($A135&amp;" "&amp;$M135&amp;""))),ISNUMBER(SEARCH("membership",LOWER($A135&amp;" "&amp;$M135&amp;"")))),"",IF(LOWER($L135&amp;"")="yes",0,IF($K135&lt;&gt;"",$K135,IF($O135&lt;&gt;"",$O135,"")))))</f>
        <v/>
      </c>
      <c r="Q135" s="351">
        <f>IF($A135="","",IF($U135="Subscription","",IF($U135="Profit",$P135-$H135,0)))</f>
        <v/>
      </c>
      <c r="R135" s="349">
        <f>IF($A135="","",IF($U135="Subscription","",IF($U135="Draw",$H135,0)))</f>
        <v/>
      </c>
      <c r="S135" s="349">
        <f>IF($A135="","",IF($U135="Subscription","",IF($U135="Disqualified",$H135,0)))</f>
        <v/>
      </c>
      <c r="T135" s="380">
        <f>IF($A135="","",IF($U135="Subscription","",IF($H135=0,IF($U135="Profit","N/A",0),IF($U135="Profit",$Q135/$H135,IF($U135="Disqualified",-1,0)))))</f>
        <v/>
      </c>
      <c r="U135" s="351">
        <f>IF($A135="","",IF(OR(LOWER($D135&amp;"")="n/a",ISNUMBER(SEARCH("subscription",LOWER($A135&amp;" "&amp;$M135&amp;""))),ISNUMBER(SEARCH("membership",LOWER($A135&amp;" "&amp;$M135&amp;"")))),"Subscription",IF(LOWER($L135&amp;"")="yes","Disqualified",IF($P135&gt;$H135,"Profit","Draw"))))</f>
        <v/>
      </c>
      <c r="V135" s="383">
        <f>IF(OR($A135="",$B135="",$C135="",$U135="Subscription"),"",IFERROR(ROUNDUP((IF(ISNUMBER($C135),$C135,DATEVALUE($C135))-IF(ISNUMBER($B135),$B135,DATEVALUE($B135)))/7,0),""))</f>
        <v/>
      </c>
      <c r="W135" s="351">
        <f>IF($U135="Subscription","",$Q135-$S135)</f>
        <v/>
      </c>
      <c r="X135" s="384">
        <f>IF(OR($A135="",$U135="Subscription",$J135="",$I135="",$J135=0,$I135=0,$I135&gt;$J135),"",$J135-$I135)</f>
        <v/>
      </c>
      <c r="Y135" s="381">
        <f>IF(OR($A135="",$U135="Subscription",$J135="",$J135=0,$X135=""),"",$X135/$J135)</f>
        <v/>
      </c>
    </row>
    <row r="136" ht="21" customHeight="1" s="270">
      <c r="A136" s="297" t="n"/>
      <c r="B136" s="298" t="n"/>
      <c r="C136" s="298" t="n"/>
      <c r="D136" s="297" t="n"/>
      <c r="E136" s="349" t="n"/>
      <c r="F136" s="349" t="n"/>
      <c r="G136" s="349" t="n"/>
      <c r="H136" s="349" t="n"/>
      <c r="I136" s="382" t="n"/>
      <c r="J136" s="383" t="n"/>
      <c r="K136" s="351" t="n"/>
      <c r="L136" s="296" t="n"/>
      <c r="M136" s="349" t="n"/>
      <c r="N136" s="349">
        <f>IF($A136="","",IF(OR(LOWER($D136&amp;"")="n/a",ISNUMBER(SEARCH("subscription",LOWER($A136&amp;" "&amp;$M136&amp;""))),ISNUMBER(SEARCH("membership",LOWER($A136&amp;" "&amp;$M136&amp;"")))),"",IF($G136="","",IF(ISNUMBER(SEARCH("non",LOWER($E136&amp;""))),$G136*0.85,$G136))))</f>
        <v/>
      </c>
      <c r="O136" s="349">
        <f>IF($A136="","",IF(OR(LOWER($D136&amp;"")="n/a",ISNUMBER(SEARCH("subscription",LOWER($A136&amp;" "&amp;$M136&amp;""))),ISNUMBER(SEARCH("membership",LOWER($A136&amp;" "&amp;$M136&amp;"")))),"",IF(OR($N136="",$I136="",$I136=0),"",$N136/$I136)))</f>
        <v/>
      </c>
      <c r="P136" s="349">
        <f>IF($A136="","",IF(OR(LOWER($D136&amp;"")="n/a",ISNUMBER(SEARCH("subscription",LOWER($A136&amp;" "&amp;$M136&amp;""))),ISNUMBER(SEARCH("membership",LOWER($A136&amp;" "&amp;$M136&amp;"")))),"",IF(LOWER($L136&amp;"")="yes",0,IF($K136&lt;&gt;"",$K136,IF($O136&lt;&gt;"",$O136,"")))))</f>
        <v/>
      </c>
      <c r="Q136" s="351">
        <f>IF($A136="","",IF($U136="Subscription","",IF($U136="Profit",$P136-$H136,0)))</f>
        <v/>
      </c>
      <c r="R136" s="349">
        <f>IF($A136="","",IF($U136="Subscription","",IF($U136="Draw",$H136,0)))</f>
        <v/>
      </c>
      <c r="S136" s="349">
        <f>IF($A136="","",IF($U136="Subscription","",IF($U136="Disqualified",$H136,0)))</f>
        <v/>
      </c>
      <c r="T136" s="380">
        <f>IF($A136="","",IF($U136="Subscription","",IF($H136=0,IF($U136="Profit","N/A",0),IF($U136="Profit",$Q136/$H136,IF($U136="Disqualified",-1,0)))))</f>
        <v/>
      </c>
      <c r="U136" s="351">
        <f>IF($A136="","",IF(OR(LOWER($D136&amp;"")="n/a",ISNUMBER(SEARCH("subscription",LOWER($A136&amp;" "&amp;$M136&amp;""))),ISNUMBER(SEARCH("membership",LOWER($A136&amp;" "&amp;$M136&amp;"")))),"Subscription",IF(LOWER($L136&amp;"")="yes","Disqualified",IF($P136&gt;$H136,"Profit","Draw"))))</f>
        <v/>
      </c>
      <c r="V136" s="383">
        <f>IF(OR($A136="",$B136="",$C136="",$U136="Subscription"),"",IFERROR(ROUNDUP((IF(ISNUMBER($C136),$C136,DATEVALUE($C136))-IF(ISNUMBER($B136),$B136,DATEVALUE($B136)))/7,0),""))</f>
        <v/>
      </c>
      <c r="W136" s="351">
        <f>IF($U136="Subscription","",$Q136-$S136)</f>
        <v/>
      </c>
      <c r="X136" s="384">
        <f>IF(OR($A136="",$U136="Subscription",$J136="",$I136="",$J136=0,$I136=0,$I136&gt;$J136),"",$J136-$I136)</f>
        <v/>
      </c>
      <c r="Y136" s="381">
        <f>IF(OR($A136="",$U136="Subscription",$J136="",$J136=0,$X136=""),"",$X136/$J136)</f>
        <v/>
      </c>
    </row>
    <row r="137" ht="21" customHeight="1" s="270">
      <c r="A137" s="297" t="n"/>
      <c r="B137" s="298" t="n"/>
      <c r="C137" s="298" t="n"/>
      <c r="D137" s="297" t="n"/>
      <c r="E137" s="349" t="n"/>
      <c r="F137" s="349" t="n"/>
      <c r="G137" s="349" t="n"/>
      <c r="H137" s="349" t="n"/>
      <c r="I137" s="382" t="n"/>
      <c r="J137" s="383" t="n"/>
      <c r="K137" s="351" t="n"/>
      <c r="L137" s="296" t="n"/>
      <c r="M137" s="349" t="n"/>
      <c r="N137" s="349">
        <f>IF($A137="","",IF(OR(LOWER($D137&amp;"")="n/a",ISNUMBER(SEARCH("subscription",LOWER($A137&amp;" "&amp;$M137&amp;""))),ISNUMBER(SEARCH("membership",LOWER($A137&amp;" "&amp;$M137&amp;"")))),"",IF($G137="","",IF(ISNUMBER(SEARCH("non",LOWER($E137&amp;""))),$G137*0.85,$G137))))</f>
        <v/>
      </c>
      <c r="O137" s="349">
        <f>IF($A137="","",IF(OR(LOWER($D137&amp;"")="n/a",ISNUMBER(SEARCH("subscription",LOWER($A137&amp;" "&amp;$M137&amp;""))),ISNUMBER(SEARCH("membership",LOWER($A137&amp;" "&amp;$M137&amp;"")))),"",IF(OR($N137="",$I137="",$I137=0),"",$N137/$I137)))</f>
        <v/>
      </c>
      <c r="P137" s="349">
        <f>IF($A137="","",IF(OR(LOWER($D137&amp;"")="n/a",ISNUMBER(SEARCH("subscription",LOWER($A137&amp;" "&amp;$M137&amp;""))),ISNUMBER(SEARCH("membership",LOWER($A137&amp;" "&amp;$M137&amp;"")))),"",IF(LOWER($L137&amp;"")="yes",0,IF($K137&lt;&gt;"",$K137,IF($O137&lt;&gt;"",$O137,"")))))</f>
        <v/>
      </c>
      <c r="Q137" s="351">
        <f>IF($A137="","",IF($U137="Subscription","",IF($U137="Profit",$P137-$H137,0)))</f>
        <v/>
      </c>
      <c r="R137" s="349">
        <f>IF($A137="","",IF($U137="Subscription","",IF($U137="Draw",$H137,0)))</f>
        <v/>
      </c>
      <c r="S137" s="349">
        <f>IF($A137="","",IF($U137="Subscription","",IF($U137="Disqualified",$H137,0)))</f>
        <v/>
      </c>
      <c r="T137" s="380">
        <f>IF($A137="","",IF($U137="Subscription","",IF($H137=0,IF($U137="Profit","N/A",0),IF($U137="Profit",$Q137/$H137,IF($U137="Disqualified",-1,0)))))</f>
        <v/>
      </c>
      <c r="U137" s="351">
        <f>IF($A137="","",IF(OR(LOWER($D137&amp;"")="n/a",ISNUMBER(SEARCH("subscription",LOWER($A137&amp;" "&amp;$M137&amp;""))),ISNUMBER(SEARCH("membership",LOWER($A137&amp;" "&amp;$M137&amp;"")))),"Subscription",IF(LOWER($L137&amp;"")="yes","Disqualified",IF($P137&gt;$H137,"Profit","Draw"))))</f>
        <v/>
      </c>
      <c r="V137" s="383">
        <f>IF(OR($A137="",$B137="",$C137="",$U137="Subscription"),"",IFERROR(ROUNDUP((IF(ISNUMBER($C137),$C137,DATEVALUE($C137))-IF(ISNUMBER($B137),$B137,DATEVALUE($B137)))/7,0),""))</f>
        <v/>
      </c>
      <c r="W137" s="351">
        <f>IF($U137="Subscription","",$Q137-$S137)</f>
        <v/>
      </c>
      <c r="X137" s="384">
        <f>IF(OR($A137="",$U137="Subscription",$J137="",$I137="",$J137=0,$I137=0,$I137&gt;$J137),"",$J137-$I137)</f>
        <v/>
      </c>
      <c r="Y137" s="381">
        <f>IF(OR($A137="",$U137="Subscription",$J137="",$J137=0,$X137=""),"",$X137/$J137)</f>
        <v/>
      </c>
    </row>
    <row r="138" ht="21" customHeight="1" s="270">
      <c r="A138" s="297" t="n"/>
      <c r="B138" s="298" t="n"/>
      <c r="C138" s="298" t="n"/>
      <c r="D138" s="297" t="n"/>
      <c r="E138" s="349" t="n"/>
      <c r="F138" s="349" t="n"/>
      <c r="G138" s="349" t="n"/>
      <c r="H138" s="349" t="n"/>
      <c r="I138" s="382" t="n"/>
      <c r="J138" s="383" t="n"/>
      <c r="K138" s="351" t="n"/>
      <c r="L138" s="296" t="n"/>
      <c r="M138" s="349" t="n"/>
      <c r="N138" s="349">
        <f>IF($A138="","",IF(OR(LOWER($D138&amp;"")="n/a",ISNUMBER(SEARCH("subscription",LOWER($A138&amp;" "&amp;$M138&amp;""))),ISNUMBER(SEARCH("membership",LOWER($A138&amp;" "&amp;$M138&amp;"")))),"",IF($G138="","",IF(ISNUMBER(SEARCH("non",LOWER($E138&amp;""))),$G138*0.85,$G138))))</f>
        <v/>
      </c>
      <c r="O138" s="349">
        <f>IF($A138="","",IF(OR(LOWER($D138&amp;"")="n/a",ISNUMBER(SEARCH("subscription",LOWER($A138&amp;" "&amp;$M138&amp;""))),ISNUMBER(SEARCH("membership",LOWER($A138&amp;" "&amp;$M138&amp;"")))),"",IF(OR($N138="",$I138="",$I138=0),"",$N138/$I138)))</f>
        <v/>
      </c>
      <c r="P138" s="349">
        <f>IF($A138="","",IF(OR(LOWER($D138&amp;"")="n/a",ISNUMBER(SEARCH("subscription",LOWER($A138&amp;" "&amp;$M138&amp;""))),ISNUMBER(SEARCH("membership",LOWER($A138&amp;" "&amp;$M138&amp;"")))),"",IF(LOWER($L138&amp;"")="yes",0,IF($K138&lt;&gt;"",$K138,IF($O138&lt;&gt;"",$O138,"")))))</f>
        <v/>
      </c>
      <c r="Q138" s="351">
        <f>IF($A138="","",IF($U138="Subscription","",IF($U138="Profit",$P138-$H138,0)))</f>
        <v/>
      </c>
      <c r="R138" s="349">
        <f>IF($A138="","",IF($U138="Subscription","",IF($U138="Draw",$H138,0)))</f>
        <v/>
      </c>
      <c r="S138" s="349">
        <f>IF($A138="","",IF($U138="Subscription","",IF($U138="Disqualified",$H138,0)))</f>
        <v/>
      </c>
      <c r="T138" s="380">
        <f>IF($A138="","",IF($U138="Subscription","",IF($H138=0,IF($U138="Profit","N/A",0),IF($U138="Profit",$Q138/$H138,IF($U138="Disqualified",-1,0)))))</f>
        <v/>
      </c>
      <c r="U138" s="351">
        <f>IF($A138="","",IF(OR(LOWER($D138&amp;"")="n/a",ISNUMBER(SEARCH("subscription",LOWER($A138&amp;" "&amp;$M138&amp;""))),ISNUMBER(SEARCH("membership",LOWER($A138&amp;" "&amp;$M138&amp;"")))),"Subscription",IF(LOWER($L138&amp;"")="yes","Disqualified",IF($P138&gt;$H138,"Profit","Draw"))))</f>
        <v/>
      </c>
      <c r="V138" s="383">
        <f>IF(OR($A138="",$B138="",$C138="",$U138="Subscription"),"",IFERROR(ROUNDUP((IF(ISNUMBER($C138),$C138,DATEVALUE($C138))-IF(ISNUMBER($B138),$B138,DATEVALUE($B138)))/7,0),""))</f>
        <v/>
      </c>
      <c r="W138" s="351">
        <f>IF($U138="Subscription","",$Q138-$S138)</f>
        <v/>
      </c>
      <c r="X138" s="384">
        <f>IF(OR($A138="",$U138="Subscription",$J138="",$I138="",$J138=0,$I138=0,$I138&gt;$J138),"",$J138-$I138)</f>
        <v/>
      </c>
      <c r="Y138" s="381">
        <f>IF(OR($A138="",$U138="Subscription",$J138="",$J138=0,$X138=""),"",$X138/$J138)</f>
        <v/>
      </c>
    </row>
    <row r="139" ht="21" customHeight="1" s="270">
      <c r="A139" s="297" t="n"/>
      <c r="B139" s="298" t="n"/>
      <c r="C139" s="298" t="n"/>
      <c r="D139" s="297" t="n"/>
      <c r="E139" s="349" t="n"/>
      <c r="F139" s="349" t="n"/>
      <c r="G139" s="349" t="n"/>
      <c r="H139" s="349" t="n"/>
      <c r="I139" s="382" t="n"/>
      <c r="J139" s="383" t="n"/>
      <c r="K139" s="351" t="n"/>
      <c r="L139" s="296" t="n"/>
      <c r="M139" s="349" t="n"/>
      <c r="N139" s="349">
        <f>IF($A139="","",IF(OR(LOWER($D139&amp;"")="n/a",ISNUMBER(SEARCH("subscription",LOWER($A139&amp;" "&amp;$M139&amp;""))),ISNUMBER(SEARCH("membership",LOWER($A139&amp;" "&amp;$M139&amp;"")))),"",IF($G139="","",IF(ISNUMBER(SEARCH("non",LOWER($E139&amp;""))),$G139*0.85,$G139))))</f>
        <v/>
      </c>
      <c r="O139" s="349">
        <f>IF($A139="","",IF(OR(LOWER($D139&amp;"")="n/a",ISNUMBER(SEARCH("subscription",LOWER($A139&amp;" "&amp;$M139&amp;""))),ISNUMBER(SEARCH("membership",LOWER($A139&amp;" "&amp;$M139&amp;"")))),"",IF(OR($N139="",$I139="",$I139=0),"",$N139/$I139)))</f>
        <v/>
      </c>
      <c r="P139" s="349">
        <f>IF($A139="","",IF(OR(LOWER($D139&amp;"")="n/a",ISNUMBER(SEARCH("subscription",LOWER($A139&amp;" "&amp;$M139&amp;""))),ISNUMBER(SEARCH("membership",LOWER($A139&amp;" "&amp;$M139&amp;"")))),"",IF(LOWER($L139&amp;"")="yes",0,IF($K139&lt;&gt;"",$K139,IF($O139&lt;&gt;"",$O139,"")))))</f>
        <v/>
      </c>
      <c r="Q139" s="351">
        <f>IF($A139="","",IF($U139="Subscription","",IF($U139="Profit",$P139-$H139,0)))</f>
        <v/>
      </c>
      <c r="R139" s="349">
        <f>IF($A139="","",IF($U139="Subscription","",IF($U139="Draw",$H139,0)))</f>
        <v/>
      </c>
      <c r="S139" s="349">
        <f>IF($A139="","",IF($U139="Subscription","",IF($U139="Disqualified",$H139,0)))</f>
        <v/>
      </c>
      <c r="T139" s="380">
        <f>IF($A139="","",IF($U139="Subscription","",IF($H139=0,IF($U139="Profit","N/A",0),IF($U139="Profit",$Q139/$H139,IF($U139="Disqualified",-1,0)))))</f>
        <v/>
      </c>
      <c r="U139" s="351">
        <f>IF($A139="","",IF(OR(LOWER($D139&amp;"")="n/a",ISNUMBER(SEARCH("subscription",LOWER($A139&amp;" "&amp;$M139&amp;""))),ISNUMBER(SEARCH("membership",LOWER($A139&amp;" "&amp;$M139&amp;"")))),"Subscription",IF(LOWER($L139&amp;"")="yes","Disqualified",IF($P139&gt;$H139,"Profit","Draw"))))</f>
        <v/>
      </c>
      <c r="V139" s="383">
        <f>IF(OR($A139="",$B139="",$C139="",$U139="Subscription"),"",IFERROR(ROUNDUP((IF(ISNUMBER($C139),$C139,DATEVALUE($C139))-IF(ISNUMBER($B139),$B139,DATEVALUE($B139)))/7,0),""))</f>
        <v/>
      </c>
      <c r="W139" s="351">
        <f>IF($U139="Subscription","",$Q139-$S139)</f>
        <v/>
      </c>
      <c r="X139" s="384">
        <f>IF(OR($A139="",$U139="Subscription",$J139="",$I139="",$J139=0,$I139=0,$I139&gt;$J139),"",$J139-$I139)</f>
        <v/>
      </c>
      <c r="Y139" s="381">
        <f>IF(OR($A139="",$U139="Subscription",$J139="",$J139=0,$X139=""),"",$X139/$J139)</f>
        <v/>
      </c>
    </row>
    <row r="140" ht="21" customHeight="1" s="270">
      <c r="A140" s="297" t="n"/>
      <c r="B140" s="298" t="n"/>
      <c r="C140" s="298" t="n"/>
      <c r="D140" s="297" t="n"/>
      <c r="E140" s="349" t="n"/>
      <c r="F140" s="349" t="n"/>
      <c r="G140" s="349" t="n"/>
      <c r="H140" s="349" t="n"/>
      <c r="I140" s="382" t="n"/>
      <c r="J140" s="383" t="n"/>
      <c r="K140" s="351" t="n"/>
      <c r="L140" s="296" t="n"/>
      <c r="M140" s="349" t="n"/>
      <c r="N140" s="349">
        <f>IF($A140="","",IF(OR(LOWER($D140&amp;"")="n/a",ISNUMBER(SEARCH("subscription",LOWER($A140&amp;" "&amp;$M140&amp;""))),ISNUMBER(SEARCH("membership",LOWER($A140&amp;" "&amp;$M140&amp;"")))),"",IF($G140="","",IF(ISNUMBER(SEARCH("non",LOWER($E140&amp;""))),$G140*0.85,$G140))))</f>
        <v/>
      </c>
      <c r="O140" s="349">
        <f>IF($A140="","",IF(OR(LOWER($D140&amp;"")="n/a",ISNUMBER(SEARCH("subscription",LOWER($A140&amp;" "&amp;$M140&amp;""))),ISNUMBER(SEARCH("membership",LOWER($A140&amp;" "&amp;$M140&amp;"")))),"",IF(OR($N140="",$I140="",$I140=0),"",$N140/$I140)))</f>
        <v/>
      </c>
      <c r="P140" s="349">
        <f>IF($A140="","",IF(OR(LOWER($D140&amp;"")="n/a",ISNUMBER(SEARCH("subscription",LOWER($A140&amp;" "&amp;$M140&amp;""))),ISNUMBER(SEARCH("membership",LOWER($A140&amp;" "&amp;$M140&amp;"")))),"",IF(LOWER($L140&amp;"")="yes",0,IF($K140&lt;&gt;"",$K140,IF($O140&lt;&gt;"",$O140,"")))))</f>
        <v/>
      </c>
      <c r="Q140" s="351">
        <f>IF($A140="","",IF($U140="Subscription","",IF($U140="Profit",$P140-$H140,0)))</f>
        <v/>
      </c>
      <c r="R140" s="349">
        <f>IF($A140="","",IF($U140="Subscription","",IF($U140="Draw",$H140,0)))</f>
        <v/>
      </c>
      <c r="S140" s="349">
        <f>IF($A140="","",IF($U140="Subscription","",IF($U140="Disqualified",$H140,0)))</f>
        <v/>
      </c>
      <c r="T140" s="380">
        <f>IF($A140="","",IF($U140="Subscription","",IF($H140=0,IF($U140="Profit","N/A",0),IF($U140="Profit",$Q140/$H140,IF($U140="Disqualified",-1,0)))))</f>
        <v/>
      </c>
      <c r="U140" s="351">
        <f>IF($A140="","",IF(OR(LOWER($D140&amp;"")="n/a",ISNUMBER(SEARCH("subscription",LOWER($A140&amp;" "&amp;$M140&amp;""))),ISNUMBER(SEARCH("membership",LOWER($A140&amp;" "&amp;$M140&amp;"")))),"Subscription",IF(LOWER($L140&amp;"")="yes","Disqualified",IF($P140&gt;$H140,"Profit","Draw"))))</f>
        <v/>
      </c>
      <c r="V140" s="383">
        <f>IF(OR($A140="",$B140="",$C140="",$U140="Subscription"),"",IFERROR(ROUNDUP((IF(ISNUMBER($C140),$C140,DATEVALUE($C140))-IF(ISNUMBER($B140),$B140,DATEVALUE($B140)))/7,0),""))</f>
        <v/>
      </c>
      <c r="W140" s="351">
        <f>IF($U140="Subscription","",$Q140-$S140)</f>
        <v/>
      </c>
      <c r="X140" s="384">
        <f>IF(OR($A140="",$U140="Subscription",$J140="",$I140="",$J140=0,$I140=0,$I140&gt;$J140),"",$J140-$I140)</f>
        <v/>
      </c>
      <c r="Y140" s="381">
        <f>IF(OR($A140="",$U140="Subscription",$J140="",$J140=0,$X140=""),"",$X140/$J140)</f>
        <v/>
      </c>
    </row>
    <row r="141" ht="21" customHeight="1" s="270">
      <c r="A141" s="297" t="n"/>
      <c r="B141" s="298" t="n"/>
      <c r="C141" s="298" t="n"/>
      <c r="D141" s="297" t="n"/>
      <c r="E141" s="349" t="n"/>
      <c r="F141" s="349" t="n"/>
      <c r="G141" s="349" t="n"/>
      <c r="H141" s="349" t="n"/>
      <c r="I141" s="382" t="n"/>
      <c r="J141" s="383" t="n"/>
      <c r="K141" s="351" t="n"/>
      <c r="L141" s="296" t="n"/>
      <c r="M141" s="349" t="n"/>
      <c r="N141" s="349">
        <f>IF($A141="","",IF(OR(LOWER($D141&amp;"")="n/a",ISNUMBER(SEARCH("subscription",LOWER($A141&amp;" "&amp;$M141&amp;""))),ISNUMBER(SEARCH("membership",LOWER($A141&amp;" "&amp;$M141&amp;"")))),"",IF($G141="","",IF(ISNUMBER(SEARCH("non",LOWER($E141&amp;""))),$G141*0.85,$G141))))</f>
        <v/>
      </c>
      <c r="O141" s="349">
        <f>IF($A141="","",IF(OR(LOWER($D141&amp;"")="n/a",ISNUMBER(SEARCH("subscription",LOWER($A141&amp;" "&amp;$M141&amp;""))),ISNUMBER(SEARCH("membership",LOWER($A141&amp;" "&amp;$M141&amp;"")))),"",IF(OR($N141="",$I141="",$I141=0),"",$N141/$I141)))</f>
        <v/>
      </c>
      <c r="P141" s="349">
        <f>IF($A141="","",IF(OR(LOWER($D141&amp;"")="n/a",ISNUMBER(SEARCH("subscription",LOWER($A141&amp;" "&amp;$M141&amp;""))),ISNUMBER(SEARCH("membership",LOWER($A141&amp;" "&amp;$M141&amp;"")))),"",IF(LOWER($L141&amp;"")="yes",0,IF($K141&lt;&gt;"",$K141,IF($O141&lt;&gt;"",$O141,"")))))</f>
        <v/>
      </c>
      <c r="Q141" s="351">
        <f>IF($A141="","",IF($U141="Subscription","",IF($U141="Profit",$P141-$H141,0)))</f>
        <v/>
      </c>
      <c r="R141" s="349">
        <f>IF($A141="","",IF($U141="Subscription","",IF($U141="Draw",$H141,0)))</f>
        <v/>
      </c>
      <c r="S141" s="349">
        <f>IF($A141="","",IF($U141="Subscription","",IF($U141="Disqualified",$H141,0)))</f>
        <v/>
      </c>
      <c r="T141" s="380">
        <f>IF($A141="","",IF($U141="Subscription","",IF($H141=0,IF($U141="Profit","N/A",0),IF($U141="Profit",$Q141/$H141,IF($U141="Disqualified",-1,0)))))</f>
        <v/>
      </c>
      <c r="U141" s="351">
        <f>IF($A141="","",IF(OR(LOWER($D141&amp;"")="n/a",ISNUMBER(SEARCH("subscription",LOWER($A141&amp;" "&amp;$M141&amp;""))),ISNUMBER(SEARCH("membership",LOWER($A141&amp;" "&amp;$M141&amp;"")))),"Subscription",IF(LOWER($L141&amp;"")="yes","Disqualified",IF($P141&gt;$H141,"Profit","Draw"))))</f>
        <v/>
      </c>
      <c r="V141" s="383">
        <f>IF(OR($A141="",$B141="",$C141="",$U141="Subscription"),"",IFERROR(ROUNDUP((IF(ISNUMBER($C141),$C141,DATEVALUE($C141))-IF(ISNUMBER($B141),$B141,DATEVALUE($B141)))/7,0),""))</f>
        <v/>
      </c>
      <c r="W141" s="351">
        <f>IF($U141="Subscription","",$Q141-$S141)</f>
        <v/>
      </c>
      <c r="X141" s="384">
        <f>IF(OR($A141="",$U141="Subscription",$J141="",$I141="",$J141=0,$I141=0,$I141&gt;$J141),"",$J141-$I141)</f>
        <v/>
      </c>
      <c r="Y141" s="381">
        <f>IF(OR($A141="",$U141="Subscription",$J141="",$J141=0,$X141=""),"",$X141/$J141)</f>
        <v/>
      </c>
    </row>
    <row r="142" ht="21" customHeight="1" s="270">
      <c r="A142" s="297" t="n"/>
      <c r="B142" s="298" t="n"/>
      <c r="C142" s="298" t="n"/>
      <c r="D142" s="297" t="n"/>
      <c r="E142" s="349" t="n"/>
      <c r="F142" s="349" t="n"/>
      <c r="G142" s="349" t="n"/>
      <c r="H142" s="349" t="n"/>
      <c r="I142" s="382" t="n"/>
      <c r="J142" s="383" t="n"/>
      <c r="K142" s="351" t="n"/>
      <c r="L142" s="296" t="n"/>
      <c r="M142" s="349" t="n"/>
      <c r="N142" s="349">
        <f>IF($A142="","",IF(OR(LOWER($D142&amp;"")="n/a",ISNUMBER(SEARCH("subscription",LOWER($A142&amp;" "&amp;$M142&amp;""))),ISNUMBER(SEARCH("membership",LOWER($A142&amp;" "&amp;$M142&amp;"")))),"",IF($G142="","",IF(ISNUMBER(SEARCH("non",LOWER($E142&amp;""))),$G142*0.85,$G142))))</f>
        <v/>
      </c>
      <c r="O142" s="349">
        <f>IF($A142="","",IF(OR(LOWER($D142&amp;"")="n/a",ISNUMBER(SEARCH("subscription",LOWER($A142&amp;" "&amp;$M142&amp;""))),ISNUMBER(SEARCH("membership",LOWER($A142&amp;" "&amp;$M142&amp;"")))),"",IF(OR($N142="",$I142="",$I142=0),"",$N142/$I142)))</f>
        <v/>
      </c>
      <c r="P142" s="349">
        <f>IF($A142="","",IF(OR(LOWER($D142&amp;"")="n/a",ISNUMBER(SEARCH("subscription",LOWER($A142&amp;" "&amp;$M142&amp;""))),ISNUMBER(SEARCH("membership",LOWER($A142&amp;" "&amp;$M142&amp;"")))),"",IF(LOWER($L142&amp;"")="yes",0,IF($K142&lt;&gt;"",$K142,IF($O142&lt;&gt;"",$O142,"")))))</f>
        <v/>
      </c>
      <c r="Q142" s="351">
        <f>IF($A142="","",IF($U142="Subscription","",IF($U142="Profit",$P142-$H142,0)))</f>
        <v/>
      </c>
      <c r="R142" s="349">
        <f>IF($A142="","",IF($U142="Subscription","",IF($U142="Draw",$H142,0)))</f>
        <v/>
      </c>
      <c r="S142" s="349">
        <f>IF($A142="","",IF($U142="Subscription","",IF($U142="Disqualified",$H142,0)))</f>
        <v/>
      </c>
      <c r="T142" s="380">
        <f>IF($A142="","",IF($U142="Subscription","",IF($H142=0,IF($U142="Profit","N/A",0),IF($U142="Profit",$Q142/$H142,IF($U142="Disqualified",-1,0)))))</f>
        <v/>
      </c>
      <c r="U142" s="351">
        <f>IF($A142="","",IF(OR(LOWER($D142&amp;"")="n/a",ISNUMBER(SEARCH("subscription",LOWER($A142&amp;" "&amp;$M142&amp;""))),ISNUMBER(SEARCH("membership",LOWER($A142&amp;" "&amp;$M142&amp;"")))),"Subscription",IF(LOWER($L142&amp;"")="yes","Disqualified",IF($P142&gt;$H142,"Profit","Draw"))))</f>
        <v/>
      </c>
      <c r="V142" s="383">
        <f>IF(OR($A142="",$B142="",$C142="",$U142="Subscription"),"",IFERROR(ROUNDUP((IF(ISNUMBER($C142),$C142,DATEVALUE($C142))-IF(ISNUMBER($B142),$B142,DATEVALUE($B142)))/7,0),""))</f>
        <v/>
      </c>
      <c r="W142" s="351">
        <f>IF($U142="Subscription","",$Q142-$S142)</f>
        <v/>
      </c>
      <c r="X142" s="384">
        <f>IF(OR($A142="",$U142="Subscription",$J142="",$I142="",$J142=0,$I142=0,$I142&gt;$J142),"",$J142-$I142)</f>
        <v/>
      </c>
      <c r="Y142" s="381">
        <f>IF(OR($A142="",$U142="Subscription",$J142="",$J142=0,$X142=""),"",$X142/$J142)</f>
        <v/>
      </c>
    </row>
    <row r="143" ht="21" customHeight="1" s="270">
      <c r="A143" s="297" t="n"/>
      <c r="B143" s="298" t="n"/>
      <c r="C143" s="298" t="n"/>
      <c r="D143" s="297" t="n"/>
      <c r="E143" s="349" t="n"/>
      <c r="F143" s="349" t="n"/>
      <c r="G143" s="349" t="n"/>
      <c r="H143" s="349" t="n"/>
      <c r="I143" s="382" t="n"/>
      <c r="J143" s="383" t="n"/>
      <c r="K143" s="351" t="n"/>
      <c r="L143" s="296" t="n"/>
      <c r="M143" s="349" t="n"/>
      <c r="N143" s="349">
        <f>IF($A143="","",IF(OR(LOWER($D143&amp;"")="n/a",ISNUMBER(SEARCH("subscription",LOWER($A143&amp;" "&amp;$M143&amp;""))),ISNUMBER(SEARCH("membership",LOWER($A143&amp;" "&amp;$M143&amp;"")))),"",IF($G143="","",IF(ISNUMBER(SEARCH("non",LOWER($E143&amp;""))),$G143*0.85,$G143))))</f>
        <v/>
      </c>
      <c r="O143" s="349">
        <f>IF($A143="","",IF(OR(LOWER($D143&amp;"")="n/a",ISNUMBER(SEARCH("subscription",LOWER($A143&amp;" "&amp;$M143&amp;""))),ISNUMBER(SEARCH("membership",LOWER($A143&amp;" "&amp;$M143&amp;"")))),"",IF(OR($N143="",$I143="",$I143=0),"",$N143/$I143)))</f>
        <v/>
      </c>
      <c r="P143" s="349">
        <f>IF($A143="","",IF(OR(LOWER($D143&amp;"")="n/a",ISNUMBER(SEARCH("subscription",LOWER($A143&amp;" "&amp;$M143&amp;""))),ISNUMBER(SEARCH("membership",LOWER($A143&amp;" "&amp;$M143&amp;"")))),"",IF(LOWER($L143&amp;"")="yes",0,IF($K143&lt;&gt;"",$K143,IF($O143&lt;&gt;"",$O143,"")))))</f>
        <v/>
      </c>
      <c r="Q143" s="351">
        <f>IF($A143="","",IF($U143="Subscription","",IF($U143="Profit",$P143-$H143,0)))</f>
        <v/>
      </c>
      <c r="R143" s="349">
        <f>IF($A143="","",IF($U143="Subscription","",IF($U143="Draw",$H143,0)))</f>
        <v/>
      </c>
      <c r="S143" s="349">
        <f>IF($A143="","",IF($U143="Subscription","",IF($U143="Disqualified",$H143,0)))</f>
        <v/>
      </c>
      <c r="T143" s="380">
        <f>IF($A143="","",IF($U143="Subscription","",IF($H143=0,IF($U143="Profit","N/A",0),IF($U143="Profit",$Q143/$H143,IF($U143="Disqualified",-1,0)))))</f>
        <v/>
      </c>
      <c r="U143" s="351">
        <f>IF($A143="","",IF(OR(LOWER($D143&amp;"")="n/a",ISNUMBER(SEARCH("subscription",LOWER($A143&amp;" "&amp;$M143&amp;""))),ISNUMBER(SEARCH("membership",LOWER($A143&amp;" "&amp;$M143&amp;"")))),"Subscription",IF(LOWER($L143&amp;"")="yes","Disqualified",IF($P143&gt;$H143,"Profit","Draw"))))</f>
        <v/>
      </c>
      <c r="V143" s="383">
        <f>IF(OR($A143="",$B143="",$C143="",$U143="Subscription"),"",IFERROR(ROUNDUP((IF(ISNUMBER($C143),$C143,DATEVALUE($C143))-IF(ISNUMBER($B143),$B143,DATEVALUE($B143)))/7,0),""))</f>
        <v/>
      </c>
      <c r="W143" s="351">
        <f>IF($U143="Subscription","",$Q143-$S143)</f>
        <v/>
      </c>
      <c r="X143" s="384">
        <f>IF(OR($A143="",$U143="Subscription",$J143="",$I143="",$J143=0,$I143=0,$I143&gt;$J143),"",$J143-$I143)</f>
        <v/>
      </c>
      <c r="Y143" s="381">
        <f>IF(OR($A143="",$U143="Subscription",$J143="",$J143=0,$X143=""),"",$X143/$J143)</f>
        <v/>
      </c>
    </row>
    <row r="144" ht="21" customHeight="1" s="270">
      <c r="A144" s="297" t="n"/>
      <c r="B144" s="298" t="n"/>
      <c r="C144" s="298" t="n"/>
      <c r="D144" s="297" t="n"/>
      <c r="E144" s="349" t="n"/>
      <c r="F144" s="349" t="n"/>
      <c r="G144" s="349" t="n"/>
      <c r="H144" s="349" t="n"/>
      <c r="I144" s="382" t="n"/>
      <c r="J144" s="383" t="n"/>
      <c r="K144" s="351" t="n"/>
      <c r="L144" s="296" t="n"/>
      <c r="M144" s="349" t="n"/>
      <c r="N144" s="349">
        <f>IF($A144="","",IF(OR(LOWER($D144&amp;"")="n/a",ISNUMBER(SEARCH("subscription",LOWER($A144&amp;" "&amp;$M144&amp;""))),ISNUMBER(SEARCH("membership",LOWER($A144&amp;" "&amp;$M144&amp;"")))),"",IF($G144="","",IF(ISNUMBER(SEARCH("non",LOWER($E144&amp;""))),$G144*0.85,$G144))))</f>
        <v/>
      </c>
      <c r="O144" s="349">
        <f>IF($A144="","",IF(OR(LOWER($D144&amp;"")="n/a",ISNUMBER(SEARCH("subscription",LOWER($A144&amp;" "&amp;$M144&amp;""))),ISNUMBER(SEARCH("membership",LOWER($A144&amp;" "&amp;$M144&amp;"")))),"",IF(OR($N144="",$I144="",$I144=0),"",$N144/$I144)))</f>
        <v/>
      </c>
      <c r="P144" s="349">
        <f>IF($A144="","",IF(OR(LOWER($D144&amp;"")="n/a",ISNUMBER(SEARCH("subscription",LOWER($A144&amp;" "&amp;$M144&amp;""))),ISNUMBER(SEARCH("membership",LOWER($A144&amp;" "&amp;$M144&amp;"")))),"",IF(LOWER($L144&amp;"")="yes",0,IF($K144&lt;&gt;"",$K144,IF($O144&lt;&gt;"",$O144,"")))))</f>
        <v/>
      </c>
      <c r="Q144" s="351">
        <f>IF($A144="","",IF($U144="Subscription","",IF($U144="Profit",$P144-$H144,0)))</f>
        <v/>
      </c>
      <c r="R144" s="349">
        <f>IF($A144="","",IF($U144="Subscription","",IF($U144="Draw",$H144,0)))</f>
        <v/>
      </c>
      <c r="S144" s="349">
        <f>IF($A144="","",IF($U144="Subscription","",IF($U144="Disqualified",$H144,0)))</f>
        <v/>
      </c>
      <c r="T144" s="380">
        <f>IF($A144="","",IF($U144="Subscription","",IF($H144=0,IF($U144="Profit","N/A",0),IF($U144="Profit",$Q144/$H144,IF($U144="Disqualified",-1,0)))))</f>
        <v/>
      </c>
      <c r="U144" s="351">
        <f>IF($A144="","",IF(OR(LOWER($D144&amp;"")="n/a",ISNUMBER(SEARCH("subscription",LOWER($A144&amp;" "&amp;$M144&amp;""))),ISNUMBER(SEARCH("membership",LOWER($A144&amp;" "&amp;$M144&amp;"")))),"Subscription",IF(LOWER($L144&amp;"")="yes","Disqualified",IF($P144&gt;$H144,"Profit","Draw"))))</f>
        <v/>
      </c>
      <c r="V144" s="383">
        <f>IF(OR($A144="",$B144="",$C144="",$U144="Subscription"),"",IFERROR(ROUNDUP((IF(ISNUMBER($C144),$C144,DATEVALUE($C144))-IF(ISNUMBER($B144),$B144,DATEVALUE($B144)))/7,0),""))</f>
        <v/>
      </c>
      <c r="W144" s="351">
        <f>IF($U144="Subscription","",$Q144-$S144)</f>
        <v/>
      </c>
      <c r="X144" s="384">
        <f>IF(OR($A144="",$U144="Subscription",$J144="",$I144="",$J144=0,$I144=0,$I144&gt;$J144),"",$J144-$I144)</f>
        <v/>
      </c>
      <c r="Y144" s="381">
        <f>IF(OR($A144="",$U144="Subscription",$J144="",$J144=0,$X144=""),"",$X144/$J144)</f>
        <v/>
      </c>
    </row>
    <row r="145" ht="21" customHeight="1" s="270">
      <c r="A145" s="297" t="n"/>
      <c r="B145" s="298" t="n"/>
      <c r="C145" s="298" t="n"/>
      <c r="D145" s="297" t="n"/>
      <c r="E145" s="349" t="n"/>
      <c r="F145" s="349" t="n"/>
      <c r="G145" s="349" t="n"/>
      <c r="H145" s="349" t="n"/>
      <c r="I145" s="382" t="n"/>
      <c r="J145" s="383" t="n"/>
      <c r="K145" s="351" t="n"/>
      <c r="L145" s="296" t="n"/>
      <c r="M145" s="349" t="n"/>
      <c r="N145" s="349">
        <f>IF($A145="","",IF(OR(LOWER($D145&amp;"")="n/a",ISNUMBER(SEARCH("subscription",LOWER($A145&amp;" "&amp;$M145&amp;""))),ISNUMBER(SEARCH("membership",LOWER($A145&amp;" "&amp;$M145&amp;"")))),"",IF($G145="","",IF(ISNUMBER(SEARCH("non",LOWER($E145&amp;""))),$G145*0.85,$G145))))</f>
        <v/>
      </c>
      <c r="O145" s="349">
        <f>IF($A145="","",IF(OR(LOWER($D145&amp;"")="n/a",ISNUMBER(SEARCH("subscription",LOWER($A145&amp;" "&amp;$M145&amp;""))),ISNUMBER(SEARCH("membership",LOWER($A145&amp;" "&amp;$M145&amp;"")))),"",IF(OR($N145="",$I145="",$I145=0),"",$N145/$I145)))</f>
        <v/>
      </c>
      <c r="P145" s="349">
        <f>IF($A145="","",IF(OR(LOWER($D145&amp;"")="n/a",ISNUMBER(SEARCH("subscription",LOWER($A145&amp;" "&amp;$M145&amp;""))),ISNUMBER(SEARCH("membership",LOWER($A145&amp;" "&amp;$M145&amp;"")))),"",IF(LOWER($L145&amp;"")="yes",0,IF($K145&lt;&gt;"",$K145,IF($O145&lt;&gt;"",$O145,"")))))</f>
        <v/>
      </c>
      <c r="Q145" s="351">
        <f>IF($A145="","",IF($U145="Subscription","",IF($U145="Profit",$P145-$H145,0)))</f>
        <v/>
      </c>
      <c r="R145" s="349">
        <f>IF($A145="","",IF($U145="Subscription","",IF($U145="Draw",$H145,0)))</f>
        <v/>
      </c>
      <c r="S145" s="349">
        <f>IF($A145="","",IF($U145="Subscription","",IF($U145="Disqualified",$H145,0)))</f>
        <v/>
      </c>
      <c r="T145" s="380">
        <f>IF($A145="","",IF($U145="Subscription","",IF($H145=0,IF($U145="Profit","N/A",0),IF($U145="Profit",$Q145/$H145,IF($U145="Disqualified",-1,0)))))</f>
        <v/>
      </c>
      <c r="U145" s="351">
        <f>IF($A145="","",IF(OR(LOWER($D145&amp;"")="n/a",ISNUMBER(SEARCH("subscription",LOWER($A145&amp;" "&amp;$M145&amp;""))),ISNUMBER(SEARCH("membership",LOWER($A145&amp;" "&amp;$M145&amp;"")))),"Subscription",IF(LOWER($L145&amp;"")="yes","Disqualified",IF($P145&gt;$H145,"Profit","Draw"))))</f>
        <v/>
      </c>
      <c r="V145" s="383">
        <f>IF(OR($A145="",$B145="",$C145="",$U145="Subscription"),"",IFERROR(ROUNDUP((IF(ISNUMBER($C145),$C145,DATEVALUE($C145))-IF(ISNUMBER($B145),$B145,DATEVALUE($B145)))/7,0),""))</f>
        <v/>
      </c>
      <c r="W145" s="351">
        <f>IF($U145="Subscription","",$Q145-$S145)</f>
        <v/>
      </c>
      <c r="X145" s="384">
        <f>IF(OR($A145="",$U145="Subscription",$J145="",$I145="",$J145=0,$I145=0,$I145&gt;$J145),"",$J145-$I145)</f>
        <v/>
      </c>
      <c r="Y145" s="381">
        <f>IF(OR($A145="",$U145="Subscription",$J145="",$J145=0,$X145=""),"",$X145/$J145)</f>
        <v/>
      </c>
    </row>
    <row r="146" ht="21" customHeight="1" s="270">
      <c r="A146" s="297" t="n"/>
      <c r="B146" s="298" t="n"/>
      <c r="C146" s="298" t="n"/>
      <c r="D146" s="297" t="n"/>
      <c r="E146" s="349" t="n"/>
      <c r="F146" s="349" t="n"/>
      <c r="G146" s="349" t="n"/>
      <c r="H146" s="349" t="n"/>
      <c r="I146" s="382" t="n"/>
      <c r="J146" s="383" t="n"/>
      <c r="K146" s="351" t="n"/>
      <c r="L146" s="296" t="n"/>
      <c r="M146" s="349" t="n"/>
      <c r="N146" s="349">
        <f>IF($A146="","",IF(OR(LOWER($D146&amp;"")="n/a",ISNUMBER(SEARCH("subscription",LOWER($A146&amp;" "&amp;$M146&amp;""))),ISNUMBER(SEARCH("membership",LOWER($A146&amp;" "&amp;$M146&amp;"")))),"",IF($G146="","",IF(ISNUMBER(SEARCH("non",LOWER($E146&amp;""))),$G146*0.85,$G146))))</f>
        <v/>
      </c>
      <c r="O146" s="349">
        <f>IF($A146="","",IF(OR(LOWER($D146&amp;"")="n/a",ISNUMBER(SEARCH("subscription",LOWER($A146&amp;" "&amp;$M146&amp;""))),ISNUMBER(SEARCH("membership",LOWER($A146&amp;" "&amp;$M146&amp;"")))),"",IF(OR($N146="",$I146="",$I146=0),"",$N146/$I146)))</f>
        <v/>
      </c>
      <c r="P146" s="349">
        <f>IF($A146="","",IF(OR(LOWER($D146&amp;"")="n/a",ISNUMBER(SEARCH("subscription",LOWER($A146&amp;" "&amp;$M146&amp;""))),ISNUMBER(SEARCH("membership",LOWER($A146&amp;" "&amp;$M146&amp;"")))),"",IF(LOWER($L146&amp;"")="yes",0,IF($K146&lt;&gt;"",$K146,IF($O146&lt;&gt;"",$O146,"")))))</f>
        <v/>
      </c>
      <c r="Q146" s="351">
        <f>IF($A146="","",IF($U146="Subscription","",IF($U146="Profit",$P146-$H146,0)))</f>
        <v/>
      </c>
      <c r="R146" s="349">
        <f>IF($A146="","",IF($U146="Subscription","",IF($U146="Draw",$H146,0)))</f>
        <v/>
      </c>
      <c r="S146" s="349">
        <f>IF($A146="","",IF($U146="Subscription","",IF($U146="Disqualified",$H146,0)))</f>
        <v/>
      </c>
      <c r="T146" s="380">
        <f>IF($A146="","",IF($U146="Subscription","",IF($H146=0,IF($U146="Profit","N/A",0),IF($U146="Profit",$Q146/$H146,IF($U146="Disqualified",-1,0)))))</f>
        <v/>
      </c>
      <c r="U146" s="351">
        <f>IF($A146="","",IF(OR(LOWER($D146&amp;"")="n/a",ISNUMBER(SEARCH("subscription",LOWER($A146&amp;" "&amp;$M146&amp;""))),ISNUMBER(SEARCH("membership",LOWER($A146&amp;" "&amp;$M146&amp;"")))),"Subscription",IF(LOWER($L146&amp;"")="yes","Disqualified",IF($P146&gt;$H146,"Profit","Draw"))))</f>
        <v/>
      </c>
      <c r="V146" s="383">
        <f>IF(OR($A146="",$B146="",$C146="",$U146="Subscription"),"",IFERROR(ROUNDUP((IF(ISNUMBER($C146),$C146,DATEVALUE($C146))-IF(ISNUMBER($B146),$B146,DATEVALUE($B146)))/7,0),""))</f>
        <v/>
      </c>
      <c r="W146" s="351">
        <f>IF($U146="Subscription","",$Q146-$S146)</f>
        <v/>
      </c>
      <c r="X146" s="384">
        <f>IF(OR($A146="",$U146="Subscription",$J146="",$I146="",$J146=0,$I146=0,$I146&gt;$J146),"",$J146-$I146)</f>
        <v/>
      </c>
      <c r="Y146" s="381">
        <f>IF(OR($A146="",$U146="Subscription",$J146="",$J146=0,$X146=""),"",$X146/$J146)</f>
        <v/>
      </c>
    </row>
    <row r="147" ht="21" customHeight="1" s="270">
      <c r="A147" s="297" t="n"/>
      <c r="B147" s="298" t="n"/>
      <c r="C147" s="298" t="n"/>
      <c r="D147" s="297" t="n"/>
      <c r="E147" s="349" t="n"/>
      <c r="F147" s="349" t="n"/>
      <c r="G147" s="349" t="n"/>
      <c r="H147" s="349" t="n"/>
      <c r="I147" s="382" t="n"/>
      <c r="J147" s="383" t="n"/>
      <c r="K147" s="351" t="n"/>
      <c r="L147" s="296" t="n"/>
      <c r="M147" s="349" t="n"/>
      <c r="N147" s="349">
        <f>IF($A147="","",IF(OR(LOWER($D147&amp;"")="n/a",ISNUMBER(SEARCH("subscription",LOWER($A147&amp;" "&amp;$M147&amp;""))),ISNUMBER(SEARCH("membership",LOWER($A147&amp;" "&amp;$M147&amp;"")))),"",IF($G147="","",IF(ISNUMBER(SEARCH("non",LOWER($E147&amp;""))),$G147*0.85,$G147))))</f>
        <v/>
      </c>
      <c r="O147" s="349">
        <f>IF($A147="","",IF(OR(LOWER($D147&amp;"")="n/a",ISNUMBER(SEARCH("subscription",LOWER($A147&amp;" "&amp;$M147&amp;""))),ISNUMBER(SEARCH("membership",LOWER($A147&amp;" "&amp;$M147&amp;"")))),"",IF(OR($N147="",$I147="",$I147=0),"",$N147/$I147)))</f>
        <v/>
      </c>
      <c r="P147" s="349">
        <f>IF($A147="","",IF(OR(LOWER($D147&amp;"")="n/a",ISNUMBER(SEARCH("subscription",LOWER($A147&amp;" "&amp;$M147&amp;""))),ISNUMBER(SEARCH("membership",LOWER($A147&amp;" "&amp;$M147&amp;"")))),"",IF(LOWER($L147&amp;"")="yes",0,IF($K147&lt;&gt;"",$K147,IF($O147&lt;&gt;"",$O147,"")))))</f>
        <v/>
      </c>
      <c r="Q147" s="351">
        <f>IF($A147="","",IF($U147="Subscription","",IF($U147="Profit",$P147-$H147,0)))</f>
        <v/>
      </c>
      <c r="R147" s="349">
        <f>IF($A147="","",IF($U147="Subscription","",IF($U147="Draw",$H147,0)))</f>
        <v/>
      </c>
      <c r="S147" s="349">
        <f>IF($A147="","",IF($U147="Subscription","",IF($U147="Disqualified",$H147,0)))</f>
        <v/>
      </c>
      <c r="T147" s="380">
        <f>IF($A147="","",IF($U147="Subscription","",IF($H147=0,IF($U147="Profit","N/A",0),IF($U147="Profit",$Q147/$H147,IF($U147="Disqualified",-1,0)))))</f>
        <v/>
      </c>
      <c r="U147" s="351">
        <f>IF($A147="","",IF(OR(LOWER($D147&amp;"")="n/a",ISNUMBER(SEARCH("subscription",LOWER($A147&amp;" "&amp;$M147&amp;""))),ISNUMBER(SEARCH("membership",LOWER($A147&amp;" "&amp;$M147&amp;"")))),"Subscription",IF(LOWER($L147&amp;"")="yes","Disqualified",IF($P147&gt;$H147,"Profit","Draw"))))</f>
        <v/>
      </c>
      <c r="V147" s="383">
        <f>IF(OR($A147="",$B147="",$C147="",$U147="Subscription"),"",IFERROR(ROUNDUP((IF(ISNUMBER($C147),$C147,DATEVALUE($C147))-IF(ISNUMBER($B147),$B147,DATEVALUE($B147)))/7,0),""))</f>
        <v/>
      </c>
      <c r="W147" s="351">
        <f>IF($U147="Subscription","",$Q147-$S147)</f>
        <v/>
      </c>
      <c r="X147" s="384">
        <f>IF(OR($A147="",$U147="Subscription",$J147="",$I147="",$J147=0,$I147=0,$I147&gt;$J147),"",$J147-$I147)</f>
        <v/>
      </c>
      <c r="Y147" s="381">
        <f>IF(OR($A147="",$U147="Subscription",$J147="",$J147=0,$X147=""),"",$X147/$J147)</f>
        <v/>
      </c>
    </row>
    <row r="148" ht="21" customHeight="1" s="270">
      <c r="A148" s="297" t="n"/>
      <c r="B148" s="298" t="n"/>
      <c r="C148" s="298" t="n"/>
      <c r="D148" s="297" t="n"/>
      <c r="E148" s="349" t="n"/>
      <c r="F148" s="349" t="n"/>
      <c r="G148" s="349" t="n"/>
      <c r="H148" s="349" t="n"/>
      <c r="I148" s="382" t="n"/>
      <c r="J148" s="383" t="n"/>
      <c r="K148" s="351" t="n"/>
      <c r="L148" s="296" t="n"/>
      <c r="M148" s="349" t="n"/>
      <c r="N148" s="349">
        <f>IF($A148="","",IF(OR(LOWER($D148&amp;"")="n/a",ISNUMBER(SEARCH("subscription",LOWER($A148&amp;" "&amp;$M148&amp;""))),ISNUMBER(SEARCH("membership",LOWER($A148&amp;" "&amp;$M148&amp;"")))),"",IF($G148="","",IF(ISNUMBER(SEARCH("non",LOWER($E148&amp;""))),$G148*0.85,$G148))))</f>
        <v/>
      </c>
      <c r="O148" s="349">
        <f>IF($A148="","",IF(OR(LOWER($D148&amp;"")="n/a",ISNUMBER(SEARCH("subscription",LOWER($A148&amp;" "&amp;$M148&amp;""))),ISNUMBER(SEARCH("membership",LOWER($A148&amp;" "&amp;$M148&amp;"")))),"",IF(OR($N148="",$I148="",$I148=0),"",$N148/$I148)))</f>
        <v/>
      </c>
      <c r="P148" s="349">
        <f>IF($A148="","",IF(OR(LOWER($D148&amp;"")="n/a",ISNUMBER(SEARCH("subscription",LOWER($A148&amp;" "&amp;$M148&amp;""))),ISNUMBER(SEARCH("membership",LOWER($A148&amp;" "&amp;$M148&amp;"")))),"",IF(LOWER($L148&amp;"")="yes",0,IF($K148&lt;&gt;"",$K148,IF($O148&lt;&gt;"",$O148,"")))))</f>
        <v/>
      </c>
      <c r="Q148" s="351">
        <f>IF($A148="","",IF($U148="Subscription","",IF($U148="Profit",$P148-$H148,0)))</f>
        <v/>
      </c>
      <c r="R148" s="349">
        <f>IF($A148="","",IF($U148="Subscription","",IF($U148="Draw",$H148,0)))</f>
        <v/>
      </c>
      <c r="S148" s="349">
        <f>IF($A148="","",IF($U148="Subscription","",IF($U148="Disqualified",$H148,0)))</f>
        <v/>
      </c>
      <c r="T148" s="380">
        <f>IF($A148="","",IF($U148="Subscription","",IF($H148=0,IF($U148="Profit","N/A",0),IF($U148="Profit",$Q148/$H148,IF($U148="Disqualified",-1,0)))))</f>
        <v/>
      </c>
      <c r="U148" s="351">
        <f>IF($A148="","",IF(OR(LOWER($D148&amp;"")="n/a",ISNUMBER(SEARCH("subscription",LOWER($A148&amp;" "&amp;$M148&amp;""))),ISNUMBER(SEARCH("membership",LOWER($A148&amp;" "&amp;$M148&amp;"")))),"Subscription",IF(LOWER($L148&amp;"")="yes","Disqualified",IF($P148&gt;$H148,"Profit","Draw"))))</f>
        <v/>
      </c>
      <c r="V148" s="383">
        <f>IF(OR($A148="",$B148="",$C148="",$U148="Subscription"),"",IFERROR(ROUNDUP((IF(ISNUMBER($C148),$C148,DATEVALUE($C148))-IF(ISNUMBER($B148),$B148,DATEVALUE($B148)))/7,0),""))</f>
        <v/>
      </c>
      <c r="W148" s="351">
        <f>IF($U148="Subscription","",$Q148-$S148)</f>
        <v/>
      </c>
      <c r="X148" s="384">
        <f>IF(OR($A148="",$U148="Subscription",$J148="",$I148="",$J148=0,$I148=0,$I148&gt;$J148),"",$J148-$I148)</f>
        <v/>
      </c>
      <c r="Y148" s="381">
        <f>IF(OR($A148="",$U148="Subscription",$J148="",$J148=0,$X148=""),"",$X148/$J148)</f>
        <v/>
      </c>
    </row>
    <row r="149" ht="21" customHeight="1" s="270">
      <c r="A149" s="297" t="n"/>
      <c r="B149" s="298" t="n"/>
      <c r="C149" s="298" t="n"/>
      <c r="D149" s="297" t="n"/>
      <c r="E149" s="349" t="n"/>
      <c r="F149" s="349" t="n"/>
      <c r="G149" s="349" t="n"/>
      <c r="H149" s="349" t="n"/>
      <c r="I149" s="382" t="n"/>
      <c r="J149" s="383" t="n"/>
      <c r="K149" s="351" t="n"/>
      <c r="L149" s="296" t="n"/>
      <c r="M149" s="349" t="n"/>
      <c r="N149" s="349">
        <f>IF($A149="","",IF(OR(LOWER($D149&amp;"")="n/a",ISNUMBER(SEARCH("subscription",LOWER($A149&amp;" "&amp;$M149&amp;""))),ISNUMBER(SEARCH("membership",LOWER($A149&amp;" "&amp;$M149&amp;"")))),"",IF($G149="","",IF(ISNUMBER(SEARCH("non",LOWER($E149&amp;""))),$G149*0.85,$G149))))</f>
        <v/>
      </c>
      <c r="O149" s="349">
        <f>IF($A149="","",IF(OR(LOWER($D149&amp;"")="n/a",ISNUMBER(SEARCH("subscription",LOWER($A149&amp;" "&amp;$M149&amp;""))),ISNUMBER(SEARCH("membership",LOWER($A149&amp;" "&amp;$M149&amp;"")))),"",IF(OR($N149="",$I149="",$I149=0),"",$N149/$I149)))</f>
        <v/>
      </c>
      <c r="P149" s="349">
        <f>IF($A149="","",IF(OR(LOWER($D149&amp;"")="n/a",ISNUMBER(SEARCH("subscription",LOWER($A149&amp;" "&amp;$M149&amp;""))),ISNUMBER(SEARCH("membership",LOWER($A149&amp;" "&amp;$M149&amp;"")))),"",IF(LOWER($L149&amp;"")="yes",0,IF($K149&lt;&gt;"",$K149,IF($O149&lt;&gt;"",$O149,"")))))</f>
        <v/>
      </c>
      <c r="Q149" s="351">
        <f>IF($A149="","",IF($U149="Subscription","",IF($U149="Profit",$P149-$H149,0)))</f>
        <v/>
      </c>
      <c r="R149" s="349">
        <f>IF($A149="","",IF($U149="Subscription","",IF($U149="Draw",$H149,0)))</f>
        <v/>
      </c>
      <c r="S149" s="349">
        <f>IF($A149="","",IF($U149="Subscription","",IF($U149="Disqualified",$H149,0)))</f>
        <v/>
      </c>
      <c r="T149" s="380">
        <f>IF($A149="","",IF($U149="Subscription","",IF($H149=0,IF($U149="Profit","N/A",0),IF($U149="Profit",$Q149/$H149,IF($U149="Disqualified",-1,0)))))</f>
        <v/>
      </c>
      <c r="U149" s="351">
        <f>IF($A149="","",IF(OR(LOWER($D149&amp;"")="n/a",ISNUMBER(SEARCH("subscription",LOWER($A149&amp;" "&amp;$M149&amp;""))),ISNUMBER(SEARCH("membership",LOWER($A149&amp;" "&amp;$M149&amp;"")))),"Subscription",IF(LOWER($L149&amp;"")="yes","Disqualified",IF($P149&gt;$H149,"Profit","Draw"))))</f>
        <v/>
      </c>
      <c r="V149" s="383">
        <f>IF(OR($A149="",$B149="",$C149="",$U149="Subscription"),"",IFERROR(ROUNDUP((IF(ISNUMBER($C149),$C149,DATEVALUE($C149))-IF(ISNUMBER($B149),$B149,DATEVALUE($B149)))/7,0),""))</f>
        <v/>
      </c>
      <c r="W149" s="351">
        <f>IF($U149="Subscription","",$Q149-$S149)</f>
        <v/>
      </c>
      <c r="X149" s="384">
        <f>IF(OR($A149="",$U149="Subscription",$J149="",$I149="",$J149=0,$I149=0,$I149&gt;$J149),"",$J149-$I149)</f>
        <v/>
      </c>
      <c r="Y149" s="381">
        <f>IF(OR($A149="",$U149="Subscription",$J149="",$J149=0,$X149=""),"",$X149/$J149)</f>
        <v/>
      </c>
    </row>
    <row r="150" ht="21" customHeight="1" s="270">
      <c r="A150" s="297" t="n"/>
      <c r="B150" s="298" t="n"/>
      <c r="C150" s="298" t="n"/>
      <c r="D150" s="297" t="n"/>
      <c r="E150" s="349" t="n"/>
      <c r="F150" s="349" t="n"/>
      <c r="G150" s="349" t="n"/>
      <c r="H150" s="349" t="n"/>
      <c r="I150" s="382" t="n"/>
      <c r="J150" s="383" t="n"/>
      <c r="K150" s="351" t="n"/>
      <c r="L150" s="296" t="n"/>
      <c r="M150" s="349" t="n"/>
      <c r="N150" s="349">
        <f>IF($A150="","",IF(OR(LOWER($D150&amp;"")="n/a",ISNUMBER(SEARCH("subscription",LOWER($A150&amp;" "&amp;$M150&amp;""))),ISNUMBER(SEARCH("membership",LOWER($A150&amp;" "&amp;$M150&amp;"")))),"",IF($G150="","",IF(ISNUMBER(SEARCH("non",LOWER($E150&amp;""))),$G150*0.85,$G150))))</f>
        <v/>
      </c>
      <c r="O150" s="349">
        <f>IF($A150="","",IF(OR(LOWER($D150&amp;"")="n/a",ISNUMBER(SEARCH("subscription",LOWER($A150&amp;" "&amp;$M150&amp;""))),ISNUMBER(SEARCH("membership",LOWER($A150&amp;" "&amp;$M150&amp;"")))),"",IF(OR($N150="",$I150="",$I150=0),"",$N150/$I150)))</f>
        <v/>
      </c>
      <c r="P150" s="349">
        <f>IF($A150="","",IF(OR(LOWER($D150&amp;"")="n/a",ISNUMBER(SEARCH("subscription",LOWER($A150&amp;" "&amp;$M150&amp;""))),ISNUMBER(SEARCH("membership",LOWER($A150&amp;" "&amp;$M150&amp;"")))),"",IF(LOWER($L150&amp;"")="yes",0,IF($K150&lt;&gt;"",$K150,IF($O150&lt;&gt;"",$O150,"")))))</f>
        <v/>
      </c>
      <c r="Q150" s="351">
        <f>IF($A150="","",IF($U150="Subscription","",IF($U150="Profit",$P150-$H150,0)))</f>
        <v/>
      </c>
      <c r="R150" s="349">
        <f>IF($A150="","",IF($U150="Subscription","",IF($U150="Draw",$H150,0)))</f>
        <v/>
      </c>
      <c r="S150" s="349">
        <f>IF($A150="","",IF($U150="Subscription","",IF($U150="Disqualified",$H150,0)))</f>
        <v/>
      </c>
      <c r="T150" s="380">
        <f>IF($A150="","",IF($U150="Subscription","",IF($H150=0,IF($U150="Profit","N/A",0),IF($U150="Profit",$Q150/$H150,IF($U150="Disqualified",-1,0)))))</f>
        <v/>
      </c>
      <c r="U150" s="351">
        <f>IF($A150="","",IF(OR(LOWER($D150&amp;"")="n/a",ISNUMBER(SEARCH("subscription",LOWER($A150&amp;" "&amp;$M150&amp;""))),ISNUMBER(SEARCH("membership",LOWER($A150&amp;" "&amp;$M150&amp;"")))),"Subscription",IF(LOWER($L150&amp;"")="yes","Disqualified",IF($P150&gt;$H150,"Profit","Draw"))))</f>
        <v/>
      </c>
      <c r="V150" s="383">
        <f>IF(OR($A150="",$B150="",$C150="",$U150="Subscription"),"",IFERROR(ROUNDUP((IF(ISNUMBER($C150),$C150,DATEVALUE($C150))-IF(ISNUMBER($B150),$B150,DATEVALUE($B150)))/7,0),""))</f>
        <v/>
      </c>
      <c r="W150" s="351">
        <f>IF($U150="Subscription","",$Q150-$S150)</f>
        <v/>
      </c>
      <c r="X150" s="384">
        <f>IF(OR($A150="",$U150="Subscription",$J150="",$I150="",$J150=0,$I150=0,$I150&gt;$J150),"",$J150-$I150)</f>
        <v/>
      </c>
      <c r="Y150" s="381">
        <f>IF(OR($A150="",$U150="Subscription",$J150="",$J150=0,$X150=""),"",$X150/$J150)</f>
        <v/>
      </c>
    </row>
    <row r="151" ht="21" customHeight="1" s="270">
      <c r="A151" s="297" t="n"/>
      <c r="B151" s="298" t="n"/>
      <c r="C151" s="298" t="n"/>
      <c r="D151" s="297" t="n"/>
      <c r="E151" s="349" t="n"/>
      <c r="F151" s="349" t="n"/>
      <c r="G151" s="349" t="n"/>
      <c r="H151" s="349" t="n"/>
      <c r="I151" s="382" t="n"/>
      <c r="J151" s="383" t="n"/>
      <c r="K151" s="351" t="n"/>
      <c r="L151" s="296" t="n"/>
      <c r="M151" s="349" t="n"/>
      <c r="N151" s="349">
        <f>IF($A151="","",IF(OR(LOWER($D151&amp;"")="n/a",ISNUMBER(SEARCH("subscription",LOWER($A151&amp;" "&amp;$M151&amp;""))),ISNUMBER(SEARCH("membership",LOWER($A151&amp;" "&amp;$M151&amp;"")))),"",IF($G151="","",IF(ISNUMBER(SEARCH("non",LOWER($E151&amp;""))),$G151*0.85,$G151))))</f>
        <v/>
      </c>
      <c r="O151" s="349">
        <f>IF($A151="","",IF(OR(LOWER($D151&amp;"")="n/a",ISNUMBER(SEARCH("subscription",LOWER($A151&amp;" "&amp;$M151&amp;""))),ISNUMBER(SEARCH("membership",LOWER($A151&amp;" "&amp;$M151&amp;"")))),"",IF(OR($N151="",$I151="",$I151=0),"",$N151/$I151)))</f>
        <v/>
      </c>
      <c r="P151" s="349">
        <f>IF($A151="","",IF(OR(LOWER($D151&amp;"")="n/a",ISNUMBER(SEARCH("subscription",LOWER($A151&amp;" "&amp;$M151&amp;""))),ISNUMBER(SEARCH("membership",LOWER($A151&amp;" "&amp;$M151&amp;"")))),"",IF(LOWER($L151&amp;"")="yes",0,IF($K151&lt;&gt;"",$K151,IF($O151&lt;&gt;"",$O151,"")))))</f>
        <v/>
      </c>
      <c r="Q151" s="351">
        <f>IF($A151="","",IF($U151="Subscription","",IF($U151="Profit",$P151-$H151,0)))</f>
        <v/>
      </c>
      <c r="R151" s="349">
        <f>IF($A151="","",IF($U151="Subscription","",IF($U151="Draw",$H151,0)))</f>
        <v/>
      </c>
      <c r="S151" s="349">
        <f>IF($A151="","",IF($U151="Subscription","",IF($U151="Disqualified",$H151,0)))</f>
        <v/>
      </c>
      <c r="T151" s="380">
        <f>IF($A151="","",IF($U151="Subscription","",IF($H151=0,IF($U151="Profit","N/A",0),IF($U151="Profit",$Q151/$H151,IF($U151="Disqualified",-1,0)))))</f>
        <v/>
      </c>
      <c r="U151" s="351">
        <f>IF($A151="","",IF(OR(LOWER($D151&amp;"")="n/a",ISNUMBER(SEARCH("subscription",LOWER($A151&amp;" "&amp;$M151&amp;""))),ISNUMBER(SEARCH("membership",LOWER($A151&amp;" "&amp;$M151&amp;"")))),"Subscription",IF(LOWER($L151&amp;"")="yes","Disqualified",IF($P151&gt;$H151,"Profit","Draw"))))</f>
        <v/>
      </c>
      <c r="V151" s="383">
        <f>IF(OR($A151="",$B151="",$C151="",$U151="Subscription"),"",IFERROR(ROUNDUP((IF(ISNUMBER($C151),$C151,DATEVALUE($C151))-IF(ISNUMBER($B151),$B151,DATEVALUE($B151)))/7,0),""))</f>
        <v/>
      </c>
      <c r="W151" s="351">
        <f>IF($U151="Subscription","",$Q151-$S151)</f>
        <v/>
      </c>
      <c r="X151" s="384">
        <f>IF(OR($A151="",$U151="Subscription",$J151="",$I151="",$J151=0,$I151=0,$I151&gt;$J151),"",$J151-$I151)</f>
        <v/>
      </c>
      <c r="Y151" s="381">
        <f>IF(OR($A151="",$U151="Subscription",$J151="",$J151=0,$X151=""),"",$X151/$J151)</f>
        <v/>
      </c>
    </row>
    <row r="152" ht="21" customHeight="1" s="270">
      <c r="A152" s="297" t="n"/>
      <c r="B152" s="298" t="n"/>
      <c r="C152" s="298" t="n"/>
      <c r="D152" s="297" t="n"/>
      <c r="E152" s="349" t="n"/>
      <c r="F152" s="349" t="n"/>
      <c r="G152" s="349" t="n"/>
      <c r="H152" s="349" t="n"/>
      <c r="I152" s="382" t="n"/>
      <c r="J152" s="383" t="n"/>
      <c r="K152" s="351" t="n"/>
      <c r="L152" s="296" t="n"/>
      <c r="M152" s="349" t="n"/>
      <c r="N152" s="349">
        <f>IF($A152="","",IF(OR(LOWER($D152&amp;"")="n/a",ISNUMBER(SEARCH("subscription",LOWER($A152&amp;" "&amp;$M152&amp;""))),ISNUMBER(SEARCH("membership",LOWER($A152&amp;" "&amp;$M152&amp;"")))),"",IF($G152="","",IF(ISNUMBER(SEARCH("non",LOWER($E152&amp;""))),$G152*0.85,$G152))))</f>
        <v/>
      </c>
      <c r="O152" s="349">
        <f>IF($A152="","",IF(OR(LOWER($D152&amp;"")="n/a",ISNUMBER(SEARCH("subscription",LOWER($A152&amp;" "&amp;$M152&amp;""))),ISNUMBER(SEARCH("membership",LOWER($A152&amp;" "&amp;$M152&amp;"")))),"",IF(OR($N152="",$I152="",$I152=0),"",$N152/$I152)))</f>
        <v/>
      </c>
      <c r="P152" s="349">
        <f>IF($A152="","",IF(OR(LOWER($D152&amp;"")="n/a",ISNUMBER(SEARCH("subscription",LOWER($A152&amp;" "&amp;$M152&amp;""))),ISNUMBER(SEARCH("membership",LOWER($A152&amp;" "&amp;$M152&amp;"")))),"",IF(LOWER($L152&amp;"")="yes",0,IF($K152&lt;&gt;"",$K152,IF($O152&lt;&gt;"",$O152,"")))))</f>
        <v/>
      </c>
      <c r="Q152" s="351">
        <f>IF($A152="","",IF($U152="Subscription","",IF($U152="Profit",$P152-$H152,0)))</f>
        <v/>
      </c>
      <c r="R152" s="349">
        <f>IF($A152="","",IF($U152="Subscription","",IF($U152="Draw",$H152,0)))</f>
        <v/>
      </c>
      <c r="S152" s="349">
        <f>IF($A152="","",IF($U152="Subscription","",IF($U152="Disqualified",$H152,0)))</f>
        <v/>
      </c>
      <c r="T152" s="380">
        <f>IF($A152="","",IF($U152="Subscription","",IF($H152=0,IF($U152="Profit","N/A",0),IF($U152="Profit",$Q152/$H152,IF($U152="Disqualified",-1,0)))))</f>
        <v/>
      </c>
      <c r="U152" s="351">
        <f>IF($A152="","",IF(OR(LOWER($D152&amp;"")="n/a",ISNUMBER(SEARCH("subscription",LOWER($A152&amp;" "&amp;$M152&amp;""))),ISNUMBER(SEARCH("membership",LOWER($A152&amp;" "&amp;$M152&amp;"")))),"Subscription",IF(LOWER($L152&amp;"")="yes","Disqualified",IF($P152&gt;$H152,"Profit","Draw"))))</f>
        <v/>
      </c>
      <c r="V152" s="383">
        <f>IF(OR($A152="",$B152="",$C152="",$U152="Subscription"),"",IFERROR(ROUNDUP((IF(ISNUMBER($C152),$C152,DATEVALUE($C152))-IF(ISNUMBER($B152),$B152,DATEVALUE($B152)))/7,0),""))</f>
        <v/>
      </c>
      <c r="W152" s="351">
        <f>IF($U152="Subscription","",$Q152-$S152)</f>
        <v/>
      </c>
      <c r="X152" s="384">
        <f>IF(OR($A152="",$U152="Subscription",$J152="",$I152="",$J152=0,$I152=0,$I152&gt;$J152),"",$J152-$I152)</f>
        <v/>
      </c>
      <c r="Y152" s="381">
        <f>IF(OR($A152="",$U152="Subscription",$J152="",$J152=0,$X152=""),"",$X152/$J152)</f>
        <v/>
      </c>
    </row>
    <row r="153" ht="21" customHeight="1" s="270">
      <c r="A153" s="297" t="n"/>
      <c r="B153" s="298" t="n"/>
      <c r="C153" s="298" t="n"/>
      <c r="D153" s="297" t="n"/>
      <c r="E153" s="349" t="n"/>
      <c r="F153" s="349" t="n"/>
      <c r="G153" s="349" t="n"/>
      <c r="H153" s="349" t="n"/>
      <c r="I153" s="382" t="n"/>
      <c r="J153" s="383" t="n"/>
      <c r="K153" s="351" t="n"/>
      <c r="L153" s="296" t="n"/>
      <c r="M153" s="349" t="n"/>
      <c r="N153" s="349">
        <f>IF($A153="","",IF(OR(LOWER($D153&amp;"")="n/a",ISNUMBER(SEARCH("subscription",LOWER($A153&amp;" "&amp;$M153&amp;""))),ISNUMBER(SEARCH("membership",LOWER($A153&amp;" "&amp;$M153&amp;"")))),"",IF($G153="","",IF(ISNUMBER(SEARCH("non",LOWER($E153&amp;""))),$G153*0.85,$G153))))</f>
        <v/>
      </c>
      <c r="O153" s="349">
        <f>IF($A153="","",IF(OR(LOWER($D153&amp;"")="n/a",ISNUMBER(SEARCH("subscription",LOWER($A153&amp;" "&amp;$M153&amp;""))),ISNUMBER(SEARCH("membership",LOWER($A153&amp;" "&amp;$M153&amp;"")))),"",IF(OR($N153="",$I153="",$I153=0),"",$N153/$I153)))</f>
        <v/>
      </c>
      <c r="P153" s="349">
        <f>IF($A153="","",IF(OR(LOWER($D153&amp;"")="n/a",ISNUMBER(SEARCH("subscription",LOWER($A153&amp;" "&amp;$M153&amp;""))),ISNUMBER(SEARCH("membership",LOWER($A153&amp;" "&amp;$M153&amp;"")))),"",IF(LOWER($L153&amp;"")="yes",0,IF($K153&lt;&gt;"",$K153,IF($O153&lt;&gt;"",$O153,"")))))</f>
        <v/>
      </c>
      <c r="Q153" s="351">
        <f>IF($A153="","",IF($U153="Subscription","",IF($U153="Profit",$P153-$H153,0)))</f>
        <v/>
      </c>
      <c r="R153" s="349">
        <f>IF($A153="","",IF($U153="Subscription","",IF($U153="Draw",$H153,0)))</f>
        <v/>
      </c>
      <c r="S153" s="349">
        <f>IF($A153="","",IF($U153="Subscription","",IF($U153="Disqualified",$H153,0)))</f>
        <v/>
      </c>
      <c r="T153" s="380">
        <f>IF($A153="","",IF($U153="Subscription","",IF($H153=0,IF($U153="Profit","N/A",0),IF($U153="Profit",$Q153/$H153,IF($U153="Disqualified",-1,0)))))</f>
        <v/>
      </c>
      <c r="U153" s="351">
        <f>IF($A153="","",IF(OR(LOWER($D153&amp;"")="n/a",ISNUMBER(SEARCH("subscription",LOWER($A153&amp;" "&amp;$M153&amp;""))),ISNUMBER(SEARCH("membership",LOWER($A153&amp;" "&amp;$M153&amp;"")))),"Subscription",IF(LOWER($L153&amp;"")="yes","Disqualified",IF($P153&gt;$H153,"Profit","Draw"))))</f>
        <v/>
      </c>
      <c r="V153" s="383">
        <f>IF(OR($A153="",$B153="",$C153="",$U153="Subscription"),"",IFERROR(ROUNDUP((IF(ISNUMBER($C153),$C153,DATEVALUE($C153))-IF(ISNUMBER($B153),$B153,DATEVALUE($B153)))/7,0),""))</f>
        <v/>
      </c>
      <c r="W153" s="351">
        <f>IF($U153="Subscription","",$Q153-$S153)</f>
        <v/>
      </c>
      <c r="X153" s="384">
        <f>IF(OR($A153="",$U153="Subscription",$J153="",$I153="",$J153=0,$I153=0,$I153&gt;$J153),"",$J153-$I153)</f>
        <v/>
      </c>
      <c r="Y153" s="381">
        <f>IF(OR($A153="",$U153="Subscription",$J153="",$J153=0,$X153=""),"",$X153/$J153)</f>
        <v/>
      </c>
    </row>
    <row r="154" ht="21" customHeight="1" s="270">
      <c r="A154" s="297" t="n"/>
      <c r="B154" s="298" t="n"/>
      <c r="C154" s="298" t="n"/>
      <c r="D154" s="297" t="n"/>
      <c r="E154" s="349" t="n"/>
      <c r="F154" s="349" t="n"/>
      <c r="G154" s="349" t="n"/>
      <c r="H154" s="349" t="n"/>
      <c r="I154" s="382" t="n"/>
      <c r="J154" s="383" t="n"/>
      <c r="K154" s="351" t="n"/>
      <c r="L154" s="296" t="n"/>
      <c r="M154" s="349" t="n"/>
      <c r="N154" s="349">
        <f>IF($A154="","",IF(OR(LOWER($D154&amp;"")="n/a",ISNUMBER(SEARCH("subscription",LOWER($A154&amp;" "&amp;$M154&amp;""))),ISNUMBER(SEARCH("membership",LOWER($A154&amp;" "&amp;$M154&amp;"")))),"",IF($G154="","",IF(ISNUMBER(SEARCH("non",LOWER($E154&amp;""))),$G154*0.85,$G154))))</f>
        <v/>
      </c>
      <c r="O154" s="349">
        <f>IF($A154="","",IF(OR(LOWER($D154&amp;"")="n/a",ISNUMBER(SEARCH("subscription",LOWER($A154&amp;" "&amp;$M154&amp;""))),ISNUMBER(SEARCH("membership",LOWER($A154&amp;" "&amp;$M154&amp;"")))),"",IF(OR($N154="",$I154="",$I154=0),"",$N154/$I154)))</f>
        <v/>
      </c>
      <c r="P154" s="349">
        <f>IF($A154="","",IF(OR(LOWER($D154&amp;"")="n/a",ISNUMBER(SEARCH("subscription",LOWER($A154&amp;" "&amp;$M154&amp;""))),ISNUMBER(SEARCH("membership",LOWER($A154&amp;" "&amp;$M154&amp;"")))),"",IF(LOWER($L154&amp;"")="yes",0,IF($K154&lt;&gt;"",$K154,IF($O154&lt;&gt;"",$O154,"")))))</f>
        <v/>
      </c>
      <c r="Q154" s="351">
        <f>IF($A154="","",IF($U154="Subscription","",IF($U154="Profit",$P154-$H154,0)))</f>
        <v/>
      </c>
      <c r="R154" s="349">
        <f>IF($A154="","",IF($U154="Subscription","",IF($U154="Draw",$H154,0)))</f>
        <v/>
      </c>
      <c r="S154" s="349">
        <f>IF($A154="","",IF($U154="Subscription","",IF($U154="Disqualified",$H154,0)))</f>
        <v/>
      </c>
      <c r="T154" s="380">
        <f>IF($A154="","",IF($U154="Subscription","",IF($H154=0,IF($U154="Profit","N/A",0),IF($U154="Profit",$Q154/$H154,IF($U154="Disqualified",-1,0)))))</f>
        <v/>
      </c>
      <c r="U154" s="351">
        <f>IF($A154="","",IF(OR(LOWER($D154&amp;"")="n/a",ISNUMBER(SEARCH("subscription",LOWER($A154&amp;" "&amp;$M154&amp;""))),ISNUMBER(SEARCH("membership",LOWER($A154&amp;" "&amp;$M154&amp;"")))),"Subscription",IF(LOWER($L154&amp;"")="yes","Disqualified",IF($P154&gt;$H154,"Profit","Draw"))))</f>
        <v/>
      </c>
      <c r="V154" s="383">
        <f>IF(OR($A154="",$B154="",$C154="",$U154="Subscription"),"",IFERROR(ROUNDUP((IF(ISNUMBER($C154),$C154,DATEVALUE($C154))-IF(ISNUMBER($B154),$B154,DATEVALUE($B154)))/7,0),""))</f>
        <v/>
      </c>
      <c r="W154" s="351">
        <f>IF($U154="Subscription","",$Q154-$S154)</f>
        <v/>
      </c>
      <c r="X154" s="384">
        <f>IF(OR($A154="",$U154="Subscription",$J154="",$I154="",$J154=0,$I154=0,$I154&gt;$J154),"",$J154-$I154)</f>
        <v/>
      </c>
      <c r="Y154" s="381">
        <f>IF(OR($A154="",$U154="Subscription",$J154="",$J154=0,$X154=""),"",$X154/$J154)</f>
        <v/>
      </c>
    </row>
    <row r="155" ht="21" customHeight="1" s="270">
      <c r="A155" s="297" t="n"/>
      <c r="B155" s="298" t="n"/>
      <c r="C155" s="298" t="n"/>
      <c r="D155" s="297" t="n"/>
      <c r="E155" s="349" t="n"/>
      <c r="F155" s="349" t="n"/>
      <c r="G155" s="349" t="n"/>
      <c r="H155" s="349" t="n"/>
      <c r="I155" s="382" t="n"/>
      <c r="J155" s="383" t="n"/>
      <c r="K155" s="351" t="n"/>
      <c r="L155" s="296" t="n"/>
      <c r="M155" s="349" t="n"/>
      <c r="N155" s="349">
        <f>IF($A155="","",IF(OR(LOWER($D155&amp;"")="n/a",ISNUMBER(SEARCH("subscription",LOWER($A155&amp;" "&amp;$M155&amp;""))),ISNUMBER(SEARCH("membership",LOWER($A155&amp;" "&amp;$M155&amp;"")))),"",IF($G155="","",IF(ISNUMBER(SEARCH("non",LOWER($E155&amp;""))),$G155*0.85,$G155))))</f>
        <v/>
      </c>
      <c r="O155" s="349">
        <f>IF($A155="","",IF(OR(LOWER($D155&amp;"")="n/a",ISNUMBER(SEARCH("subscription",LOWER($A155&amp;" "&amp;$M155&amp;""))),ISNUMBER(SEARCH("membership",LOWER($A155&amp;" "&amp;$M155&amp;"")))),"",IF(OR($N155="",$I155="",$I155=0),"",$N155/$I155)))</f>
        <v/>
      </c>
      <c r="P155" s="349">
        <f>IF($A155="","",IF(OR(LOWER($D155&amp;"")="n/a",ISNUMBER(SEARCH("subscription",LOWER($A155&amp;" "&amp;$M155&amp;""))),ISNUMBER(SEARCH("membership",LOWER($A155&amp;" "&amp;$M155&amp;"")))),"",IF(LOWER($L155&amp;"")="yes",0,IF($K155&lt;&gt;"",$K155,IF($O155&lt;&gt;"",$O155,"")))))</f>
        <v/>
      </c>
      <c r="Q155" s="351">
        <f>IF($A155="","",IF($U155="Subscription","",IF($U155="Profit",$P155-$H155,0)))</f>
        <v/>
      </c>
      <c r="R155" s="349">
        <f>IF($A155="","",IF($U155="Subscription","",IF($U155="Draw",$H155,0)))</f>
        <v/>
      </c>
      <c r="S155" s="349">
        <f>IF($A155="","",IF($U155="Subscription","",IF($U155="Disqualified",$H155,0)))</f>
        <v/>
      </c>
      <c r="T155" s="380">
        <f>IF($A155="","",IF($U155="Subscription","",IF($H155=0,IF($U155="Profit","N/A",0),IF($U155="Profit",$Q155/$H155,IF($U155="Disqualified",-1,0)))))</f>
        <v/>
      </c>
      <c r="U155" s="351">
        <f>IF($A155="","",IF(OR(LOWER($D155&amp;"")="n/a",ISNUMBER(SEARCH("subscription",LOWER($A155&amp;" "&amp;$M155&amp;""))),ISNUMBER(SEARCH("membership",LOWER($A155&amp;" "&amp;$M155&amp;"")))),"Subscription",IF(LOWER($L155&amp;"")="yes","Disqualified",IF($P155&gt;$H155,"Profit","Draw"))))</f>
        <v/>
      </c>
      <c r="V155" s="383">
        <f>IF(OR($A155="",$B155="",$C155="",$U155="Subscription"),"",IFERROR(ROUNDUP((IF(ISNUMBER($C155),$C155,DATEVALUE($C155))-IF(ISNUMBER($B155),$B155,DATEVALUE($B155)))/7,0),""))</f>
        <v/>
      </c>
      <c r="W155" s="351">
        <f>IF($U155="Subscription","",$Q155-$S155)</f>
        <v/>
      </c>
      <c r="X155" s="384">
        <f>IF(OR($A155="",$U155="Subscription",$J155="",$I155="",$J155=0,$I155=0,$I155&gt;$J155),"",$J155-$I155)</f>
        <v/>
      </c>
      <c r="Y155" s="381">
        <f>IF(OR($A155="",$U155="Subscription",$J155="",$J155=0,$X155=""),"",$X155/$J155)</f>
        <v/>
      </c>
    </row>
    <row r="156" ht="21" customHeight="1" s="270">
      <c r="A156" s="297" t="n"/>
      <c r="B156" s="298" t="n"/>
      <c r="C156" s="298" t="n"/>
      <c r="D156" s="297" t="n"/>
      <c r="E156" s="349" t="n"/>
      <c r="F156" s="349" t="n"/>
      <c r="G156" s="349" t="n"/>
      <c r="H156" s="349" t="n"/>
      <c r="I156" s="382" t="n"/>
      <c r="J156" s="383" t="n"/>
      <c r="K156" s="351" t="n"/>
      <c r="L156" s="296" t="n"/>
      <c r="M156" s="349" t="n"/>
      <c r="N156" s="349">
        <f>IF($A156="","",IF(OR(LOWER($D156&amp;"")="n/a",ISNUMBER(SEARCH("subscription",LOWER($A156&amp;" "&amp;$M156&amp;""))),ISNUMBER(SEARCH("membership",LOWER($A156&amp;" "&amp;$M156&amp;"")))),"",IF($G156="","",IF(ISNUMBER(SEARCH("non",LOWER($E156&amp;""))),$G156*0.85,$G156))))</f>
        <v/>
      </c>
      <c r="O156" s="349">
        <f>IF($A156="","",IF(OR(LOWER($D156&amp;"")="n/a",ISNUMBER(SEARCH("subscription",LOWER($A156&amp;" "&amp;$M156&amp;""))),ISNUMBER(SEARCH("membership",LOWER($A156&amp;" "&amp;$M156&amp;"")))),"",IF(OR($N156="",$I156="",$I156=0),"",$N156/$I156)))</f>
        <v/>
      </c>
      <c r="P156" s="349">
        <f>IF($A156="","",IF(OR(LOWER($D156&amp;"")="n/a",ISNUMBER(SEARCH("subscription",LOWER($A156&amp;" "&amp;$M156&amp;""))),ISNUMBER(SEARCH("membership",LOWER($A156&amp;" "&amp;$M156&amp;"")))),"",IF(LOWER($L156&amp;"")="yes",0,IF($K156&lt;&gt;"",$K156,IF($O156&lt;&gt;"",$O156,"")))))</f>
        <v/>
      </c>
      <c r="Q156" s="351">
        <f>IF($A156="","",IF($U156="Subscription","",IF($U156="Profit",$P156-$H156,0)))</f>
        <v/>
      </c>
      <c r="R156" s="349">
        <f>IF($A156="","",IF($U156="Subscription","",IF($U156="Draw",$H156,0)))</f>
        <v/>
      </c>
      <c r="S156" s="349">
        <f>IF($A156="","",IF($U156="Subscription","",IF($U156="Disqualified",$H156,0)))</f>
        <v/>
      </c>
      <c r="T156" s="380">
        <f>IF($A156="","",IF($U156="Subscription","",IF($H156=0,IF($U156="Profit","N/A",0),IF($U156="Profit",$Q156/$H156,IF($U156="Disqualified",-1,0)))))</f>
        <v/>
      </c>
      <c r="U156" s="351">
        <f>IF($A156="","",IF(OR(LOWER($D156&amp;"")="n/a",ISNUMBER(SEARCH("subscription",LOWER($A156&amp;" "&amp;$M156&amp;""))),ISNUMBER(SEARCH("membership",LOWER($A156&amp;" "&amp;$M156&amp;"")))),"Subscription",IF(LOWER($L156&amp;"")="yes","Disqualified",IF($P156&gt;$H156,"Profit","Draw"))))</f>
        <v/>
      </c>
      <c r="V156" s="383">
        <f>IF(OR($A156="",$B156="",$C156="",$U156="Subscription"),"",IFERROR(ROUNDUP((IF(ISNUMBER($C156),$C156,DATEVALUE($C156))-IF(ISNUMBER($B156),$B156,DATEVALUE($B156)))/7,0),""))</f>
        <v/>
      </c>
      <c r="W156" s="351">
        <f>IF($U156="Subscription","",$Q156-$S156)</f>
        <v/>
      </c>
      <c r="X156" s="384">
        <f>IF(OR($A156="",$U156="Subscription",$J156="",$I156="",$J156=0,$I156=0,$I156&gt;$J156),"",$J156-$I156)</f>
        <v/>
      </c>
      <c r="Y156" s="381">
        <f>IF(OR($A156="",$U156="Subscription",$J156="",$J156=0,$X156=""),"",$X156/$J156)</f>
        <v/>
      </c>
    </row>
    <row r="157" ht="21" customHeight="1" s="270">
      <c r="A157" s="297" t="n"/>
      <c r="B157" s="298" t="n"/>
      <c r="C157" s="298" t="n"/>
      <c r="D157" s="297" t="n"/>
      <c r="E157" s="349" t="n"/>
      <c r="F157" s="349" t="n"/>
      <c r="G157" s="349" t="n"/>
      <c r="H157" s="349" t="n"/>
      <c r="I157" s="382" t="n"/>
      <c r="J157" s="383" t="n"/>
      <c r="K157" s="351" t="n"/>
      <c r="L157" s="296" t="n"/>
      <c r="M157" s="349" t="n"/>
      <c r="N157" s="349">
        <f>IF($A157="","",IF(OR(LOWER($D157&amp;"")="n/a",ISNUMBER(SEARCH("subscription",LOWER($A157&amp;" "&amp;$M157&amp;""))),ISNUMBER(SEARCH("membership",LOWER($A157&amp;" "&amp;$M157&amp;"")))),"",IF($G157="","",IF(ISNUMBER(SEARCH("non",LOWER($E157&amp;""))),$G157*0.85,$G157))))</f>
        <v/>
      </c>
      <c r="O157" s="349">
        <f>IF($A157="","",IF(OR(LOWER($D157&amp;"")="n/a",ISNUMBER(SEARCH("subscription",LOWER($A157&amp;" "&amp;$M157&amp;""))),ISNUMBER(SEARCH("membership",LOWER($A157&amp;" "&amp;$M157&amp;"")))),"",IF(OR($N157="",$I157="",$I157=0),"",$N157/$I157)))</f>
        <v/>
      </c>
      <c r="P157" s="349">
        <f>IF($A157="","",IF(OR(LOWER($D157&amp;"")="n/a",ISNUMBER(SEARCH("subscription",LOWER($A157&amp;" "&amp;$M157&amp;""))),ISNUMBER(SEARCH("membership",LOWER($A157&amp;" "&amp;$M157&amp;"")))),"",IF(LOWER($L157&amp;"")="yes",0,IF($K157&lt;&gt;"",$K157,IF($O157&lt;&gt;"",$O157,"")))))</f>
        <v/>
      </c>
      <c r="Q157" s="351">
        <f>IF($A157="","",IF($U157="Subscription","",IF($U157="Profit",$P157-$H157,0)))</f>
        <v/>
      </c>
      <c r="R157" s="349">
        <f>IF($A157="","",IF($U157="Subscription","",IF($U157="Draw",$H157,0)))</f>
        <v/>
      </c>
      <c r="S157" s="349">
        <f>IF($A157="","",IF($U157="Subscription","",IF($U157="Disqualified",$H157,0)))</f>
        <v/>
      </c>
      <c r="T157" s="380">
        <f>IF($A157="","",IF($U157="Subscription","",IF($H157=0,IF($U157="Profit","N/A",0),IF($U157="Profit",$Q157/$H157,IF($U157="Disqualified",-1,0)))))</f>
        <v/>
      </c>
      <c r="U157" s="351">
        <f>IF($A157="","",IF(OR(LOWER($D157&amp;"")="n/a",ISNUMBER(SEARCH("subscription",LOWER($A157&amp;" "&amp;$M157&amp;""))),ISNUMBER(SEARCH("membership",LOWER($A157&amp;" "&amp;$M157&amp;"")))),"Subscription",IF(LOWER($L157&amp;"")="yes","Disqualified",IF($P157&gt;$H157,"Profit","Draw"))))</f>
        <v/>
      </c>
      <c r="V157" s="383">
        <f>IF(OR($A157="",$B157="",$C157="",$U157="Subscription"),"",IFERROR(ROUNDUP((IF(ISNUMBER($C157),$C157,DATEVALUE($C157))-IF(ISNUMBER($B157),$B157,DATEVALUE($B157)))/7,0),""))</f>
        <v/>
      </c>
      <c r="W157" s="351">
        <f>IF($U157="Subscription","",$Q157-$S157)</f>
        <v/>
      </c>
      <c r="X157" s="384">
        <f>IF(OR($A157="",$U157="Subscription",$J157="",$I157="",$J157=0,$I157=0,$I157&gt;$J157),"",$J157-$I157)</f>
        <v/>
      </c>
      <c r="Y157" s="381">
        <f>IF(OR($A157="",$U157="Subscription",$J157="",$J157=0,$X157=""),"",$X157/$J157)</f>
        <v/>
      </c>
    </row>
    <row r="158" ht="21" customHeight="1" s="270">
      <c r="A158" s="297" t="n"/>
      <c r="B158" s="298" t="n"/>
      <c r="C158" s="298" t="n"/>
      <c r="D158" s="297" t="n"/>
      <c r="E158" s="349" t="n"/>
      <c r="F158" s="349" t="n"/>
      <c r="G158" s="349" t="n"/>
      <c r="H158" s="349" t="n"/>
      <c r="I158" s="382" t="n"/>
      <c r="J158" s="383" t="n"/>
      <c r="K158" s="351" t="n"/>
      <c r="L158" s="296" t="n"/>
      <c r="M158" s="349" t="n"/>
      <c r="N158" s="349">
        <f>IF($A158="","",IF(OR(LOWER($D158&amp;"")="n/a",ISNUMBER(SEARCH("subscription",LOWER($A158&amp;" "&amp;$M158&amp;""))),ISNUMBER(SEARCH("membership",LOWER($A158&amp;" "&amp;$M158&amp;"")))),"",IF($G158="","",IF(ISNUMBER(SEARCH("non",LOWER($E158&amp;""))),$G158*0.85,$G158))))</f>
        <v/>
      </c>
      <c r="O158" s="349">
        <f>IF($A158="","",IF(OR(LOWER($D158&amp;"")="n/a",ISNUMBER(SEARCH("subscription",LOWER($A158&amp;" "&amp;$M158&amp;""))),ISNUMBER(SEARCH("membership",LOWER($A158&amp;" "&amp;$M158&amp;"")))),"",IF(OR($N158="",$I158="",$I158=0),"",$N158/$I158)))</f>
        <v/>
      </c>
      <c r="P158" s="349">
        <f>IF($A158="","",IF(OR(LOWER($D158&amp;"")="n/a",ISNUMBER(SEARCH("subscription",LOWER($A158&amp;" "&amp;$M158&amp;""))),ISNUMBER(SEARCH("membership",LOWER($A158&amp;" "&amp;$M158&amp;"")))),"",IF(LOWER($L158&amp;"")="yes",0,IF($K158&lt;&gt;"",$K158,IF($O158&lt;&gt;"",$O158,"")))))</f>
        <v/>
      </c>
      <c r="Q158" s="351">
        <f>IF($A158="","",IF($U158="Subscription","",IF($U158="Profit",$P158-$H158,0)))</f>
        <v/>
      </c>
      <c r="R158" s="349">
        <f>IF($A158="","",IF($U158="Subscription","",IF($U158="Draw",$H158,0)))</f>
        <v/>
      </c>
      <c r="S158" s="349">
        <f>IF($A158="","",IF($U158="Subscription","",IF($U158="Disqualified",$H158,0)))</f>
        <v/>
      </c>
      <c r="T158" s="380">
        <f>IF($A158="","",IF($U158="Subscription","",IF($H158=0,IF($U158="Profit","N/A",0),IF($U158="Profit",$Q158/$H158,IF($U158="Disqualified",-1,0)))))</f>
        <v/>
      </c>
      <c r="U158" s="351">
        <f>IF($A158="","",IF(OR(LOWER($D158&amp;"")="n/a",ISNUMBER(SEARCH("subscription",LOWER($A158&amp;" "&amp;$M158&amp;""))),ISNUMBER(SEARCH("membership",LOWER($A158&amp;" "&amp;$M158&amp;"")))),"Subscription",IF(LOWER($L158&amp;"")="yes","Disqualified",IF($P158&gt;$H158,"Profit","Draw"))))</f>
        <v/>
      </c>
      <c r="V158" s="383">
        <f>IF(OR($A158="",$B158="",$C158="",$U158="Subscription"),"",IFERROR(ROUNDUP((IF(ISNUMBER($C158),$C158,DATEVALUE($C158))-IF(ISNUMBER($B158),$B158,DATEVALUE($B158)))/7,0),""))</f>
        <v/>
      </c>
      <c r="W158" s="351">
        <f>IF($U158="Subscription","",$Q158-$S158)</f>
        <v/>
      </c>
      <c r="X158" s="384">
        <f>IF(OR($A158="",$U158="Subscription",$J158="",$I158="",$J158=0,$I158=0,$I158&gt;$J158),"",$J158-$I158)</f>
        <v/>
      </c>
      <c r="Y158" s="381">
        <f>IF(OR($A158="",$U158="Subscription",$J158="",$J158=0,$X158=""),"",$X158/$J158)</f>
        <v/>
      </c>
    </row>
    <row r="159" ht="21" customHeight="1" s="270">
      <c r="A159" s="297" t="n"/>
      <c r="B159" s="298" t="n"/>
      <c r="C159" s="298" t="n"/>
      <c r="D159" s="297" t="n"/>
      <c r="E159" s="349" t="n"/>
      <c r="F159" s="349" t="n"/>
      <c r="G159" s="349" t="n"/>
      <c r="H159" s="349" t="n"/>
      <c r="I159" s="382" t="n"/>
      <c r="J159" s="383" t="n"/>
      <c r="K159" s="351" t="n"/>
      <c r="L159" s="296" t="n"/>
      <c r="M159" s="349" t="n"/>
      <c r="N159" s="349">
        <f>IF($A159="","",IF(OR(LOWER($D159&amp;"")="n/a",ISNUMBER(SEARCH("subscription",LOWER($A159&amp;" "&amp;$M159&amp;""))),ISNUMBER(SEARCH("membership",LOWER($A159&amp;" "&amp;$M159&amp;"")))),"",IF($G159="","",IF(ISNUMBER(SEARCH("non",LOWER($E159&amp;""))),$G159*0.85,$G159))))</f>
        <v/>
      </c>
      <c r="O159" s="349">
        <f>IF($A159="","",IF(OR(LOWER($D159&amp;"")="n/a",ISNUMBER(SEARCH("subscription",LOWER($A159&amp;" "&amp;$M159&amp;""))),ISNUMBER(SEARCH("membership",LOWER($A159&amp;" "&amp;$M159&amp;"")))),"",IF(OR($N159="",$I159="",$I159=0),"",$N159/$I159)))</f>
        <v/>
      </c>
      <c r="P159" s="349">
        <f>IF($A159="","",IF(OR(LOWER($D159&amp;"")="n/a",ISNUMBER(SEARCH("subscription",LOWER($A159&amp;" "&amp;$M159&amp;""))),ISNUMBER(SEARCH("membership",LOWER($A159&amp;" "&amp;$M159&amp;"")))),"",IF(LOWER($L159&amp;"")="yes",0,IF($K159&lt;&gt;"",$K159,IF($O159&lt;&gt;"",$O159,"")))))</f>
        <v/>
      </c>
      <c r="Q159" s="351">
        <f>IF($A159="","",IF($U159="Subscription","",IF($U159="Profit",$P159-$H159,0)))</f>
        <v/>
      </c>
      <c r="R159" s="349">
        <f>IF($A159="","",IF($U159="Subscription","",IF($U159="Draw",$H159,0)))</f>
        <v/>
      </c>
      <c r="S159" s="349">
        <f>IF($A159="","",IF($U159="Subscription","",IF($U159="Disqualified",$H159,0)))</f>
        <v/>
      </c>
      <c r="T159" s="380">
        <f>IF($A159="","",IF($U159="Subscription","",IF($H159=0,IF($U159="Profit","N/A",0),IF($U159="Profit",$Q159/$H159,IF($U159="Disqualified",-1,0)))))</f>
        <v/>
      </c>
      <c r="U159" s="351">
        <f>IF($A159="","",IF(OR(LOWER($D159&amp;"")="n/a",ISNUMBER(SEARCH("subscription",LOWER($A159&amp;" "&amp;$M159&amp;""))),ISNUMBER(SEARCH("membership",LOWER($A159&amp;" "&amp;$M159&amp;"")))),"Subscription",IF(LOWER($L159&amp;"")="yes","Disqualified",IF($P159&gt;$H159,"Profit","Draw"))))</f>
        <v/>
      </c>
      <c r="V159" s="383">
        <f>IF(OR($A159="",$B159="",$C159="",$U159="Subscription"),"",IFERROR(ROUNDUP((IF(ISNUMBER($C159),$C159,DATEVALUE($C159))-IF(ISNUMBER($B159),$B159,DATEVALUE($B159)))/7,0),""))</f>
        <v/>
      </c>
      <c r="W159" s="351">
        <f>IF($U159="Subscription","",$Q159-$S159)</f>
        <v/>
      </c>
      <c r="X159" s="384">
        <f>IF(OR($A159="",$U159="Subscription",$J159="",$I159="",$J159=0,$I159=0,$I159&gt;$J159),"",$J159-$I159)</f>
        <v/>
      </c>
      <c r="Y159" s="381">
        <f>IF(OR($A159="",$U159="Subscription",$J159="",$J159=0,$X159=""),"",$X159/$J159)</f>
        <v/>
      </c>
    </row>
    <row r="160" ht="21" customHeight="1" s="270">
      <c r="A160" s="297" t="n"/>
      <c r="B160" s="298" t="n"/>
      <c r="C160" s="298" t="n"/>
      <c r="D160" s="297" t="n"/>
      <c r="E160" s="349" t="n"/>
      <c r="F160" s="349" t="n"/>
      <c r="G160" s="349" t="n"/>
      <c r="H160" s="349" t="n"/>
      <c r="I160" s="382" t="n"/>
      <c r="J160" s="383" t="n"/>
      <c r="K160" s="351" t="n"/>
      <c r="L160" s="296" t="n"/>
      <c r="M160" s="349" t="n"/>
      <c r="N160" s="349">
        <f>IF($A160="","",IF(OR(LOWER($D160&amp;"")="n/a",ISNUMBER(SEARCH("subscription",LOWER($A160&amp;" "&amp;$M160&amp;""))),ISNUMBER(SEARCH("membership",LOWER($A160&amp;" "&amp;$M160&amp;"")))),"",IF($G160="","",IF(ISNUMBER(SEARCH("non",LOWER($E160&amp;""))),$G160*0.85,$G160))))</f>
        <v/>
      </c>
      <c r="O160" s="349">
        <f>IF($A160="","",IF(OR(LOWER($D160&amp;"")="n/a",ISNUMBER(SEARCH("subscription",LOWER($A160&amp;" "&amp;$M160&amp;""))),ISNUMBER(SEARCH("membership",LOWER($A160&amp;" "&amp;$M160&amp;"")))),"",IF(OR($N160="",$I160="",$I160=0),"",$N160/$I160)))</f>
        <v/>
      </c>
      <c r="P160" s="349">
        <f>IF($A160="","",IF(OR(LOWER($D160&amp;"")="n/a",ISNUMBER(SEARCH("subscription",LOWER($A160&amp;" "&amp;$M160&amp;""))),ISNUMBER(SEARCH("membership",LOWER($A160&amp;" "&amp;$M160&amp;"")))),"",IF(LOWER($L160&amp;"")="yes",0,IF($K160&lt;&gt;"",$K160,IF($O160&lt;&gt;"",$O160,"")))))</f>
        <v/>
      </c>
      <c r="Q160" s="351">
        <f>IF($A160="","",IF($U160="Subscription","",IF($U160="Profit",$P160-$H160,0)))</f>
        <v/>
      </c>
      <c r="R160" s="349">
        <f>IF($A160="","",IF($U160="Subscription","",IF($U160="Draw",$H160,0)))</f>
        <v/>
      </c>
      <c r="S160" s="349">
        <f>IF($A160="","",IF($U160="Subscription","",IF($U160="Disqualified",$H160,0)))</f>
        <v/>
      </c>
      <c r="T160" s="380">
        <f>IF($A160="","",IF($U160="Subscription","",IF($H160=0,IF($U160="Profit","N/A",0),IF($U160="Profit",$Q160/$H160,IF($U160="Disqualified",-1,0)))))</f>
        <v/>
      </c>
      <c r="U160" s="351">
        <f>IF($A160="","",IF(OR(LOWER($D160&amp;"")="n/a",ISNUMBER(SEARCH("subscription",LOWER($A160&amp;" "&amp;$M160&amp;""))),ISNUMBER(SEARCH("membership",LOWER($A160&amp;" "&amp;$M160&amp;"")))),"Subscription",IF(LOWER($L160&amp;"")="yes","Disqualified",IF($P160&gt;$H160,"Profit","Draw"))))</f>
        <v/>
      </c>
      <c r="V160" s="383">
        <f>IF(OR($A160="",$B160="",$C160="",$U160="Subscription"),"",IFERROR(ROUNDUP((IF(ISNUMBER($C160),$C160,DATEVALUE($C160))-IF(ISNUMBER($B160),$B160,DATEVALUE($B160)))/7,0),""))</f>
        <v/>
      </c>
      <c r="W160" s="351">
        <f>IF($U160="Subscription","",$Q160-$S160)</f>
        <v/>
      </c>
      <c r="X160" s="384">
        <f>IF(OR($A160="",$U160="Subscription",$J160="",$I160="",$J160=0,$I160=0,$I160&gt;$J160),"",$J160-$I160)</f>
        <v/>
      </c>
      <c r="Y160" s="381">
        <f>IF(OR($A160="",$U160="Subscription",$J160="",$J160=0,$X160=""),"",$X160/$J160)</f>
        <v/>
      </c>
    </row>
    <row r="161" ht="21" customHeight="1" s="270">
      <c r="A161" s="297" t="n"/>
      <c r="B161" s="298" t="n"/>
      <c r="C161" s="298" t="n"/>
      <c r="D161" s="297" t="n"/>
      <c r="E161" s="349" t="n"/>
      <c r="F161" s="349" t="n"/>
      <c r="G161" s="349" t="n"/>
      <c r="H161" s="349" t="n"/>
      <c r="I161" s="382" t="n"/>
      <c r="J161" s="383" t="n"/>
      <c r="K161" s="351" t="n"/>
      <c r="L161" s="296" t="n"/>
      <c r="M161" s="349" t="n"/>
      <c r="N161" s="349">
        <f>IF($A161="","",IF(OR(LOWER($D161&amp;"")="n/a",ISNUMBER(SEARCH("subscription",LOWER($A161&amp;" "&amp;$M161&amp;""))),ISNUMBER(SEARCH("membership",LOWER($A161&amp;" "&amp;$M161&amp;"")))),"",IF($G161="","",IF(ISNUMBER(SEARCH("non",LOWER($E161&amp;""))),$G161*0.85,$G161))))</f>
        <v/>
      </c>
      <c r="O161" s="349">
        <f>IF($A161="","",IF(OR(LOWER($D161&amp;"")="n/a",ISNUMBER(SEARCH("subscription",LOWER($A161&amp;" "&amp;$M161&amp;""))),ISNUMBER(SEARCH("membership",LOWER($A161&amp;" "&amp;$M161&amp;"")))),"",IF(OR($N161="",$I161="",$I161=0),"",$N161/$I161)))</f>
        <v/>
      </c>
      <c r="P161" s="349">
        <f>IF($A161="","",IF(OR(LOWER($D161&amp;"")="n/a",ISNUMBER(SEARCH("subscription",LOWER($A161&amp;" "&amp;$M161&amp;""))),ISNUMBER(SEARCH("membership",LOWER($A161&amp;" "&amp;$M161&amp;"")))),"",IF(LOWER($L161&amp;"")="yes",0,IF($K161&lt;&gt;"",$K161,IF($O161&lt;&gt;"",$O161,"")))))</f>
        <v/>
      </c>
      <c r="Q161" s="351">
        <f>IF($A161="","",IF($U161="Subscription","",IF($U161="Profit",$P161-$H161,0)))</f>
        <v/>
      </c>
      <c r="R161" s="349">
        <f>IF($A161="","",IF($U161="Subscription","",IF($U161="Draw",$H161,0)))</f>
        <v/>
      </c>
      <c r="S161" s="349">
        <f>IF($A161="","",IF($U161="Subscription","",IF($U161="Disqualified",$H161,0)))</f>
        <v/>
      </c>
      <c r="T161" s="380">
        <f>IF($A161="","",IF($U161="Subscription","",IF($H161=0,IF($U161="Profit","N/A",0),IF($U161="Profit",$Q161/$H161,IF($U161="Disqualified",-1,0)))))</f>
        <v/>
      </c>
      <c r="U161" s="351">
        <f>IF($A161="","",IF(OR(LOWER($D161&amp;"")="n/a",ISNUMBER(SEARCH("subscription",LOWER($A161&amp;" "&amp;$M161&amp;""))),ISNUMBER(SEARCH("membership",LOWER($A161&amp;" "&amp;$M161&amp;"")))),"Subscription",IF(LOWER($L161&amp;"")="yes","Disqualified",IF($P161&gt;$H161,"Profit","Draw"))))</f>
        <v/>
      </c>
      <c r="V161" s="383">
        <f>IF(OR($A161="",$B161="",$C161="",$U161="Subscription"),"",IFERROR(ROUNDUP((IF(ISNUMBER($C161),$C161,DATEVALUE($C161))-IF(ISNUMBER($B161),$B161,DATEVALUE($B161)))/7,0),""))</f>
        <v/>
      </c>
      <c r="W161" s="351">
        <f>IF($U161="Subscription","",$Q161-$S161)</f>
        <v/>
      </c>
      <c r="X161" s="384">
        <f>IF(OR($A161="",$U161="Subscription",$J161="",$I161="",$J161=0,$I161=0,$I161&gt;$J161),"",$J161-$I161)</f>
        <v/>
      </c>
      <c r="Y161" s="381">
        <f>IF(OR($A161="",$U161="Subscription",$J161="",$J161=0,$X161=""),"",$X161/$J161)</f>
        <v/>
      </c>
    </row>
    <row r="162" ht="21" customHeight="1" s="270">
      <c r="A162" s="297" t="n"/>
      <c r="B162" s="298" t="n"/>
      <c r="C162" s="298" t="n"/>
      <c r="D162" s="297" t="n"/>
      <c r="E162" s="349" t="n"/>
      <c r="F162" s="349" t="n"/>
      <c r="G162" s="349" t="n"/>
      <c r="H162" s="349" t="n"/>
      <c r="I162" s="382" t="n"/>
      <c r="J162" s="383" t="n"/>
      <c r="K162" s="351" t="n"/>
      <c r="L162" s="296" t="n"/>
      <c r="M162" s="349" t="n"/>
      <c r="N162" s="349">
        <f>IF($A162="","",IF(OR(LOWER($D162&amp;"")="n/a",ISNUMBER(SEARCH("subscription",LOWER($A162&amp;" "&amp;$M162&amp;""))),ISNUMBER(SEARCH("membership",LOWER($A162&amp;" "&amp;$M162&amp;"")))),"",IF($G162="","",IF(ISNUMBER(SEARCH("non",LOWER($E162&amp;""))),$G162*0.85,$G162))))</f>
        <v/>
      </c>
      <c r="O162" s="349">
        <f>IF($A162="","",IF(OR(LOWER($D162&amp;"")="n/a",ISNUMBER(SEARCH("subscription",LOWER($A162&amp;" "&amp;$M162&amp;""))),ISNUMBER(SEARCH("membership",LOWER($A162&amp;" "&amp;$M162&amp;"")))),"",IF(OR($N162="",$I162="",$I162=0),"",$N162/$I162)))</f>
        <v/>
      </c>
      <c r="P162" s="349">
        <f>IF($A162="","",IF(OR(LOWER($D162&amp;"")="n/a",ISNUMBER(SEARCH("subscription",LOWER($A162&amp;" "&amp;$M162&amp;""))),ISNUMBER(SEARCH("membership",LOWER($A162&amp;" "&amp;$M162&amp;"")))),"",IF(LOWER($L162&amp;"")="yes",0,IF($K162&lt;&gt;"",$K162,IF($O162&lt;&gt;"",$O162,"")))))</f>
        <v/>
      </c>
      <c r="Q162" s="351">
        <f>IF($A162="","",IF($U162="Subscription","",IF($U162="Profit",$P162-$H162,0)))</f>
        <v/>
      </c>
      <c r="R162" s="349">
        <f>IF($A162="","",IF($U162="Subscription","",IF($U162="Draw",$H162,0)))</f>
        <v/>
      </c>
      <c r="S162" s="349">
        <f>IF($A162="","",IF($U162="Subscription","",IF($U162="Disqualified",$H162,0)))</f>
        <v/>
      </c>
      <c r="T162" s="380">
        <f>IF($A162="","",IF($U162="Subscription","",IF($H162=0,IF($U162="Profit","N/A",0),IF($U162="Profit",$Q162/$H162,IF($U162="Disqualified",-1,0)))))</f>
        <v/>
      </c>
      <c r="U162" s="351">
        <f>IF($A162="","",IF(OR(LOWER($D162&amp;"")="n/a",ISNUMBER(SEARCH("subscription",LOWER($A162&amp;" "&amp;$M162&amp;""))),ISNUMBER(SEARCH("membership",LOWER($A162&amp;" "&amp;$M162&amp;"")))),"Subscription",IF(LOWER($L162&amp;"")="yes","Disqualified",IF($P162&gt;$H162,"Profit","Draw"))))</f>
        <v/>
      </c>
      <c r="V162" s="383">
        <f>IF(OR($A162="",$B162="",$C162="",$U162="Subscription"),"",IFERROR(ROUNDUP((IF(ISNUMBER($C162),$C162,DATEVALUE($C162))-IF(ISNUMBER($B162),$B162,DATEVALUE($B162)))/7,0),""))</f>
        <v/>
      </c>
      <c r="W162" s="351">
        <f>IF($U162="Subscription","",$Q162-$S162)</f>
        <v/>
      </c>
      <c r="X162" s="384">
        <f>IF(OR($A162="",$U162="Subscription",$J162="",$I162="",$J162=0,$I162=0,$I162&gt;$J162),"",$J162-$I162)</f>
        <v/>
      </c>
      <c r="Y162" s="381">
        <f>IF(OR($A162="",$U162="Subscription",$J162="",$J162=0,$X162=""),"",$X162/$J162)</f>
        <v/>
      </c>
    </row>
    <row r="163" ht="21" customHeight="1" s="270">
      <c r="A163" s="297" t="n"/>
      <c r="B163" s="298" t="n"/>
      <c r="C163" s="298" t="n"/>
      <c r="D163" s="297" t="n"/>
      <c r="E163" s="349" t="n"/>
      <c r="F163" s="349" t="n"/>
      <c r="G163" s="349" t="n"/>
      <c r="H163" s="349" t="n"/>
      <c r="I163" s="382" t="n"/>
      <c r="J163" s="383" t="n"/>
      <c r="K163" s="351" t="n"/>
      <c r="L163" s="296" t="n"/>
      <c r="M163" s="349" t="n"/>
      <c r="N163" s="349">
        <f>IF($A163="","",IF(OR(LOWER($D163&amp;"")="n/a",ISNUMBER(SEARCH("subscription",LOWER($A163&amp;" "&amp;$M163&amp;""))),ISNUMBER(SEARCH("membership",LOWER($A163&amp;" "&amp;$M163&amp;"")))),"",IF($G163="","",IF(ISNUMBER(SEARCH("non",LOWER($E163&amp;""))),$G163*0.85,$G163))))</f>
        <v/>
      </c>
      <c r="O163" s="349">
        <f>IF($A163="","",IF(OR(LOWER($D163&amp;"")="n/a",ISNUMBER(SEARCH("subscription",LOWER($A163&amp;" "&amp;$M163&amp;""))),ISNUMBER(SEARCH("membership",LOWER($A163&amp;" "&amp;$M163&amp;"")))),"",IF(OR($N163="",$I163="",$I163=0),"",$N163/$I163)))</f>
        <v/>
      </c>
      <c r="P163" s="349">
        <f>IF($A163="","",IF(OR(LOWER($D163&amp;"")="n/a",ISNUMBER(SEARCH("subscription",LOWER($A163&amp;" "&amp;$M163&amp;""))),ISNUMBER(SEARCH("membership",LOWER($A163&amp;" "&amp;$M163&amp;"")))),"",IF(LOWER($L163&amp;"")="yes",0,IF($K163&lt;&gt;"",$K163,IF($O163&lt;&gt;"",$O163,"")))))</f>
        <v/>
      </c>
      <c r="Q163" s="351">
        <f>IF($A163="","",IF($U163="Subscription","",IF($U163="Profit",$P163-$H163,0)))</f>
        <v/>
      </c>
      <c r="R163" s="349">
        <f>IF($A163="","",IF($U163="Subscription","",IF($U163="Draw",$H163,0)))</f>
        <v/>
      </c>
      <c r="S163" s="349">
        <f>IF($A163="","",IF($U163="Subscription","",IF($U163="Disqualified",$H163,0)))</f>
        <v/>
      </c>
      <c r="T163" s="380">
        <f>IF($A163="","",IF($U163="Subscription","",IF($H163=0,IF($U163="Profit","N/A",0),IF($U163="Profit",$Q163/$H163,IF($U163="Disqualified",-1,0)))))</f>
        <v/>
      </c>
      <c r="U163" s="351">
        <f>IF($A163="","",IF(OR(LOWER($D163&amp;"")="n/a",ISNUMBER(SEARCH("subscription",LOWER($A163&amp;" "&amp;$M163&amp;""))),ISNUMBER(SEARCH("membership",LOWER($A163&amp;" "&amp;$M163&amp;"")))),"Subscription",IF(LOWER($L163&amp;"")="yes","Disqualified",IF($P163&gt;$H163,"Profit","Draw"))))</f>
        <v/>
      </c>
      <c r="V163" s="383">
        <f>IF(OR($A163="",$B163="",$C163="",$U163="Subscription"),"",IFERROR(ROUNDUP((IF(ISNUMBER($C163),$C163,DATEVALUE($C163))-IF(ISNUMBER($B163),$B163,DATEVALUE($B163)))/7,0),""))</f>
        <v/>
      </c>
      <c r="W163" s="351">
        <f>IF($U163="Subscription","",$Q163-$S163)</f>
        <v/>
      </c>
      <c r="X163" s="384">
        <f>IF(OR($A163="",$U163="Subscription",$J163="",$I163="",$J163=0,$I163=0,$I163&gt;$J163),"",$J163-$I163)</f>
        <v/>
      </c>
      <c r="Y163" s="381">
        <f>IF(OR($A163="",$U163="Subscription",$J163="",$J163=0,$X163=""),"",$X163/$J163)</f>
        <v/>
      </c>
    </row>
    <row r="164" ht="21" customHeight="1" s="270">
      <c r="A164" s="297" t="n"/>
      <c r="B164" s="298" t="n"/>
      <c r="C164" s="298" t="n"/>
      <c r="D164" s="297" t="n"/>
      <c r="E164" s="349" t="n"/>
      <c r="F164" s="349" t="n"/>
      <c r="G164" s="349" t="n"/>
      <c r="H164" s="349" t="n"/>
      <c r="I164" s="382" t="n"/>
      <c r="J164" s="383" t="n"/>
      <c r="K164" s="351" t="n"/>
      <c r="L164" s="296" t="n"/>
      <c r="M164" s="349" t="n"/>
      <c r="N164" s="349">
        <f>IF($A164="","",IF(OR(LOWER($D164&amp;"")="n/a",ISNUMBER(SEARCH("subscription",LOWER($A164&amp;" "&amp;$M164&amp;""))),ISNUMBER(SEARCH("membership",LOWER($A164&amp;" "&amp;$M164&amp;"")))),"",IF($G164="","",IF(ISNUMBER(SEARCH("non",LOWER($E164&amp;""))),$G164*0.85,$G164))))</f>
        <v/>
      </c>
      <c r="O164" s="349">
        <f>IF($A164="","",IF(OR(LOWER($D164&amp;"")="n/a",ISNUMBER(SEARCH("subscription",LOWER($A164&amp;" "&amp;$M164&amp;""))),ISNUMBER(SEARCH("membership",LOWER($A164&amp;" "&amp;$M164&amp;"")))),"",IF(OR($N164="",$I164="",$I164=0),"",$N164/$I164)))</f>
        <v/>
      </c>
      <c r="P164" s="349">
        <f>IF($A164="","",IF(OR(LOWER($D164&amp;"")="n/a",ISNUMBER(SEARCH("subscription",LOWER($A164&amp;" "&amp;$M164&amp;""))),ISNUMBER(SEARCH("membership",LOWER($A164&amp;" "&amp;$M164&amp;"")))),"",IF(LOWER($L164&amp;"")="yes",0,IF($K164&lt;&gt;"",$K164,IF($O164&lt;&gt;"",$O164,"")))))</f>
        <v/>
      </c>
      <c r="Q164" s="351">
        <f>IF($A164="","",IF($U164="Subscription","",IF($U164="Profit",$P164-$H164,0)))</f>
        <v/>
      </c>
      <c r="R164" s="349">
        <f>IF($A164="","",IF($U164="Subscription","",IF($U164="Draw",$H164,0)))</f>
        <v/>
      </c>
      <c r="S164" s="349">
        <f>IF($A164="","",IF($U164="Subscription","",IF($U164="Disqualified",$H164,0)))</f>
        <v/>
      </c>
      <c r="T164" s="380">
        <f>IF($A164="","",IF($U164="Subscription","",IF($H164=0,IF($U164="Profit","N/A",0),IF($U164="Profit",$Q164/$H164,IF($U164="Disqualified",-1,0)))))</f>
        <v/>
      </c>
      <c r="U164" s="351">
        <f>IF($A164="","",IF(OR(LOWER($D164&amp;"")="n/a",ISNUMBER(SEARCH("subscription",LOWER($A164&amp;" "&amp;$M164&amp;""))),ISNUMBER(SEARCH("membership",LOWER($A164&amp;" "&amp;$M164&amp;"")))),"Subscription",IF(LOWER($L164&amp;"")="yes","Disqualified",IF($P164&gt;$H164,"Profit","Draw"))))</f>
        <v/>
      </c>
      <c r="V164" s="383">
        <f>IF(OR($A164="",$B164="",$C164="",$U164="Subscription"),"",IFERROR(ROUNDUP((IF(ISNUMBER($C164),$C164,DATEVALUE($C164))-IF(ISNUMBER($B164),$B164,DATEVALUE($B164)))/7,0),""))</f>
        <v/>
      </c>
      <c r="W164" s="351">
        <f>IF($U164="Subscription","",$Q164-$S164)</f>
        <v/>
      </c>
      <c r="X164" s="384">
        <f>IF(OR($A164="",$U164="Subscription",$J164="",$I164="",$J164=0,$I164=0,$I164&gt;$J164),"",$J164-$I164)</f>
        <v/>
      </c>
      <c r="Y164" s="381">
        <f>IF(OR($A164="",$U164="Subscription",$J164="",$J164=0,$X164=""),"",$X164/$J164)</f>
        <v/>
      </c>
    </row>
    <row r="165" ht="21" customHeight="1" s="270">
      <c r="A165" s="297" t="n"/>
      <c r="B165" s="298" t="n"/>
      <c r="C165" s="298" t="n"/>
      <c r="D165" s="297" t="n"/>
      <c r="E165" s="349" t="n"/>
      <c r="F165" s="349" t="n"/>
      <c r="G165" s="349" t="n"/>
      <c r="H165" s="349" t="n"/>
      <c r="I165" s="382" t="n"/>
      <c r="J165" s="383" t="n"/>
      <c r="K165" s="351" t="n"/>
      <c r="L165" s="296" t="n"/>
      <c r="M165" s="349" t="n"/>
      <c r="N165" s="349">
        <f>IF($A165="","",IF(OR(LOWER($D165&amp;"")="n/a",ISNUMBER(SEARCH("subscription",LOWER($A165&amp;" "&amp;$M165&amp;""))),ISNUMBER(SEARCH("membership",LOWER($A165&amp;" "&amp;$M165&amp;"")))),"",IF($G165="","",IF(ISNUMBER(SEARCH("non",LOWER($E165&amp;""))),$G165*0.85,$G165))))</f>
        <v/>
      </c>
      <c r="O165" s="349">
        <f>IF($A165="","",IF(OR(LOWER($D165&amp;"")="n/a",ISNUMBER(SEARCH("subscription",LOWER($A165&amp;" "&amp;$M165&amp;""))),ISNUMBER(SEARCH("membership",LOWER($A165&amp;" "&amp;$M165&amp;"")))),"",IF(OR($N165="",$I165="",$I165=0),"",$N165/$I165)))</f>
        <v/>
      </c>
      <c r="P165" s="349">
        <f>IF($A165="","",IF(OR(LOWER($D165&amp;"")="n/a",ISNUMBER(SEARCH("subscription",LOWER($A165&amp;" "&amp;$M165&amp;""))),ISNUMBER(SEARCH("membership",LOWER($A165&amp;" "&amp;$M165&amp;"")))),"",IF(LOWER($L165&amp;"")="yes",0,IF($K165&lt;&gt;"",$K165,IF($O165&lt;&gt;"",$O165,"")))))</f>
        <v/>
      </c>
      <c r="Q165" s="351">
        <f>IF($A165="","",IF($U165="Subscription","",IF($U165="Profit",$P165-$H165,0)))</f>
        <v/>
      </c>
      <c r="R165" s="349">
        <f>IF($A165="","",IF($U165="Subscription","",IF($U165="Draw",$H165,0)))</f>
        <v/>
      </c>
      <c r="S165" s="349">
        <f>IF($A165="","",IF($U165="Subscription","",IF($U165="Disqualified",$H165,0)))</f>
        <v/>
      </c>
      <c r="T165" s="380">
        <f>IF($A165="","",IF($U165="Subscription","",IF($H165=0,IF($U165="Profit","N/A",0),IF($U165="Profit",$Q165/$H165,IF($U165="Disqualified",-1,0)))))</f>
        <v/>
      </c>
      <c r="U165" s="351">
        <f>IF($A165="","",IF(OR(LOWER($D165&amp;"")="n/a",ISNUMBER(SEARCH("subscription",LOWER($A165&amp;" "&amp;$M165&amp;""))),ISNUMBER(SEARCH("membership",LOWER($A165&amp;" "&amp;$M165&amp;"")))),"Subscription",IF(LOWER($L165&amp;"")="yes","Disqualified",IF($P165&gt;$H165,"Profit","Draw"))))</f>
        <v/>
      </c>
      <c r="V165" s="383">
        <f>IF(OR($A165="",$B165="",$C165="",$U165="Subscription"),"",IFERROR(ROUNDUP((IF(ISNUMBER($C165),$C165,DATEVALUE($C165))-IF(ISNUMBER($B165),$B165,DATEVALUE($B165)))/7,0),""))</f>
        <v/>
      </c>
      <c r="W165" s="351">
        <f>IF($U165="Subscription","",$Q165-$S165)</f>
        <v/>
      </c>
      <c r="X165" s="384">
        <f>IF(OR($A165="",$U165="Subscription",$J165="",$I165="",$J165=0,$I165=0,$I165&gt;$J165),"",$J165-$I165)</f>
        <v/>
      </c>
      <c r="Y165" s="381">
        <f>IF(OR($A165="",$U165="Subscription",$J165="",$J165=0,$X165=""),"",$X165/$J165)</f>
        <v/>
      </c>
    </row>
    <row r="166" ht="21" customHeight="1" s="270">
      <c r="A166" s="297" t="n"/>
      <c r="B166" s="298" t="n"/>
      <c r="C166" s="298" t="n"/>
      <c r="D166" s="297" t="n"/>
      <c r="E166" s="349" t="n"/>
      <c r="F166" s="349" t="n"/>
      <c r="G166" s="349" t="n"/>
      <c r="H166" s="349" t="n"/>
      <c r="I166" s="382" t="n"/>
      <c r="J166" s="383" t="n"/>
      <c r="K166" s="351" t="n"/>
      <c r="L166" s="296" t="n"/>
      <c r="M166" s="349" t="n"/>
      <c r="N166" s="349">
        <f>IF($A166="","",IF(OR(LOWER($D166&amp;"")="n/a",ISNUMBER(SEARCH("subscription",LOWER($A166&amp;" "&amp;$M166&amp;""))),ISNUMBER(SEARCH("membership",LOWER($A166&amp;" "&amp;$M166&amp;"")))),"",IF($G166="","",IF(ISNUMBER(SEARCH("non",LOWER($E166&amp;""))),$G166*0.85,$G166))))</f>
        <v/>
      </c>
      <c r="O166" s="349">
        <f>IF($A166="","",IF(OR(LOWER($D166&amp;"")="n/a",ISNUMBER(SEARCH("subscription",LOWER($A166&amp;" "&amp;$M166&amp;""))),ISNUMBER(SEARCH("membership",LOWER($A166&amp;" "&amp;$M166&amp;"")))),"",IF(OR($N166="",$I166="",$I166=0),"",$N166/$I166)))</f>
        <v/>
      </c>
      <c r="P166" s="349">
        <f>IF($A166="","",IF(OR(LOWER($D166&amp;"")="n/a",ISNUMBER(SEARCH("subscription",LOWER($A166&amp;" "&amp;$M166&amp;""))),ISNUMBER(SEARCH("membership",LOWER($A166&amp;" "&amp;$M166&amp;"")))),"",IF(LOWER($L166&amp;"")="yes",0,IF($K166&lt;&gt;"",$K166,IF($O166&lt;&gt;"",$O166,"")))))</f>
        <v/>
      </c>
      <c r="Q166" s="351">
        <f>IF($A166="","",IF($U166="Subscription","",IF($U166="Profit",$P166-$H166,0)))</f>
        <v/>
      </c>
      <c r="R166" s="349">
        <f>IF($A166="","",IF($U166="Subscription","",IF($U166="Draw",$H166,0)))</f>
        <v/>
      </c>
      <c r="S166" s="349">
        <f>IF($A166="","",IF($U166="Subscription","",IF($U166="Disqualified",$H166,0)))</f>
        <v/>
      </c>
      <c r="T166" s="380">
        <f>IF($A166="","",IF($U166="Subscription","",IF($H166=0,IF($U166="Profit","N/A",0),IF($U166="Profit",$Q166/$H166,IF($U166="Disqualified",-1,0)))))</f>
        <v/>
      </c>
      <c r="U166" s="351">
        <f>IF($A166="","",IF(OR(LOWER($D166&amp;"")="n/a",ISNUMBER(SEARCH("subscription",LOWER($A166&amp;" "&amp;$M166&amp;""))),ISNUMBER(SEARCH("membership",LOWER($A166&amp;" "&amp;$M166&amp;"")))),"Subscription",IF(LOWER($L166&amp;"")="yes","Disqualified",IF($P166&gt;$H166,"Profit","Draw"))))</f>
        <v/>
      </c>
      <c r="V166" s="383">
        <f>IF(OR($A166="",$B166="",$C166="",$U166="Subscription"),"",IFERROR(ROUNDUP((IF(ISNUMBER($C166),$C166,DATEVALUE($C166))-IF(ISNUMBER($B166),$B166,DATEVALUE($B166)))/7,0),""))</f>
        <v/>
      </c>
      <c r="W166" s="351">
        <f>IF($U166="Subscription","",$Q166-$S166)</f>
        <v/>
      </c>
      <c r="X166" s="384">
        <f>IF(OR($A166="",$U166="Subscription",$J166="",$I166="",$J166=0,$I166=0,$I166&gt;$J166),"",$J166-$I166)</f>
        <v/>
      </c>
      <c r="Y166" s="381">
        <f>IF(OR($A166="",$U166="Subscription",$J166="",$J166=0,$X166=""),"",$X166/$J166)</f>
        <v/>
      </c>
    </row>
    <row r="167" ht="21" customHeight="1" s="270">
      <c r="A167" s="297" t="n"/>
      <c r="B167" s="298" t="n"/>
      <c r="C167" s="298" t="n"/>
      <c r="D167" s="297" t="n"/>
      <c r="E167" s="349" t="n"/>
      <c r="F167" s="349" t="n"/>
      <c r="G167" s="349" t="n"/>
      <c r="H167" s="349" t="n"/>
      <c r="I167" s="382" t="n"/>
      <c r="J167" s="383" t="n"/>
      <c r="K167" s="351" t="n"/>
      <c r="L167" s="296" t="n"/>
      <c r="M167" s="349" t="n"/>
      <c r="N167" s="349">
        <f>IF($A167="","",IF(OR(LOWER($D167&amp;"")="n/a",ISNUMBER(SEARCH("subscription",LOWER($A167&amp;" "&amp;$M167&amp;""))),ISNUMBER(SEARCH("membership",LOWER($A167&amp;" "&amp;$M167&amp;"")))),"",IF($G167="","",IF(ISNUMBER(SEARCH("non",LOWER($E167&amp;""))),$G167*0.85,$G167))))</f>
        <v/>
      </c>
      <c r="O167" s="349">
        <f>IF($A167="","",IF(OR(LOWER($D167&amp;"")="n/a",ISNUMBER(SEARCH("subscription",LOWER($A167&amp;" "&amp;$M167&amp;""))),ISNUMBER(SEARCH("membership",LOWER($A167&amp;" "&amp;$M167&amp;"")))),"",IF(OR($N167="",$I167="",$I167=0),"",$N167/$I167)))</f>
        <v/>
      </c>
      <c r="P167" s="349">
        <f>IF($A167="","",IF(OR(LOWER($D167&amp;"")="n/a",ISNUMBER(SEARCH("subscription",LOWER($A167&amp;" "&amp;$M167&amp;""))),ISNUMBER(SEARCH("membership",LOWER($A167&amp;" "&amp;$M167&amp;"")))),"",IF(LOWER($L167&amp;"")="yes",0,IF($K167&lt;&gt;"",$K167,IF($O167&lt;&gt;"",$O167,"")))))</f>
        <v/>
      </c>
      <c r="Q167" s="351">
        <f>IF($A167="","",IF($U167="Subscription","",IF($U167="Profit",$P167-$H167,0)))</f>
        <v/>
      </c>
      <c r="R167" s="349">
        <f>IF($A167="","",IF($U167="Subscription","",IF($U167="Draw",$H167,0)))</f>
        <v/>
      </c>
      <c r="S167" s="349">
        <f>IF($A167="","",IF($U167="Subscription","",IF($U167="Disqualified",$H167,0)))</f>
        <v/>
      </c>
      <c r="T167" s="380">
        <f>IF($A167="","",IF($U167="Subscription","",IF($H167=0,IF($U167="Profit","N/A",0),IF($U167="Profit",$Q167/$H167,IF($U167="Disqualified",-1,0)))))</f>
        <v/>
      </c>
      <c r="U167" s="351">
        <f>IF($A167="","",IF(OR(LOWER($D167&amp;"")="n/a",ISNUMBER(SEARCH("subscription",LOWER($A167&amp;" "&amp;$M167&amp;""))),ISNUMBER(SEARCH("membership",LOWER($A167&amp;" "&amp;$M167&amp;"")))),"Subscription",IF(LOWER($L167&amp;"")="yes","Disqualified",IF($P167&gt;$H167,"Profit","Draw"))))</f>
        <v/>
      </c>
      <c r="V167" s="383">
        <f>IF(OR($A167="",$B167="",$C167="",$U167="Subscription"),"",IFERROR(ROUNDUP((IF(ISNUMBER($C167),$C167,DATEVALUE($C167))-IF(ISNUMBER($B167),$B167,DATEVALUE($B167)))/7,0),""))</f>
        <v/>
      </c>
      <c r="W167" s="351">
        <f>IF($U167="Subscription","",$Q167-$S167)</f>
        <v/>
      </c>
      <c r="X167" s="384">
        <f>IF(OR($A167="",$U167="Subscription",$J167="",$I167="",$J167=0,$I167=0,$I167&gt;$J167),"",$J167-$I167)</f>
        <v/>
      </c>
      <c r="Y167" s="381">
        <f>IF(OR($A167="",$U167="Subscription",$J167="",$J167=0,$X167=""),"",$X167/$J167)</f>
        <v/>
      </c>
    </row>
    <row r="168" ht="21" customHeight="1" s="270">
      <c r="A168" s="297" t="n"/>
      <c r="B168" s="298" t="n"/>
      <c r="C168" s="298" t="n"/>
      <c r="D168" s="297" t="n"/>
      <c r="E168" s="349" t="n"/>
      <c r="F168" s="349" t="n"/>
      <c r="G168" s="349" t="n"/>
      <c r="H168" s="349" t="n"/>
      <c r="I168" s="382" t="n"/>
      <c r="J168" s="383" t="n"/>
      <c r="K168" s="351" t="n"/>
      <c r="L168" s="296" t="n"/>
      <c r="M168" s="349" t="n"/>
      <c r="N168" s="349">
        <f>IF($A168="","",IF(OR(LOWER($D168&amp;"")="n/a",ISNUMBER(SEARCH("subscription",LOWER($A168&amp;" "&amp;$M168&amp;""))),ISNUMBER(SEARCH("membership",LOWER($A168&amp;" "&amp;$M168&amp;"")))),"",IF($G168="","",IF(ISNUMBER(SEARCH("non",LOWER($E168&amp;""))),$G168*0.85,$G168))))</f>
        <v/>
      </c>
      <c r="O168" s="349">
        <f>IF($A168="","",IF(OR(LOWER($D168&amp;"")="n/a",ISNUMBER(SEARCH("subscription",LOWER($A168&amp;" "&amp;$M168&amp;""))),ISNUMBER(SEARCH("membership",LOWER($A168&amp;" "&amp;$M168&amp;"")))),"",IF(OR($N168="",$I168="",$I168=0),"",$N168/$I168)))</f>
        <v/>
      </c>
      <c r="P168" s="349">
        <f>IF($A168="","",IF(OR(LOWER($D168&amp;"")="n/a",ISNUMBER(SEARCH("subscription",LOWER($A168&amp;" "&amp;$M168&amp;""))),ISNUMBER(SEARCH("membership",LOWER($A168&amp;" "&amp;$M168&amp;"")))),"",IF(LOWER($L168&amp;"")="yes",0,IF($K168&lt;&gt;"",$K168,IF($O168&lt;&gt;"",$O168,"")))))</f>
        <v/>
      </c>
      <c r="Q168" s="351">
        <f>IF($A168="","",IF($U168="Subscription","",IF($U168="Profit",$P168-$H168,0)))</f>
        <v/>
      </c>
      <c r="R168" s="349">
        <f>IF($A168="","",IF($U168="Subscription","",IF($U168="Draw",$H168,0)))</f>
        <v/>
      </c>
      <c r="S168" s="349">
        <f>IF($A168="","",IF($U168="Subscription","",IF($U168="Disqualified",$H168,0)))</f>
        <v/>
      </c>
      <c r="T168" s="380">
        <f>IF($A168="","",IF($U168="Subscription","",IF($H168=0,IF($U168="Profit","N/A",0),IF($U168="Profit",$Q168/$H168,IF($U168="Disqualified",-1,0)))))</f>
        <v/>
      </c>
      <c r="U168" s="351">
        <f>IF($A168="","",IF(OR(LOWER($D168&amp;"")="n/a",ISNUMBER(SEARCH("subscription",LOWER($A168&amp;" "&amp;$M168&amp;""))),ISNUMBER(SEARCH("membership",LOWER($A168&amp;" "&amp;$M168&amp;"")))),"Subscription",IF(LOWER($L168&amp;"")="yes","Disqualified",IF($P168&gt;$H168,"Profit","Draw"))))</f>
        <v/>
      </c>
      <c r="V168" s="383">
        <f>IF(OR($A168="",$B168="",$C168="",$U168="Subscription"),"",IFERROR(ROUNDUP((IF(ISNUMBER($C168),$C168,DATEVALUE($C168))-IF(ISNUMBER($B168),$B168,DATEVALUE($B168)))/7,0),""))</f>
        <v/>
      </c>
      <c r="W168" s="351">
        <f>IF($U168="Subscription","",$Q168-$S168)</f>
        <v/>
      </c>
      <c r="X168" s="384">
        <f>IF(OR($A168="",$U168="Subscription",$J168="",$I168="",$J168=0,$I168=0,$I168&gt;$J168),"",$J168-$I168)</f>
        <v/>
      </c>
      <c r="Y168" s="381">
        <f>IF(OR($A168="",$U168="Subscription",$J168="",$J168=0,$X168=""),"",$X168/$J168)</f>
        <v/>
      </c>
    </row>
    <row r="169" ht="21" customHeight="1" s="270">
      <c r="A169" s="297" t="n"/>
      <c r="B169" s="298" t="n"/>
      <c r="C169" s="298" t="n"/>
      <c r="D169" s="297" t="n"/>
      <c r="E169" s="349" t="n"/>
      <c r="F169" s="349" t="n"/>
      <c r="G169" s="349" t="n"/>
      <c r="H169" s="349" t="n"/>
      <c r="I169" s="382" t="n"/>
      <c r="J169" s="383" t="n"/>
      <c r="K169" s="351" t="n"/>
      <c r="L169" s="296" t="n"/>
      <c r="M169" s="349" t="n"/>
      <c r="N169" s="349">
        <f>IF($A169="","",IF(OR(LOWER($D169&amp;"")="n/a",ISNUMBER(SEARCH("subscription",LOWER($A169&amp;" "&amp;$M169&amp;""))),ISNUMBER(SEARCH("membership",LOWER($A169&amp;" "&amp;$M169&amp;"")))),"",IF($G169="","",IF(ISNUMBER(SEARCH("non",LOWER($E169&amp;""))),$G169*0.85,$G169))))</f>
        <v/>
      </c>
      <c r="O169" s="349">
        <f>IF($A169="","",IF(OR(LOWER($D169&amp;"")="n/a",ISNUMBER(SEARCH("subscription",LOWER($A169&amp;" "&amp;$M169&amp;""))),ISNUMBER(SEARCH("membership",LOWER($A169&amp;" "&amp;$M169&amp;"")))),"",IF(OR($N169="",$I169="",$I169=0),"",$N169/$I169)))</f>
        <v/>
      </c>
      <c r="P169" s="349">
        <f>IF($A169="","",IF(OR(LOWER($D169&amp;"")="n/a",ISNUMBER(SEARCH("subscription",LOWER($A169&amp;" "&amp;$M169&amp;""))),ISNUMBER(SEARCH("membership",LOWER($A169&amp;" "&amp;$M169&amp;"")))),"",IF(LOWER($L169&amp;"")="yes",0,IF($K169&lt;&gt;"",$K169,IF($O169&lt;&gt;"",$O169,"")))))</f>
        <v/>
      </c>
      <c r="Q169" s="351">
        <f>IF($A169="","",IF($U169="Subscription","",IF($U169="Profit",$P169-$H169,0)))</f>
        <v/>
      </c>
      <c r="R169" s="349">
        <f>IF($A169="","",IF($U169="Subscription","",IF($U169="Draw",$H169,0)))</f>
        <v/>
      </c>
      <c r="S169" s="349">
        <f>IF($A169="","",IF($U169="Subscription","",IF($U169="Disqualified",$H169,0)))</f>
        <v/>
      </c>
      <c r="T169" s="380">
        <f>IF($A169="","",IF($U169="Subscription","",IF($H169=0,IF($U169="Profit","N/A",0),IF($U169="Profit",$Q169/$H169,IF($U169="Disqualified",-1,0)))))</f>
        <v/>
      </c>
      <c r="U169" s="351">
        <f>IF($A169="","",IF(OR(LOWER($D169&amp;"")="n/a",ISNUMBER(SEARCH("subscription",LOWER($A169&amp;" "&amp;$M169&amp;""))),ISNUMBER(SEARCH("membership",LOWER($A169&amp;" "&amp;$M169&amp;"")))),"Subscription",IF(LOWER($L169&amp;"")="yes","Disqualified",IF($P169&gt;$H169,"Profit","Draw"))))</f>
        <v/>
      </c>
      <c r="V169" s="383">
        <f>IF(OR($A169="",$B169="",$C169="",$U169="Subscription"),"",IFERROR(ROUNDUP((IF(ISNUMBER($C169),$C169,DATEVALUE($C169))-IF(ISNUMBER($B169),$B169,DATEVALUE($B169)))/7,0),""))</f>
        <v/>
      </c>
      <c r="W169" s="351">
        <f>IF($U169="Subscription","",$Q169-$S169)</f>
        <v/>
      </c>
      <c r="X169" s="384">
        <f>IF(OR($A169="",$U169="Subscription",$J169="",$I169="",$J169=0,$I169=0,$I169&gt;$J169),"",$J169-$I169)</f>
        <v/>
      </c>
      <c r="Y169" s="381">
        <f>IF(OR($A169="",$U169="Subscription",$J169="",$J169=0,$X169=""),"",$X169/$J169)</f>
        <v/>
      </c>
    </row>
    <row r="170" ht="21" customHeight="1" s="270">
      <c r="A170" s="297" t="n"/>
      <c r="B170" s="298" t="n"/>
      <c r="C170" s="298" t="n"/>
      <c r="D170" s="297" t="n"/>
      <c r="E170" s="349" t="n"/>
      <c r="F170" s="349" t="n"/>
      <c r="G170" s="349" t="n"/>
      <c r="H170" s="349" t="n"/>
      <c r="I170" s="382" t="n"/>
      <c r="J170" s="383" t="n"/>
      <c r="K170" s="351" t="n"/>
      <c r="L170" s="296" t="n"/>
      <c r="M170" s="349" t="n"/>
      <c r="N170" s="349">
        <f>IF($A170="","",IF(OR(LOWER($D170&amp;"")="n/a",ISNUMBER(SEARCH("subscription",LOWER($A170&amp;" "&amp;$M170&amp;""))),ISNUMBER(SEARCH("membership",LOWER($A170&amp;" "&amp;$M170&amp;"")))),"",IF($G170="","",IF(ISNUMBER(SEARCH("non",LOWER($E170&amp;""))),$G170*0.85,$G170))))</f>
        <v/>
      </c>
      <c r="O170" s="349">
        <f>IF($A170="","",IF(OR(LOWER($D170&amp;"")="n/a",ISNUMBER(SEARCH("subscription",LOWER($A170&amp;" "&amp;$M170&amp;""))),ISNUMBER(SEARCH("membership",LOWER($A170&amp;" "&amp;$M170&amp;"")))),"",IF(OR($N170="",$I170="",$I170=0),"",$N170/$I170)))</f>
        <v/>
      </c>
      <c r="P170" s="349">
        <f>IF($A170="","",IF(OR(LOWER($D170&amp;"")="n/a",ISNUMBER(SEARCH("subscription",LOWER($A170&amp;" "&amp;$M170&amp;""))),ISNUMBER(SEARCH("membership",LOWER($A170&amp;" "&amp;$M170&amp;"")))),"",IF(LOWER($L170&amp;"")="yes",0,IF($K170&lt;&gt;"",$K170,IF($O170&lt;&gt;"",$O170,"")))))</f>
        <v/>
      </c>
      <c r="Q170" s="351">
        <f>IF($A170="","",IF($U170="Subscription","",IF($U170="Profit",$P170-$H170,0)))</f>
        <v/>
      </c>
      <c r="R170" s="349">
        <f>IF($A170="","",IF($U170="Subscription","",IF($U170="Draw",$H170,0)))</f>
        <v/>
      </c>
      <c r="S170" s="349">
        <f>IF($A170="","",IF($U170="Subscription","",IF($U170="Disqualified",$H170,0)))</f>
        <v/>
      </c>
      <c r="T170" s="380">
        <f>IF($A170="","",IF($U170="Subscription","",IF($H170=0,IF($U170="Profit","N/A",0),IF($U170="Profit",$Q170/$H170,IF($U170="Disqualified",-1,0)))))</f>
        <v/>
      </c>
      <c r="U170" s="351">
        <f>IF($A170="","",IF(OR(LOWER($D170&amp;"")="n/a",ISNUMBER(SEARCH("subscription",LOWER($A170&amp;" "&amp;$M170&amp;""))),ISNUMBER(SEARCH("membership",LOWER($A170&amp;" "&amp;$M170&amp;"")))),"Subscription",IF(LOWER($L170&amp;"")="yes","Disqualified",IF($P170&gt;$H170,"Profit","Draw"))))</f>
        <v/>
      </c>
      <c r="V170" s="383">
        <f>IF(OR($A170="",$B170="",$C170="",$U170="Subscription"),"",IFERROR(ROUNDUP((IF(ISNUMBER($C170),$C170,DATEVALUE($C170))-IF(ISNUMBER($B170),$B170,DATEVALUE($B170)))/7,0),""))</f>
        <v/>
      </c>
      <c r="W170" s="351">
        <f>IF($U170="Subscription","",$Q170-$S170)</f>
        <v/>
      </c>
      <c r="X170" s="384">
        <f>IF(OR($A170="",$U170="Subscription",$J170="",$I170="",$J170=0,$I170=0,$I170&gt;$J170),"",$J170-$I170)</f>
        <v/>
      </c>
      <c r="Y170" s="381">
        <f>IF(OR($A170="",$U170="Subscription",$J170="",$J170=0,$X170=""),"",$X170/$J170)</f>
        <v/>
      </c>
    </row>
    <row r="171" ht="21" customHeight="1" s="270">
      <c r="A171" s="297" t="n"/>
      <c r="B171" s="298" t="n"/>
      <c r="C171" s="298" t="n"/>
      <c r="D171" s="297" t="n"/>
      <c r="E171" s="349" t="n"/>
      <c r="F171" s="349" t="n"/>
      <c r="G171" s="349" t="n"/>
      <c r="H171" s="349" t="n"/>
      <c r="I171" s="382" t="n"/>
      <c r="J171" s="383" t="n"/>
      <c r="K171" s="351" t="n"/>
      <c r="L171" s="296" t="n"/>
      <c r="M171" s="349" t="n"/>
      <c r="N171" s="349">
        <f>IF($A171="","",IF(OR(LOWER($D171&amp;"")="n/a",ISNUMBER(SEARCH("subscription",LOWER($A171&amp;" "&amp;$M171&amp;""))),ISNUMBER(SEARCH("membership",LOWER($A171&amp;" "&amp;$M171&amp;"")))),"",IF($G171="","",IF(ISNUMBER(SEARCH("non",LOWER($E171&amp;""))),$G171*0.85,$G171))))</f>
        <v/>
      </c>
      <c r="O171" s="349">
        <f>IF($A171="","",IF(OR(LOWER($D171&amp;"")="n/a",ISNUMBER(SEARCH("subscription",LOWER($A171&amp;" "&amp;$M171&amp;""))),ISNUMBER(SEARCH("membership",LOWER($A171&amp;" "&amp;$M171&amp;"")))),"",IF(OR($N171="",$I171="",$I171=0),"",$N171/$I171)))</f>
        <v/>
      </c>
      <c r="P171" s="349">
        <f>IF($A171="","",IF(OR(LOWER($D171&amp;"")="n/a",ISNUMBER(SEARCH("subscription",LOWER($A171&amp;" "&amp;$M171&amp;""))),ISNUMBER(SEARCH("membership",LOWER($A171&amp;" "&amp;$M171&amp;"")))),"",IF(LOWER($L171&amp;"")="yes",0,IF($K171&lt;&gt;"",$K171,IF($O171&lt;&gt;"",$O171,"")))))</f>
        <v/>
      </c>
      <c r="Q171" s="351">
        <f>IF($A171="","",IF($U171="Subscription","",IF($U171="Profit",$P171-$H171,0)))</f>
        <v/>
      </c>
      <c r="R171" s="349">
        <f>IF($A171="","",IF($U171="Subscription","",IF($U171="Draw",$H171,0)))</f>
        <v/>
      </c>
      <c r="S171" s="349">
        <f>IF($A171="","",IF($U171="Subscription","",IF($U171="Disqualified",$H171,0)))</f>
        <v/>
      </c>
      <c r="T171" s="380">
        <f>IF($A171="","",IF($U171="Subscription","",IF($H171=0,IF($U171="Profit","N/A",0),IF($U171="Profit",$Q171/$H171,IF($U171="Disqualified",-1,0)))))</f>
        <v/>
      </c>
      <c r="U171" s="351">
        <f>IF($A171="","",IF(OR(LOWER($D171&amp;"")="n/a",ISNUMBER(SEARCH("subscription",LOWER($A171&amp;" "&amp;$M171&amp;""))),ISNUMBER(SEARCH("membership",LOWER($A171&amp;" "&amp;$M171&amp;"")))),"Subscription",IF(LOWER($L171&amp;"")="yes","Disqualified",IF($P171&gt;$H171,"Profit","Draw"))))</f>
        <v/>
      </c>
      <c r="V171" s="383">
        <f>IF(OR($A171="",$B171="",$C171="",$U171="Subscription"),"",IFERROR(ROUNDUP((IF(ISNUMBER($C171),$C171,DATEVALUE($C171))-IF(ISNUMBER($B171),$B171,DATEVALUE($B171)))/7,0),""))</f>
        <v/>
      </c>
      <c r="W171" s="351">
        <f>IF($U171="Subscription","",$Q171-$S171)</f>
        <v/>
      </c>
      <c r="X171" s="384">
        <f>IF(OR($A171="",$U171="Subscription",$J171="",$I171="",$J171=0,$I171=0,$I171&gt;$J171),"",$J171-$I171)</f>
        <v/>
      </c>
      <c r="Y171" s="381">
        <f>IF(OR($A171="",$U171="Subscription",$J171="",$J171=0,$X171=""),"",$X171/$J171)</f>
        <v/>
      </c>
    </row>
    <row r="172" ht="21" customHeight="1" s="270">
      <c r="A172" s="297" t="n"/>
      <c r="B172" s="298" t="n"/>
      <c r="C172" s="298" t="n"/>
      <c r="D172" s="297" t="n"/>
      <c r="E172" s="349" t="n"/>
      <c r="F172" s="349" t="n"/>
      <c r="G172" s="349" t="n"/>
      <c r="H172" s="349" t="n"/>
      <c r="I172" s="382" t="n"/>
      <c r="J172" s="383" t="n"/>
      <c r="K172" s="351" t="n"/>
      <c r="L172" s="296" t="n"/>
      <c r="M172" s="349" t="n"/>
      <c r="N172" s="349">
        <f>IF($A172="","",IF(OR(LOWER($D172&amp;"")="n/a",ISNUMBER(SEARCH("subscription",LOWER($A172&amp;" "&amp;$M172&amp;""))),ISNUMBER(SEARCH("membership",LOWER($A172&amp;" "&amp;$M172&amp;"")))),"",IF($G172="","",IF(ISNUMBER(SEARCH("non",LOWER($E172&amp;""))),$G172*0.85,$G172))))</f>
        <v/>
      </c>
      <c r="O172" s="349">
        <f>IF($A172="","",IF(OR(LOWER($D172&amp;"")="n/a",ISNUMBER(SEARCH("subscription",LOWER($A172&amp;" "&amp;$M172&amp;""))),ISNUMBER(SEARCH("membership",LOWER($A172&amp;" "&amp;$M172&amp;"")))),"",IF(OR($N172="",$I172="",$I172=0),"",$N172/$I172)))</f>
        <v/>
      </c>
      <c r="P172" s="349">
        <f>IF($A172="","",IF(OR(LOWER($D172&amp;"")="n/a",ISNUMBER(SEARCH("subscription",LOWER($A172&amp;" "&amp;$M172&amp;""))),ISNUMBER(SEARCH("membership",LOWER($A172&amp;" "&amp;$M172&amp;"")))),"",IF(LOWER($L172&amp;"")="yes",0,IF($K172&lt;&gt;"",$K172,IF($O172&lt;&gt;"",$O172,"")))))</f>
        <v/>
      </c>
      <c r="Q172" s="351">
        <f>IF($A172="","",IF($U172="Subscription","",IF($U172="Profit",$P172-$H172,0)))</f>
        <v/>
      </c>
      <c r="R172" s="349">
        <f>IF($A172="","",IF($U172="Subscription","",IF($U172="Draw",$H172,0)))</f>
        <v/>
      </c>
      <c r="S172" s="349">
        <f>IF($A172="","",IF($U172="Subscription","",IF($U172="Disqualified",$H172,0)))</f>
        <v/>
      </c>
      <c r="T172" s="380">
        <f>IF($A172="","",IF($U172="Subscription","",IF($H172=0,IF($U172="Profit","N/A",0),IF($U172="Profit",$Q172/$H172,IF($U172="Disqualified",-1,0)))))</f>
        <v/>
      </c>
      <c r="U172" s="351">
        <f>IF($A172="","",IF(OR(LOWER($D172&amp;"")="n/a",ISNUMBER(SEARCH("subscription",LOWER($A172&amp;" "&amp;$M172&amp;""))),ISNUMBER(SEARCH("membership",LOWER($A172&amp;" "&amp;$M172&amp;"")))),"Subscription",IF(LOWER($L172&amp;"")="yes","Disqualified",IF($P172&gt;$H172,"Profit","Draw"))))</f>
        <v/>
      </c>
      <c r="V172" s="383">
        <f>IF(OR($A172="",$B172="",$C172="",$U172="Subscription"),"",IFERROR(ROUNDUP((IF(ISNUMBER($C172),$C172,DATEVALUE($C172))-IF(ISNUMBER($B172),$B172,DATEVALUE($B172)))/7,0),""))</f>
        <v/>
      </c>
      <c r="W172" s="351">
        <f>IF($U172="Subscription","",$Q172-$S172)</f>
        <v/>
      </c>
      <c r="X172" s="384">
        <f>IF(OR($A172="",$U172="Subscription",$J172="",$I172="",$J172=0,$I172=0,$I172&gt;$J172),"",$J172-$I172)</f>
        <v/>
      </c>
      <c r="Y172" s="381">
        <f>IF(OR($A172="",$U172="Subscription",$J172="",$J172=0,$X172=""),"",$X172/$J172)</f>
        <v/>
      </c>
    </row>
    <row r="173" ht="21" customHeight="1" s="270">
      <c r="A173" s="297" t="n"/>
      <c r="B173" s="298" t="n"/>
      <c r="C173" s="298" t="n"/>
      <c r="D173" s="297" t="n"/>
      <c r="E173" s="349" t="n"/>
      <c r="F173" s="349" t="n"/>
      <c r="G173" s="349" t="n"/>
      <c r="H173" s="349" t="n"/>
      <c r="I173" s="382" t="n"/>
      <c r="J173" s="383" t="n"/>
      <c r="K173" s="351" t="n"/>
      <c r="L173" s="296" t="n"/>
      <c r="M173" s="349" t="n"/>
      <c r="N173" s="349">
        <f>IF($A173="","",IF(OR(LOWER($D173&amp;"")="n/a",ISNUMBER(SEARCH("subscription",LOWER($A173&amp;" "&amp;$M173&amp;""))),ISNUMBER(SEARCH("membership",LOWER($A173&amp;" "&amp;$M173&amp;"")))),"",IF($G173="","",IF(ISNUMBER(SEARCH("non",LOWER($E173&amp;""))),$G173*0.85,$G173))))</f>
        <v/>
      </c>
      <c r="O173" s="349">
        <f>IF($A173="","",IF(OR(LOWER($D173&amp;"")="n/a",ISNUMBER(SEARCH("subscription",LOWER($A173&amp;" "&amp;$M173&amp;""))),ISNUMBER(SEARCH("membership",LOWER($A173&amp;" "&amp;$M173&amp;"")))),"",IF(OR($N173="",$I173="",$I173=0),"",$N173/$I173)))</f>
        <v/>
      </c>
      <c r="P173" s="349">
        <f>IF($A173="","",IF(OR(LOWER($D173&amp;"")="n/a",ISNUMBER(SEARCH("subscription",LOWER($A173&amp;" "&amp;$M173&amp;""))),ISNUMBER(SEARCH("membership",LOWER($A173&amp;" "&amp;$M173&amp;"")))),"",IF(LOWER($L173&amp;"")="yes",0,IF($K173&lt;&gt;"",$K173,IF($O173&lt;&gt;"",$O173,"")))))</f>
        <v/>
      </c>
      <c r="Q173" s="351">
        <f>IF($A173="","",IF($U173="Subscription","",IF($U173="Profit",$P173-$H173,0)))</f>
        <v/>
      </c>
      <c r="R173" s="349">
        <f>IF($A173="","",IF($U173="Subscription","",IF($U173="Draw",$H173,0)))</f>
        <v/>
      </c>
      <c r="S173" s="349">
        <f>IF($A173="","",IF($U173="Subscription","",IF($U173="Disqualified",$H173,0)))</f>
        <v/>
      </c>
      <c r="T173" s="380">
        <f>IF($A173="","",IF($U173="Subscription","",IF($H173=0,IF($U173="Profit","N/A",0),IF($U173="Profit",$Q173/$H173,IF($U173="Disqualified",-1,0)))))</f>
        <v/>
      </c>
      <c r="U173" s="351">
        <f>IF($A173="","",IF(OR(LOWER($D173&amp;"")="n/a",ISNUMBER(SEARCH("subscription",LOWER($A173&amp;" "&amp;$M173&amp;""))),ISNUMBER(SEARCH("membership",LOWER($A173&amp;" "&amp;$M173&amp;"")))),"Subscription",IF(LOWER($L173&amp;"")="yes","Disqualified",IF($P173&gt;$H173,"Profit","Draw"))))</f>
        <v/>
      </c>
      <c r="V173" s="383">
        <f>IF(OR($A173="",$B173="",$C173="",$U173="Subscription"),"",IFERROR(ROUNDUP((IF(ISNUMBER($C173),$C173,DATEVALUE($C173))-IF(ISNUMBER($B173),$B173,DATEVALUE($B173)))/7,0),""))</f>
        <v/>
      </c>
      <c r="W173" s="351">
        <f>IF($U173="Subscription","",$Q173-$S173)</f>
        <v/>
      </c>
      <c r="X173" s="384">
        <f>IF(OR($A173="",$U173="Subscription",$J173="",$I173="",$J173=0,$I173=0,$I173&gt;$J173),"",$J173-$I173)</f>
        <v/>
      </c>
      <c r="Y173" s="381">
        <f>IF(OR($A173="",$U173="Subscription",$J173="",$J173=0,$X173=""),"",$X173/$J173)</f>
        <v/>
      </c>
    </row>
    <row r="174" ht="21" customHeight="1" s="270">
      <c r="A174" s="297" t="n"/>
      <c r="B174" s="298" t="n"/>
      <c r="C174" s="298" t="n"/>
      <c r="D174" s="297" t="n"/>
      <c r="E174" s="349" t="n"/>
      <c r="F174" s="349" t="n"/>
      <c r="G174" s="349" t="n"/>
      <c r="H174" s="349" t="n"/>
      <c r="I174" s="382" t="n"/>
      <c r="J174" s="383" t="n"/>
      <c r="K174" s="351" t="n"/>
      <c r="L174" s="296" t="n"/>
      <c r="M174" s="349" t="n"/>
      <c r="N174" s="349">
        <f>IF($A174="","",IF(OR(LOWER($D174&amp;"")="n/a",ISNUMBER(SEARCH("subscription",LOWER($A174&amp;" "&amp;$M174&amp;""))),ISNUMBER(SEARCH("membership",LOWER($A174&amp;" "&amp;$M174&amp;"")))),"",IF($G174="","",IF(ISNUMBER(SEARCH("non",LOWER($E174&amp;""))),$G174*0.85,$G174))))</f>
        <v/>
      </c>
      <c r="O174" s="349">
        <f>IF($A174="","",IF(OR(LOWER($D174&amp;"")="n/a",ISNUMBER(SEARCH("subscription",LOWER($A174&amp;" "&amp;$M174&amp;""))),ISNUMBER(SEARCH("membership",LOWER($A174&amp;" "&amp;$M174&amp;"")))),"",IF(OR($N174="",$I174="",$I174=0),"",$N174/$I174)))</f>
        <v/>
      </c>
      <c r="P174" s="349">
        <f>IF($A174="","",IF(OR(LOWER($D174&amp;"")="n/a",ISNUMBER(SEARCH("subscription",LOWER($A174&amp;" "&amp;$M174&amp;""))),ISNUMBER(SEARCH("membership",LOWER($A174&amp;" "&amp;$M174&amp;"")))),"",IF(LOWER($L174&amp;"")="yes",0,IF($K174&lt;&gt;"",$K174,IF($O174&lt;&gt;"",$O174,"")))))</f>
        <v/>
      </c>
      <c r="Q174" s="351">
        <f>IF($A174="","",IF($U174="Subscription","",IF($U174="Profit",$P174-$H174,0)))</f>
        <v/>
      </c>
      <c r="R174" s="349">
        <f>IF($A174="","",IF($U174="Subscription","",IF($U174="Draw",$H174,0)))</f>
        <v/>
      </c>
      <c r="S174" s="349">
        <f>IF($A174="","",IF($U174="Subscription","",IF($U174="Disqualified",$H174,0)))</f>
        <v/>
      </c>
      <c r="T174" s="380">
        <f>IF($A174="","",IF($U174="Subscription","",IF($H174=0,IF($U174="Profit","N/A",0),IF($U174="Profit",$Q174/$H174,IF($U174="Disqualified",-1,0)))))</f>
        <v/>
      </c>
      <c r="U174" s="351">
        <f>IF($A174="","",IF(OR(LOWER($D174&amp;"")="n/a",ISNUMBER(SEARCH("subscription",LOWER($A174&amp;" "&amp;$M174&amp;""))),ISNUMBER(SEARCH("membership",LOWER($A174&amp;" "&amp;$M174&amp;"")))),"Subscription",IF(LOWER($L174&amp;"")="yes","Disqualified",IF($P174&gt;$H174,"Profit","Draw"))))</f>
        <v/>
      </c>
      <c r="V174" s="383">
        <f>IF(OR($A174="",$B174="",$C174="",$U174="Subscription"),"",IFERROR(ROUNDUP((IF(ISNUMBER($C174),$C174,DATEVALUE($C174))-IF(ISNUMBER($B174),$B174,DATEVALUE($B174)))/7,0),""))</f>
        <v/>
      </c>
      <c r="W174" s="351">
        <f>IF($U174="Subscription","",$Q174-$S174)</f>
        <v/>
      </c>
      <c r="X174" s="384">
        <f>IF(OR($A174="",$U174="Subscription",$J174="",$I174="",$J174=0,$I174=0,$I174&gt;$J174),"",$J174-$I174)</f>
        <v/>
      </c>
      <c r="Y174" s="381">
        <f>IF(OR($A174="",$U174="Subscription",$J174="",$J174=0,$X174=""),"",$X174/$J174)</f>
        <v/>
      </c>
    </row>
    <row r="175" ht="21" customHeight="1" s="270">
      <c r="A175" s="297" t="n"/>
      <c r="B175" s="298" t="n"/>
      <c r="C175" s="298" t="n"/>
      <c r="D175" s="297" t="n"/>
      <c r="E175" s="349" t="n"/>
      <c r="F175" s="349" t="n"/>
      <c r="G175" s="349" t="n"/>
      <c r="H175" s="349" t="n"/>
      <c r="I175" s="382" t="n"/>
      <c r="J175" s="383" t="n"/>
      <c r="K175" s="351" t="n"/>
      <c r="L175" s="296" t="n"/>
      <c r="M175" s="349" t="n"/>
      <c r="N175" s="349">
        <f>IF($A175="","",IF(OR(LOWER($D175&amp;"")="n/a",ISNUMBER(SEARCH("subscription",LOWER($A175&amp;" "&amp;$M175&amp;""))),ISNUMBER(SEARCH("membership",LOWER($A175&amp;" "&amp;$M175&amp;"")))),"",IF($G175="","",IF(ISNUMBER(SEARCH("non",LOWER($E175&amp;""))),$G175*0.85,$G175))))</f>
        <v/>
      </c>
      <c r="O175" s="349">
        <f>IF($A175="","",IF(OR(LOWER($D175&amp;"")="n/a",ISNUMBER(SEARCH("subscription",LOWER($A175&amp;" "&amp;$M175&amp;""))),ISNUMBER(SEARCH("membership",LOWER($A175&amp;" "&amp;$M175&amp;"")))),"",IF(OR($N175="",$I175="",$I175=0),"",$N175/$I175)))</f>
        <v/>
      </c>
      <c r="P175" s="349">
        <f>IF($A175="","",IF(OR(LOWER($D175&amp;"")="n/a",ISNUMBER(SEARCH("subscription",LOWER($A175&amp;" "&amp;$M175&amp;""))),ISNUMBER(SEARCH("membership",LOWER($A175&amp;" "&amp;$M175&amp;"")))),"",IF(LOWER($L175&amp;"")="yes",0,IF($K175&lt;&gt;"",$K175,IF($O175&lt;&gt;"",$O175,"")))))</f>
        <v/>
      </c>
      <c r="Q175" s="351">
        <f>IF($A175="","",IF($U175="Subscription","",IF($U175="Profit",$P175-$H175,0)))</f>
        <v/>
      </c>
      <c r="R175" s="349">
        <f>IF($A175="","",IF($U175="Subscription","",IF($U175="Draw",$H175,0)))</f>
        <v/>
      </c>
      <c r="S175" s="349">
        <f>IF($A175="","",IF($U175="Subscription","",IF($U175="Disqualified",$H175,0)))</f>
        <v/>
      </c>
      <c r="T175" s="380">
        <f>IF($A175="","",IF($U175="Subscription","",IF($H175=0,IF($U175="Profit","N/A",0),IF($U175="Profit",$Q175/$H175,IF($U175="Disqualified",-1,0)))))</f>
        <v/>
      </c>
      <c r="U175" s="351">
        <f>IF($A175="","",IF(OR(LOWER($D175&amp;"")="n/a",ISNUMBER(SEARCH("subscription",LOWER($A175&amp;" "&amp;$M175&amp;""))),ISNUMBER(SEARCH("membership",LOWER($A175&amp;" "&amp;$M175&amp;"")))),"Subscription",IF(LOWER($L175&amp;"")="yes","Disqualified",IF($P175&gt;$H175,"Profit","Draw"))))</f>
        <v/>
      </c>
      <c r="V175" s="383">
        <f>IF(OR($A175="",$B175="",$C175="",$U175="Subscription"),"",IFERROR(ROUNDUP((IF(ISNUMBER($C175),$C175,DATEVALUE($C175))-IF(ISNUMBER($B175),$B175,DATEVALUE($B175)))/7,0),""))</f>
        <v/>
      </c>
      <c r="W175" s="351">
        <f>IF($U175="Subscription","",$Q175-$S175)</f>
        <v/>
      </c>
      <c r="X175" s="384">
        <f>IF(OR($A175="",$U175="Subscription",$J175="",$I175="",$J175=0,$I175=0,$I175&gt;$J175),"",$J175-$I175)</f>
        <v/>
      </c>
      <c r="Y175" s="381">
        <f>IF(OR($A175="",$U175="Subscription",$J175="",$J175=0,$X175=""),"",$X175/$J175)</f>
        <v/>
      </c>
    </row>
    <row r="176" ht="21" customHeight="1" s="270">
      <c r="A176" s="297" t="n"/>
      <c r="B176" s="298" t="n"/>
      <c r="C176" s="298" t="n"/>
      <c r="D176" s="297" t="n"/>
      <c r="E176" s="349" t="n"/>
      <c r="F176" s="349" t="n"/>
      <c r="G176" s="349" t="n"/>
      <c r="H176" s="349" t="n"/>
      <c r="I176" s="382" t="n"/>
      <c r="J176" s="383" t="n"/>
      <c r="K176" s="351" t="n"/>
      <c r="L176" s="296" t="n"/>
      <c r="M176" s="349" t="n"/>
      <c r="N176" s="349">
        <f>IF($A176="","",IF(OR(LOWER($D176&amp;"")="n/a",ISNUMBER(SEARCH("subscription",LOWER($A176&amp;" "&amp;$M176&amp;""))),ISNUMBER(SEARCH("membership",LOWER($A176&amp;" "&amp;$M176&amp;"")))),"",IF($G176="","",IF(ISNUMBER(SEARCH("non",LOWER($E176&amp;""))),$G176*0.85,$G176))))</f>
        <v/>
      </c>
      <c r="O176" s="349">
        <f>IF($A176="","",IF(OR(LOWER($D176&amp;"")="n/a",ISNUMBER(SEARCH("subscription",LOWER($A176&amp;" "&amp;$M176&amp;""))),ISNUMBER(SEARCH("membership",LOWER($A176&amp;" "&amp;$M176&amp;"")))),"",IF(OR($N176="",$I176="",$I176=0),"",$N176/$I176)))</f>
        <v/>
      </c>
      <c r="P176" s="349">
        <f>IF($A176="","",IF(OR(LOWER($D176&amp;"")="n/a",ISNUMBER(SEARCH("subscription",LOWER($A176&amp;" "&amp;$M176&amp;""))),ISNUMBER(SEARCH("membership",LOWER($A176&amp;" "&amp;$M176&amp;"")))),"",IF(LOWER($L176&amp;"")="yes",0,IF($K176&lt;&gt;"",$K176,IF($O176&lt;&gt;"",$O176,"")))))</f>
        <v/>
      </c>
      <c r="Q176" s="351">
        <f>IF($A176="","",IF($U176="Subscription","",IF($U176="Profit",$P176-$H176,0)))</f>
        <v/>
      </c>
      <c r="R176" s="349">
        <f>IF($A176="","",IF($U176="Subscription","",IF($U176="Draw",$H176,0)))</f>
        <v/>
      </c>
      <c r="S176" s="349">
        <f>IF($A176="","",IF($U176="Subscription","",IF($U176="Disqualified",$H176,0)))</f>
        <v/>
      </c>
      <c r="T176" s="380">
        <f>IF($A176="","",IF($U176="Subscription","",IF($H176=0,IF($U176="Profit","N/A",0),IF($U176="Profit",$Q176/$H176,IF($U176="Disqualified",-1,0)))))</f>
        <v/>
      </c>
      <c r="U176" s="351">
        <f>IF($A176="","",IF(OR(LOWER($D176&amp;"")="n/a",ISNUMBER(SEARCH("subscription",LOWER($A176&amp;" "&amp;$M176&amp;""))),ISNUMBER(SEARCH("membership",LOWER($A176&amp;" "&amp;$M176&amp;"")))),"Subscription",IF(LOWER($L176&amp;"")="yes","Disqualified",IF($P176&gt;$H176,"Profit","Draw"))))</f>
        <v/>
      </c>
      <c r="V176" s="383">
        <f>IF(OR($A176="",$B176="",$C176="",$U176="Subscription"),"",IFERROR(ROUNDUP((IF(ISNUMBER($C176),$C176,DATEVALUE($C176))-IF(ISNUMBER($B176),$B176,DATEVALUE($B176)))/7,0),""))</f>
        <v/>
      </c>
      <c r="W176" s="351">
        <f>IF($U176="Subscription","",$Q176-$S176)</f>
        <v/>
      </c>
      <c r="X176" s="384">
        <f>IF(OR($A176="",$U176="Subscription",$J176="",$I176="",$J176=0,$I176=0,$I176&gt;$J176),"",$J176-$I176)</f>
        <v/>
      </c>
      <c r="Y176" s="381">
        <f>IF(OR($A176="",$U176="Subscription",$J176="",$J176=0,$X176=""),"",$X176/$J176)</f>
        <v/>
      </c>
    </row>
    <row r="177" ht="21" customHeight="1" s="270">
      <c r="A177" s="297" t="n"/>
      <c r="B177" s="298" t="n"/>
      <c r="C177" s="298" t="n"/>
      <c r="D177" s="297" t="n"/>
      <c r="E177" s="349" t="n"/>
      <c r="F177" s="349" t="n"/>
      <c r="G177" s="349" t="n"/>
      <c r="H177" s="349" t="n"/>
      <c r="I177" s="382" t="n"/>
      <c r="J177" s="383" t="n"/>
      <c r="K177" s="351" t="n"/>
      <c r="L177" s="296" t="n"/>
      <c r="M177" s="349" t="n"/>
      <c r="N177" s="349">
        <f>IF($A177="","",IF(OR(LOWER($D177&amp;"")="n/a",ISNUMBER(SEARCH("subscription",LOWER($A177&amp;" "&amp;$M177&amp;""))),ISNUMBER(SEARCH("membership",LOWER($A177&amp;" "&amp;$M177&amp;"")))),"",IF($G177="","",IF(ISNUMBER(SEARCH("non",LOWER($E177&amp;""))),$G177*0.85,$G177))))</f>
        <v/>
      </c>
      <c r="O177" s="349">
        <f>IF($A177="","",IF(OR(LOWER($D177&amp;"")="n/a",ISNUMBER(SEARCH("subscription",LOWER($A177&amp;" "&amp;$M177&amp;""))),ISNUMBER(SEARCH("membership",LOWER($A177&amp;" "&amp;$M177&amp;"")))),"",IF(OR($N177="",$I177="",$I177=0),"",$N177/$I177)))</f>
        <v/>
      </c>
      <c r="P177" s="349">
        <f>IF($A177="","",IF(OR(LOWER($D177&amp;"")="n/a",ISNUMBER(SEARCH("subscription",LOWER($A177&amp;" "&amp;$M177&amp;""))),ISNUMBER(SEARCH("membership",LOWER($A177&amp;" "&amp;$M177&amp;"")))),"",IF(LOWER($L177&amp;"")="yes",0,IF($K177&lt;&gt;"",$K177,IF($O177&lt;&gt;"",$O177,"")))))</f>
        <v/>
      </c>
      <c r="Q177" s="351">
        <f>IF($A177="","",IF($U177="Subscription","",IF($U177="Profit",$P177-$H177,0)))</f>
        <v/>
      </c>
      <c r="R177" s="349">
        <f>IF($A177="","",IF($U177="Subscription","",IF($U177="Draw",$H177,0)))</f>
        <v/>
      </c>
      <c r="S177" s="349">
        <f>IF($A177="","",IF($U177="Subscription","",IF($U177="Disqualified",$H177,0)))</f>
        <v/>
      </c>
      <c r="T177" s="380">
        <f>IF($A177="","",IF($U177="Subscription","",IF($H177=0,IF($U177="Profit","N/A",0),IF($U177="Profit",$Q177/$H177,IF($U177="Disqualified",-1,0)))))</f>
        <v/>
      </c>
      <c r="U177" s="351">
        <f>IF($A177="","",IF(OR(LOWER($D177&amp;"")="n/a",ISNUMBER(SEARCH("subscription",LOWER($A177&amp;" "&amp;$M177&amp;""))),ISNUMBER(SEARCH("membership",LOWER($A177&amp;" "&amp;$M177&amp;"")))),"Subscription",IF(LOWER($L177&amp;"")="yes","Disqualified",IF($P177&gt;$H177,"Profit","Draw"))))</f>
        <v/>
      </c>
      <c r="V177" s="383">
        <f>IF(OR($A177="",$B177="",$C177="",$U177="Subscription"),"",IFERROR(ROUNDUP((IF(ISNUMBER($C177),$C177,DATEVALUE($C177))-IF(ISNUMBER($B177),$B177,DATEVALUE($B177)))/7,0),""))</f>
        <v/>
      </c>
      <c r="W177" s="351">
        <f>IF($U177="Subscription","",$Q177-$S177)</f>
        <v/>
      </c>
      <c r="X177" s="384">
        <f>IF(OR($A177="",$U177="Subscription",$J177="",$I177="",$J177=0,$I177=0,$I177&gt;$J177),"",$J177-$I177)</f>
        <v/>
      </c>
      <c r="Y177" s="381">
        <f>IF(OR($A177="",$U177="Subscription",$J177="",$J177=0,$X177=""),"",$X177/$J177)</f>
        <v/>
      </c>
    </row>
    <row r="178" ht="21" customHeight="1" s="270">
      <c r="A178" s="297" t="n"/>
      <c r="B178" s="298" t="n"/>
      <c r="C178" s="298" t="n"/>
      <c r="D178" s="297" t="n"/>
      <c r="E178" s="349" t="n"/>
      <c r="F178" s="349" t="n"/>
      <c r="G178" s="349" t="n"/>
      <c r="H178" s="349" t="n"/>
      <c r="I178" s="382" t="n"/>
      <c r="J178" s="383" t="n"/>
      <c r="K178" s="351" t="n"/>
      <c r="L178" s="296" t="n"/>
      <c r="M178" s="349" t="n"/>
      <c r="N178" s="349">
        <f>IF($A178="","",IF(OR(LOWER($D178&amp;"")="n/a",ISNUMBER(SEARCH("subscription",LOWER($A178&amp;" "&amp;$M178&amp;""))),ISNUMBER(SEARCH("membership",LOWER($A178&amp;" "&amp;$M178&amp;"")))),"",IF($G178="","",IF(ISNUMBER(SEARCH("non",LOWER($E178&amp;""))),$G178*0.85,$G178))))</f>
        <v/>
      </c>
      <c r="O178" s="349">
        <f>IF($A178="","",IF(OR(LOWER($D178&amp;"")="n/a",ISNUMBER(SEARCH("subscription",LOWER($A178&amp;" "&amp;$M178&amp;""))),ISNUMBER(SEARCH("membership",LOWER($A178&amp;" "&amp;$M178&amp;"")))),"",IF(OR($N178="",$I178="",$I178=0),"",$N178/$I178)))</f>
        <v/>
      </c>
      <c r="P178" s="349">
        <f>IF($A178="","",IF(OR(LOWER($D178&amp;"")="n/a",ISNUMBER(SEARCH("subscription",LOWER($A178&amp;" "&amp;$M178&amp;""))),ISNUMBER(SEARCH("membership",LOWER($A178&amp;" "&amp;$M178&amp;"")))),"",IF(LOWER($L178&amp;"")="yes",0,IF($K178&lt;&gt;"",$K178,IF($O178&lt;&gt;"",$O178,"")))))</f>
        <v/>
      </c>
      <c r="Q178" s="351">
        <f>IF($A178="","",IF($U178="Subscription","",IF($U178="Profit",$P178-$H178,0)))</f>
        <v/>
      </c>
      <c r="R178" s="349">
        <f>IF($A178="","",IF($U178="Subscription","",IF($U178="Draw",$H178,0)))</f>
        <v/>
      </c>
      <c r="S178" s="349">
        <f>IF($A178="","",IF($U178="Subscription","",IF($U178="Disqualified",$H178,0)))</f>
        <v/>
      </c>
      <c r="T178" s="380">
        <f>IF($A178="","",IF($U178="Subscription","",IF($H178=0,IF($U178="Profit","N/A",0),IF($U178="Profit",$Q178/$H178,IF($U178="Disqualified",-1,0)))))</f>
        <v/>
      </c>
      <c r="U178" s="351">
        <f>IF($A178="","",IF(OR(LOWER($D178&amp;"")="n/a",ISNUMBER(SEARCH("subscription",LOWER($A178&amp;" "&amp;$M178&amp;""))),ISNUMBER(SEARCH("membership",LOWER($A178&amp;" "&amp;$M178&amp;"")))),"Subscription",IF(LOWER($L178&amp;"")="yes","Disqualified",IF($P178&gt;$H178,"Profit","Draw"))))</f>
        <v/>
      </c>
      <c r="V178" s="383">
        <f>IF(OR($A178="",$B178="",$C178="",$U178="Subscription"),"",IFERROR(ROUNDUP((IF(ISNUMBER($C178),$C178,DATEVALUE($C178))-IF(ISNUMBER($B178),$B178,DATEVALUE($B178)))/7,0),""))</f>
        <v/>
      </c>
      <c r="W178" s="351">
        <f>IF($U178="Subscription","",$Q178-$S178)</f>
        <v/>
      </c>
      <c r="X178" s="384">
        <f>IF(OR($A178="",$U178="Subscription",$J178="",$I178="",$J178=0,$I178=0,$I178&gt;$J178),"",$J178-$I178)</f>
        <v/>
      </c>
      <c r="Y178" s="381">
        <f>IF(OR($A178="",$U178="Subscription",$J178="",$J178=0,$X178=""),"",$X178/$J178)</f>
        <v/>
      </c>
    </row>
    <row r="179" ht="21" customHeight="1" s="270">
      <c r="A179" s="297" t="n"/>
      <c r="B179" s="298" t="n"/>
      <c r="C179" s="298" t="n"/>
      <c r="D179" s="297" t="n"/>
      <c r="E179" s="349" t="n"/>
      <c r="F179" s="349" t="n"/>
      <c r="G179" s="349" t="n"/>
      <c r="H179" s="349" t="n"/>
      <c r="I179" s="382" t="n"/>
      <c r="J179" s="383" t="n"/>
      <c r="K179" s="351" t="n"/>
      <c r="L179" s="296" t="n"/>
      <c r="M179" s="349" t="n"/>
      <c r="N179" s="349">
        <f>IF($A179="","",IF(OR(LOWER($D179&amp;"")="n/a",ISNUMBER(SEARCH("subscription",LOWER($A179&amp;" "&amp;$M179&amp;""))),ISNUMBER(SEARCH("membership",LOWER($A179&amp;" "&amp;$M179&amp;"")))),"",IF($G179="","",IF(ISNUMBER(SEARCH("non",LOWER($E179&amp;""))),$G179*0.85,$G179))))</f>
        <v/>
      </c>
      <c r="O179" s="349">
        <f>IF($A179="","",IF(OR(LOWER($D179&amp;"")="n/a",ISNUMBER(SEARCH("subscription",LOWER($A179&amp;" "&amp;$M179&amp;""))),ISNUMBER(SEARCH("membership",LOWER($A179&amp;" "&amp;$M179&amp;"")))),"",IF(OR($N179="",$I179="",$I179=0),"",$N179/$I179)))</f>
        <v/>
      </c>
      <c r="P179" s="349">
        <f>IF($A179="","",IF(OR(LOWER($D179&amp;"")="n/a",ISNUMBER(SEARCH("subscription",LOWER($A179&amp;" "&amp;$M179&amp;""))),ISNUMBER(SEARCH("membership",LOWER($A179&amp;" "&amp;$M179&amp;"")))),"",IF(LOWER($L179&amp;"")="yes",0,IF($K179&lt;&gt;"",$K179,IF($O179&lt;&gt;"",$O179,"")))))</f>
        <v/>
      </c>
      <c r="Q179" s="351">
        <f>IF($A179="","",IF($U179="Subscription","",IF($U179="Profit",$P179-$H179,0)))</f>
        <v/>
      </c>
      <c r="R179" s="349">
        <f>IF($A179="","",IF($U179="Subscription","",IF($U179="Draw",$H179,0)))</f>
        <v/>
      </c>
      <c r="S179" s="349">
        <f>IF($A179="","",IF($U179="Subscription","",IF($U179="Disqualified",$H179,0)))</f>
        <v/>
      </c>
      <c r="T179" s="380">
        <f>IF($A179="","",IF($U179="Subscription","",IF($H179=0,IF($U179="Profit","N/A",0),IF($U179="Profit",$Q179/$H179,IF($U179="Disqualified",-1,0)))))</f>
        <v/>
      </c>
      <c r="U179" s="351">
        <f>IF($A179="","",IF(OR(LOWER($D179&amp;"")="n/a",ISNUMBER(SEARCH("subscription",LOWER($A179&amp;" "&amp;$M179&amp;""))),ISNUMBER(SEARCH("membership",LOWER($A179&amp;" "&amp;$M179&amp;"")))),"Subscription",IF(LOWER($L179&amp;"")="yes","Disqualified",IF($P179&gt;$H179,"Profit","Draw"))))</f>
        <v/>
      </c>
      <c r="V179" s="383">
        <f>IF(OR($A179="",$B179="",$C179="",$U179="Subscription"),"",IFERROR(ROUNDUP((IF(ISNUMBER($C179),$C179,DATEVALUE($C179))-IF(ISNUMBER($B179),$B179,DATEVALUE($B179)))/7,0),""))</f>
        <v/>
      </c>
      <c r="W179" s="351">
        <f>IF($U179="Subscription","",$Q179-$S179)</f>
        <v/>
      </c>
      <c r="X179" s="384">
        <f>IF(OR($A179="",$U179="Subscription",$J179="",$I179="",$J179=0,$I179=0,$I179&gt;$J179),"",$J179-$I179)</f>
        <v/>
      </c>
      <c r="Y179" s="381">
        <f>IF(OR($A179="",$U179="Subscription",$J179="",$J179=0,$X179=""),"",$X179/$J179)</f>
        <v/>
      </c>
    </row>
    <row r="180" ht="21" customHeight="1" s="270">
      <c r="A180" s="297" t="n"/>
      <c r="B180" s="298" t="n"/>
      <c r="C180" s="298" t="n"/>
      <c r="D180" s="297" t="n"/>
      <c r="E180" s="349" t="n"/>
      <c r="F180" s="349" t="n"/>
      <c r="G180" s="349" t="n"/>
      <c r="H180" s="349" t="n"/>
      <c r="I180" s="382" t="n"/>
      <c r="J180" s="383" t="n"/>
      <c r="K180" s="351" t="n"/>
      <c r="L180" s="296" t="n"/>
      <c r="M180" s="349" t="n"/>
      <c r="N180" s="349">
        <f>IF($A180="","",IF(OR(LOWER($D180&amp;"")="n/a",ISNUMBER(SEARCH("subscription",LOWER($A180&amp;" "&amp;$M180&amp;""))),ISNUMBER(SEARCH("membership",LOWER($A180&amp;" "&amp;$M180&amp;"")))),"",IF($G180="","",IF(ISNUMBER(SEARCH("non",LOWER($E180&amp;""))),$G180*0.85,$G180))))</f>
        <v/>
      </c>
      <c r="O180" s="349">
        <f>IF($A180="","",IF(OR(LOWER($D180&amp;"")="n/a",ISNUMBER(SEARCH("subscription",LOWER($A180&amp;" "&amp;$M180&amp;""))),ISNUMBER(SEARCH("membership",LOWER($A180&amp;" "&amp;$M180&amp;"")))),"",IF(OR($N180="",$I180="",$I180=0),"",$N180/$I180)))</f>
        <v/>
      </c>
      <c r="P180" s="349">
        <f>IF($A180="","",IF(OR(LOWER($D180&amp;"")="n/a",ISNUMBER(SEARCH("subscription",LOWER($A180&amp;" "&amp;$M180&amp;""))),ISNUMBER(SEARCH("membership",LOWER($A180&amp;" "&amp;$M180&amp;"")))),"",IF(LOWER($L180&amp;"")="yes",0,IF($K180&lt;&gt;"",$K180,IF($O180&lt;&gt;"",$O180,"")))))</f>
        <v/>
      </c>
      <c r="Q180" s="351">
        <f>IF($A180="","",IF($U180="Subscription","",IF($U180="Profit",$P180-$H180,0)))</f>
        <v/>
      </c>
      <c r="R180" s="349">
        <f>IF($A180="","",IF($U180="Subscription","",IF($U180="Draw",$H180,0)))</f>
        <v/>
      </c>
      <c r="S180" s="349">
        <f>IF($A180="","",IF($U180="Subscription","",IF($U180="Disqualified",$H180,0)))</f>
        <v/>
      </c>
      <c r="T180" s="380">
        <f>IF($A180="","",IF($U180="Subscription","",IF($H180=0,IF($U180="Profit","N/A",0),IF($U180="Profit",$Q180/$H180,IF($U180="Disqualified",-1,0)))))</f>
        <v/>
      </c>
      <c r="U180" s="351">
        <f>IF($A180="","",IF(OR(LOWER($D180&amp;"")="n/a",ISNUMBER(SEARCH("subscription",LOWER($A180&amp;" "&amp;$M180&amp;""))),ISNUMBER(SEARCH("membership",LOWER($A180&amp;" "&amp;$M180&amp;"")))),"Subscription",IF(LOWER($L180&amp;"")="yes","Disqualified",IF($P180&gt;$H180,"Profit","Draw"))))</f>
        <v/>
      </c>
      <c r="V180" s="383">
        <f>IF(OR($A180="",$B180="",$C180="",$U180="Subscription"),"",IFERROR(ROUNDUP((IF(ISNUMBER($C180),$C180,DATEVALUE($C180))-IF(ISNUMBER($B180),$B180,DATEVALUE($B180)))/7,0),""))</f>
        <v/>
      </c>
      <c r="W180" s="351">
        <f>IF($U180="Subscription","",$Q180-$S180)</f>
        <v/>
      </c>
      <c r="X180" s="384">
        <f>IF(OR($A180="",$U180="Subscription",$J180="",$I180="",$J180=0,$I180=0,$I180&gt;$J180),"",$J180-$I180)</f>
        <v/>
      </c>
      <c r="Y180" s="381">
        <f>IF(OR($A180="",$U180="Subscription",$J180="",$J180=0,$X180=""),"",$X180/$J180)</f>
        <v/>
      </c>
    </row>
    <row r="181" ht="21" customHeight="1" s="270">
      <c r="A181" s="297" t="n"/>
      <c r="B181" s="298" t="n"/>
      <c r="C181" s="298" t="n"/>
      <c r="D181" s="297" t="n"/>
      <c r="E181" s="349" t="n"/>
      <c r="F181" s="349" t="n"/>
      <c r="G181" s="349" t="n"/>
      <c r="H181" s="349" t="n"/>
      <c r="I181" s="382" t="n"/>
      <c r="J181" s="383" t="n"/>
      <c r="K181" s="351" t="n"/>
      <c r="L181" s="296" t="n"/>
      <c r="M181" s="349" t="n"/>
      <c r="N181" s="349">
        <f>IF($A181="","",IF(OR(LOWER($D181&amp;"")="n/a",ISNUMBER(SEARCH("subscription",LOWER($A181&amp;" "&amp;$M181&amp;""))),ISNUMBER(SEARCH("membership",LOWER($A181&amp;" "&amp;$M181&amp;"")))),"",IF($G181="","",IF(ISNUMBER(SEARCH("non",LOWER($E181&amp;""))),$G181*0.85,$G181))))</f>
        <v/>
      </c>
      <c r="O181" s="349">
        <f>IF($A181="","",IF(OR(LOWER($D181&amp;"")="n/a",ISNUMBER(SEARCH("subscription",LOWER($A181&amp;" "&amp;$M181&amp;""))),ISNUMBER(SEARCH("membership",LOWER($A181&amp;" "&amp;$M181&amp;"")))),"",IF(OR($N181="",$I181="",$I181=0),"",$N181/$I181)))</f>
        <v/>
      </c>
      <c r="P181" s="349">
        <f>IF($A181="","",IF(OR(LOWER($D181&amp;"")="n/a",ISNUMBER(SEARCH("subscription",LOWER($A181&amp;" "&amp;$M181&amp;""))),ISNUMBER(SEARCH("membership",LOWER($A181&amp;" "&amp;$M181&amp;"")))),"",IF(LOWER($L181&amp;"")="yes",0,IF($K181&lt;&gt;"",$K181,IF($O181&lt;&gt;"",$O181,"")))))</f>
        <v/>
      </c>
      <c r="Q181" s="351">
        <f>IF($A181="","",IF($U181="Subscription","",IF($U181="Profit",$P181-$H181,0)))</f>
        <v/>
      </c>
      <c r="R181" s="349">
        <f>IF($A181="","",IF($U181="Subscription","",IF($U181="Draw",$H181,0)))</f>
        <v/>
      </c>
      <c r="S181" s="349">
        <f>IF($A181="","",IF($U181="Subscription","",IF($U181="Disqualified",$H181,0)))</f>
        <v/>
      </c>
      <c r="T181" s="380">
        <f>IF($A181="","",IF($U181="Subscription","",IF($H181=0,IF($U181="Profit","N/A",0),IF($U181="Profit",$Q181/$H181,IF($U181="Disqualified",-1,0)))))</f>
        <v/>
      </c>
      <c r="U181" s="351">
        <f>IF($A181="","",IF(OR(LOWER($D181&amp;"")="n/a",ISNUMBER(SEARCH("subscription",LOWER($A181&amp;" "&amp;$M181&amp;""))),ISNUMBER(SEARCH("membership",LOWER($A181&amp;" "&amp;$M181&amp;"")))),"Subscription",IF(LOWER($L181&amp;"")="yes","Disqualified",IF($P181&gt;$H181,"Profit","Draw"))))</f>
        <v/>
      </c>
      <c r="V181" s="383">
        <f>IF(OR($A181="",$B181="",$C181="",$U181="Subscription"),"",IFERROR(ROUNDUP((IF(ISNUMBER($C181),$C181,DATEVALUE($C181))-IF(ISNUMBER($B181),$B181,DATEVALUE($B181)))/7,0),""))</f>
        <v/>
      </c>
      <c r="W181" s="351">
        <f>IF($U181="Subscription","",$Q181-$S181)</f>
        <v/>
      </c>
      <c r="X181" s="384">
        <f>IF(OR($A181="",$U181="Subscription",$J181="",$I181="",$J181=0,$I181=0,$I181&gt;$J181),"",$J181-$I181)</f>
        <v/>
      </c>
      <c r="Y181" s="381">
        <f>IF(OR($A181="",$U181="Subscription",$J181="",$J181=0,$X181=""),"",$X181/$J181)</f>
        <v/>
      </c>
    </row>
    <row r="182" ht="21" customHeight="1" s="270">
      <c r="A182" s="297" t="n"/>
      <c r="B182" s="298" t="n"/>
      <c r="C182" s="298" t="n"/>
      <c r="D182" s="297" t="n"/>
      <c r="E182" s="349" t="n"/>
      <c r="F182" s="349" t="n"/>
      <c r="G182" s="349" t="n"/>
      <c r="H182" s="349" t="n"/>
      <c r="I182" s="382" t="n"/>
      <c r="J182" s="383" t="n"/>
      <c r="K182" s="351" t="n"/>
      <c r="L182" s="296" t="n"/>
      <c r="M182" s="349" t="n"/>
      <c r="N182" s="349">
        <f>IF($A182="","",IF(OR(LOWER($D182&amp;"")="n/a",ISNUMBER(SEARCH("subscription",LOWER($A182&amp;" "&amp;$M182&amp;""))),ISNUMBER(SEARCH("membership",LOWER($A182&amp;" "&amp;$M182&amp;"")))),"",IF($G182="","",IF(ISNUMBER(SEARCH("non",LOWER($E182&amp;""))),$G182*0.85,$G182))))</f>
        <v/>
      </c>
      <c r="O182" s="349">
        <f>IF($A182="","",IF(OR(LOWER($D182&amp;"")="n/a",ISNUMBER(SEARCH("subscription",LOWER($A182&amp;" "&amp;$M182&amp;""))),ISNUMBER(SEARCH("membership",LOWER($A182&amp;" "&amp;$M182&amp;"")))),"",IF(OR($N182="",$I182="",$I182=0),"",$N182/$I182)))</f>
        <v/>
      </c>
      <c r="P182" s="349">
        <f>IF($A182="","",IF(OR(LOWER($D182&amp;"")="n/a",ISNUMBER(SEARCH("subscription",LOWER($A182&amp;" "&amp;$M182&amp;""))),ISNUMBER(SEARCH("membership",LOWER($A182&amp;" "&amp;$M182&amp;"")))),"",IF(LOWER($L182&amp;"")="yes",0,IF($K182&lt;&gt;"",$K182,IF($O182&lt;&gt;"",$O182,"")))))</f>
        <v/>
      </c>
      <c r="Q182" s="351">
        <f>IF($A182="","",IF($U182="Subscription","",IF($U182="Profit",$P182-$H182,0)))</f>
        <v/>
      </c>
      <c r="R182" s="349">
        <f>IF($A182="","",IF($U182="Subscription","",IF($U182="Draw",$H182,0)))</f>
        <v/>
      </c>
      <c r="S182" s="349">
        <f>IF($A182="","",IF($U182="Subscription","",IF($U182="Disqualified",$H182,0)))</f>
        <v/>
      </c>
      <c r="T182" s="380">
        <f>IF($A182="","",IF($U182="Subscription","",IF($H182=0,IF($U182="Profit","N/A",0),IF($U182="Profit",$Q182/$H182,IF($U182="Disqualified",-1,0)))))</f>
        <v/>
      </c>
      <c r="U182" s="351">
        <f>IF($A182="","",IF(OR(LOWER($D182&amp;"")="n/a",ISNUMBER(SEARCH("subscription",LOWER($A182&amp;" "&amp;$M182&amp;""))),ISNUMBER(SEARCH("membership",LOWER($A182&amp;" "&amp;$M182&amp;"")))),"Subscription",IF(LOWER($L182&amp;"")="yes","Disqualified",IF($P182&gt;$H182,"Profit","Draw"))))</f>
        <v/>
      </c>
      <c r="V182" s="383">
        <f>IF(OR($A182="",$B182="",$C182="",$U182="Subscription"),"",IFERROR(ROUNDUP((IF(ISNUMBER($C182),$C182,DATEVALUE($C182))-IF(ISNUMBER($B182),$B182,DATEVALUE($B182)))/7,0),""))</f>
        <v/>
      </c>
      <c r="W182" s="351">
        <f>IF($U182="Subscription","",$Q182-$S182)</f>
        <v/>
      </c>
      <c r="X182" s="384">
        <f>IF(OR($A182="",$U182="Subscription",$J182="",$I182="",$J182=0,$I182=0,$I182&gt;$J182),"",$J182-$I182)</f>
        <v/>
      </c>
      <c r="Y182" s="381">
        <f>IF(OR($A182="",$U182="Subscription",$J182="",$J182=0,$X182=""),"",$X182/$J182)</f>
        <v/>
      </c>
    </row>
    <row r="183" ht="21" customHeight="1" s="270">
      <c r="A183" s="297" t="n"/>
      <c r="B183" s="298" t="n"/>
      <c r="C183" s="298" t="n"/>
      <c r="D183" s="297" t="n"/>
      <c r="E183" s="349" t="n"/>
      <c r="F183" s="349" t="n"/>
      <c r="G183" s="349" t="n"/>
      <c r="H183" s="349" t="n"/>
      <c r="I183" s="382" t="n"/>
      <c r="J183" s="383" t="n"/>
      <c r="K183" s="351" t="n"/>
      <c r="L183" s="296" t="n"/>
      <c r="M183" s="349" t="n"/>
      <c r="N183" s="349">
        <f>IF($A183="","",IF(OR(LOWER($D183&amp;"")="n/a",ISNUMBER(SEARCH("subscription",LOWER($A183&amp;" "&amp;$M183&amp;""))),ISNUMBER(SEARCH("membership",LOWER($A183&amp;" "&amp;$M183&amp;"")))),"",IF($G183="","",IF(ISNUMBER(SEARCH("non",LOWER($E183&amp;""))),$G183*0.85,$G183))))</f>
        <v/>
      </c>
      <c r="O183" s="349">
        <f>IF($A183="","",IF(OR(LOWER($D183&amp;"")="n/a",ISNUMBER(SEARCH("subscription",LOWER($A183&amp;" "&amp;$M183&amp;""))),ISNUMBER(SEARCH("membership",LOWER($A183&amp;" "&amp;$M183&amp;"")))),"",IF(OR($N183="",$I183="",$I183=0),"",$N183/$I183)))</f>
        <v/>
      </c>
      <c r="P183" s="349">
        <f>IF($A183="","",IF(OR(LOWER($D183&amp;"")="n/a",ISNUMBER(SEARCH("subscription",LOWER($A183&amp;" "&amp;$M183&amp;""))),ISNUMBER(SEARCH("membership",LOWER($A183&amp;" "&amp;$M183&amp;"")))),"",IF(LOWER($L183&amp;"")="yes",0,IF($K183&lt;&gt;"",$K183,IF($O183&lt;&gt;"",$O183,"")))))</f>
        <v/>
      </c>
      <c r="Q183" s="351">
        <f>IF($A183="","",IF($U183="Subscription","",IF($U183="Profit",$P183-$H183,0)))</f>
        <v/>
      </c>
      <c r="R183" s="349">
        <f>IF($A183="","",IF($U183="Subscription","",IF($U183="Draw",$H183,0)))</f>
        <v/>
      </c>
      <c r="S183" s="349">
        <f>IF($A183="","",IF($U183="Subscription","",IF($U183="Disqualified",$H183,0)))</f>
        <v/>
      </c>
      <c r="T183" s="380">
        <f>IF($A183="","",IF($U183="Subscription","",IF($H183=0,IF($U183="Profit","N/A",0),IF($U183="Profit",$Q183/$H183,IF($U183="Disqualified",-1,0)))))</f>
        <v/>
      </c>
      <c r="U183" s="351">
        <f>IF($A183="","",IF(OR(LOWER($D183&amp;"")="n/a",ISNUMBER(SEARCH("subscription",LOWER($A183&amp;" "&amp;$M183&amp;""))),ISNUMBER(SEARCH("membership",LOWER($A183&amp;" "&amp;$M183&amp;"")))),"Subscription",IF(LOWER($L183&amp;"")="yes","Disqualified",IF($P183&gt;$H183,"Profit","Draw"))))</f>
        <v/>
      </c>
      <c r="V183" s="383">
        <f>IF(OR($A183="",$B183="",$C183="",$U183="Subscription"),"",IFERROR(ROUNDUP((IF(ISNUMBER($C183),$C183,DATEVALUE($C183))-IF(ISNUMBER($B183),$B183,DATEVALUE($B183)))/7,0),""))</f>
        <v/>
      </c>
      <c r="W183" s="351">
        <f>IF($U183="Subscription","",$Q183-$S183)</f>
        <v/>
      </c>
      <c r="X183" s="384">
        <f>IF(OR($A183="",$U183="Subscription",$J183="",$I183="",$J183=0,$I183=0,$I183&gt;$J183),"",$J183-$I183)</f>
        <v/>
      </c>
      <c r="Y183" s="381">
        <f>IF(OR($A183="",$U183="Subscription",$J183="",$J183=0,$X183=""),"",$X183/$J183)</f>
        <v/>
      </c>
    </row>
    <row r="184" ht="21" customHeight="1" s="270">
      <c r="A184" s="297" t="n"/>
      <c r="B184" s="298" t="n"/>
      <c r="C184" s="298" t="n"/>
      <c r="D184" s="297" t="n"/>
      <c r="E184" s="349" t="n"/>
      <c r="F184" s="349" t="n"/>
      <c r="G184" s="349" t="n"/>
      <c r="H184" s="349" t="n"/>
      <c r="I184" s="382" t="n"/>
      <c r="J184" s="383" t="n"/>
      <c r="K184" s="351" t="n"/>
      <c r="L184" s="296" t="n"/>
      <c r="M184" s="349" t="n"/>
      <c r="N184" s="349">
        <f>IF($A184="","",IF(OR(LOWER($D184&amp;"")="n/a",ISNUMBER(SEARCH("subscription",LOWER($A184&amp;" "&amp;$M184&amp;""))),ISNUMBER(SEARCH("membership",LOWER($A184&amp;" "&amp;$M184&amp;"")))),"",IF($G184="","",IF(ISNUMBER(SEARCH("non",LOWER($E184&amp;""))),$G184*0.85,$G184))))</f>
        <v/>
      </c>
      <c r="O184" s="349">
        <f>IF($A184="","",IF(OR(LOWER($D184&amp;"")="n/a",ISNUMBER(SEARCH("subscription",LOWER($A184&amp;" "&amp;$M184&amp;""))),ISNUMBER(SEARCH("membership",LOWER($A184&amp;" "&amp;$M184&amp;"")))),"",IF(OR($N184="",$I184="",$I184=0),"",$N184/$I184)))</f>
        <v/>
      </c>
      <c r="P184" s="349">
        <f>IF($A184="","",IF(OR(LOWER($D184&amp;"")="n/a",ISNUMBER(SEARCH("subscription",LOWER($A184&amp;" "&amp;$M184&amp;""))),ISNUMBER(SEARCH("membership",LOWER($A184&amp;" "&amp;$M184&amp;"")))),"",IF(LOWER($L184&amp;"")="yes",0,IF($K184&lt;&gt;"",$K184,IF($O184&lt;&gt;"",$O184,"")))))</f>
        <v/>
      </c>
      <c r="Q184" s="351">
        <f>IF($A184="","",IF($U184="Subscription","",IF($U184="Profit",$P184-$H184,0)))</f>
        <v/>
      </c>
      <c r="R184" s="349">
        <f>IF($A184="","",IF($U184="Subscription","",IF($U184="Draw",$H184,0)))</f>
        <v/>
      </c>
      <c r="S184" s="349">
        <f>IF($A184="","",IF($U184="Subscription","",IF($U184="Disqualified",$H184,0)))</f>
        <v/>
      </c>
      <c r="T184" s="380">
        <f>IF($A184="","",IF($U184="Subscription","",IF($H184=0,IF($U184="Profit","N/A",0),IF($U184="Profit",$Q184/$H184,IF($U184="Disqualified",-1,0)))))</f>
        <v/>
      </c>
      <c r="U184" s="351">
        <f>IF($A184="","",IF(OR(LOWER($D184&amp;"")="n/a",ISNUMBER(SEARCH("subscription",LOWER($A184&amp;" "&amp;$M184&amp;""))),ISNUMBER(SEARCH("membership",LOWER($A184&amp;" "&amp;$M184&amp;"")))),"Subscription",IF(LOWER($L184&amp;"")="yes","Disqualified",IF($P184&gt;$H184,"Profit","Draw"))))</f>
        <v/>
      </c>
      <c r="V184" s="383">
        <f>IF(OR($A184="",$B184="",$C184="",$U184="Subscription"),"",IFERROR(ROUNDUP((IF(ISNUMBER($C184),$C184,DATEVALUE($C184))-IF(ISNUMBER($B184),$B184,DATEVALUE($B184)))/7,0),""))</f>
        <v/>
      </c>
      <c r="W184" s="351">
        <f>IF($U184="Subscription","",$Q184-$S184)</f>
        <v/>
      </c>
      <c r="X184" s="384">
        <f>IF(OR($A184="",$U184="Subscription",$J184="",$I184="",$J184=0,$I184=0,$I184&gt;$J184),"",$J184-$I184)</f>
        <v/>
      </c>
      <c r="Y184" s="381">
        <f>IF(OR($A184="",$U184="Subscription",$J184="",$J184=0,$X184=""),"",$X184/$J184)</f>
        <v/>
      </c>
    </row>
    <row r="185" ht="21" customHeight="1" s="270">
      <c r="A185" s="297" t="n"/>
      <c r="B185" s="298" t="n"/>
      <c r="C185" s="298" t="n"/>
      <c r="D185" s="297" t="n"/>
      <c r="E185" s="349" t="n"/>
      <c r="F185" s="349" t="n"/>
      <c r="G185" s="349" t="n"/>
      <c r="H185" s="349" t="n"/>
      <c r="I185" s="382" t="n"/>
      <c r="J185" s="383" t="n"/>
      <c r="K185" s="351" t="n"/>
      <c r="L185" s="296" t="n"/>
      <c r="M185" s="349" t="n"/>
      <c r="N185" s="349">
        <f>IF($A185="","",IF(OR(LOWER($D185&amp;"")="n/a",ISNUMBER(SEARCH("subscription",LOWER($A185&amp;" "&amp;$M185&amp;""))),ISNUMBER(SEARCH("membership",LOWER($A185&amp;" "&amp;$M185&amp;"")))),"",IF($G185="","",IF(ISNUMBER(SEARCH("non",LOWER($E185&amp;""))),$G185*0.85,$G185))))</f>
        <v/>
      </c>
      <c r="O185" s="349">
        <f>IF($A185="","",IF(OR(LOWER($D185&amp;"")="n/a",ISNUMBER(SEARCH("subscription",LOWER($A185&amp;" "&amp;$M185&amp;""))),ISNUMBER(SEARCH("membership",LOWER($A185&amp;" "&amp;$M185&amp;"")))),"",IF(OR($N185="",$I185="",$I185=0),"",$N185/$I185)))</f>
        <v/>
      </c>
      <c r="P185" s="349">
        <f>IF($A185="","",IF(OR(LOWER($D185&amp;"")="n/a",ISNUMBER(SEARCH("subscription",LOWER($A185&amp;" "&amp;$M185&amp;""))),ISNUMBER(SEARCH("membership",LOWER($A185&amp;" "&amp;$M185&amp;"")))),"",IF(LOWER($L185&amp;"")="yes",0,IF($K185&lt;&gt;"",$K185,IF($O185&lt;&gt;"",$O185,"")))))</f>
        <v/>
      </c>
      <c r="Q185" s="351">
        <f>IF($A185="","",IF($U185="Subscription","",IF($U185="Profit",$P185-$H185,0)))</f>
        <v/>
      </c>
      <c r="R185" s="349">
        <f>IF($A185="","",IF($U185="Subscription","",IF($U185="Draw",$H185,0)))</f>
        <v/>
      </c>
      <c r="S185" s="349">
        <f>IF($A185="","",IF($U185="Subscription","",IF($U185="Disqualified",$H185,0)))</f>
        <v/>
      </c>
      <c r="T185" s="380">
        <f>IF($A185="","",IF($U185="Subscription","",IF($H185=0,IF($U185="Profit","N/A",0),IF($U185="Profit",$Q185/$H185,IF($U185="Disqualified",-1,0)))))</f>
        <v/>
      </c>
      <c r="U185" s="351">
        <f>IF($A185="","",IF(OR(LOWER($D185&amp;"")="n/a",ISNUMBER(SEARCH("subscription",LOWER($A185&amp;" "&amp;$M185&amp;""))),ISNUMBER(SEARCH("membership",LOWER($A185&amp;" "&amp;$M185&amp;"")))),"Subscription",IF(LOWER($L185&amp;"")="yes","Disqualified",IF($P185&gt;$H185,"Profit","Draw"))))</f>
        <v/>
      </c>
      <c r="V185" s="383">
        <f>IF(OR($A185="",$B185="",$C185="",$U185="Subscription"),"",IFERROR(ROUNDUP((IF(ISNUMBER($C185),$C185,DATEVALUE($C185))-IF(ISNUMBER($B185),$B185,DATEVALUE($B185)))/7,0),""))</f>
        <v/>
      </c>
      <c r="W185" s="351">
        <f>IF($U185="Subscription","",$Q185-$S185)</f>
        <v/>
      </c>
      <c r="X185" s="384">
        <f>IF(OR($A185="",$U185="Subscription",$J185="",$I185="",$J185=0,$I185=0,$I185&gt;$J185),"",$J185-$I185)</f>
        <v/>
      </c>
      <c r="Y185" s="381">
        <f>IF(OR($A185="",$U185="Subscription",$J185="",$J185=0,$X185=""),"",$X185/$J185)</f>
        <v/>
      </c>
    </row>
    <row r="186" ht="21" customHeight="1" s="270">
      <c r="A186" s="297" t="n"/>
      <c r="B186" s="298" t="n"/>
      <c r="C186" s="298" t="n"/>
      <c r="D186" s="297" t="n"/>
      <c r="E186" s="349" t="n"/>
      <c r="F186" s="349" t="n"/>
      <c r="G186" s="349" t="n"/>
      <c r="H186" s="349" t="n"/>
      <c r="I186" s="382" t="n"/>
      <c r="J186" s="383" t="n"/>
      <c r="K186" s="351" t="n"/>
      <c r="L186" s="296" t="n"/>
      <c r="M186" s="349" t="n"/>
      <c r="N186" s="349">
        <f>IF($A186="","",IF(OR(LOWER($D186&amp;"")="n/a",ISNUMBER(SEARCH("subscription",LOWER($A186&amp;" "&amp;$M186&amp;""))),ISNUMBER(SEARCH("membership",LOWER($A186&amp;" "&amp;$M186&amp;"")))),"",IF($G186="","",IF(ISNUMBER(SEARCH("non",LOWER($E186&amp;""))),$G186*0.85,$G186))))</f>
        <v/>
      </c>
      <c r="O186" s="349">
        <f>IF($A186="","",IF(OR(LOWER($D186&amp;"")="n/a",ISNUMBER(SEARCH("subscription",LOWER($A186&amp;" "&amp;$M186&amp;""))),ISNUMBER(SEARCH("membership",LOWER($A186&amp;" "&amp;$M186&amp;"")))),"",IF(OR($N186="",$I186="",$I186=0),"",$N186/$I186)))</f>
        <v/>
      </c>
      <c r="P186" s="349">
        <f>IF($A186="","",IF(OR(LOWER($D186&amp;"")="n/a",ISNUMBER(SEARCH("subscription",LOWER($A186&amp;" "&amp;$M186&amp;""))),ISNUMBER(SEARCH("membership",LOWER($A186&amp;" "&amp;$M186&amp;"")))),"",IF(LOWER($L186&amp;"")="yes",0,IF($K186&lt;&gt;"",$K186,IF($O186&lt;&gt;"",$O186,"")))))</f>
        <v/>
      </c>
      <c r="Q186" s="351">
        <f>IF($A186="","",IF($U186="Subscription","",IF($U186="Profit",$P186-$H186,0)))</f>
        <v/>
      </c>
      <c r="R186" s="349">
        <f>IF($A186="","",IF($U186="Subscription","",IF($U186="Draw",$H186,0)))</f>
        <v/>
      </c>
      <c r="S186" s="349">
        <f>IF($A186="","",IF($U186="Subscription","",IF($U186="Disqualified",$H186,0)))</f>
        <v/>
      </c>
      <c r="T186" s="380">
        <f>IF($A186="","",IF($U186="Subscription","",IF($H186=0,IF($U186="Profit","N/A",0),IF($U186="Profit",$Q186/$H186,IF($U186="Disqualified",-1,0)))))</f>
        <v/>
      </c>
      <c r="U186" s="351">
        <f>IF($A186="","",IF(OR(LOWER($D186&amp;"")="n/a",ISNUMBER(SEARCH("subscription",LOWER($A186&amp;" "&amp;$M186&amp;""))),ISNUMBER(SEARCH("membership",LOWER($A186&amp;" "&amp;$M186&amp;"")))),"Subscription",IF(LOWER($L186&amp;"")="yes","Disqualified",IF($P186&gt;$H186,"Profit","Draw"))))</f>
        <v/>
      </c>
      <c r="V186" s="383">
        <f>IF(OR($A186="",$B186="",$C186="",$U186="Subscription"),"",IFERROR(ROUNDUP((IF(ISNUMBER($C186),$C186,DATEVALUE($C186))-IF(ISNUMBER($B186),$B186,DATEVALUE($B186)))/7,0),""))</f>
        <v/>
      </c>
      <c r="W186" s="351">
        <f>IF($U186="Subscription","",$Q186-$S186)</f>
        <v/>
      </c>
      <c r="X186" s="384">
        <f>IF(OR($A186="",$U186="Subscription",$J186="",$I186="",$J186=0,$I186=0,$I186&gt;$J186),"",$J186-$I186)</f>
        <v/>
      </c>
      <c r="Y186" s="381">
        <f>IF(OR($A186="",$U186="Subscription",$J186="",$J186=0,$X186=""),"",$X186/$J186)</f>
        <v/>
      </c>
    </row>
    <row r="187" ht="21" customHeight="1" s="270">
      <c r="A187" s="297" t="n"/>
      <c r="B187" s="298" t="n"/>
      <c r="C187" s="298" t="n"/>
      <c r="D187" s="297" t="n"/>
      <c r="E187" s="349" t="n"/>
      <c r="F187" s="349" t="n"/>
      <c r="G187" s="349" t="n"/>
      <c r="H187" s="349" t="n"/>
      <c r="I187" s="382" t="n"/>
      <c r="J187" s="383" t="n"/>
      <c r="K187" s="351" t="n"/>
      <c r="L187" s="296" t="n"/>
      <c r="M187" s="349" t="n"/>
      <c r="N187" s="349">
        <f>IF($A187="","",IF(OR(LOWER($D187&amp;"")="n/a",ISNUMBER(SEARCH("subscription",LOWER($A187&amp;" "&amp;$M187&amp;""))),ISNUMBER(SEARCH("membership",LOWER($A187&amp;" "&amp;$M187&amp;"")))),"",IF($G187="","",IF(ISNUMBER(SEARCH("non",LOWER($E187&amp;""))),$G187*0.85,$G187))))</f>
        <v/>
      </c>
      <c r="O187" s="349">
        <f>IF($A187="","",IF(OR(LOWER($D187&amp;"")="n/a",ISNUMBER(SEARCH("subscription",LOWER($A187&amp;" "&amp;$M187&amp;""))),ISNUMBER(SEARCH("membership",LOWER($A187&amp;" "&amp;$M187&amp;"")))),"",IF(OR($N187="",$I187="",$I187=0),"",$N187/$I187)))</f>
        <v/>
      </c>
      <c r="P187" s="349">
        <f>IF($A187="","",IF(OR(LOWER($D187&amp;"")="n/a",ISNUMBER(SEARCH("subscription",LOWER($A187&amp;" "&amp;$M187&amp;""))),ISNUMBER(SEARCH("membership",LOWER($A187&amp;" "&amp;$M187&amp;"")))),"",IF(LOWER($L187&amp;"")="yes",0,IF($K187&lt;&gt;"",$K187,IF($O187&lt;&gt;"",$O187,"")))))</f>
        <v/>
      </c>
      <c r="Q187" s="351">
        <f>IF($A187="","",IF($U187="Subscription","",IF($U187="Profit",$P187-$H187,0)))</f>
        <v/>
      </c>
      <c r="R187" s="349">
        <f>IF($A187="","",IF($U187="Subscription","",IF($U187="Draw",$H187,0)))</f>
        <v/>
      </c>
      <c r="S187" s="349">
        <f>IF($A187="","",IF($U187="Subscription","",IF($U187="Disqualified",$H187,0)))</f>
        <v/>
      </c>
      <c r="T187" s="380">
        <f>IF($A187="","",IF($U187="Subscription","",IF($H187=0,IF($U187="Profit","N/A",0),IF($U187="Profit",$Q187/$H187,IF($U187="Disqualified",-1,0)))))</f>
        <v/>
      </c>
      <c r="U187" s="351">
        <f>IF($A187="","",IF(OR(LOWER($D187&amp;"")="n/a",ISNUMBER(SEARCH("subscription",LOWER($A187&amp;" "&amp;$M187&amp;""))),ISNUMBER(SEARCH("membership",LOWER($A187&amp;" "&amp;$M187&amp;"")))),"Subscription",IF(LOWER($L187&amp;"")="yes","Disqualified",IF($P187&gt;$H187,"Profit","Draw"))))</f>
        <v/>
      </c>
      <c r="V187" s="383">
        <f>IF(OR($A187="",$B187="",$C187="",$U187="Subscription"),"",IFERROR(ROUNDUP((IF(ISNUMBER($C187),$C187,DATEVALUE($C187))-IF(ISNUMBER($B187),$B187,DATEVALUE($B187)))/7,0),""))</f>
        <v/>
      </c>
      <c r="W187" s="351">
        <f>IF($U187="Subscription","",$Q187-$S187)</f>
        <v/>
      </c>
      <c r="X187" s="384">
        <f>IF(OR($A187="",$U187="Subscription",$J187="",$I187="",$J187=0,$I187=0,$I187&gt;$J187),"",$J187-$I187)</f>
        <v/>
      </c>
      <c r="Y187" s="381">
        <f>IF(OR($A187="",$U187="Subscription",$J187="",$J187=0,$X187=""),"",$X187/$J187)</f>
        <v/>
      </c>
    </row>
    <row r="188" ht="21" customHeight="1" s="270">
      <c r="A188" s="297" t="n"/>
      <c r="B188" s="298" t="n"/>
      <c r="C188" s="298" t="n"/>
      <c r="D188" s="297" t="n"/>
      <c r="E188" s="349" t="n"/>
      <c r="F188" s="349" t="n"/>
      <c r="G188" s="349" t="n"/>
      <c r="H188" s="349" t="n"/>
      <c r="I188" s="382" t="n"/>
      <c r="J188" s="383" t="n"/>
      <c r="K188" s="351" t="n"/>
      <c r="L188" s="296" t="n"/>
      <c r="M188" s="349" t="n"/>
      <c r="N188" s="349">
        <f>IF($A188="","",IF(OR(LOWER($D188&amp;"")="n/a",ISNUMBER(SEARCH("subscription",LOWER($A188&amp;" "&amp;$M188&amp;""))),ISNUMBER(SEARCH("membership",LOWER($A188&amp;" "&amp;$M188&amp;"")))),"",IF($G188="","",IF(ISNUMBER(SEARCH("non",LOWER($E188&amp;""))),$G188*0.85,$G188))))</f>
        <v/>
      </c>
      <c r="O188" s="349">
        <f>IF($A188="","",IF(OR(LOWER($D188&amp;"")="n/a",ISNUMBER(SEARCH("subscription",LOWER($A188&amp;" "&amp;$M188&amp;""))),ISNUMBER(SEARCH("membership",LOWER($A188&amp;" "&amp;$M188&amp;"")))),"",IF(OR($N188="",$I188="",$I188=0),"",$N188/$I188)))</f>
        <v/>
      </c>
      <c r="P188" s="349">
        <f>IF($A188="","",IF(OR(LOWER($D188&amp;"")="n/a",ISNUMBER(SEARCH("subscription",LOWER($A188&amp;" "&amp;$M188&amp;""))),ISNUMBER(SEARCH("membership",LOWER($A188&amp;" "&amp;$M188&amp;"")))),"",IF(LOWER($L188&amp;"")="yes",0,IF($K188&lt;&gt;"",$K188,IF($O188&lt;&gt;"",$O188,"")))))</f>
        <v/>
      </c>
      <c r="Q188" s="351">
        <f>IF($A188="","",IF($U188="Subscription","",IF($U188="Profit",$P188-$H188,0)))</f>
        <v/>
      </c>
      <c r="R188" s="349">
        <f>IF($A188="","",IF($U188="Subscription","",IF($U188="Draw",$H188,0)))</f>
        <v/>
      </c>
      <c r="S188" s="349">
        <f>IF($A188="","",IF($U188="Subscription","",IF($U188="Disqualified",$H188,0)))</f>
        <v/>
      </c>
      <c r="T188" s="380">
        <f>IF($A188="","",IF($U188="Subscription","",IF($H188=0,IF($U188="Profit","N/A",0),IF($U188="Profit",$Q188/$H188,IF($U188="Disqualified",-1,0)))))</f>
        <v/>
      </c>
      <c r="U188" s="351">
        <f>IF($A188="","",IF(OR(LOWER($D188&amp;"")="n/a",ISNUMBER(SEARCH("subscription",LOWER($A188&amp;" "&amp;$M188&amp;""))),ISNUMBER(SEARCH("membership",LOWER($A188&amp;" "&amp;$M188&amp;"")))),"Subscription",IF(LOWER($L188&amp;"")="yes","Disqualified",IF($P188&gt;$H188,"Profit","Draw"))))</f>
        <v/>
      </c>
      <c r="V188" s="383">
        <f>IF(OR($A188="",$B188="",$C188="",$U188="Subscription"),"",IFERROR(ROUNDUP((IF(ISNUMBER($C188),$C188,DATEVALUE($C188))-IF(ISNUMBER($B188),$B188,DATEVALUE($B188)))/7,0),""))</f>
        <v/>
      </c>
      <c r="W188" s="351">
        <f>IF($U188="Subscription","",$Q188-$S188)</f>
        <v/>
      </c>
      <c r="X188" s="384">
        <f>IF(OR($A188="",$U188="Subscription",$J188="",$I188="",$J188=0,$I188=0,$I188&gt;$J188),"",$J188-$I188)</f>
        <v/>
      </c>
      <c r="Y188" s="381">
        <f>IF(OR($A188="",$U188="Subscription",$J188="",$J188=0,$X188=""),"",$X188/$J188)</f>
        <v/>
      </c>
    </row>
    <row r="189" ht="21" customHeight="1" s="270">
      <c r="A189" s="297" t="n"/>
      <c r="B189" s="298" t="n"/>
      <c r="C189" s="298" t="n"/>
      <c r="D189" s="297" t="n"/>
      <c r="E189" s="349" t="n"/>
      <c r="F189" s="349" t="n"/>
      <c r="G189" s="349" t="n"/>
      <c r="H189" s="349" t="n"/>
      <c r="I189" s="382" t="n"/>
      <c r="J189" s="383" t="n"/>
      <c r="K189" s="351" t="n"/>
      <c r="L189" s="296" t="n"/>
      <c r="M189" s="349" t="n"/>
      <c r="N189" s="349">
        <f>IF($A189="","",IF(OR(LOWER($D189&amp;"")="n/a",ISNUMBER(SEARCH("subscription",LOWER($A189&amp;" "&amp;$M189&amp;""))),ISNUMBER(SEARCH("membership",LOWER($A189&amp;" "&amp;$M189&amp;"")))),"",IF($G189="","",IF(ISNUMBER(SEARCH("non",LOWER($E189&amp;""))),$G189*0.85,$G189))))</f>
        <v/>
      </c>
      <c r="O189" s="349">
        <f>IF($A189="","",IF(OR(LOWER($D189&amp;"")="n/a",ISNUMBER(SEARCH("subscription",LOWER($A189&amp;" "&amp;$M189&amp;""))),ISNUMBER(SEARCH("membership",LOWER($A189&amp;" "&amp;$M189&amp;"")))),"",IF(OR($N189="",$I189="",$I189=0),"",$N189/$I189)))</f>
        <v/>
      </c>
      <c r="P189" s="349">
        <f>IF($A189="","",IF(OR(LOWER($D189&amp;"")="n/a",ISNUMBER(SEARCH("subscription",LOWER($A189&amp;" "&amp;$M189&amp;""))),ISNUMBER(SEARCH("membership",LOWER($A189&amp;" "&amp;$M189&amp;"")))),"",IF(LOWER($L189&amp;"")="yes",0,IF($K189&lt;&gt;"",$K189,IF($O189&lt;&gt;"",$O189,"")))))</f>
        <v/>
      </c>
      <c r="Q189" s="351">
        <f>IF($A189="","",IF($U189="Subscription","",IF($U189="Profit",$P189-$H189,0)))</f>
        <v/>
      </c>
      <c r="R189" s="349">
        <f>IF($A189="","",IF($U189="Subscription","",IF($U189="Draw",$H189,0)))</f>
        <v/>
      </c>
      <c r="S189" s="349">
        <f>IF($A189="","",IF($U189="Subscription","",IF($U189="Disqualified",$H189,0)))</f>
        <v/>
      </c>
      <c r="T189" s="380">
        <f>IF($A189="","",IF($U189="Subscription","",IF($H189=0,IF($U189="Profit","N/A",0),IF($U189="Profit",$Q189/$H189,IF($U189="Disqualified",-1,0)))))</f>
        <v/>
      </c>
      <c r="U189" s="351">
        <f>IF($A189="","",IF(OR(LOWER($D189&amp;"")="n/a",ISNUMBER(SEARCH("subscription",LOWER($A189&amp;" "&amp;$M189&amp;""))),ISNUMBER(SEARCH("membership",LOWER($A189&amp;" "&amp;$M189&amp;"")))),"Subscription",IF(LOWER($L189&amp;"")="yes","Disqualified",IF($P189&gt;$H189,"Profit","Draw"))))</f>
        <v/>
      </c>
      <c r="V189" s="383">
        <f>IF(OR($A189="",$B189="",$C189="",$U189="Subscription"),"",IFERROR(ROUNDUP((IF(ISNUMBER($C189),$C189,DATEVALUE($C189))-IF(ISNUMBER($B189),$B189,DATEVALUE($B189)))/7,0),""))</f>
        <v/>
      </c>
      <c r="W189" s="351">
        <f>IF($U189="Subscription","",$Q189-$S189)</f>
        <v/>
      </c>
      <c r="X189" s="384">
        <f>IF(OR($A189="",$U189="Subscription",$J189="",$I189="",$J189=0,$I189=0,$I189&gt;$J189),"",$J189-$I189)</f>
        <v/>
      </c>
      <c r="Y189" s="381">
        <f>IF(OR($A189="",$U189="Subscription",$J189="",$J189=0,$X189=""),"",$X189/$J189)</f>
        <v/>
      </c>
    </row>
    <row r="190" ht="21" customHeight="1" s="270">
      <c r="A190" s="297" t="n"/>
      <c r="B190" s="298" t="n"/>
      <c r="C190" s="298" t="n"/>
      <c r="D190" s="297" t="n"/>
      <c r="E190" s="349" t="n"/>
      <c r="F190" s="349" t="n"/>
      <c r="G190" s="349" t="n"/>
      <c r="H190" s="349" t="n"/>
      <c r="I190" s="382" t="n"/>
      <c r="J190" s="383" t="n"/>
      <c r="K190" s="351" t="n"/>
      <c r="L190" s="296" t="n"/>
      <c r="M190" s="349" t="n"/>
      <c r="N190" s="349">
        <f>IF($A190="","",IF(OR(LOWER($D190&amp;"")="n/a",ISNUMBER(SEARCH("subscription",LOWER($A190&amp;" "&amp;$M190&amp;""))),ISNUMBER(SEARCH("membership",LOWER($A190&amp;" "&amp;$M190&amp;"")))),"",IF($G190="","",IF(ISNUMBER(SEARCH("non",LOWER($E190&amp;""))),$G190*0.85,$G190))))</f>
        <v/>
      </c>
      <c r="O190" s="349">
        <f>IF($A190="","",IF(OR(LOWER($D190&amp;"")="n/a",ISNUMBER(SEARCH("subscription",LOWER($A190&amp;" "&amp;$M190&amp;""))),ISNUMBER(SEARCH("membership",LOWER($A190&amp;" "&amp;$M190&amp;"")))),"",IF(OR($N190="",$I190="",$I190=0),"",$N190/$I190)))</f>
        <v/>
      </c>
      <c r="P190" s="349">
        <f>IF($A190="","",IF(OR(LOWER($D190&amp;"")="n/a",ISNUMBER(SEARCH("subscription",LOWER($A190&amp;" "&amp;$M190&amp;""))),ISNUMBER(SEARCH("membership",LOWER($A190&amp;" "&amp;$M190&amp;"")))),"",IF(LOWER($L190&amp;"")="yes",0,IF($K190&lt;&gt;"",$K190,IF($O190&lt;&gt;"",$O190,"")))))</f>
        <v/>
      </c>
      <c r="Q190" s="351">
        <f>IF($A190="","",IF($U190="Subscription","",IF($U190="Profit",$P190-$H190,0)))</f>
        <v/>
      </c>
      <c r="R190" s="349">
        <f>IF($A190="","",IF($U190="Subscription","",IF($U190="Draw",$H190,0)))</f>
        <v/>
      </c>
      <c r="S190" s="349">
        <f>IF($A190="","",IF($U190="Subscription","",IF($U190="Disqualified",$H190,0)))</f>
        <v/>
      </c>
      <c r="T190" s="380">
        <f>IF($A190="","",IF($U190="Subscription","",IF($H190=0,IF($U190="Profit","N/A",0),IF($U190="Profit",$Q190/$H190,IF($U190="Disqualified",-1,0)))))</f>
        <v/>
      </c>
      <c r="U190" s="351">
        <f>IF($A190="","",IF(OR(LOWER($D190&amp;"")="n/a",ISNUMBER(SEARCH("subscription",LOWER($A190&amp;" "&amp;$M190&amp;""))),ISNUMBER(SEARCH("membership",LOWER($A190&amp;" "&amp;$M190&amp;"")))),"Subscription",IF(LOWER($L190&amp;"")="yes","Disqualified",IF($P190&gt;$H190,"Profit","Draw"))))</f>
        <v/>
      </c>
      <c r="V190" s="383">
        <f>IF(OR($A190="",$B190="",$C190="",$U190="Subscription"),"",IFERROR(ROUNDUP((IF(ISNUMBER($C190),$C190,DATEVALUE($C190))-IF(ISNUMBER($B190),$B190,DATEVALUE($B190)))/7,0),""))</f>
        <v/>
      </c>
      <c r="W190" s="351">
        <f>IF($U190="Subscription","",$Q190-$S190)</f>
        <v/>
      </c>
      <c r="X190" s="384">
        <f>IF(OR($A190="",$U190="Subscription",$J190="",$I190="",$J190=0,$I190=0,$I190&gt;$J190),"",$J190-$I190)</f>
        <v/>
      </c>
      <c r="Y190" s="381">
        <f>IF(OR($A190="",$U190="Subscription",$J190="",$J190=0,$X190=""),"",$X190/$J190)</f>
        <v/>
      </c>
    </row>
    <row r="191" ht="21" customHeight="1" s="270">
      <c r="A191" s="297" t="n"/>
      <c r="B191" s="298" t="n"/>
      <c r="C191" s="298" t="n"/>
      <c r="D191" s="297" t="n"/>
      <c r="E191" s="349" t="n"/>
      <c r="F191" s="349" t="n"/>
      <c r="G191" s="349" t="n"/>
      <c r="H191" s="349" t="n"/>
      <c r="I191" s="382" t="n"/>
      <c r="J191" s="383" t="n"/>
      <c r="K191" s="351" t="n"/>
      <c r="L191" s="296" t="n"/>
      <c r="M191" s="349" t="n"/>
      <c r="N191" s="349">
        <f>IF($A191="","",IF(OR(LOWER($D191&amp;"")="n/a",ISNUMBER(SEARCH("subscription",LOWER($A191&amp;" "&amp;$M191&amp;""))),ISNUMBER(SEARCH("membership",LOWER($A191&amp;" "&amp;$M191&amp;"")))),"",IF($G191="","",IF(ISNUMBER(SEARCH("non",LOWER($E191&amp;""))),$G191*0.85,$G191))))</f>
        <v/>
      </c>
      <c r="O191" s="349">
        <f>IF($A191="","",IF(OR(LOWER($D191&amp;"")="n/a",ISNUMBER(SEARCH("subscription",LOWER($A191&amp;" "&amp;$M191&amp;""))),ISNUMBER(SEARCH("membership",LOWER($A191&amp;" "&amp;$M191&amp;"")))),"",IF(OR($N191="",$I191="",$I191=0),"",$N191/$I191)))</f>
        <v/>
      </c>
      <c r="P191" s="349">
        <f>IF($A191="","",IF(OR(LOWER($D191&amp;"")="n/a",ISNUMBER(SEARCH("subscription",LOWER($A191&amp;" "&amp;$M191&amp;""))),ISNUMBER(SEARCH("membership",LOWER($A191&amp;" "&amp;$M191&amp;"")))),"",IF(LOWER($L191&amp;"")="yes",0,IF($K191&lt;&gt;"",$K191,IF($O191&lt;&gt;"",$O191,"")))))</f>
        <v/>
      </c>
      <c r="Q191" s="351">
        <f>IF($A191="","",IF($U191="Subscription","",IF($U191="Profit",$P191-$H191,0)))</f>
        <v/>
      </c>
      <c r="R191" s="349">
        <f>IF($A191="","",IF($U191="Subscription","",IF($U191="Draw",$H191,0)))</f>
        <v/>
      </c>
      <c r="S191" s="349">
        <f>IF($A191="","",IF($U191="Subscription","",IF($U191="Disqualified",$H191,0)))</f>
        <v/>
      </c>
      <c r="T191" s="380">
        <f>IF($A191="","",IF($U191="Subscription","",IF($H191=0,IF($U191="Profit","N/A",0),IF($U191="Profit",$Q191/$H191,IF($U191="Disqualified",-1,0)))))</f>
        <v/>
      </c>
      <c r="U191" s="351">
        <f>IF($A191="","",IF(OR(LOWER($D191&amp;"")="n/a",ISNUMBER(SEARCH("subscription",LOWER($A191&amp;" "&amp;$M191&amp;""))),ISNUMBER(SEARCH("membership",LOWER($A191&amp;" "&amp;$M191&amp;"")))),"Subscription",IF(LOWER($L191&amp;"")="yes","Disqualified",IF($P191&gt;$H191,"Profit","Draw"))))</f>
        <v/>
      </c>
      <c r="V191" s="383">
        <f>IF(OR($A191="",$B191="",$C191="",$U191="Subscription"),"",IFERROR(ROUNDUP((IF(ISNUMBER($C191),$C191,DATEVALUE($C191))-IF(ISNUMBER($B191),$B191,DATEVALUE($B191)))/7,0),""))</f>
        <v/>
      </c>
      <c r="W191" s="351">
        <f>IF($U191="Subscription","",$Q191-$S191)</f>
        <v/>
      </c>
      <c r="X191" s="384">
        <f>IF(OR($A191="",$U191="Subscription",$J191="",$I191="",$J191=0,$I191=0,$I191&gt;$J191),"",$J191-$I191)</f>
        <v/>
      </c>
      <c r="Y191" s="381">
        <f>IF(OR($A191="",$U191="Subscription",$J191="",$J191=0,$X191=""),"",$X191/$J191)</f>
        <v/>
      </c>
    </row>
    <row r="192" ht="21" customHeight="1" s="270">
      <c r="A192" s="297" t="n"/>
      <c r="B192" s="298" t="n"/>
      <c r="C192" s="298" t="n"/>
      <c r="D192" s="297" t="n"/>
      <c r="E192" s="349" t="n"/>
      <c r="F192" s="349" t="n"/>
      <c r="G192" s="349" t="n"/>
      <c r="H192" s="349" t="n"/>
      <c r="I192" s="382" t="n"/>
      <c r="J192" s="383" t="n"/>
      <c r="K192" s="351" t="n"/>
      <c r="L192" s="296" t="n"/>
      <c r="M192" s="349" t="n"/>
      <c r="N192" s="349">
        <f>IF($A192="","",IF(OR(LOWER($D192&amp;"")="n/a",ISNUMBER(SEARCH("subscription",LOWER($A192&amp;" "&amp;$M192&amp;""))),ISNUMBER(SEARCH("membership",LOWER($A192&amp;" "&amp;$M192&amp;"")))),"",IF($G192="","",IF(ISNUMBER(SEARCH("non",LOWER($E192&amp;""))),$G192*0.85,$G192))))</f>
        <v/>
      </c>
      <c r="O192" s="349">
        <f>IF($A192="","",IF(OR(LOWER($D192&amp;"")="n/a",ISNUMBER(SEARCH("subscription",LOWER($A192&amp;" "&amp;$M192&amp;""))),ISNUMBER(SEARCH("membership",LOWER($A192&amp;" "&amp;$M192&amp;"")))),"",IF(OR($N192="",$I192="",$I192=0),"",$N192/$I192)))</f>
        <v/>
      </c>
      <c r="P192" s="349">
        <f>IF($A192="","",IF(OR(LOWER($D192&amp;"")="n/a",ISNUMBER(SEARCH("subscription",LOWER($A192&amp;" "&amp;$M192&amp;""))),ISNUMBER(SEARCH("membership",LOWER($A192&amp;" "&amp;$M192&amp;"")))),"",IF(LOWER($L192&amp;"")="yes",0,IF($K192&lt;&gt;"",$K192,IF($O192&lt;&gt;"",$O192,"")))))</f>
        <v/>
      </c>
      <c r="Q192" s="351">
        <f>IF($A192="","",IF($U192="Subscription","",IF($U192="Profit",$P192-$H192,0)))</f>
        <v/>
      </c>
      <c r="R192" s="349">
        <f>IF($A192="","",IF($U192="Subscription","",IF($U192="Draw",$H192,0)))</f>
        <v/>
      </c>
      <c r="S192" s="349">
        <f>IF($A192="","",IF($U192="Subscription","",IF($U192="Disqualified",$H192,0)))</f>
        <v/>
      </c>
      <c r="T192" s="380">
        <f>IF($A192="","",IF($U192="Subscription","",IF($H192=0,IF($U192="Profit","N/A",0),IF($U192="Profit",$Q192/$H192,IF($U192="Disqualified",-1,0)))))</f>
        <v/>
      </c>
      <c r="U192" s="351">
        <f>IF($A192="","",IF(OR(LOWER($D192&amp;"")="n/a",ISNUMBER(SEARCH("subscription",LOWER($A192&amp;" "&amp;$M192&amp;""))),ISNUMBER(SEARCH("membership",LOWER($A192&amp;" "&amp;$M192&amp;"")))),"Subscription",IF(LOWER($L192&amp;"")="yes","Disqualified",IF($P192&gt;$H192,"Profit","Draw"))))</f>
        <v/>
      </c>
      <c r="V192" s="383">
        <f>IF(OR($A192="",$B192="",$C192="",$U192="Subscription"),"",IFERROR(ROUNDUP((IF(ISNUMBER($C192),$C192,DATEVALUE($C192))-IF(ISNUMBER($B192),$B192,DATEVALUE($B192)))/7,0),""))</f>
        <v/>
      </c>
      <c r="W192" s="351">
        <f>IF($U192="Subscription","",$Q192-$S192)</f>
        <v/>
      </c>
      <c r="X192" s="384">
        <f>IF(OR($A192="",$U192="Subscription",$J192="",$I192="",$J192=0,$I192=0,$I192&gt;$J192),"",$J192-$I192)</f>
        <v/>
      </c>
      <c r="Y192" s="381">
        <f>IF(OR($A192="",$U192="Subscription",$J192="",$J192=0,$X192=""),"",$X192/$J192)</f>
        <v/>
      </c>
    </row>
    <row r="193" ht="21" customHeight="1" s="270">
      <c r="A193" s="297" t="n"/>
      <c r="B193" s="298" t="n"/>
      <c r="C193" s="298" t="n"/>
      <c r="D193" s="297" t="n"/>
      <c r="E193" s="349" t="n"/>
      <c r="F193" s="349" t="n"/>
      <c r="G193" s="349" t="n"/>
      <c r="H193" s="349" t="n"/>
      <c r="I193" s="382" t="n"/>
      <c r="J193" s="383" t="n"/>
      <c r="K193" s="351" t="n"/>
      <c r="L193" s="296" t="n"/>
      <c r="M193" s="349" t="n"/>
      <c r="N193" s="349">
        <f>IF($A193="","",IF(OR(LOWER($D193&amp;"")="n/a",ISNUMBER(SEARCH("subscription",LOWER($A193&amp;" "&amp;$M193&amp;""))),ISNUMBER(SEARCH("membership",LOWER($A193&amp;" "&amp;$M193&amp;"")))),"",IF($G193="","",IF(ISNUMBER(SEARCH("non",LOWER($E193&amp;""))),$G193*0.85,$G193))))</f>
        <v/>
      </c>
      <c r="O193" s="349">
        <f>IF($A193="","",IF(OR(LOWER($D193&amp;"")="n/a",ISNUMBER(SEARCH("subscription",LOWER($A193&amp;" "&amp;$M193&amp;""))),ISNUMBER(SEARCH("membership",LOWER($A193&amp;" "&amp;$M193&amp;"")))),"",IF(OR($N193="",$I193="",$I193=0),"",$N193/$I193)))</f>
        <v/>
      </c>
      <c r="P193" s="349">
        <f>IF($A193="","",IF(OR(LOWER($D193&amp;"")="n/a",ISNUMBER(SEARCH("subscription",LOWER($A193&amp;" "&amp;$M193&amp;""))),ISNUMBER(SEARCH("membership",LOWER($A193&amp;" "&amp;$M193&amp;"")))),"",IF(LOWER($L193&amp;"")="yes",0,IF($K193&lt;&gt;"",$K193,IF($O193&lt;&gt;"",$O193,"")))))</f>
        <v/>
      </c>
      <c r="Q193" s="351">
        <f>IF($A193="","",IF($U193="Subscription","",IF($U193="Profit",$P193-$H193,0)))</f>
        <v/>
      </c>
      <c r="R193" s="349">
        <f>IF($A193="","",IF($U193="Subscription","",IF($U193="Draw",$H193,0)))</f>
        <v/>
      </c>
      <c r="S193" s="349">
        <f>IF($A193="","",IF($U193="Subscription","",IF($U193="Disqualified",$H193,0)))</f>
        <v/>
      </c>
      <c r="T193" s="380">
        <f>IF($A193="","",IF($U193="Subscription","",IF($H193=0,IF($U193="Profit","N/A",0),IF($U193="Profit",$Q193/$H193,IF($U193="Disqualified",-1,0)))))</f>
        <v/>
      </c>
      <c r="U193" s="351">
        <f>IF($A193="","",IF(OR(LOWER($D193&amp;"")="n/a",ISNUMBER(SEARCH("subscription",LOWER($A193&amp;" "&amp;$M193&amp;""))),ISNUMBER(SEARCH("membership",LOWER($A193&amp;" "&amp;$M193&amp;"")))),"Subscription",IF(LOWER($L193&amp;"")="yes","Disqualified",IF($P193&gt;$H193,"Profit","Draw"))))</f>
        <v/>
      </c>
      <c r="V193" s="383">
        <f>IF(OR($A193="",$B193="",$C193="",$U193="Subscription"),"",IFERROR(ROUNDUP((IF(ISNUMBER($C193),$C193,DATEVALUE($C193))-IF(ISNUMBER($B193),$B193,DATEVALUE($B193)))/7,0),""))</f>
        <v/>
      </c>
      <c r="W193" s="351">
        <f>IF($U193="Subscription","",$Q193-$S193)</f>
        <v/>
      </c>
      <c r="X193" s="384">
        <f>IF(OR($A193="",$U193="Subscription",$J193="",$I193="",$J193=0,$I193=0,$I193&gt;$J193),"",$J193-$I193)</f>
        <v/>
      </c>
      <c r="Y193" s="381">
        <f>IF(OR($A193="",$U193="Subscription",$J193="",$J193=0,$X193=""),"",$X193/$J193)</f>
        <v/>
      </c>
    </row>
    <row r="194" ht="21" customHeight="1" s="270">
      <c r="A194" s="297" t="n"/>
      <c r="B194" s="298" t="n"/>
      <c r="C194" s="298" t="n"/>
      <c r="D194" s="297" t="n"/>
      <c r="E194" s="349" t="n"/>
      <c r="F194" s="349" t="n"/>
      <c r="G194" s="349" t="n"/>
      <c r="H194" s="349" t="n"/>
      <c r="I194" s="382" t="n"/>
      <c r="J194" s="383" t="n"/>
      <c r="K194" s="351" t="n"/>
      <c r="L194" s="296" t="n"/>
      <c r="M194" s="349" t="n"/>
      <c r="N194" s="349">
        <f>IF($A194="","",IF(OR(LOWER($D194&amp;"")="n/a",ISNUMBER(SEARCH("subscription",LOWER($A194&amp;" "&amp;$M194&amp;""))),ISNUMBER(SEARCH("membership",LOWER($A194&amp;" "&amp;$M194&amp;"")))),"",IF($G194="","",IF(ISNUMBER(SEARCH("non",LOWER($E194&amp;""))),$G194*0.85,$G194))))</f>
        <v/>
      </c>
      <c r="O194" s="349">
        <f>IF($A194="","",IF(OR(LOWER($D194&amp;"")="n/a",ISNUMBER(SEARCH("subscription",LOWER($A194&amp;" "&amp;$M194&amp;""))),ISNUMBER(SEARCH("membership",LOWER($A194&amp;" "&amp;$M194&amp;"")))),"",IF(OR($N194="",$I194="",$I194=0),"",$N194/$I194)))</f>
        <v/>
      </c>
      <c r="P194" s="349">
        <f>IF($A194="","",IF(OR(LOWER($D194&amp;"")="n/a",ISNUMBER(SEARCH("subscription",LOWER($A194&amp;" "&amp;$M194&amp;""))),ISNUMBER(SEARCH("membership",LOWER($A194&amp;" "&amp;$M194&amp;"")))),"",IF(LOWER($L194&amp;"")="yes",0,IF($K194&lt;&gt;"",$K194,IF($O194&lt;&gt;"",$O194,"")))))</f>
        <v/>
      </c>
      <c r="Q194" s="351">
        <f>IF($A194="","",IF($U194="Subscription","",IF($U194="Profit",$P194-$H194,0)))</f>
        <v/>
      </c>
      <c r="R194" s="349">
        <f>IF($A194="","",IF($U194="Subscription","",IF($U194="Draw",$H194,0)))</f>
        <v/>
      </c>
      <c r="S194" s="349">
        <f>IF($A194="","",IF($U194="Subscription","",IF($U194="Disqualified",$H194,0)))</f>
        <v/>
      </c>
      <c r="T194" s="380">
        <f>IF($A194="","",IF($U194="Subscription","",IF($H194=0,IF($U194="Profit","N/A",0),IF($U194="Profit",$Q194/$H194,IF($U194="Disqualified",-1,0)))))</f>
        <v/>
      </c>
      <c r="U194" s="351">
        <f>IF($A194="","",IF(OR(LOWER($D194&amp;"")="n/a",ISNUMBER(SEARCH("subscription",LOWER($A194&amp;" "&amp;$M194&amp;""))),ISNUMBER(SEARCH("membership",LOWER($A194&amp;" "&amp;$M194&amp;"")))),"Subscription",IF(LOWER($L194&amp;"")="yes","Disqualified",IF($P194&gt;$H194,"Profit","Draw"))))</f>
        <v/>
      </c>
      <c r="V194" s="383">
        <f>IF(OR($A194="",$B194="",$C194="",$U194="Subscription"),"",IFERROR(ROUNDUP((IF(ISNUMBER($C194),$C194,DATEVALUE($C194))-IF(ISNUMBER($B194),$B194,DATEVALUE($B194)))/7,0),""))</f>
        <v/>
      </c>
      <c r="W194" s="351">
        <f>IF($U194="Subscription","",$Q194-$S194)</f>
        <v/>
      </c>
      <c r="X194" s="384">
        <f>IF(OR($A194="",$U194="Subscription",$J194="",$I194="",$J194=0,$I194=0,$I194&gt;$J194),"",$J194-$I194)</f>
        <v/>
      </c>
      <c r="Y194" s="381">
        <f>IF(OR($A194="",$U194="Subscription",$J194="",$J194=0,$X194=""),"",$X194/$J194)</f>
        <v/>
      </c>
    </row>
    <row r="195" ht="21" customHeight="1" s="270">
      <c r="A195" s="297" t="n"/>
      <c r="B195" s="298" t="n"/>
      <c r="C195" s="298" t="n"/>
      <c r="D195" s="297" t="n"/>
      <c r="E195" s="349" t="n"/>
      <c r="F195" s="349" t="n"/>
      <c r="G195" s="349" t="n"/>
      <c r="H195" s="349" t="n"/>
      <c r="I195" s="382" t="n"/>
      <c r="J195" s="383" t="n"/>
      <c r="K195" s="351" t="n"/>
      <c r="L195" s="296" t="n"/>
      <c r="M195" s="349" t="n"/>
      <c r="N195" s="349">
        <f>IF($A195="","",IF(OR(LOWER($D195&amp;"")="n/a",ISNUMBER(SEARCH("subscription",LOWER($A195&amp;" "&amp;$M195&amp;""))),ISNUMBER(SEARCH("membership",LOWER($A195&amp;" "&amp;$M195&amp;"")))),"",IF($G195="","",IF(ISNUMBER(SEARCH("non",LOWER($E195&amp;""))),$G195*0.85,$G195))))</f>
        <v/>
      </c>
      <c r="O195" s="349">
        <f>IF($A195="","",IF(OR(LOWER($D195&amp;"")="n/a",ISNUMBER(SEARCH("subscription",LOWER($A195&amp;" "&amp;$M195&amp;""))),ISNUMBER(SEARCH("membership",LOWER($A195&amp;" "&amp;$M195&amp;"")))),"",IF(OR($N195="",$I195="",$I195=0),"",$N195/$I195)))</f>
        <v/>
      </c>
      <c r="P195" s="349">
        <f>IF($A195="","",IF(OR(LOWER($D195&amp;"")="n/a",ISNUMBER(SEARCH("subscription",LOWER($A195&amp;" "&amp;$M195&amp;""))),ISNUMBER(SEARCH("membership",LOWER($A195&amp;" "&amp;$M195&amp;"")))),"",IF(LOWER($L195&amp;"")="yes",0,IF($K195&lt;&gt;"",$K195,IF($O195&lt;&gt;"",$O195,"")))))</f>
        <v/>
      </c>
      <c r="Q195" s="351">
        <f>IF($A195="","",IF($U195="Subscription","",IF($U195="Profit",$P195-$H195,0)))</f>
        <v/>
      </c>
      <c r="R195" s="349">
        <f>IF($A195="","",IF($U195="Subscription","",IF($U195="Draw",$H195,0)))</f>
        <v/>
      </c>
      <c r="S195" s="349">
        <f>IF($A195="","",IF($U195="Subscription","",IF($U195="Disqualified",$H195,0)))</f>
        <v/>
      </c>
      <c r="T195" s="380">
        <f>IF($A195="","",IF($U195="Subscription","",IF($H195=0,IF($U195="Profit","N/A",0),IF($U195="Profit",$Q195/$H195,IF($U195="Disqualified",-1,0)))))</f>
        <v/>
      </c>
      <c r="U195" s="351">
        <f>IF($A195="","",IF(OR(LOWER($D195&amp;"")="n/a",ISNUMBER(SEARCH("subscription",LOWER($A195&amp;" "&amp;$M195&amp;""))),ISNUMBER(SEARCH("membership",LOWER($A195&amp;" "&amp;$M195&amp;"")))),"Subscription",IF(LOWER($L195&amp;"")="yes","Disqualified",IF($P195&gt;$H195,"Profit","Draw"))))</f>
        <v/>
      </c>
      <c r="V195" s="383">
        <f>IF(OR($A195="",$B195="",$C195="",$U195="Subscription"),"",IFERROR(ROUNDUP((IF(ISNUMBER($C195),$C195,DATEVALUE($C195))-IF(ISNUMBER($B195),$B195,DATEVALUE($B195)))/7,0),""))</f>
        <v/>
      </c>
      <c r="W195" s="351">
        <f>IF($U195="Subscription","",$Q195-$S195)</f>
        <v/>
      </c>
      <c r="X195" s="384">
        <f>IF(OR($A195="",$U195="Subscription",$J195="",$I195="",$J195=0,$I195=0,$I195&gt;$J195),"",$J195-$I195)</f>
        <v/>
      </c>
      <c r="Y195" s="381">
        <f>IF(OR($A195="",$U195="Subscription",$J195="",$J195=0,$X195=""),"",$X195/$J195)</f>
        <v/>
      </c>
    </row>
    <row r="196" ht="21" customHeight="1" s="270">
      <c r="A196" s="297" t="n"/>
      <c r="B196" s="298" t="n"/>
      <c r="C196" s="298" t="n"/>
      <c r="D196" s="297" t="n"/>
      <c r="E196" s="349" t="n"/>
      <c r="F196" s="349" t="n"/>
      <c r="G196" s="349" t="n"/>
      <c r="H196" s="349" t="n"/>
      <c r="I196" s="382" t="n"/>
      <c r="J196" s="383" t="n"/>
      <c r="K196" s="351" t="n"/>
      <c r="L196" s="296" t="n"/>
      <c r="M196" s="349" t="n"/>
      <c r="N196" s="349">
        <f>IF($A196="","",IF(OR(LOWER($D196&amp;"")="n/a",ISNUMBER(SEARCH("subscription",LOWER($A196&amp;" "&amp;$M196&amp;""))),ISNUMBER(SEARCH("membership",LOWER($A196&amp;" "&amp;$M196&amp;"")))),"",IF($G196="","",IF(ISNUMBER(SEARCH("non",LOWER($E196&amp;""))),$G196*0.85,$G196))))</f>
        <v/>
      </c>
      <c r="O196" s="349">
        <f>IF($A196="","",IF(OR(LOWER($D196&amp;"")="n/a",ISNUMBER(SEARCH("subscription",LOWER($A196&amp;" "&amp;$M196&amp;""))),ISNUMBER(SEARCH("membership",LOWER($A196&amp;" "&amp;$M196&amp;"")))),"",IF(OR($N196="",$I196="",$I196=0),"",$N196/$I196)))</f>
        <v/>
      </c>
      <c r="P196" s="349">
        <f>IF($A196="","",IF(OR(LOWER($D196&amp;"")="n/a",ISNUMBER(SEARCH("subscription",LOWER($A196&amp;" "&amp;$M196&amp;""))),ISNUMBER(SEARCH("membership",LOWER($A196&amp;" "&amp;$M196&amp;"")))),"",IF(LOWER($L196&amp;"")="yes",0,IF($K196&lt;&gt;"",$K196,IF($O196&lt;&gt;"",$O196,"")))))</f>
        <v/>
      </c>
      <c r="Q196" s="351">
        <f>IF($A196="","",IF($U196="Subscription","",IF($U196="Profit",$P196-$H196,0)))</f>
        <v/>
      </c>
      <c r="R196" s="349">
        <f>IF($A196="","",IF($U196="Subscription","",IF($U196="Draw",$H196,0)))</f>
        <v/>
      </c>
      <c r="S196" s="349">
        <f>IF($A196="","",IF($U196="Subscription","",IF($U196="Disqualified",$H196,0)))</f>
        <v/>
      </c>
      <c r="T196" s="380">
        <f>IF($A196="","",IF($U196="Subscription","",IF($H196=0,IF($U196="Profit","N/A",0),IF($U196="Profit",$Q196/$H196,IF($U196="Disqualified",-1,0)))))</f>
        <v/>
      </c>
      <c r="U196" s="351">
        <f>IF($A196="","",IF(OR(LOWER($D196&amp;"")="n/a",ISNUMBER(SEARCH("subscription",LOWER($A196&amp;" "&amp;$M196&amp;""))),ISNUMBER(SEARCH("membership",LOWER($A196&amp;" "&amp;$M196&amp;"")))),"Subscription",IF(LOWER($L196&amp;"")="yes","Disqualified",IF($P196&gt;$H196,"Profit","Draw"))))</f>
        <v/>
      </c>
      <c r="V196" s="383">
        <f>IF(OR($A196="",$B196="",$C196="",$U196="Subscription"),"",IFERROR(ROUNDUP((IF(ISNUMBER($C196),$C196,DATEVALUE($C196))-IF(ISNUMBER($B196),$B196,DATEVALUE($B196)))/7,0),""))</f>
        <v/>
      </c>
      <c r="W196" s="351">
        <f>IF($U196="Subscription","",$Q196-$S196)</f>
        <v/>
      </c>
      <c r="X196" s="384">
        <f>IF(OR($A196="",$U196="Subscription",$J196="",$I196="",$J196=0,$I196=0,$I196&gt;$J196),"",$J196-$I196)</f>
        <v/>
      </c>
      <c r="Y196" s="381">
        <f>IF(OR($A196="",$U196="Subscription",$J196="",$J196=0,$X196=""),"",$X196/$J196)</f>
        <v/>
      </c>
    </row>
    <row r="197" ht="21" customHeight="1" s="270">
      <c r="A197" s="297" t="n"/>
      <c r="B197" s="298" t="n"/>
      <c r="C197" s="298" t="n"/>
      <c r="D197" s="297" t="n"/>
      <c r="E197" s="349" t="n"/>
      <c r="F197" s="349" t="n"/>
      <c r="G197" s="349" t="n"/>
      <c r="H197" s="349" t="n"/>
      <c r="I197" s="382" t="n"/>
      <c r="J197" s="383" t="n"/>
      <c r="K197" s="351" t="n"/>
      <c r="L197" s="296" t="n"/>
      <c r="M197" s="349" t="n"/>
      <c r="N197" s="349">
        <f>IF($A197="","",IF(OR(LOWER($D197&amp;"")="n/a",ISNUMBER(SEARCH("subscription",LOWER($A197&amp;" "&amp;$M197&amp;""))),ISNUMBER(SEARCH("membership",LOWER($A197&amp;" "&amp;$M197&amp;"")))),"",IF($G197="","",IF(ISNUMBER(SEARCH("non",LOWER($E197&amp;""))),$G197*0.85,$G197))))</f>
        <v/>
      </c>
      <c r="O197" s="349">
        <f>IF($A197="","",IF(OR(LOWER($D197&amp;"")="n/a",ISNUMBER(SEARCH("subscription",LOWER($A197&amp;" "&amp;$M197&amp;""))),ISNUMBER(SEARCH("membership",LOWER($A197&amp;" "&amp;$M197&amp;"")))),"",IF(OR($N197="",$I197="",$I197=0),"",$N197/$I197)))</f>
        <v/>
      </c>
      <c r="P197" s="349">
        <f>IF($A197="","",IF(OR(LOWER($D197&amp;"")="n/a",ISNUMBER(SEARCH("subscription",LOWER($A197&amp;" "&amp;$M197&amp;""))),ISNUMBER(SEARCH("membership",LOWER($A197&amp;" "&amp;$M197&amp;"")))),"",IF(LOWER($L197&amp;"")="yes",0,IF($K197&lt;&gt;"",$K197,IF($O197&lt;&gt;"",$O197,"")))))</f>
        <v/>
      </c>
      <c r="Q197" s="351">
        <f>IF($A197="","",IF($U197="Subscription","",IF($U197="Profit",$P197-$H197,0)))</f>
        <v/>
      </c>
      <c r="R197" s="349">
        <f>IF($A197="","",IF($U197="Subscription","",IF($U197="Draw",$H197,0)))</f>
        <v/>
      </c>
      <c r="S197" s="349">
        <f>IF($A197="","",IF($U197="Subscription","",IF($U197="Disqualified",$H197,0)))</f>
        <v/>
      </c>
      <c r="T197" s="380">
        <f>IF($A197="","",IF($U197="Subscription","",IF($H197=0,IF($U197="Profit","N/A",0),IF($U197="Profit",$Q197/$H197,IF($U197="Disqualified",-1,0)))))</f>
        <v/>
      </c>
      <c r="U197" s="351">
        <f>IF($A197="","",IF(OR(LOWER($D197&amp;"")="n/a",ISNUMBER(SEARCH("subscription",LOWER($A197&amp;" "&amp;$M197&amp;""))),ISNUMBER(SEARCH("membership",LOWER($A197&amp;" "&amp;$M197&amp;"")))),"Subscription",IF(LOWER($L197&amp;"")="yes","Disqualified",IF($P197&gt;$H197,"Profit","Draw"))))</f>
        <v/>
      </c>
      <c r="V197" s="383">
        <f>IF(OR($A197="",$B197="",$C197="",$U197="Subscription"),"",IFERROR(ROUNDUP((IF(ISNUMBER($C197),$C197,DATEVALUE($C197))-IF(ISNUMBER($B197),$B197,DATEVALUE($B197)))/7,0),""))</f>
        <v/>
      </c>
      <c r="W197" s="351">
        <f>IF($U197="Subscription","",$Q197-$S197)</f>
        <v/>
      </c>
      <c r="X197" s="384">
        <f>IF(OR($A197="",$U197="Subscription",$J197="",$I197="",$J197=0,$I197=0,$I197&gt;$J197),"",$J197-$I197)</f>
        <v/>
      </c>
      <c r="Y197" s="381">
        <f>IF(OR($A197="",$U197="Subscription",$J197="",$J197=0,$X197=""),"",$X197/$J197)</f>
        <v/>
      </c>
    </row>
    <row r="198" ht="21" customHeight="1" s="270">
      <c r="A198" s="297" t="n"/>
      <c r="B198" s="298" t="n"/>
      <c r="C198" s="298" t="n"/>
      <c r="D198" s="297" t="n"/>
      <c r="E198" s="349" t="n"/>
      <c r="F198" s="349" t="n"/>
      <c r="G198" s="349" t="n"/>
      <c r="H198" s="349" t="n"/>
      <c r="I198" s="382" t="n"/>
      <c r="J198" s="383" t="n"/>
      <c r="K198" s="351" t="n"/>
      <c r="L198" s="296" t="n"/>
      <c r="M198" s="349" t="n"/>
      <c r="N198" s="349">
        <f>IF($A198="","",IF(OR(LOWER($D198&amp;"")="n/a",ISNUMBER(SEARCH("subscription",LOWER($A198&amp;" "&amp;$M198&amp;""))),ISNUMBER(SEARCH("membership",LOWER($A198&amp;" "&amp;$M198&amp;"")))),"",IF($G198="","",IF(ISNUMBER(SEARCH("non",LOWER($E198&amp;""))),$G198*0.85,$G198))))</f>
        <v/>
      </c>
      <c r="O198" s="349">
        <f>IF($A198="","",IF(OR(LOWER($D198&amp;"")="n/a",ISNUMBER(SEARCH("subscription",LOWER($A198&amp;" "&amp;$M198&amp;""))),ISNUMBER(SEARCH("membership",LOWER($A198&amp;" "&amp;$M198&amp;"")))),"",IF(OR($N198="",$I198="",$I198=0),"",$N198/$I198)))</f>
        <v/>
      </c>
      <c r="P198" s="349">
        <f>IF($A198="","",IF(OR(LOWER($D198&amp;"")="n/a",ISNUMBER(SEARCH("subscription",LOWER($A198&amp;" "&amp;$M198&amp;""))),ISNUMBER(SEARCH("membership",LOWER($A198&amp;" "&amp;$M198&amp;"")))),"",IF(LOWER($L198&amp;"")="yes",0,IF($K198&lt;&gt;"",$K198,IF($O198&lt;&gt;"",$O198,"")))))</f>
        <v/>
      </c>
      <c r="Q198" s="351">
        <f>IF($A198="","",IF($U198="Subscription","",IF($U198="Profit",$P198-$H198,0)))</f>
        <v/>
      </c>
      <c r="R198" s="349">
        <f>IF($A198="","",IF($U198="Subscription","",IF($U198="Draw",$H198,0)))</f>
        <v/>
      </c>
      <c r="S198" s="349">
        <f>IF($A198="","",IF($U198="Subscription","",IF($U198="Disqualified",$H198,0)))</f>
        <v/>
      </c>
      <c r="T198" s="380">
        <f>IF($A198="","",IF($U198="Subscription","",IF($H198=0,IF($U198="Profit","N/A",0),IF($U198="Profit",$Q198/$H198,IF($U198="Disqualified",-1,0)))))</f>
        <v/>
      </c>
      <c r="U198" s="351">
        <f>IF($A198="","",IF(OR(LOWER($D198&amp;"")="n/a",ISNUMBER(SEARCH("subscription",LOWER($A198&amp;" "&amp;$M198&amp;""))),ISNUMBER(SEARCH("membership",LOWER($A198&amp;" "&amp;$M198&amp;"")))),"Subscription",IF(LOWER($L198&amp;"")="yes","Disqualified",IF($P198&gt;$H198,"Profit","Draw"))))</f>
        <v/>
      </c>
      <c r="V198" s="383">
        <f>IF(OR($A198="",$B198="",$C198="",$U198="Subscription"),"",IFERROR(ROUNDUP((IF(ISNUMBER($C198),$C198,DATEVALUE($C198))-IF(ISNUMBER($B198),$B198,DATEVALUE($B198)))/7,0),""))</f>
        <v/>
      </c>
      <c r="W198" s="351">
        <f>IF($U198="Subscription","",$Q198-$S198)</f>
        <v/>
      </c>
      <c r="X198" s="384">
        <f>IF(OR($A198="",$U198="Subscription",$J198="",$I198="",$J198=0,$I198=0,$I198&gt;$J198),"",$J198-$I198)</f>
        <v/>
      </c>
      <c r="Y198" s="381">
        <f>IF(OR($A198="",$U198="Subscription",$J198="",$J198=0,$X198=""),"",$X198/$J198)</f>
        <v/>
      </c>
    </row>
    <row r="199" ht="21" customHeight="1" s="270">
      <c r="A199" s="297" t="n"/>
      <c r="B199" s="298" t="n"/>
      <c r="C199" s="298" t="n"/>
      <c r="D199" s="297" t="n"/>
      <c r="E199" s="349" t="n"/>
      <c r="F199" s="349" t="n"/>
      <c r="G199" s="349" t="n"/>
      <c r="H199" s="349" t="n"/>
      <c r="I199" s="382" t="n"/>
      <c r="J199" s="383" t="n"/>
      <c r="K199" s="351" t="n"/>
      <c r="L199" s="296" t="n"/>
      <c r="M199" s="349" t="n"/>
      <c r="N199" s="349">
        <f>IF($A199="","",IF(OR(LOWER($D199&amp;"")="n/a",ISNUMBER(SEARCH("subscription",LOWER($A199&amp;" "&amp;$M199&amp;""))),ISNUMBER(SEARCH("membership",LOWER($A199&amp;" "&amp;$M199&amp;"")))),"",IF($G199="","",IF(ISNUMBER(SEARCH("non",LOWER($E199&amp;""))),$G199*0.85,$G199))))</f>
        <v/>
      </c>
      <c r="O199" s="349">
        <f>IF($A199="","",IF(OR(LOWER($D199&amp;"")="n/a",ISNUMBER(SEARCH("subscription",LOWER($A199&amp;" "&amp;$M199&amp;""))),ISNUMBER(SEARCH("membership",LOWER($A199&amp;" "&amp;$M199&amp;"")))),"",IF(OR($N199="",$I199="",$I199=0),"",$N199/$I199)))</f>
        <v/>
      </c>
      <c r="P199" s="349">
        <f>IF($A199="","",IF(OR(LOWER($D199&amp;"")="n/a",ISNUMBER(SEARCH("subscription",LOWER($A199&amp;" "&amp;$M199&amp;""))),ISNUMBER(SEARCH("membership",LOWER($A199&amp;" "&amp;$M199&amp;"")))),"",IF(LOWER($L199&amp;"")="yes",0,IF($K199&lt;&gt;"",$K199,IF($O199&lt;&gt;"",$O199,"")))))</f>
        <v/>
      </c>
      <c r="Q199" s="351">
        <f>IF($A199="","",IF($U199="Subscription","",IF($U199="Profit",$P199-$H199,0)))</f>
        <v/>
      </c>
      <c r="R199" s="349">
        <f>IF($A199="","",IF($U199="Subscription","",IF($U199="Draw",$H199,0)))</f>
        <v/>
      </c>
      <c r="S199" s="349">
        <f>IF($A199="","",IF($U199="Subscription","",IF($U199="Disqualified",$H199,0)))</f>
        <v/>
      </c>
      <c r="T199" s="380">
        <f>IF($A199="","",IF($U199="Subscription","",IF($H199=0,IF($U199="Profit","N/A",0),IF($U199="Profit",$Q199/$H199,IF($U199="Disqualified",-1,0)))))</f>
        <v/>
      </c>
      <c r="U199" s="351">
        <f>IF($A199="","",IF(OR(LOWER($D199&amp;"")="n/a",ISNUMBER(SEARCH("subscription",LOWER($A199&amp;" "&amp;$M199&amp;""))),ISNUMBER(SEARCH("membership",LOWER($A199&amp;" "&amp;$M199&amp;"")))),"Subscription",IF(LOWER($L199&amp;"")="yes","Disqualified",IF($P199&gt;$H199,"Profit","Draw"))))</f>
        <v/>
      </c>
      <c r="V199" s="383">
        <f>IF(OR($A199="",$B199="",$C199="",$U199="Subscription"),"",IFERROR(ROUNDUP((IF(ISNUMBER($C199),$C199,DATEVALUE($C199))-IF(ISNUMBER($B199),$B199,DATEVALUE($B199)))/7,0),""))</f>
        <v/>
      </c>
      <c r="W199" s="351">
        <f>IF($U199="Subscription","",$Q199-$S199)</f>
        <v/>
      </c>
      <c r="X199" s="384">
        <f>IF(OR($A199="",$U199="Subscription",$J199="",$I199="",$J199=0,$I199=0,$I199&gt;$J199),"",$J199-$I199)</f>
        <v/>
      </c>
      <c r="Y199" s="381">
        <f>IF(OR($A199="",$U199="Subscription",$J199="",$J199=0,$X199=""),"",$X199/$J199)</f>
        <v/>
      </c>
    </row>
    <row r="200" ht="21" customHeight="1" s="270">
      <c r="A200" s="297" t="n"/>
      <c r="B200" s="298" t="n"/>
      <c r="C200" s="298" t="n"/>
      <c r="D200" s="297" t="n"/>
      <c r="E200" s="349" t="n"/>
      <c r="F200" s="349" t="n"/>
      <c r="G200" s="349" t="n"/>
      <c r="H200" s="349" t="n"/>
      <c r="I200" s="382" t="n"/>
      <c r="J200" s="383" t="n"/>
      <c r="K200" s="351" t="n"/>
      <c r="L200" s="296" t="n"/>
      <c r="M200" s="349" t="n"/>
      <c r="N200" s="349">
        <f>IF($A200="","",IF(OR(LOWER($D200&amp;"")="n/a",ISNUMBER(SEARCH("subscription",LOWER($A200&amp;" "&amp;$M200&amp;""))),ISNUMBER(SEARCH("membership",LOWER($A200&amp;" "&amp;$M200&amp;"")))),"",IF($G200="","",IF(ISNUMBER(SEARCH("non",LOWER($E200&amp;""))),$G200*0.85,$G200))))</f>
        <v/>
      </c>
      <c r="O200" s="349">
        <f>IF($A200="","",IF(OR(LOWER($D200&amp;"")="n/a",ISNUMBER(SEARCH("subscription",LOWER($A200&amp;" "&amp;$M200&amp;""))),ISNUMBER(SEARCH("membership",LOWER($A200&amp;" "&amp;$M200&amp;"")))),"",IF(OR($N200="",$I200="",$I200=0),"",$N200/$I200)))</f>
        <v/>
      </c>
      <c r="P200" s="349">
        <f>IF($A200="","",IF(OR(LOWER($D200&amp;"")="n/a",ISNUMBER(SEARCH("subscription",LOWER($A200&amp;" "&amp;$M200&amp;""))),ISNUMBER(SEARCH("membership",LOWER($A200&amp;" "&amp;$M200&amp;"")))),"",IF(LOWER($L200&amp;"")="yes",0,IF($K200&lt;&gt;"",$K200,IF($O200&lt;&gt;"",$O200,"")))))</f>
        <v/>
      </c>
      <c r="Q200" s="351">
        <f>IF($A200="","",IF($U200="Subscription","",IF($U200="Profit",$P200-$H200,0)))</f>
        <v/>
      </c>
      <c r="R200" s="349">
        <f>IF($A200="","",IF($U200="Subscription","",IF($U200="Draw",$H200,0)))</f>
        <v/>
      </c>
      <c r="S200" s="349">
        <f>IF($A200="","",IF($U200="Subscription","",IF($U200="Disqualified",$H200,0)))</f>
        <v/>
      </c>
      <c r="T200" s="380">
        <f>IF($A200="","",IF($U200="Subscription","",IF($H200=0,IF($U200="Profit","N/A",0),IF($U200="Profit",$Q200/$H200,IF($U200="Disqualified",-1,0)))))</f>
        <v/>
      </c>
      <c r="U200" s="351">
        <f>IF($A200="","",IF(OR(LOWER($D200&amp;"")="n/a",ISNUMBER(SEARCH("subscription",LOWER($A200&amp;" "&amp;$M200&amp;""))),ISNUMBER(SEARCH("membership",LOWER($A200&amp;" "&amp;$M200&amp;"")))),"Subscription",IF(LOWER($L200&amp;"")="yes","Disqualified",IF($P200&gt;$H200,"Profit","Draw"))))</f>
        <v/>
      </c>
      <c r="V200" s="383">
        <f>IF(OR($A200="",$B200="",$C200="",$U200="Subscription"),"",IFERROR(ROUNDUP((IF(ISNUMBER($C200),$C200,DATEVALUE($C200))-IF(ISNUMBER($B200),$B200,DATEVALUE($B200)))/7,0),""))</f>
        <v/>
      </c>
      <c r="W200" s="351">
        <f>IF($U200="Subscription","",$Q200-$S200)</f>
        <v/>
      </c>
      <c r="X200" s="384">
        <f>IF(OR($A200="",$U200="Subscription",$J200="",$I200="",$J200=0,$I200=0,$I200&gt;$J200),"",$J200-$I200)</f>
        <v/>
      </c>
      <c r="Y200" s="381">
        <f>IF(OR($A200="",$U200="Subscription",$J200="",$J200=0,$X200=""),"",$X200/$J200)</f>
        <v/>
      </c>
    </row>
    <row r="201" ht="21" customHeight="1" s="270">
      <c r="A201" s="297" t="n"/>
      <c r="B201" s="298" t="n"/>
      <c r="C201" s="298" t="n"/>
      <c r="D201" s="297" t="n"/>
      <c r="E201" s="349" t="n"/>
      <c r="F201" s="349" t="n"/>
      <c r="G201" s="349" t="n"/>
      <c r="H201" s="349" t="n"/>
      <c r="I201" s="382" t="n"/>
      <c r="J201" s="383" t="n"/>
      <c r="K201" s="351" t="n"/>
      <c r="L201" s="296" t="n"/>
      <c r="M201" s="349" t="n"/>
      <c r="N201" s="349">
        <f>IF($A201="","",IF(OR(LOWER($D201&amp;"")="n/a",ISNUMBER(SEARCH("subscription",LOWER($A201&amp;" "&amp;$M201&amp;""))),ISNUMBER(SEARCH("membership",LOWER($A201&amp;" "&amp;$M201&amp;"")))),"",IF($G201="","",IF(ISNUMBER(SEARCH("non",LOWER($E201&amp;""))),$G201*0.85,$G201))))</f>
        <v/>
      </c>
      <c r="O201" s="349">
        <f>IF($A201="","",IF(OR(LOWER($D201&amp;"")="n/a",ISNUMBER(SEARCH("subscription",LOWER($A201&amp;" "&amp;$M201&amp;""))),ISNUMBER(SEARCH("membership",LOWER($A201&amp;" "&amp;$M201&amp;"")))),"",IF(OR($N201="",$I201="",$I201=0),"",$N201/$I201)))</f>
        <v/>
      </c>
      <c r="P201" s="349">
        <f>IF($A201="","",IF(OR(LOWER($D201&amp;"")="n/a",ISNUMBER(SEARCH("subscription",LOWER($A201&amp;" "&amp;$M201&amp;""))),ISNUMBER(SEARCH("membership",LOWER($A201&amp;" "&amp;$M201&amp;"")))),"",IF(LOWER($L201&amp;"")="yes",0,IF($K201&lt;&gt;"",$K201,IF($O201&lt;&gt;"",$O201,"")))))</f>
        <v/>
      </c>
      <c r="Q201" s="351">
        <f>IF($A201="","",IF($U201="Subscription","",IF($U201="Profit",$P201-$H201,0)))</f>
        <v/>
      </c>
      <c r="R201" s="349">
        <f>IF($A201="","",IF($U201="Subscription","",IF($U201="Draw",$H201,0)))</f>
        <v/>
      </c>
      <c r="S201" s="349">
        <f>IF($A201="","",IF($U201="Subscription","",IF($U201="Disqualified",$H201,0)))</f>
        <v/>
      </c>
      <c r="T201" s="380">
        <f>IF($A201="","",IF($U201="Subscription","",IF($H201=0,IF($U201="Profit","N/A",0),IF($U201="Profit",$Q201/$H201,IF($U201="Disqualified",-1,0)))))</f>
        <v/>
      </c>
      <c r="U201" s="351">
        <f>IF($A201="","",IF(OR(LOWER($D201&amp;"")="n/a",ISNUMBER(SEARCH("subscription",LOWER($A201&amp;" "&amp;$M201&amp;""))),ISNUMBER(SEARCH("membership",LOWER($A201&amp;" "&amp;$M201&amp;"")))),"Subscription",IF(LOWER($L201&amp;"")="yes","Disqualified",IF($P201&gt;$H201,"Profit","Draw"))))</f>
        <v/>
      </c>
      <c r="V201" s="383">
        <f>IF(OR($A201="",$B201="",$C201="",$U201="Subscription"),"",IFERROR(ROUNDUP((IF(ISNUMBER($C201),$C201,DATEVALUE($C201))-IF(ISNUMBER($B201),$B201,DATEVALUE($B201)))/7,0),""))</f>
        <v/>
      </c>
      <c r="W201" s="351">
        <f>IF($U201="Subscription","",$Q201-$S201)</f>
        <v/>
      </c>
      <c r="X201" s="384">
        <f>IF(OR($A201="",$U201="Subscription",$J201="",$I201="",$J201=0,$I201=0,$I201&gt;$J201),"",$J201-$I201)</f>
        <v/>
      </c>
      <c r="Y201" s="381">
        <f>IF(OR($A201="",$U201="Subscription",$J201="",$J201=0,$X201=""),"",$X201/$J201)</f>
        <v/>
      </c>
    </row>
    <row r="202" ht="21" customHeight="1" s="270">
      <c r="A202" s="297" t="n"/>
      <c r="B202" s="298" t="n"/>
      <c r="C202" s="298" t="n"/>
      <c r="D202" s="297" t="n"/>
      <c r="E202" s="349" t="n"/>
      <c r="F202" s="349" t="n"/>
      <c r="G202" s="349" t="n"/>
      <c r="H202" s="349" t="n"/>
      <c r="I202" s="382" t="n"/>
      <c r="J202" s="383" t="n"/>
      <c r="K202" s="351" t="n"/>
      <c r="L202" s="296" t="n"/>
      <c r="M202" s="349" t="n"/>
      <c r="N202" s="349">
        <f>IF($A202="","",IF(OR(LOWER($D202&amp;"")="n/a",ISNUMBER(SEARCH("subscription",LOWER($A202&amp;" "&amp;$M202&amp;""))),ISNUMBER(SEARCH("membership",LOWER($A202&amp;" "&amp;$M202&amp;"")))),"",IF($G202="","",IF(ISNUMBER(SEARCH("non",LOWER($E202&amp;""))),$G202*0.85,$G202))))</f>
        <v/>
      </c>
      <c r="O202" s="349">
        <f>IF($A202="","",IF(OR(LOWER($D202&amp;"")="n/a",ISNUMBER(SEARCH("subscription",LOWER($A202&amp;" "&amp;$M202&amp;""))),ISNUMBER(SEARCH("membership",LOWER($A202&amp;" "&amp;$M202&amp;"")))),"",IF(OR($N202="",$I202="",$I202=0),"",$N202/$I202)))</f>
        <v/>
      </c>
      <c r="P202" s="349">
        <f>IF($A202="","",IF(OR(LOWER($D202&amp;"")="n/a",ISNUMBER(SEARCH("subscription",LOWER($A202&amp;" "&amp;$M202&amp;""))),ISNUMBER(SEARCH("membership",LOWER($A202&amp;" "&amp;$M202&amp;"")))),"",IF(LOWER($L202&amp;"")="yes",0,IF($K202&lt;&gt;"",$K202,IF($O202&lt;&gt;"",$O202,"")))))</f>
        <v/>
      </c>
      <c r="Q202" s="351">
        <f>IF($A202="","",IF($U202="Subscription","",IF($U202="Profit",$P202-$H202,0)))</f>
        <v/>
      </c>
      <c r="R202" s="349">
        <f>IF($A202="","",IF($U202="Subscription","",IF($U202="Draw",$H202,0)))</f>
        <v/>
      </c>
      <c r="S202" s="349">
        <f>IF($A202="","",IF($U202="Subscription","",IF($U202="Disqualified",$H202,0)))</f>
        <v/>
      </c>
      <c r="T202" s="380">
        <f>IF($A202="","",IF($U202="Subscription","",IF($H202=0,IF($U202="Profit","N/A",0),IF($U202="Profit",$Q202/$H202,IF($U202="Disqualified",-1,0)))))</f>
        <v/>
      </c>
      <c r="U202" s="351">
        <f>IF($A202="","",IF(OR(LOWER($D202&amp;"")="n/a",ISNUMBER(SEARCH("subscription",LOWER($A202&amp;" "&amp;$M202&amp;""))),ISNUMBER(SEARCH("membership",LOWER($A202&amp;" "&amp;$M202&amp;"")))),"Subscription",IF(LOWER($L202&amp;"")="yes","Disqualified",IF($P202&gt;$H202,"Profit","Draw"))))</f>
        <v/>
      </c>
      <c r="V202" s="383">
        <f>IF(OR($A202="",$B202="",$C202="",$U202="Subscription"),"",IFERROR(ROUNDUP((IF(ISNUMBER($C202),$C202,DATEVALUE($C202))-IF(ISNUMBER($B202),$B202,DATEVALUE($B202)))/7,0),""))</f>
        <v/>
      </c>
      <c r="W202" s="351">
        <f>IF($U202="Subscription","",$Q202-$S202)</f>
        <v/>
      </c>
      <c r="X202" s="384">
        <f>IF(OR($A202="",$U202="Subscription",$J202="",$I202="",$J202=0,$I202=0,$I202&gt;$J202),"",$J202-$I202)</f>
        <v/>
      </c>
      <c r="Y202" s="381">
        <f>IF(OR($A202="",$U202="Subscription",$J202="",$J202=0,$X202=""),"",$X202/$J202)</f>
        <v/>
      </c>
    </row>
    <row r="203" ht="21" customHeight="1" s="270">
      <c r="A203" s="297" t="n"/>
      <c r="B203" s="298" t="n"/>
      <c r="C203" s="298" t="n"/>
      <c r="D203" s="297" t="n"/>
      <c r="E203" s="349" t="n"/>
      <c r="F203" s="349" t="n"/>
      <c r="G203" s="349" t="n"/>
      <c r="H203" s="349" t="n"/>
      <c r="I203" s="382" t="n"/>
      <c r="J203" s="383" t="n"/>
      <c r="K203" s="351" t="n"/>
      <c r="L203" s="296" t="n"/>
      <c r="M203" s="349" t="n"/>
      <c r="N203" s="349">
        <f>IF($A203="","",IF(OR(LOWER($D203&amp;"")="n/a",ISNUMBER(SEARCH("subscription",LOWER($A203&amp;" "&amp;$M203&amp;""))),ISNUMBER(SEARCH("membership",LOWER($A203&amp;" "&amp;$M203&amp;"")))),"",IF($G203="","",IF(ISNUMBER(SEARCH("non",LOWER($E203&amp;""))),$G203*0.85,$G203))))</f>
        <v/>
      </c>
      <c r="O203" s="349">
        <f>IF($A203="","",IF(OR(LOWER($D203&amp;"")="n/a",ISNUMBER(SEARCH("subscription",LOWER($A203&amp;" "&amp;$M203&amp;""))),ISNUMBER(SEARCH("membership",LOWER($A203&amp;" "&amp;$M203&amp;"")))),"",IF(OR($N203="",$I203="",$I203=0),"",$N203/$I203)))</f>
        <v/>
      </c>
      <c r="P203" s="349">
        <f>IF($A203="","",IF(OR(LOWER($D203&amp;"")="n/a",ISNUMBER(SEARCH("subscription",LOWER($A203&amp;" "&amp;$M203&amp;""))),ISNUMBER(SEARCH("membership",LOWER($A203&amp;" "&amp;$M203&amp;"")))),"",IF(LOWER($L203&amp;"")="yes",0,IF($K203&lt;&gt;"",$K203,IF($O203&lt;&gt;"",$O203,"")))))</f>
        <v/>
      </c>
      <c r="Q203" s="351">
        <f>IF($A203="","",IF($U203="Subscription","",IF($U203="Profit",$P203-$H203,0)))</f>
        <v/>
      </c>
      <c r="R203" s="349">
        <f>IF($A203="","",IF($U203="Subscription","",IF($U203="Draw",$H203,0)))</f>
        <v/>
      </c>
      <c r="S203" s="349">
        <f>IF($A203="","",IF($U203="Subscription","",IF($U203="Disqualified",$H203,0)))</f>
        <v/>
      </c>
      <c r="T203" s="380">
        <f>IF($A203="","",IF($U203="Subscription","",IF($H203=0,IF($U203="Profit","N/A",0),IF($U203="Profit",$Q203/$H203,IF($U203="Disqualified",-1,0)))))</f>
        <v/>
      </c>
      <c r="U203" s="351">
        <f>IF($A203="","",IF(OR(LOWER($D203&amp;"")="n/a",ISNUMBER(SEARCH("subscription",LOWER($A203&amp;" "&amp;$M203&amp;""))),ISNUMBER(SEARCH("membership",LOWER($A203&amp;" "&amp;$M203&amp;"")))),"Subscription",IF(LOWER($L203&amp;"")="yes","Disqualified",IF($P203&gt;$H203,"Profit","Draw"))))</f>
        <v/>
      </c>
      <c r="V203" s="383">
        <f>IF(OR($A203="",$B203="",$C203="",$U203="Subscription"),"",IFERROR(ROUNDUP((IF(ISNUMBER($C203),$C203,DATEVALUE($C203))-IF(ISNUMBER($B203),$B203,DATEVALUE($B203)))/7,0),""))</f>
        <v/>
      </c>
      <c r="W203" s="351">
        <f>IF($U203="Subscription","",$Q203-$S203)</f>
        <v/>
      </c>
      <c r="X203" s="384">
        <f>IF(OR($A203="",$U203="Subscription",$J203="",$I203="",$J203=0,$I203=0,$I203&gt;$J203),"",$J203-$I203)</f>
        <v/>
      </c>
      <c r="Y203" s="381">
        <f>IF(OR($A203="",$U203="Subscription",$J203="",$J203=0,$X203=""),"",$X203/$J203)</f>
        <v/>
      </c>
    </row>
    <row r="204" ht="21" customHeight="1" s="270">
      <c r="A204" s="297" t="n"/>
      <c r="B204" s="298" t="n"/>
      <c r="C204" s="298" t="n"/>
      <c r="D204" s="297" t="n"/>
      <c r="E204" s="349" t="n"/>
      <c r="F204" s="349" t="n"/>
      <c r="G204" s="349" t="n"/>
      <c r="H204" s="349" t="n"/>
      <c r="I204" s="382" t="n"/>
      <c r="J204" s="383" t="n"/>
      <c r="K204" s="351" t="n"/>
      <c r="L204" s="296" t="n"/>
      <c r="M204" s="349" t="n"/>
      <c r="N204" s="349">
        <f>IF($A204="","",IF(OR(LOWER($D204&amp;"")="n/a",ISNUMBER(SEARCH("subscription",LOWER($A204&amp;" "&amp;$M204&amp;""))),ISNUMBER(SEARCH("membership",LOWER($A204&amp;" "&amp;$M204&amp;"")))),"",IF($G204="","",IF(ISNUMBER(SEARCH("non",LOWER($E204&amp;""))),$G204*0.85,$G204))))</f>
        <v/>
      </c>
      <c r="O204" s="349">
        <f>IF($A204="","",IF(OR(LOWER($D204&amp;"")="n/a",ISNUMBER(SEARCH("subscription",LOWER($A204&amp;" "&amp;$M204&amp;""))),ISNUMBER(SEARCH("membership",LOWER($A204&amp;" "&amp;$M204&amp;"")))),"",IF(OR($N204="",$I204="",$I204=0),"",$N204/$I204)))</f>
        <v/>
      </c>
      <c r="P204" s="349">
        <f>IF($A204="","",IF(OR(LOWER($D204&amp;"")="n/a",ISNUMBER(SEARCH("subscription",LOWER($A204&amp;" "&amp;$M204&amp;""))),ISNUMBER(SEARCH("membership",LOWER($A204&amp;" "&amp;$M204&amp;"")))),"",IF(LOWER($L204&amp;"")="yes",0,IF($K204&lt;&gt;"",$K204,IF($O204&lt;&gt;"",$O204,"")))))</f>
        <v/>
      </c>
      <c r="Q204" s="351">
        <f>IF($A204="","",IF($U204="Subscription","",IF($U204="Profit",$P204-$H204,0)))</f>
        <v/>
      </c>
      <c r="R204" s="349">
        <f>IF($A204="","",IF($U204="Subscription","",IF($U204="Draw",$H204,0)))</f>
        <v/>
      </c>
      <c r="S204" s="349">
        <f>IF($A204="","",IF($U204="Subscription","",IF($U204="Disqualified",$H204,0)))</f>
        <v/>
      </c>
      <c r="T204" s="380">
        <f>IF($A204="","",IF($U204="Subscription","",IF($H204=0,IF($U204="Profit","N/A",0),IF($U204="Profit",$Q204/$H204,IF($U204="Disqualified",-1,0)))))</f>
        <v/>
      </c>
      <c r="U204" s="351">
        <f>IF($A204="","",IF(OR(LOWER($D204&amp;"")="n/a",ISNUMBER(SEARCH("subscription",LOWER($A204&amp;" "&amp;$M204&amp;""))),ISNUMBER(SEARCH("membership",LOWER($A204&amp;" "&amp;$M204&amp;"")))),"Subscription",IF(LOWER($L204&amp;"")="yes","Disqualified",IF($P204&gt;$H204,"Profit","Draw"))))</f>
        <v/>
      </c>
      <c r="V204" s="383">
        <f>IF(OR($A204="",$B204="",$C204="",$U204="Subscription"),"",IFERROR(ROUNDUP((IF(ISNUMBER($C204),$C204,DATEVALUE($C204))-IF(ISNUMBER($B204),$B204,DATEVALUE($B204)))/7,0),""))</f>
        <v/>
      </c>
      <c r="W204" s="351">
        <f>IF($U204="Subscription","",$Q204-$S204)</f>
        <v/>
      </c>
      <c r="X204" s="384">
        <f>IF(OR($A204="",$U204="Subscription",$J204="",$I204="",$J204=0,$I204=0,$I204&gt;$J204),"",$J204-$I204)</f>
        <v/>
      </c>
      <c r="Y204" s="381">
        <f>IF(OR($A204="",$U204="Subscription",$J204="",$J204=0,$X204=""),"",$X204/$J204)</f>
        <v/>
      </c>
    </row>
    <row r="205" ht="21" customHeight="1" s="270">
      <c r="A205" s="297" t="n"/>
      <c r="B205" s="298" t="n"/>
      <c r="C205" s="298" t="n"/>
      <c r="D205" s="297" t="n"/>
      <c r="E205" s="349" t="n"/>
      <c r="F205" s="349" t="n"/>
      <c r="G205" s="349" t="n"/>
      <c r="H205" s="349" t="n"/>
      <c r="I205" s="382" t="n"/>
      <c r="J205" s="383" t="n"/>
      <c r="K205" s="351" t="n"/>
      <c r="L205" s="296" t="n"/>
      <c r="M205" s="349" t="n"/>
      <c r="N205" s="349">
        <f>IF($A205="","",IF(OR(LOWER($D205&amp;"")="n/a",ISNUMBER(SEARCH("subscription",LOWER($A205&amp;" "&amp;$M205&amp;""))),ISNUMBER(SEARCH("membership",LOWER($A205&amp;" "&amp;$M205&amp;"")))),"",IF($G205="","",IF(ISNUMBER(SEARCH("non",LOWER($E205&amp;""))),$G205*0.85,$G205))))</f>
        <v/>
      </c>
      <c r="O205" s="349">
        <f>IF($A205="","",IF(OR(LOWER($D205&amp;"")="n/a",ISNUMBER(SEARCH("subscription",LOWER($A205&amp;" "&amp;$M205&amp;""))),ISNUMBER(SEARCH("membership",LOWER($A205&amp;" "&amp;$M205&amp;"")))),"",IF(OR($N205="",$I205="",$I205=0),"",$N205/$I205)))</f>
        <v/>
      </c>
      <c r="P205" s="349">
        <f>IF($A205="","",IF(OR(LOWER($D205&amp;"")="n/a",ISNUMBER(SEARCH("subscription",LOWER($A205&amp;" "&amp;$M205&amp;""))),ISNUMBER(SEARCH("membership",LOWER($A205&amp;" "&amp;$M205&amp;"")))),"",IF(LOWER($L205&amp;"")="yes",0,IF($K205&lt;&gt;"",$K205,IF($O205&lt;&gt;"",$O205,"")))))</f>
        <v/>
      </c>
      <c r="Q205" s="351">
        <f>IF($A205="","",IF($U205="Subscription","",IF($U205="Profit",$P205-$H205,0)))</f>
        <v/>
      </c>
      <c r="R205" s="349">
        <f>IF($A205="","",IF($U205="Subscription","",IF($U205="Draw",$H205,0)))</f>
        <v/>
      </c>
      <c r="S205" s="349">
        <f>IF($A205="","",IF($U205="Subscription","",IF($U205="Disqualified",$H205,0)))</f>
        <v/>
      </c>
      <c r="T205" s="380">
        <f>IF($A205="","",IF($U205="Subscription","",IF($H205=0,IF($U205="Profit","N/A",0),IF($U205="Profit",$Q205/$H205,IF($U205="Disqualified",-1,0)))))</f>
        <v/>
      </c>
      <c r="U205" s="351">
        <f>IF($A205="","",IF(OR(LOWER($D205&amp;"")="n/a",ISNUMBER(SEARCH("subscription",LOWER($A205&amp;" "&amp;$M205&amp;""))),ISNUMBER(SEARCH("membership",LOWER($A205&amp;" "&amp;$M205&amp;"")))),"Subscription",IF(LOWER($L205&amp;"")="yes","Disqualified",IF($P205&gt;$H205,"Profit","Draw"))))</f>
        <v/>
      </c>
      <c r="V205">
        <f>IF(OR($A205="",$B205="",$C205="",$U205="Subscription"),"",IFERROR(ROUNDUP((IF(ISNUMBER($C205),$C205,DATEVALUE($C205))-IF(ISNUMBER($B205),$B205,DATEVALUE($B205)))/7,0),""))</f>
        <v/>
      </c>
      <c r="W205" s="351">
        <f>IF($U205="Subscription","",$Q205-$S205)</f>
        <v/>
      </c>
      <c r="X205" s="384">
        <f>IF(OR($A205="",$U205="Subscription",$J205="",$I205="",$J205=0,$I205=0,$I205&gt;$J205),"",$J205-$I205)</f>
        <v/>
      </c>
      <c r="Y205" s="381">
        <f>IF(OR($A205="",$U205="Subscription",$J205="",$J205=0,$X205=""),"",$X205/$J205)</f>
        <v/>
      </c>
    </row>
    <row r="206" ht="21" customHeight="1" s="270">
      <c r="A206" s="297" t="n"/>
      <c r="B206" s="298" t="n"/>
      <c r="C206" s="298" t="n"/>
      <c r="D206" s="297" t="n"/>
      <c r="E206" s="349" t="n"/>
      <c r="F206" s="349" t="n"/>
      <c r="G206" s="349" t="n"/>
      <c r="H206" s="349" t="n"/>
      <c r="I206" s="382" t="n"/>
      <c r="J206" s="383" t="n"/>
      <c r="K206" s="351" t="n"/>
      <c r="L206" s="296" t="n"/>
      <c r="M206" s="349" t="n"/>
      <c r="N206" s="349">
        <f>IF($A206="","",IF(OR(LOWER($D206&amp;"")="n/a",ISNUMBER(SEARCH("subscription",LOWER($A206&amp;" "&amp;$M206&amp;""))),ISNUMBER(SEARCH("membership",LOWER($A206&amp;" "&amp;$M206&amp;"")))),"",IF($G206="","",IF(ISNUMBER(SEARCH("non",LOWER($E206&amp;""))),$G206*0.85,$G206))))</f>
        <v/>
      </c>
      <c r="O206" s="349">
        <f>IF($A206="","",IF(OR(LOWER($D206&amp;"")="n/a",ISNUMBER(SEARCH("subscription",LOWER($A206&amp;" "&amp;$M206&amp;""))),ISNUMBER(SEARCH("membership",LOWER($A206&amp;" "&amp;$M206&amp;"")))),"",IF(OR($N206="",$I206="",$I206=0),"",$N206/$I206)))</f>
        <v/>
      </c>
      <c r="P206" s="349">
        <f>IF($A206="","",IF(OR(LOWER($D206&amp;"")="n/a",ISNUMBER(SEARCH("subscription",LOWER($A206&amp;" "&amp;$M206&amp;""))),ISNUMBER(SEARCH("membership",LOWER($A206&amp;" "&amp;$M206&amp;"")))),"",IF(LOWER($L206&amp;"")="yes",0,IF($K206&lt;&gt;"",$K206,IF($O206&lt;&gt;"",$O206,"")))))</f>
        <v/>
      </c>
      <c r="Q206" s="351">
        <f>IF($A206="","",IF($U206="Subscription","",IF($U206="Profit",$P206-$H206,0)))</f>
        <v/>
      </c>
      <c r="R206" s="349">
        <f>IF($A206="","",IF($U206="Subscription","",IF($U206="Draw",$H206,0)))</f>
        <v/>
      </c>
      <c r="S206" s="349">
        <f>IF($A206="","",IF($U206="Subscription","",IF($U206="Disqualified",$H206,0)))</f>
        <v/>
      </c>
      <c r="T206" s="380">
        <f>IF($A206="","",IF($U206="Subscription","",IF($H206=0,IF($U206="Profit","N/A",0),IF($U206="Profit",$Q206/$H206,IF($U206="Disqualified",-1,0)))))</f>
        <v/>
      </c>
      <c r="U206" s="351">
        <f>IF($A206="","",IF(OR(LOWER($D206&amp;"")="n/a",ISNUMBER(SEARCH("subscription",LOWER($A206&amp;" "&amp;$M206&amp;""))),ISNUMBER(SEARCH("membership",LOWER($A206&amp;" "&amp;$M206&amp;"")))),"Subscription",IF(LOWER($L206&amp;"")="yes","Disqualified",IF($P206&gt;$H206,"Profit","Draw"))))</f>
        <v/>
      </c>
      <c r="V207" s="383">
        <f>IF(OR($A206="",$B206="",$C206="",$U206="Subscription"),"",IFERROR(ROUNDUP((IF(ISNUMBER($C206),$C206,DATEVALUE($C206))-IF(ISNUMBER($B206),$B206,DATEVALUE($B206)))/7,0),""))</f>
        <v/>
      </c>
      <c r="W206" s="351">
        <f>IF($U206="Subscription","",$Q206-$S206)</f>
        <v/>
      </c>
      <c r="X206" s="384">
        <f>IF(OR($A206="",$U206="Subscription",$J206="",$I206="",$J206=0,$I206=0,$I206&gt;$J206),"",$J206-$I206)</f>
        <v/>
      </c>
      <c r="Y206" s="381">
        <f>IF(OR($A206="",$U206="Subscription",$J206="",$J206=0,$X206=""),"",$X206/$J206)</f>
        <v/>
      </c>
    </row>
    <row r="207" ht="21" customHeight="1" s="270">
      <c r="A207" s="297" t="n"/>
      <c r="B207" s="298" t="n"/>
      <c r="C207" s="298" t="n"/>
      <c r="D207" s="297" t="n"/>
      <c r="E207" s="349" t="n"/>
      <c r="F207" s="349" t="n"/>
      <c r="G207" s="349" t="n"/>
      <c r="H207" s="349" t="n"/>
      <c r="I207" s="382" t="n"/>
      <c r="J207" s="383" t="n"/>
      <c r="K207" s="351" t="n"/>
      <c r="L207" s="296" t="n"/>
      <c r="M207" s="349" t="n"/>
      <c r="N207" s="349">
        <f>IF($A207="","",IF(OR(LOWER($D207&amp;"")="n/a",ISNUMBER(SEARCH("subscription",LOWER($A207&amp;" "&amp;$M207&amp;""))),ISNUMBER(SEARCH("membership",LOWER($A207&amp;" "&amp;$M207&amp;"")))),"",IF($G207="","",IF(ISNUMBER(SEARCH("non",LOWER($E207&amp;""))),$G207*0.85,$G207))))</f>
        <v/>
      </c>
      <c r="O207" s="349">
        <f>IF($A207="","",IF(OR(LOWER($D207&amp;"")="n/a",ISNUMBER(SEARCH("subscription",LOWER($A207&amp;" "&amp;$M207&amp;""))),ISNUMBER(SEARCH("membership",LOWER($A207&amp;" "&amp;$M207&amp;"")))),"",IF(OR($N207="",$I207="",$I207=0),"",$N207/$I207)))</f>
        <v/>
      </c>
      <c r="P207" s="349">
        <f>IF($A207="","",IF(OR(LOWER($D207&amp;"")="n/a",ISNUMBER(SEARCH("subscription",LOWER($A207&amp;" "&amp;$M207&amp;""))),ISNUMBER(SEARCH("membership",LOWER($A207&amp;" "&amp;$M207&amp;"")))),"",IF(LOWER($L207&amp;"")="yes",0,IF($K207&lt;&gt;"",$K207,IF($O207&lt;&gt;"",$O207,"")))))</f>
        <v/>
      </c>
      <c r="Q207" s="351">
        <f>IF($A207="","",IF($U207="Subscription","",IF($U207="Profit",$P207-$H207,0)))</f>
        <v/>
      </c>
      <c r="R207" s="349">
        <f>IF($A207="","",IF($U207="Subscription","",IF($U207="Draw",$H207,0)))</f>
        <v/>
      </c>
      <c r="S207" s="349">
        <f>IF($A207="","",IF($U207="Subscription","",IF($U207="Disqualified",$H207,0)))</f>
        <v/>
      </c>
      <c r="T207" s="380">
        <f>IF($A207="","",IF($U207="Subscription","",IF($H207=0,IF($U207="Profit","N/A",0),IF($U207="Profit",$Q207/$H207,IF($U207="Disqualified",-1,0)))))</f>
        <v/>
      </c>
      <c r="U207" s="351">
        <f>IF($A207="","",IF(OR(LOWER($D207&amp;"")="n/a",ISNUMBER(SEARCH("subscription",LOWER($A207&amp;" "&amp;$M207&amp;""))),ISNUMBER(SEARCH("membership",LOWER($A207&amp;" "&amp;$M207&amp;"")))),"Subscription",IF(LOWER($L207&amp;"")="yes","Disqualified",IF($P207&gt;$H207,"Profit","Draw"))))</f>
        <v/>
      </c>
      <c r="V207" s="383">
        <f>IF(OR($A207="",$B207="",$C207="",$U207="Subscription"),"",IFERROR(ROUNDUP((IF(ISNUMBER($C207),$C207,DATEVALUE($C207))-IF(ISNUMBER($B207),$B207,DATEVALUE($B207)))/7,0),""))</f>
        <v/>
      </c>
      <c r="W207" s="351">
        <f>IF($U207="Subscription","",$Q207-$S207)</f>
        <v/>
      </c>
      <c r="X207" s="384">
        <f>IF(OR($A207="",$U207="Subscription",$J207="",$I207="",$J207=0,$I207=0,$I207&gt;$J207),"",$J207-$I207)</f>
        <v/>
      </c>
      <c r="Y207" s="381">
        <f>IF(OR($A207="",$U207="Subscription",$J207="",$J207=0,$X207=""),"",$X207/$J207)</f>
        <v/>
      </c>
    </row>
    <row r="208" ht="21" customHeight="1" s="270">
      <c r="A208" s="297" t="n"/>
      <c r="B208" s="298" t="n"/>
      <c r="C208" s="298" t="n"/>
      <c r="D208" s="297" t="n"/>
      <c r="E208" s="349" t="n"/>
      <c r="F208" s="349" t="n"/>
      <c r="G208" s="349" t="n"/>
      <c r="H208" s="349" t="n"/>
      <c r="I208" s="382" t="n"/>
      <c r="J208" s="383" t="n"/>
      <c r="K208" s="351" t="n"/>
      <c r="L208" s="296" t="n"/>
      <c r="M208" s="349" t="n"/>
      <c r="N208" s="349">
        <f>IF($A208="","",IF(OR(LOWER($D208&amp;"")="n/a",ISNUMBER(SEARCH("subscription",LOWER($A208&amp;" "&amp;$M208&amp;""))),ISNUMBER(SEARCH("membership",LOWER($A208&amp;" "&amp;$M208&amp;"")))),"",IF($G208="","",IF(ISNUMBER(SEARCH("non",LOWER($E208&amp;""))),$G208*0.85,$G208))))</f>
        <v/>
      </c>
      <c r="O208" s="349">
        <f>IF($A208="","",IF(OR(LOWER($D208&amp;"")="n/a",ISNUMBER(SEARCH("subscription",LOWER($A208&amp;" "&amp;$M208&amp;""))),ISNUMBER(SEARCH("membership",LOWER($A208&amp;" "&amp;$M208&amp;"")))),"",IF(OR($N208="",$I208="",$I208=0),"",$N208/$I208)))</f>
        <v/>
      </c>
      <c r="P208" s="349">
        <f>IF($A208="","",IF(OR(LOWER($D208&amp;"")="n/a",ISNUMBER(SEARCH("subscription",LOWER($A208&amp;" "&amp;$M208&amp;""))),ISNUMBER(SEARCH("membership",LOWER($A208&amp;" "&amp;$M208&amp;"")))),"",IF(LOWER($L208&amp;"")="yes",0,IF($K208&lt;&gt;"",$K208,IF($O208&lt;&gt;"",$O208,"")))))</f>
        <v/>
      </c>
      <c r="Q208" s="351">
        <f>IF($A208="","",IF($U208="Subscription","",IF($U208="Profit",$P208-$H208,0)))</f>
        <v/>
      </c>
      <c r="R208" s="349">
        <f>IF($A208="","",IF($U208="Subscription","",IF($U208="Draw",$H208,0)))</f>
        <v/>
      </c>
      <c r="S208" s="349">
        <f>IF($A208="","",IF($U208="Subscription","",IF($U208="Disqualified",$H208,0)))</f>
        <v/>
      </c>
      <c r="T208" s="380">
        <f>IF($A208="","",IF($U208="Subscription","",IF($H208=0,IF($U208="Profit","N/A",0),IF($U208="Profit",$Q208/$H208,IF($U208="Disqualified",-1,0)))))</f>
        <v/>
      </c>
      <c r="U208" s="351">
        <f>IF($A208="","",IF(OR(LOWER($D208&amp;"")="n/a",ISNUMBER(SEARCH("subscription",LOWER($A208&amp;" "&amp;$M208&amp;""))),ISNUMBER(SEARCH("membership",LOWER($A208&amp;" "&amp;$M208&amp;"")))),"Subscription",IF(LOWER($L208&amp;"")="yes","Disqualified",IF($P208&gt;$H208,"Profit","Draw"))))</f>
        <v/>
      </c>
      <c r="V208" s="383">
        <f>IF(OR($A208="",$B208="",$C208="",$U208="Subscription"),"",IFERROR(ROUNDUP((IF(ISNUMBER($C208),$C208,DATEVALUE($C208))-IF(ISNUMBER($B208),$B208,DATEVALUE($B208)))/7,0),""))</f>
        <v/>
      </c>
      <c r="W208" s="351">
        <f>IF($U208="Subscription","",$Q208-$S208)</f>
        <v/>
      </c>
      <c r="X208" s="384">
        <f>IF(OR($A208="",$U208="Subscription",$J208="",$I208="",$J208=0,$I208=0,$I208&gt;$J208),"",$J208-$I208)</f>
        <v/>
      </c>
      <c r="Y208" s="381">
        <f>IF(OR($A208="",$U208="Subscription",$J208="",$J208=0,$X208=""),"",$X208/$J208)</f>
        <v/>
      </c>
    </row>
    <row r="209" ht="21" customHeight="1" s="270">
      <c r="A209" s="297" t="n"/>
      <c r="B209" s="298" t="n"/>
      <c r="C209" s="298" t="n"/>
      <c r="D209" s="297" t="n"/>
      <c r="E209" s="349" t="n"/>
      <c r="F209" s="349" t="n"/>
      <c r="G209" s="349" t="n"/>
      <c r="H209" s="349" t="n"/>
      <c r="I209" s="382" t="n"/>
      <c r="J209" s="383" t="n"/>
      <c r="K209" s="351" t="n"/>
      <c r="L209" s="296" t="n"/>
      <c r="M209" s="349" t="n"/>
      <c r="N209" s="349">
        <f>IF($A209="","",IF(OR(LOWER($D209&amp;"")="n/a",ISNUMBER(SEARCH("subscription",LOWER($A209&amp;" "&amp;$M209&amp;""))),ISNUMBER(SEARCH("membership",LOWER($A209&amp;" "&amp;$M209&amp;"")))),"",IF($G209="","",IF(ISNUMBER(SEARCH("non",LOWER($E209&amp;""))),$G209*0.85,$G209))))</f>
        <v/>
      </c>
      <c r="O209" s="349">
        <f>IF($A209="","",IF(OR(LOWER($D209&amp;"")="n/a",ISNUMBER(SEARCH("subscription",LOWER($A209&amp;" "&amp;$M209&amp;""))),ISNUMBER(SEARCH("membership",LOWER($A209&amp;" "&amp;$M209&amp;"")))),"",IF(OR($N209="",$I209="",$I209=0),"",$N209/$I209)))</f>
        <v/>
      </c>
      <c r="P209" s="349">
        <f>IF($A209="","",IF(OR(LOWER($D209&amp;"")="n/a",ISNUMBER(SEARCH("subscription",LOWER($A209&amp;" "&amp;$M209&amp;""))),ISNUMBER(SEARCH("membership",LOWER($A209&amp;" "&amp;$M209&amp;"")))),"",IF(LOWER($L209&amp;"")="yes",0,IF($K209&lt;&gt;"",$K209,IF($O209&lt;&gt;"",$O209,"")))))</f>
        <v/>
      </c>
      <c r="Q209" s="351">
        <f>IF($A209="","",IF($U209="Subscription","",IF($U209="Profit",$P209-$H209,0)))</f>
        <v/>
      </c>
      <c r="R209" s="349">
        <f>IF($A209="","",IF($U209="Subscription","",IF($U209="Draw",$H209,0)))</f>
        <v/>
      </c>
      <c r="S209" s="349">
        <f>IF($A209="","",IF($U209="Subscription","",IF($U209="Disqualified",$H209,0)))</f>
        <v/>
      </c>
      <c r="T209" s="380">
        <f>IF($A209="","",IF($U209="Subscription","",IF($H209=0,IF($U209="Profit","N/A",0),IF($U209="Profit",$Q209/$H209,IF($U209="Disqualified",-1,0)))))</f>
        <v/>
      </c>
      <c r="U209" s="351">
        <f>IF($A209="","",IF(OR(LOWER($D209&amp;"")="n/a",ISNUMBER(SEARCH("subscription",LOWER($A209&amp;" "&amp;$M209&amp;""))),ISNUMBER(SEARCH("membership",LOWER($A209&amp;" "&amp;$M209&amp;"")))),"Subscription",IF(LOWER($L209&amp;"")="yes","Disqualified",IF($P209&gt;$H209,"Profit","Draw"))))</f>
        <v/>
      </c>
      <c r="V209" s="383">
        <f>IF(OR($A209="",$B209="",$C209="",$U209="Subscription"),"",IFERROR(ROUNDUP((IF(ISNUMBER($C209),$C209,DATEVALUE($C209))-IF(ISNUMBER($B209),$B209,DATEVALUE($B209)))/7,0),""))</f>
        <v/>
      </c>
      <c r="W209" s="351">
        <f>IF($U209="Subscription","",$Q209-$S209)</f>
        <v/>
      </c>
      <c r="X209" s="384">
        <f>IF(OR($A209="",$U209="Subscription",$J209="",$I209="",$J209=0,$I209=0,$I209&gt;$J209),"",$J209-$I209)</f>
        <v/>
      </c>
      <c r="Y209" s="381">
        <f>IF(OR($A209="",$U209="Subscription",$J209="",$J209=0,$X209=""),"",$X209/$J209)</f>
        <v/>
      </c>
    </row>
    <row r="210" ht="21" customHeight="1" s="270">
      <c r="A210" s="297" t="n"/>
      <c r="B210" s="298" t="n"/>
      <c r="C210" s="298" t="n"/>
      <c r="D210" s="297" t="n"/>
      <c r="E210" s="349" t="n"/>
      <c r="F210" s="349" t="n"/>
      <c r="G210" s="349" t="n"/>
      <c r="H210" s="349" t="n"/>
      <c r="I210" s="382" t="n"/>
      <c r="J210" s="383" t="n"/>
      <c r="K210" s="351" t="n"/>
      <c r="L210" s="296" t="n"/>
      <c r="M210" s="349" t="n"/>
      <c r="N210" s="349">
        <f>IF($A210="","",IF(OR(LOWER($D210&amp;"")="n/a",ISNUMBER(SEARCH("subscription",LOWER($A210&amp;" "&amp;$M210&amp;""))),ISNUMBER(SEARCH("membership",LOWER($A210&amp;" "&amp;$M210&amp;"")))),"",IF($G210="","",IF(ISNUMBER(SEARCH("non",LOWER($E210&amp;""))),$G210*0.85,$G210))))</f>
        <v/>
      </c>
      <c r="O210" s="349">
        <f>IF($A210="","",IF(OR(LOWER($D210&amp;"")="n/a",ISNUMBER(SEARCH("subscription",LOWER($A210&amp;" "&amp;$M210&amp;""))),ISNUMBER(SEARCH("membership",LOWER($A210&amp;" "&amp;$M210&amp;"")))),"",IF(OR($N210="",$I210="",$I210=0),"",$N210/$I210)))</f>
        <v/>
      </c>
      <c r="P210" s="349">
        <f>IF($A210="","",IF(OR(LOWER($D210&amp;"")="n/a",ISNUMBER(SEARCH("subscription",LOWER($A210&amp;" "&amp;$M210&amp;""))),ISNUMBER(SEARCH("membership",LOWER($A210&amp;" "&amp;$M210&amp;"")))),"",IF(LOWER($L210&amp;"")="yes",0,IF($K210&lt;&gt;"",$K210,IF($O210&lt;&gt;"",$O210,"")))))</f>
        <v/>
      </c>
      <c r="Q210" s="351">
        <f>IF($A210="","",IF($U210="Subscription","",IF($U210="Profit",$P210-$H210,0)))</f>
        <v/>
      </c>
      <c r="R210" s="349">
        <f>IF($A210="","",IF($U210="Subscription","",IF($U210="Draw",$H210,0)))</f>
        <v/>
      </c>
      <c r="S210" s="349">
        <f>IF($A210="","",IF($U210="Subscription","",IF($U210="Disqualified",$H210,0)))</f>
        <v/>
      </c>
      <c r="T210" s="380">
        <f>IF($A210="","",IF($U210="Subscription","",IF($H210=0,IF($U210="Profit","N/A",0),IF($U210="Profit",$Q210/$H210,IF($U210="Disqualified",-1,0)))))</f>
        <v/>
      </c>
      <c r="U210" s="351">
        <f>IF($A210="","",IF(OR(LOWER($D210&amp;"")="n/a",ISNUMBER(SEARCH("subscription",LOWER($A210&amp;" "&amp;$M210&amp;""))),ISNUMBER(SEARCH("membership",LOWER($A210&amp;" "&amp;$M210&amp;"")))),"Subscription",IF(LOWER($L210&amp;"")="yes","Disqualified",IF($P210&gt;$H210,"Profit","Draw"))))</f>
        <v/>
      </c>
      <c r="V210" s="383">
        <f>IF(OR($A210="",$B210="",$C210="",$U210="Subscription"),"",IFERROR(ROUNDUP((IF(ISNUMBER($C210),$C210,DATEVALUE($C210))-IF(ISNUMBER($B210),$B210,DATEVALUE($B210)))/7,0),""))</f>
        <v/>
      </c>
      <c r="W210" s="351">
        <f>IF($U210="Subscription","",$Q210-$S210)</f>
        <v/>
      </c>
      <c r="X210" s="384">
        <f>IF(OR($A210="",$U210="Subscription",$J210="",$I210="",$J210=0,$I210=0,$I210&gt;$J210),"",$J210-$I210)</f>
        <v/>
      </c>
      <c r="Y210" s="381">
        <f>IF(OR($A210="",$U210="Subscription",$J210="",$J210=0,$X210=""),"",$X210/$J210)</f>
        <v/>
      </c>
    </row>
    <row r="211" ht="21" customHeight="1" s="270">
      <c r="A211" s="297" t="n"/>
      <c r="B211" s="298" t="n"/>
      <c r="C211" s="298" t="n"/>
      <c r="D211" s="297" t="n"/>
      <c r="E211" s="349" t="n"/>
      <c r="F211" s="349" t="n"/>
      <c r="G211" s="349" t="n"/>
      <c r="H211" s="349" t="n"/>
      <c r="I211" s="382" t="n"/>
      <c r="J211" s="383" t="n"/>
      <c r="K211" s="351" t="n"/>
      <c r="L211" s="296" t="n"/>
      <c r="M211" s="349" t="n"/>
      <c r="N211" s="349">
        <f>IF($A211="","",IF(OR(LOWER($D211&amp;"")="n/a",ISNUMBER(SEARCH("subscription",LOWER($A211&amp;" "&amp;$M211&amp;""))),ISNUMBER(SEARCH("membership",LOWER($A211&amp;" "&amp;$M211&amp;"")))),"",IF($G211="","",IF(ISNUMBER(SEARCH("non",LOWER($E211&amp;""))),$G211*0.85,$G211))))</f>
        <v/>
      </c>
      <c r="O211" s="349">
        <f>IF($A211="","",IF(OR(LOWER($D211&amp;"")="n/a",ISNUMBER(SEARCH("subscription",LOWER($A211&amp;" "&amp;$M211&amp;""))),ISNUMBER(SEARCH("membership",LOWER($A211&amp;" "&amp;$M211&amp;"")))),"",IF(OR($N211="",$I211="",$I211=0),"",$N211/$I211)))</f>
        <v/>
      </c>
      <c r="P211" s="349">
        <f>IF($A211="","",IF(OR(LOWER($D211&amp;"")="n/a",ISNUMBER(SEARCH("subscription",LOWER($A211&amp;" "&amp;$M211&amp;""))),ISNUMBER(SEARCH("membership",LOWER($A211&amp;" "&amp;$M211&amp;"")))),"",IF(LOWER($L211&amp;"")="yes",0,IF($K211&lt;&gt;"",$K211,IF($O211&lt;&gt;"",$O211,"")))))</f>
        <v/>
      </c>
      <c r="Q211" s="351">
        <f>IF($A211="","",IF($U211="Subscription","",IF($U211="Profit",$P211-$H211,0)))</f>
        <v/>
      </c>
      <c r="R211" s="349">
        <f>IF($A211="","",IF($U211="Subscription","",IF($U211="Draw",$H211,0)))</f>
        <v/>
      </c>
      <c r="S211" s="349">
        <f>IF($A211="","",IF($U211="Subscription","",IF($U211="Disqualified",$H211,0)))</f>
        <v/>
      </c>
      <c r="T211" s="380">
        <f>IF($A211="","",IF($U211="Subscription","",IF($H211=0,IF($U211="Profit","N/A",0),IF($U211="Profit",$Q211/$H211,IF($U211="Disqualified",-1,0)))))</f>
        <v/>
      </c>
      <c r="U211" s="351">
        <f>IF($A211="","",IF(OR(LOWER($D211&amp;"")="n/a",ISNUMBER(SEARCH("subscription",LOWER($A211&amp;" "&amp;$M211&amp;""))),ISNUMBER(SEARCH("membership",LOWER($A211&amp;" "&amp;$M211&amp;"")))),"Subscription",IF(LOWER($L211&amp;"")="yes","Disqualified",IF($P211&gt;$H211,"Profit","Draw"))))</f>
        <v/>
      </c>
      <c r="V211" s="383">
        <f>IF(OR($A211="",$B211="",$C211="",$U211="Subscription"),"",IFERROR(ROUNDUP((IF(ISNUMBER($C211),$C211,DATEVALUE($C211))-IF(ISNUMBER($B211),$B211,DATEVALUE($B211)))/7,0),""))</f>
        <v/>
      </c>
      <c r="W211" s="351">
        <f>IF($U211="Subscription","",$Q211-$S211)</f>
        <v/>
      </c>
      <c r="X211" s="384">
        <f>IF(OR($A211="",$U211="Subscription",$J211="",$I211="",$J211=0,$I211=0,$I211&gt;$J211),"",$J211-$I211)</f>
        <v/>
      </c>
      <c r="Y211" s="381">
        <f>IF(OR($A211="",$U211="Subscription",$J211="",$J211=0,$X211=""),"",$X211/$J211)</f>
        <v/>
      </c>
    </row>
    <row r="212" ht="21" customHeight="1" s="270">
      <c r="A212" s="297" t="n"/>
      <c r="B212" s="298" t="n"/>
      <c r="C212" s="298" t="n"/>
      <c r="D212" s="297" t="n"/>
      <c r="E212" s="349" t="n"/>
      <c r="F212" s="349" t="n"/>
      <c r="G212" s="349" t="n"/>
      <c r="H212" s="349" t="n"/>
      <c r="I212" s="382" t="n"/>
      <c r="J212" s="383" t="n"/>
      <c r="K212" s="351" t="n"/>
      <c r="L212" s="296" t="n"/>
      <c r="M212" s="349" t="n"/>
      <c r="N212" s="349">
        <f>IF($A212="","",IF(OR(LOWER($D212&amp;"")="n/a",ISNUMBER(SEARCH("subscription",LOWER($A212&amp;" "&amp;$M212&amp;""))),ISNUMBER(SEARCH("membership",LOWER($A212&amp;" "&amp;$M212&amp;"")))),"",IF($G212="","",IF(ISNUMBER(SEARCH("non",LOWER($E212&amp;""))),$G212*0.85,$G212))))</f>
        <v/>
      </c>
      <c r="O212" s="349">
        <f>IF($A212="","",IF(OR(LOWER($D212&amp;"")="n/a",ISNUMBER(SEARCH("subscription",LOWER($A212&amp;" "&amp;$M212&amp;""))),ISNUMBER(SEARCH("membership",LOWER($A212&amp;" "&amp;$M212&amp;"")))),"",IF(OR($N212="",$I212="",$I212=0),"",$N212/$I212)))</f>
        <v/>
      </c>
      <c r="P212" s="349">
        <f>IF($A212="","",IF(OR(LOWER($D212&amp;"")="n/a",ISNUMBER(SEARCH("subscription",LOWER($A212&amp;" "&amp;$M212&amp;""))),ISNUMBER(SEARCH("membership",LOWER($A212&amp;" "&amp;$M212&amp;"")))),"",IF(LOWER($L212&amp;"")="yes",0,IF($K212&lt;&gt;"",$K212,IF($O212&lt;&gt;"",$O212,"")))))</f>
        <v/>
      </c>
      <c r="Q212" s="351">
        <f>IF($A212="","",IF($U212="Subscription","",IF($U212="Profit",$P212-$H212,0)))</f>
        <v/>
      </c>
      <c r="R212" s="349">
        <f>IF($A212="","",IF($U212="Subscription","",IF($U212="Draw",$H212,0)))</f>
        <v/>
      </c>
      <c r="S212" s="349">
        <f>IF($A212="","",IF($U212="Subscription","",IF($U212="Disqualified",$H212,0)))</f>
        <v/>
      </c>
      <c r="T212" s="380">
        <f>IF($A212="","",IF($U212="Subscription","",IF($H212=0,IF($U212="Profit","N/A",0),IF($U212="Profit",$Q212/$H212,IF($U212="Disqualified",-1,0)))))</f>
        <v/>
      </c>
      <c r="U212" s="351">
        <f>IF($A212="","",IF(OR(LOWER($D212&amp;"")="n/a",ISNUMBER(SEARCH("subscription",LOWER($A212&amp;" "&amp;$M212&amp;""))),ISNUMBER(SEARCH("membership",LOWER($A212&amp;" "&amp;$M212&amp;"")))),"Subscription",IF(LOWER($L212&amp;"")="yes","Disqualified",IF($P212&gt;$H212,"Profit","Draw"))))</f>
        <v/>
      </c>
      <c r="V212" s="383">
        <f>IF(OR($A212="",$B212="",$C212="",$U212="Subscription"),"",IFERROR(ROUNDUP((IF(ISNUMBER($C212),$C212,DATEVALUE($C212))-IF(ISNUMBER($B212),$B212,DATEVALUE($B212)))/7,0),""))</f>
        <v/>
      </c>
      <c r="W212" s="351">
        <f>IF($U212="Subscription","",$Q212-$S212)</f>
        <v/>
      </c>
      <c r="X212" s="384">
        <f>IF(OR($A212="",$U212="Subscription",$J212="",$I212="",$J212=0,$I212=0,$I212&gt;$J212),"",$J212-$I212)</f>
        <v/>
      </c>
      <c r="Y212" s="381">
        <f>IF(OR($A212="",$U212="Subscription",$J212="",$J212=0,$X212=""),"",$X212/$J212)</f>
        <v/>
      </c>
    </row>
    <row r="213" ht="21" customHeight="1" s="270">
      <c r="A213" s="297" t="n"/>
      <c r="B213" s="298" t="n"/>
      <c r="C213" s="298" t="n"/>
      <c r="D213" s="297" t="n"/>
      <c r="E213" s="349" t="n"/>
      <c r="F213" s="349" t="n"/>
      <c r="G213" s="349" t="n"/>
      <c r="H213" s="349" t="n"/>
      <c r="I213" s="382" t="n"/>
      <c r="J213" s="383" t="n"/>
      <c r="K213" s="351" t="n"/>
      <c r="L213" s="296" t="n"/>
      <c r="M213" s="349" t="n"/>
      <c r="N213" s="349">
        <f>IF($A213="","",IF(OR(LOWER($D213&amp;"")="n/a",ISNUMBER(SEARCH("subscription",LOWER($A213&amp;" "&amp;$M213&amp;""))),ISNUMBER(SEARCH("membership",LOWER($A213&amp;" "&amp;$M213&amp;"")))),"",IF($G213="","",IF(ISNUMBER(SEARCH("non",LOWER($E213&amp;""))),$G213*0.85,$G213))))</f>
        <v/>
      </c>
      <c r="O213" s="349">
        <f>IF($A213="","",IF(OR(LOWER($D213&amp;"")="n/a",ISNUMBER(SEARCH("subscription",LOWER($A213&amp;" "&amp;$M213&amp;""))),ISNUMBER(SEARCH("membership",LOWER($A213&amp;" "&amp;$M213&amp;"")))),"",IF(OR($N213="",$I213="",$I213=0),"",$N213/$I213)))</f>
        <v/>
      </c>
      <c r="P213" s="349">
        <f>IF($A213="","",IF(OR(LOWER($D213&amp;"")="n/a",ISNUMBER(SEARCH("subscription",LOWER($A213&amp;" "&amp;$M213&amp;""))),ISNUMBER(SEARCH("membership",LOWER($A213&amp;" "&amp;$M213&amp;"")))),"",IF(LOWER($L213&amp;"")="yes",0,IF($K213&lt;&gt;"",$K213,IF($O213&lt;&gt;"",$O213,"")))))</f>
        <v/>
      </c>
      <c r="Q213" s="351">
        <f>IF($A213="","",IF($U213="Subscription","",IF($U213="Profit",$P213-$H213,0)))</f>
        <v/>
      </c>
      <c r="R213" s="349">
        <f>IF($A213="","",IF($U213="Subscription","",IF($U213="Draw",$H213,0)))</f>
        <v/>
      </c>
      <c r="S213" s="349">
        <f>IF($A213="","",IF($U213="Subscription","",IF($U213="Disqualified",$H213,0)))</f>
        <v/>
      </c>
      <c r="T213" s="380">
        <f>IF($A213="","",IF($U213="Subscription","",IF($H213=0,IF($U213="Profit","N/A",0),IF($U213="Profit",$Q213/$H213,IF($U213="Disqualified",-1,0)))))</f>
        <v/>
      </c>
      <c r="U213" s="351">
        <f>IF($A213="","",IF(OR(LOWER($D213&amp;"")="n/a",ISNUMBER(SEARCH("subscription",LOWER($A213&amp;" "&amp;$M213&amp;""))),ISNUMBER(SEARCH("membership",LOWER($A213&amp;" "&amp;$M213&amp;"")))),"Subscription",IF(LOWER($L213&amp;"")="yes","Disqualified",IF($P213&gt;$H213,"Profit","Draw"))))</f>
        <v/>
      </c>
      <c r="V213" s="383">
        <f>IF(OR($A213="",$B213="",$C213="",$U213="Subscription"),"",IFERROR(ROUNDUP((IF(ISNUMBER($C213),$C213,DATEVALUE($C213))-IF(ISNUMBER($B213),$B213,DATEVALUE($B213)))/7,0),""))</f>
        <v/>
      </c>
      <c r="W213" s="351">
        <f>IF($U213="Subscription","",$Q213-$S213)</f>
        <v/>
      </c>
      <c r="X213" s="384">
        <f>IF(OR($A213="",$U213="Subscription",$J213="",$I213="",$J213=0,$I213=0,$I213&gt;$J213),"",$J213-$I213)</f>
        <v/>
      </c>
      <c r="Y213" s="381">
        <f>IF(OR($A213="",$U213="Subscription",$J213="",$J213=0,$X213=""),"",$X213/$J213)</f>
        <v/>
      </c>
    </row>
    <row r="214" ht="21" customHeight="1" s="270">
      <c r="A214" s="297" t="n"/>
      <c r="B214" s="298" t="n"/>
      <c r="C214" s="298" t="n"/>
      <c r="D214" s="297" t="n"/>
      <c r="E214" s="349" t="n"/>
      <c r="F214" s="349" t="n"/>
      <c r="G214" s="349" t="n"/>
      <c r="H214" s="349" t="n"/>
      <c r="I214" s="382" t="n"/>
      <c r="J214" s="383" t="n"/>
      <c r="K214" s="351" t="n"/>
      <c r="L214" s="296" t="n"/>
      <c r="M214" s="349" t="n"/>
      <c r="N214" s="349">
        <f>IF($A214="","",IF(OR(LOWER($D214&amp;"")="n/a",ISNUMBER(SEARCH("subscription",LOWER($A214&amp;" "&amp;$M214&amp;""))),ISNUMBER(SEARCH("membership",LOWER($A214&amp;" "&amp;$M214&amp;"")))),"",IF($G214="","",IF(ISNUMBER(SEARCH("non",LOWER($E214&amp;""))),$G214*0.85,$G214))))</f>
        <v/>
      </c>
      <c r="O214" s="349">
        <f>IF($A214="","",IF(OR(LOWER($D214&amp;"")="n/a",ISNUMBER(SEARCH("subscription",LOWER($A214&amp;" "&amp;$M214&amp;""))),ISNUMBER(SEARCH("membership",LOWER($A214&amp;" "&amp;$M214&amp;"")))),"",IF(OR($N214="",$I214="",$I214=0),"",$N214/$I214)))</f>
        <v/>
      </c>
      <c r="P214" s="349">
        <f>IF($A214="","",IF(OR(LOWER($D214&amp;"")="n/a",ISNUMBER(SEARCH("subscription",LOWER($A214&amp;" "&amp;$M214&amp;""))),ISNUMBER(SEARCH("membership",LOWER($A214&amp;" "&amp;$M214&amp;"")))),"",IF(LOWER($L214&amp;"")="yes",0,IF($K214&lt;&gt;"",$K214,IF($O214&lt;&gt;"",$O214,"")))))</f>
        <v/>
      </c>
      <c r="Q214" s="351">
        <f>IF($A214="","",IF($U214="Subscription","",IF($U214="Profit",$P214-$H214,0)))</f>
        <v/>
      </c>
      <c r="R214" s="349">
        <f>IF($A214="","",IF($U214="Subscription","",IF($U214="Draw",$H214,0)))</f>
        <v/>
      </c>
      <c r="S214" s="349">
        <f>IF($A214="","",IF($U214="Subscription","",IF($U214="Disqualified",$H214,0)))</f>
        <v/>
      </c>
      <c r="T214" s="380">
        <f>IF($A214="","",IF($U214="Subscription","",IF($H214=0,IF($U214="Profit","N/A",0),IF($U214="Profit",$Q214/$H214,IF($U214="Disqualified",-1,0)))))</f>
        <v/>
      </c>
      <c r="U214" s="351">
        <f>IF($A214="","",IF(OR(LOWER($D214&amp;"")="n/a",ISNUMBER(SEARCH("subscription",LOWER($A214&amp;" "&amp;$M214&amp;""))),ISNUMBER(SEARCH("membership",LOWER($A214&amp;" "&amp;$M214&amp;"")))),"Subscription",IF(LOWER($L214&amp;"")="yes","Disqualified",IF($P214&gt;$H214,"Profit","Draw"))))</f>
        <v/>
      </c>
      <c r="V214" s="383">
        <f>IF(OR($A214="",$B214="",$C214="",$U214="Subscription"),"",IFERROR(ROUNDUP((IF(ISNUMBER($C214),$C214,DATEVALUE($C214))-IF(ISNUMBER($B214),$B214,DATEVALUE($B214)))/7,0),""))</f>
        <v/>
      </c>
      <c r="W214" s="351">
        <f>IF($U214="Subscription","",$Q214-$S214)</f>
        <v/>
      </c>
      <c r="X214" s="384">
        <f>IF(OR($A214="",$U214="Subscription",$J214="",$I214="",$J214=0,$I214=0,$I214&gt;$J214),"",$J214-$I214)</f>
        <v/>
      </c>
      <c r="Y214" s="381">
        <f>IF(OR($A214="",$U214="Subscription",$J214="",$J214=0,$X214=""),"",$X214/$J214)</f>
        <v/>
      </c>
    </row>
    <row r="215" ht="21" customHeight="1" s="270">
      <c r="A215" s="297" t="n"/>
      <c r="B215" s="298" t="n"/>
      <c r="C215" s="298" t="n"/>
      <c r="D215" s="297" t="n"/>
      <c r="E215" s="349" t="n"/>
      <c r="F215" s="349" t="n"/>
      <c r="G215" s="349" t="n"/>
      <c r="H215" s="349" t="n"/>
      <c r="I215" s="382" t="n"/>
      <c r="J215" s="383" t="n"/>
      <c r="K215" s="351" t="n"/>
      <c r="L215" s="296" t="n"/>
      <c r="M215" s="349" t="n"/>
      <c r="N215" s="349">
        <f>IF($A215="","",IF(OR(LOWER($D215&amp;"")="n/a",ISNUMBER(SEARCH("subscription",LOWER($A215&amp;" "&amp;$M215&amp;""))),ISNUMBER(SEARCH("membership",LOWER($A215&amp;" "&amp;$M215&amp;"")))),"",IF($G215="","",IF(ISNUMBER(SEARCH("non",LOWER($E215&amp;""))),$G215*0.85,$G215))))</f>
        <v/>
      </c>
      <c r="O215" s="349">
        <f>IF($A215="","",IF(OR(LOWER($D215&amp;"")="n/a",ISNUMBER(SEARCH("subscription",LOWER($A215&amp;" "&amp;$M215&amp;""))),ISNUMBER(SEARCH("membership",LOWER($A215&amp;" "&amp;$M215&amp;"")))),"",IF(OR($N215="",$I215="",$I215=0),"",$N215/$I215)))</f>
        <v/>
      </c>
      <c r="P215" s="349">
        <f>IF($A215="","",IF(OR(LOWER($D215&amp;"")="n/a",ISNUMBER(SEARCH("subscription",LOWER($A215&amp;" "&amp;$M215&amp;""))),ISNUMBER(SEARCH("membership",LOWER($A215&amp;" "&amp;$M215&amp;"")))),"",IF(LOWER($L215&amp;"")="yes",0,IF($K215&lt;&gt;"",$K215,IF($O215&lt;&gt;"",$O215,"")))))</f>
        <v/>
      </c>
      <c r="Q215" s="351">
        <f>IF($A215="","",IF($U215="Subscription","",IF($U215="Profit",$P215-$H215,0)))</f>
        <v/>
      </c>
      <c r="R215" s="349">
        <f>IF($A215="","",IF($U215="Subscription","",IF($U215="Draw",$H215,0)))</f>
        <v/>
      </c>
      <c r="S215" s="349">
        <f>IF($A215="","",IF($U215="Subscription","",IF($U215="Disqualified",$H215,0)))</f>
        <v/>
      </c>
      <c r="T215" s="380">
        <f>IF($A215="","",IF($U215="Subscription","",IF($H215=0,IF($U215="Profit","N/A",0),IF($U215="Profit",$Q215/$H215,IF($U215="Disqualified",-1,0)))))</f>
        <v/>
      </c>
      <c r="U215" s="351">
        <f>IF($A215="","",IF(OR(LOWER($D215&amp;"")="n/a",ISNUMBER(SEARCH("subscription",LOWER($A215&amp;" "&amp;$M215&amp;""))),ISNUMBER(SEARCH("membership",LOWER($A215&amp;" "&amp;$M215&amp;"")))),"Subscription",IF(LOWER($L215&amp;"")="yes","Disqualified",IF($P215&gt;$H215,"Profit","Draw"))))</f>
        <v/>
      </c>
      <c r="V215" s="383">
        <f>IF(OR($A215="",$B215="",$C215="",$U215="Subscription"),"",IFERROR(ROUNDUP((IF(ISNUMBER($C215),$C215,DATEVALUE($C215))-IF(ISNUMBER($B215),$B215,DATEVALUE($B215)))/7,0),""))</f>
        <v/>
      </c>
      <c r="W215" s="351">
        <f>IF($U215="Subscription","",$Q215-$S215)</f>
        <v/>
      </c>
      <c r="X215" s="384">
        <f>IF(OR($A215="",$U215="Subscription",$J215="",$I215="",$J215=0,$I215=0,$I215&gt;$J215),"",$J215-$I215)</f>
        <v/>
      </c>
      <c r="Y215" s="381">
        <f>IF(OR($A215="",$U215="Subscription",$J215="",$J215=0,$X215=""),"",$X215/$J215)</f>
        <v/>
      </c>
    </row>
    <row r="216" ht="21" customHeight="1" s="270">
      <c r="A216" s="297" t="n"/>
      <c r="B216" s="298" t="n"/>
      <c r="C216" s="298" t="n"/>
      <c r="D216" s="297" t="n"/>
      <c r="E216" s="349" t="n"/>
      <c r="F216" s="349" t="n"/>
      <c r="G216" s="349" t="n"/>
      <c r="H216" s="349" t="n"/>
      <c r="I216" s="382" t="n"/>
      <c r="J216" s="383" t="n"/>
      <c r="K216" s="351" t="n"/>
      <c r="L216" s="296" t="n"/>
      <c r="M216" s="349" t="n"/>
      <c r="N216" s="349">
        <f>IF($A216="","",IF(OR(LOWER($D216&amp;"")="n/a",ISNUMBER(SEARCH("subscription",LOWER($A216&amp;" "&amp;$M216&amp;""))),ISNUMBER(SEARCH("membership",LOWER($A216&amp;" "&amp;$M216&amp;"")))),"",IF($G216="","",IF(ISNUMBER(SEARCH("non",LOWER($E216&amp;""))),$G216*0.85,$G216))))</f>
        <v/>
      </c>
      <c r="O216" s="349">
        <f>IF($A216="","",IF(OR(LOWER($D216&amp;"")="n/a",ISNUMBER(SEARCH("subscription",LOWER($A216&amp;" "&amp;$M216&amp;""))),ISNUMBER(SEARCH("membership",LOWER($A216&amp;" "&amp;$M216&amp;"")))),"",IF(OR($N216="",$I216="",$I216=0),"",$N216/$I216)))</f>
        <v/>
      </c>
      <c r="P216" s="349">
        <f>IF($A216="","",IF(OR(LOWER($D216&amp;"")="n/a",ISNUMBER(SEARCH("subscription",LOWER($A216&amp;" "&amp;$M216&amp;""))),ISNUMBER(SEARCH("membership",LOWER($A216&amp;" "&amp;$M216&amp;"")))),"",IF(LOWER($L216&amp;"")="yes",0,IF($K216&lt;&gt;"",$K216,IF($O216&lt;&gt;"",$O216,"")))))</f>
        <v/>
      </c>
      <c r="Q216" s="351">
        <f>IF($A216="","",IF($U216="Subscription","",IF($U216="Profit",$P216-$H216,0)))</f>
        <v/>
      </c>
      <c r="R216" s="349">
        <f>IF($A216="","",IF($U216="Subscription","",IF($U216="Draw",$H216,0)))</f>
        <v/>
      </c>
      <c r="S216" s="349">
        <f>IF($A216="","",IF($U216="Subscription","",IF($U216="Disqualified",$H216,0)))</f>
        <v/>
      </c>
      <c r="T216" s="380">
        <f>IF($A216="","",IF($U216="Subscription","",IF($H216=0,IF($U216="Profit","N/A",0),IF($U216="Profit",$Q216/$H216,IF($U216="Disqualified",-1,0)))))</f>
        <v/>
      </c>
      <c r="U216" s="351">
        <f>IF($A216="","",IF(OR(LOWER($D216&amp;"")="n/a",ISNUMBER(SEARCH("subscription",LOWER($A216&amp;" "&amp;$M216&amp;""))),ISNUMBER(SEARCH("membership",LOWER($A216&amp;" "&amp;$M216&amp;"")))),"Subscription",IF(LOWER($L216&amp;"")="yes","Disqualified",IF($P216&gt;$H216,"Profit","Draw"))))</f>
        <v/>
      </c>
      <c r="V216" s="383">
        <f>IF(OR($A216="",$B216="",$C216="",$U216="Subscription"),"",IFERROR(ROUNDUP((IF(ISNUMBER($C216),$C216,DATEVALUE($C216))-IF(ISNUMBER($B216),$B216,DATEVALUE($B216)))/7,0),""))</f>
        <v/>
      </c>
      <c r="W216" s="351">
        <f>IF($U216="Subscription","",$Q216-$S216)</f>
        <v/>
      </c>
      <c r="X216" s="384">
        <f>IF(OR($A216="",$U216="Subscription",$J216="",$I216="",$J216=0,$I216=0,$I216&gt;$J216),"",$J216-$I216)</f>
        <v/>
      </c>
      <c r="Y216" s="381">
        <f>IF(OR($A216="",$U216="Subscription",$J216="",$J216=0,$X216=""),"",$X216/$J216)</f>
        <v/>
      </c>
    </row>
    <row r="217" ht="21" customHeight="1" s="270">
      <c r="A217" s="297" t="n"/>
      <c r="B217" s="298" t="n"/>
      <c r="C217" s="298" t="n"/>
      <c r="D217" s="297" t="n"/>
      <c r="E217" s="349" t="n"/>
      <c r="F217" s="349" t="n"/>
      <c r="G217" s="349" t="n"/>
      <c r="H217" s="349" t="n"/>
      <c r="I217" s="382" t="n"/>
      <c r="J217" s="383" t="n"/>
      <c r="K217" s="351" t="n"/>
      <c r="L217" s="296" t="n"/>
      <c r="M217" s="349" t="n"/>
      <c r="N217" s="349">
        <f>IF($A217="","",IF(OR(LOWER($D217&amp;"")="n/a",ISNUMBER(SEARCH("subscription",LOWER($A217&amp;" "&amp;$M217&amp;""))),ISNUMBER(SEARCH("membership",LOWER($A217&amp;" "&amp;$M217&amp;"")))),"",IF($G217="","",IF(ISNUMBER(SEARCH("non",LOWER($E217&amp;""))),$G217*0.85,$G217))))</f>
        <v/>
      </c>
      <c r="O217" s="349">
        <f>IF($A217="","",IF(OR(LOWER($D217&amp;"")="n/a",ISNUMBER(SEARCH("subscription",LOWER($A217&amp;" "&amp;$M217&amp;""))),ISNUMBER(SEARCH("membership",LOWER($A217&amp;" "&amp;$M217&amp;"")))),"",IF(OR($N217="",$I217="",$I217=0),"",$N217/$I217)))</f>
        <v/>
      </c>
      <c r="P217" s="349">
        <f>IF($A217="","",IF(OR(LOWER($D217&amp;"")="n/a",ISNUMBER(SEARCH("subscription",LOWER($A217&amp;" "&amp;$M217&amp;""))),ISNUMBER(SEARCH("membership",LOWER($A217&amp;" "&amp;$M217&amp;"")))),"",IF(LOWER($L217&amp;"")="yes",0,IF($K217&lt;&gt;"",$K217,IF($O217&lt;&gt;"",$O217,"")))))</f>
        <v/>
      </c>
      <c r="Q217" s="351">
        <f>IF($A217="","",IF($U217="Subscription","",IF($U217="Profit",$P217-$H217,0)))</f>
        <v/>
      </c>
      <c r="R217" s="349">
        <f>IF($A217="","",IF($U217="Subscription","",IF($U217="Draw",$H217,0)))</f>
        <v/>
      </c>
      <c r="S217" s="349">
        <f>IF($A217="","",IF($U217="Subscription","",IF($U217="Disqualified",$H217,0)))</f>
        <v/>
      </c>
      <c r="T217" s="380">
        <f>IF($A217="","",IF($U217="Subscription","",IF($H217=0,IF($U217="Profit","N/A",0),IF($U217="Profit",$Q217/$H217,IF($U217="Disqualified",-1,0)))))</f>
        <v/>
      </c>
      <c r="U217" s="351">
        <f>IF($A217="","",IF(OR(LOWER($D217&amp;"")="n/a",ISNUMBER(SEARCH("subscription",LOWER($A217&amp;" "&amp;$M217&amp;""))),ISNUMBER(SEARCH("membership",LOWER($A217&amp;" "&amp;$M217&amp;"")))),"Subscription",IF(LOWER($L217&amp;"")="yes","Disqualified",IF($P217&gt;$H217,"Profit","Draw"))))</f>
        <v/>
      </c>
      <c r="V217" s="383">
        <f>IF(OR($A217="",$B217="",$C217="",$U217="Subscription"),"",IFERROR(ROUNDUP((IF(ISNUMBER($C217),$C217,DATEVALUE($C217))-IF(ISNUMBER($B217),$B217,DATEVALUE($B217)))/7,0),""))</f>
        <v/>
      </c>
      <c r="W217" s="351">
        <f>IF($U217="Subscription","",$Q217-$S217)</f>
        <v/>
      </c>
      <c r="X217" s="384">
        <f>IF(OR($A217="",$U217="Subscription",$J217="",$I217="",$J217=0,$I217=0,$I217&gt;$J217),"",$J217-$I217)</f>
        <v/>
      </c>
      <c r="Y217" s="381">
        <f>IF(OR($A217="",$U217="Subscription",$J217="",$J217=0,$X217=""),"",$X217/$J217)</f>
        <v/>
      </c>
    </row>
    <row r="218" ht="21" customHeight="1" s="270">
      <c r="A218" s="297" t="n"/>
      <c r="B218" s="298" t="n"/>
      <c r="C218" s="298" t="n"/>
      <c r="D218" s="297" t="n"/>
      <c r="E218" s="349" t="n"/>
      <c r="F218" s="349" t="n"/>
      <c r="G218" s="349" t="n"/>
      <c r="H218" s="349" t="n"/>
      <c r="I218" s="382" t="n"/>
      <c r="J218" s="383" t="n"/>
      <c r="K218" s="351" t="n"/>
      <c r="L218" s="296" t="n"/>
      <c r="M218" s="349" t="n"/>
      <c r="N218" s="349">
        <f>IF($A218="","",IF(OR(LOWER($D218&amp;"")="n/a",ISNUMBER(SEARCH("subscription",LOWER($A218&amp;" "&amp;$M218&amp;""))),ISNUMBER(SEARCH("membership",LOWER($A218&amp;" "&amp;$M218&amp;"")))),"",IF($G218="","",IF(ISNUMBER(SEARCH("non",LOWER($E218&amp;""))),$G218*0.85,$G218))))</f>
        <v/>
      </c>
      <c r="O218" s="349">
        <f>IF($A218="","",IF(OR(LOWER($D218&amp;"")="n/a",ISNUMBER(SEARCH("subscription",LOWER($A218&amp;" "&amp;$M218&amp;""))),ISNUMBER(SEARCH("membership",LOWER($A218&amp;" "&amp;$M218&amp;"")))),"",IF(OR($N218="",$I218="",$I218=0),"",$N218/$I218)))</f>
        <v/>
      </c>
      <c r="P218" s="349">
        <f>IF($A218="","",IF(OR(LOWER($D218&amp;"")="n/a",ISNUMBER(SEARCH("subscription",LOWER($A218&amp;" "&amp;$M218&amp;""))),ISNUMBER(SEARCH("membership",LOWER($A218&amp;" "&amp;$M218&amp;"")))),"",IF(LOWER($L218&amp;"")="yes",0,IF($K218&lt;&gt;"",$K218,IF($O218&lt;&gt;"",$O218,"")))))</f>
        <v/>
      </c>
      <c r="Q218" s="351">
        <f>IF($A218="","",IF($U218="Subscription","",IF($U218="Profit",$P218-$H218,0)))</f>
        <v/>
      </c>
      <c r="R218" s="349">
        <f>IF($A218="","",IF($U218="Subscription","",IF($U218="Draw",$H218,0)))</f>
        <v/>
      </c>
      <c r="S218" s="349">
        <f>IF($A218="","",IF($U218="Subscription","",IF($U218="Disqualified",$H218,0)))</f>
        <v/>
      </c>
      <c r="T218" s="380">
        <f>IF($A218="","",IF($U218="Subscription","",IF($H218=0,IF($U218="Profit","N/A",0),IF($U218="Profit",$Q218/$H218,IF($U218="Disqualified",-1,0)))))</f>
        <v/>
      </c>
      <c r="U218" s="351">
        <f>IF($A218="","",IF(OR(LOWER($D218&amp;"")="n/a",ISNUMBER(SEARCH("subscription",LOWER($A218&amp;" "&amp;$M218&amp;""))),ISNUMBER(SEARCH("membership",LOWER($A218&amp;" "&amp;$M218&amp;"")))),"Subscription",IF(LOWER($L218&amp;"")="yes","Disqualified",IF($P218&gt;$H218,"Profit","Draw"))))</f>
        <v/>
      </c>
      <c r="V218" s="383">
        <f>IF(OR($A218="",$B218="",$C218="",$U218="Subscription"),"",IFERROR(ROUNDUP((IF(ISNUMBER($C218),$C218,DATEVALUE($C218))-IF(ISNUMBER($B218),$B218,DATEVALUE($B218)))/7,0),""))</f>
        <v/>
      </c>
      <c r="W218" s="351">
        <f>IF($U218="Subscription","",$Q218-$S218)</f>
        <v/>
      </c>
      <c r="X218" s="384">
        <f>IF(OR($A218="",$U218="Subscription",$J218="",$I218="",$J218=0,$I218=0,$I218&gt;$J218),"",$J218-$I218)</f>
        <v/>
      </c>
      <c r="Y218" s="381">
        <f>IF(OR($A218="",$U218="Subscription",$J218="",$J218=0,$X218=""),"",$X218/$J218)</f>
        <v/>
      </c>
    </row>
    <row r="219" ht="21" customHeight="1" s="270">
      <c r="A219" s="297" t="n"/>
      <c r="B219" s="298" t="n"/>
      <c r="C219" s="298" t="n"/>
      <c r="D219" s="297" t="n"/>
      <c r="E219" s="349" t="n"/>
      <c r="F219" s="349" t="n"/>
      <c r="G219" s="349" t="n"/>
      <c r="H219" s="349" t="n"/>
      <c r="I219" s="382" t="n"/>
      <c r="J219" s="383" t="n"/>
      <c r="K219" s="351" t="n"/>
      <c r="L219" s="296" t="n"/>
      <c r="M219" s="349" t="n"/>
      <c r="N219" s="349">
        <f>IF($A219="","",IF(OR(LOWER($D219&amp;"")="n/a",ISNUMBER(SEARCH("subscription",LOWER($A219&amp;" "&amp;$M219&amp;""))),ISNUMBER(SEARCH("membership",LOWER($A219&amp;" "&amp;$M219&amp;"")))),"",IF($G219="","",IF(ISNUMBER(SEARCH("non",LOWER($E219&amp;""))),$G219*0.85,$G219))))</f>
        <v/>
      </c>
      <c r="O219" s="349">
        <f>IF($A219="","",IF(OR(LOWER($D219&amp;"")="n/a",ISNUMBER(SEARCH("subscription",LOWER($A219&amp;" "&amp;$M219&amp;""))),ISNUMBER(SEARCH("membership",LOWER($A219&amp;" "&amp;$M219&amp;"")))),"",IF(OR($N219="",$I219="",$I219=0),"",$N219/$I219)))</f>
        <v/>
      </c>
      <c r="P219" s="349">
        <f>IF($A219="","",IF(OR(LOWER($D219&amp;"")="n/a",ISNUMBER(SEARCH("subscription",LOWER($A219&amp;" "&amp;$M219&amp;""))),ISNUMBER(SEARCH("membership",LOWER($A219&amp;" "&amp;$M219&amp;"")))),"",IF(LOWER($L219&amp;"")="yes",0,IF($K219&lt;&gt;"",$K219,IF($O219&lt;&gt;"",$O219,"")))))</f>
        <v/>
      </c>
      <c r="Q219" s="351">
        <f>IF($A219="","",IF($U219="Subscription","",IF($U219="Profit",$P219-$H219,0)))</f>
        <v/>
      </c>
      <c r="R219" s="349">
        <f>IF($A219="","",IF($U219="Subscription","",IF($U219="Draw",$H219,0)))</f>
        <v/>
      </c>
      <c r="S219" s="349">
        <f>IF($A219="","",IF($U219="Subscription","",IF($U219="Disqualified",$H219,0)))</f>
        <v/>
      </c>
      <c r="T219" s="380">
        <f>IF($A219="","",IF($U219="Subscription","",IF($H219=0,IF($U219="Profit","N/A",0),IF($U219="Profit",$Q219/$H219,IF($U219="Disqualified",-1,0)))))</f>
        <v/>
      </c>
      <c r="U219" s="351">
        <f>IF($A219="","",IF(OR(LOWER($D219&amp;"")="n/a",ISNUMBER(SEARCH("subscription",LOWER($A219&amp;" "&amp;$M219&amp;""))),ISNUMBER(SEARCH("membership",LOWER($A219&amp;" "&amp;$M219&amp;"")))),"Subscription",IF(LOWER($L219&amp;"")="yes","Disqualified",IF($P219&gt;$H219,"Profit","Draw"))))</f>
        <v/>
      </c>
      <c r="V219" s="383">
        <f>IF(OR($A219="",$B219="",$C219="",$U219="Subscription"),"",IFERROR(ROUNDUP((IF(ISNUMBER($C219),$C219,DATEVALUE($C219))-IF(ISNUMBER($B219),$B219,DATEVALUE($B219)))/7,0),""))</f>
        <v/>
      </c>
      <c r="W219" s="351">
        <f>IF($U219="Subscription","",$Q219-$S219)</f>
        <v/>
      </c>
      <c r="X219" s="384">
        <f>IF(OR($A219="",$U219="Subscription",$J219="",$I219="",$J219=0,$I219=0,$I219&gt;$J219),"",$J219-$I219)</f>
        <v/>
      </c>
      <c r="Y219" s="381">
        <f>IF(OR($A219="",$U219="Subscription",$J219="",$J219=0,$X219=""),"",$X219/$J219)</f>
        <v/>
      </c>
    </row>
    <row r="220" ht="21" customHeight="1" s="270">
      <c r="A220" s="297" t="n"/>
      <c r="B220" s="298" t="n"/>
      <c r="C220" s="298" t="n"/>
      <c r="D220" s="297" t="n"/>
      <c r="E220" s="349" t="n"/>
      <c r="F220" s="349" t="n"/>
      <c r="G220" s="349" t="n"/>
      <c r="H220" s="349" t="n"/>
      <c r="I220" s="382" t="n"/>
      <c r="J220" s="383" t="n"/>
      <c r="K220" s="351" t="n"/>
      <c r="L220" s="296" t="n"/>
      <c r="M220" s="349" t="n"/>
      <c r="N220" s="349">
        <f>IF($A220="","",IF(OR(LOWER($D220&amp;"")="n/a",ISNUMBER(SEARCH("subscription",LOWER($A220&amp;" "&amp;$M220&amp;""))),ISNUMBER(SEARCH("membership",LOWER($A220&amp;" "&amp;$M220&amp;"")))),"",IF($G220="","",IF(ISNUMBER(SEARCH("non",LOWER($E220&amp;""))),$G220*0.85,$G220))))</f>
        <v/>
      </c>
      <c r="O220" s="349">
        <f>IF($A220="","",IF(OR(LOWER($D220&amp;"")="n/a",ISNUMBER(SEARCH("subscription",LOWER($A220&amp;" "&amp;$M220&amp;""))),ISNUMBER(SEARCH("membership",LOWER($A220&amp;" "&amp;$M220&amp;"")))),"",IF(OR($N220="",$I220="",$I220=0),"",$N220/$I220)))</f>
        <v/>
      </c>
      <c r="P220" s="349">
        <f>IF($A220="","",IF(OR(LOWER($D220&amp;"")="n/a",ISNUMBER(SEARCH("subscription",LOWER($A220&amp;" "&amp;$M220&amp;""))),ISNUMBER(SEARCH("membership",LOWER($A220&amp;" "&amp;$M220&amp;"")))),"",IF(LOWER($L220&amp;"")="yes",0,IF($K220&lt;&gt;"",$K220,IF($O220&lt;&gt;"",$O220,"")))))</f>
        <v/>
      </c>
      <c r="Q220" s="351">
        <f>IF($A220="","",IF($U220="Subscription","",IF($U220="Profit",$P220-$H220,0)))</f>
        <v/>
      </c>
      <c r="R220" s="349">
        <f>IF($A220="","",IF($U220="Subscription","",IF($U220="Draw",$H220,0)))</f>
        <v/>
      </c>
      <c r="S220" s="349">
        <f>IF($A220="","",IF($U220="Subscription","",IF($U220="Disqualified",$H220,0)))</f>
        <v/>
      </c>
      <c r="T220" s="380">
        <f>IF($A220="","",IF($U220="Subscription","",IF($H220=0,IF($U220="Profit","N/A",0),IF($U220="Profit",$Q220/$H220,IF($U220="Disqualified",-1,0)))))</f>
        <v/>
      </c>
      <c r="U220" s="351">
        <f>IF($A220="","",IF(OR(LOWER($D220&amp;"")="n/a",ISNUMBER(SEARCH("subscription",LOWER($A220&amp;" "&amp;$M220&amp;""))),ISNUMBER(SEARCH("membership",LOWER($A220&amp;" "&amp;$M220&amp;"")))),"Subscription",IF(LOWER($L220&amp;"")="yes","Disqualified",IF($P220&gt;$H220,"Profit","Draw"))))</f>
        <v/>
      </c>
      <c r="V220" s="383">
        <f>IF(OR($A220="",$B220="",$C220="",$U220="Subscription"),"",IFERROR(ROUNDUP((IF(ISNUMBER($C220),$C220,DATEVALUE($C220))-IF(ISNUMBER($B220),$B220,DATEVALUE($B220)))/7,0),""))</f>
        <v/>
      </c>
      <c r="W220" s="351">
        <f>IF($U220="Subscription","",$Q220-$S220)</f>
        <v/>
      </c>
      <c r="X220" s="384">
        <f>IF(OR($A220="",$U220="Subscription",$J220="",$I220="",$J220=0,$I220=0,$I220&gt;$J220),"",$J220-$I220)</f>
        <v/>
      </c>
      <c r="Y220" s="381">
        <f>IF(OR($A220="",$U220="Subscription",$J220="",$J220=0,$X220=""),"",$X220/$J220)</f>
        <v/>
      </c>
    </row>
    <row r="221" ht="21" customHeight="1" s="270">
      <c r="A221" s="297" t="n"/>
      <c r="B221" s="298" t="n"/>
      <c r="C221" s="298" t="n"/>
      <c r="D221" s="297" t="n"/>
      <c r="E221" s="349" t="n"/>
      <c r="F221" s="349" t="n"/>
      <c r="G221" s="349" t="n"/>
      <c r="H221" s="349" t="n"/>
      <c r="I221" s="382" t="n"/>
      <c r="J221" s="383" t="n"/>
      <c r="K221" s="351" t="n"/>
      <c r="L221" s="296" t="n"/>
      <c r="M221" s="349" t="n"/>
      <c r="N221" s="349">
        <f>IF($A221="","",IF(OR(LOWER($D221&amp;"")="n/a",ISNUMBER(SEARCH("subscription",LOWER($A221&amp;" "&amp;$M221&amp;""))),ISNUMBER(SEARCH("membership",LOWER($A221&amp;" "&amp;$M221&amp;"")))),"",IF($G221="","",IF(ISNUMBER(SEARCH("non",LOWER($E221&amp;""))),$G221*0.85,$G221))))</f>
        <v/>
      </c>
      <c r="O221" s="349">
        <f>IF($A221="","",IF(OR(LOWER($D221&amp;"")="n/a",ISNUMBER(SEARCH("subscription",LOWER($A221&amp;" "&amp;$M221&amp;""))),ISNUMBER(SEARCH("membership",LOWER($A221&amp;" "&amp;$M221&amp;"")))),"",IF(OR($N221="",$I221="",$I221=0),"",$N221/$I221)))</f>
        <v/>
      </c>
      <c r="P221" s="349">
        <f>IF($A221="","",IF(OR(LOWER($D221&amp;"")="n/a",ISNUMBER(SEARCH("subscription",LOWER($A221&amp;" "&amp;$M221&amp;""))),ISNUMBER(SEARCH("membership",LOWER($A221&amp;" "&amp;$M221&amp;"")))),"",IF(LOWER($L221&amp;"")="yes",0,IF($K221&lt;&gt;"",$K221,IF($O221&lt;&gt;"",$O221,"")))))</f>
        <v/>
      </c>
      <c r="Q221" s="351">
        <f>IF($A221="","",IF($U221="Subscription","",IF($U221="Profit",$P221-$H221,0)))</f>
        <v/>
      </c>
      <c r="R221" s="349">
        <f>IF($A221="","",IF($U221="Subscription","",IF($U221="Draw",$H221,0)))</f>
        <v/>
      </c>
      <c r="S221" s="349">
        <f>IF($A221="","",IF($U221="Subscription","",IF($U221="Disqualified",$H221,0)))</f>
        <v/>
      </c>
      <c r="T221" s="380">
        <f>IF($A221="","",IF($U221="Subscription","",IF($H221=0,IF($U221="Profit","N/A",0),IF($U221="Profit",$Q221/$H221,IF($U221="Disqualified",-1,0)))))</f>
        <v/>
      </c>
      <c r="U221" s="351">
        <f>IF($A221="","",IF(OR(LOWER($D221&amp;"")="n/a",ISNUMBER(SEARCH("subscription",LOWER($A221&amp;" "&amp;$M221&amp;""))),ISNUMBER(SEARCH("membership",LOWER($A221&amp;" "&amp;$M221&amp;"")))),"Subscription",IF(LOWER($L221&amp;"")="yes","Disqualified",IF($P221&gt;$H221,"Profit","Draw"))))</f>
        <v/>
      </c>
      <c r="V221" s="383">
        <f>IF(OR($A221="",$B221="",$C221="",$U221="Subscription"),"",IFERROR(ROUNDUP((IF(ISNUMBER($C221),$C221,DATEVALUE($C221))-IF(ISNUMBER($B221),$B221,DATEVALUE($B221)))/7,0),""))</f>
        <v/>
      </c>
      <c r="W221" s="351">
        <f>IF($U221="Subscription","",$Q221-$S221)</f>
        <v/>
      </c>
      <c r="X221" s="384">
        <f>IF(OR($A221="",$U221="Subscription",$J221="",$I221="",$J221=0,$I221=0,$I221&gt;$J221),"",$J221-$I221)</f>
        <v/>
      </c>
      <c r="Y221" s="381">
        <f>IF(OR($A221="",$U221="Subscription",$J221="",$J221=0,$X221=""),"",$X221/$J221)</f>
        <v/>
      </c>
    </row>
    <row r="222" ht="21" customHeight="1" s="270">
      <c r="A222" s="297" t="n"/>
      <c r="B222" s="298" t="n"/>
      <c r="C222" s="298" t="n"/>
      <c r="D222" s="297" t="n"/>
      <c r="E222" s="349" t="n"/>
      <c r="F222" s="349" t="n"/>
      <c r="G222" s="349" t="n"/>
      <c r="H222" s="349" t="n"/>
      <c r="I222" s="382" t="n"/>
      <c r="J222" s="383" t="n"/>
      <c r="K222" s="351" t="n"/>
      <c r="L222" s="296" t="n"/>
      <c r="M222" s="349" t="n"/>
      <c r="N222" s="349">
        <f>IF($A222="","",IF(OR(LOWER($D222&amp;"")="n/a",ISNUMBER(SEARCH("subscription",LOWER($A222&amp;" "&amp;$M222&amp;""))),ISNUMBER(SEARCH("membership",LOWER($A222&amp;" "&amp;$M222&amp;"")))),"",IF($G222="","",IF(ISNUMBER(SEARCH("non",LOWER($E222&amp;""))),$G222*0.85,$G222))))</f>
        <v/>
      </c>
      <c r="O222" s="349">
        <f>IF($A222="","",IF(OR(LOWER($D222&amp;"")="n/a",ISNUMBER(SEARCH("subscription",LOWER($A222&amp;" "&amp;$M222&amp;""))),ISNUMBER(SEARCH("membership",LOWER($A222&amp;" "&amp;$M222&amp;"")))),"",IF(OR($N222="",$I222="",$I222=0),"",$N222/$I222)))</f>
        <v/>
      </c>
      <c r="P222" s="349">
        <f>IF($A222="","",IF(OR(LOWER($D222&amp;"")="n/a",ISNUMBER(SEARCH("subscription",LOWER($A222&amp;" "&amp;$M222&amp;""))),ISNUMBER(SEARCH("membership",LOWER($A222&amp;" "&amp;$M222&amp;"")))),"",IF(LOWER($L222&amp;"")="yes",0,IF($K222&lt;&gt;"",$K222,IF($O222&lt;&gt;"",$O222,"")))))</f>
        <v/>
      </c>
      <c r="Q222" s="351">
        <f>IF($A222="","",IF($U222="Subscription","",IF($U222="Profit",$P222-$H222,0)))</f>
        <v/>
      </c>
      <c r="R222" s="349">
        <f>IF($A222="","",IF($U222="Subscription","",IF($U222="Draw",$H222,0)))</f>
        <v/>
      </c>
      <c r="S222" s="349">
        <f>IF($A222="","",IF($U222="Subscription","",IF($U222="Disqualified",$H222,0)))</f>
        <v/>
      </c>
      <c r="T222" s="380">
        <f>IF($A222="","",IF($U222="Subscription","",IF($H222=0,IF($U222="Profit","N/A",0),IF($U222="Profit",$Q222/$H222,IF($U222="Disqualified",-1,0)))))</f>
        <v/>
      </c>
      <c r="U222" s="351">
        <f>IF($A222="","",IF(OR(LOWER($D222&amp;"")="n/a",ISNUMBER(SEARCH("subscription",LOWER($A222&amp;" "&amp;$M222&amp;""))),ISNUMBER(SEARCH("membership",LOWER($A222&amp;" "&amp;$M222&amp;"")))),"Subscription",IF(LOWER($L222&amp;"")="yes","Disqualified",IF($P222&gt;$H222,"Profit","Draw"))))</f>
        <v/>
      </c>
      <c r="V222" s="383">
        <f>IF(OR($A222="",$B222="",$C222="",$U222="Subscription"),"",IFERROR(ROUNDUP((IF(ISNUMBER($C222),$C222,DATEVALUE($C222))-IF(ISNUMBER($B222),$B222,DATEVALUE($B222)))/7,0),""))</f>
        <v/>
      </c>
      <c r="W222" s="351">
        <f>IF($U222="Subscription","",$Q222-$S222)</f>
        <v/>
      </c>
      <c r="X222" s="384">
        <f>IF(OR($A222="",$U222="Subscription",$J222="",$I222="",$J222=0,$I222=0,$I222&gt;$J222),"",$J222-$I222)</f>
        <v/>
      </c>
      <c r="Y222" s="381">
        <f>IF(OR($A222="",$U222="Subscription",$J222="",$J222=0,$X222=""),"",$X222/$J222)</f>
        <v/>
      </c>
    </row>
    <row r="223" ht="21" customHeight="1" s="270">
      <c r="A223" s="297" t="n"/>
      <c r="B223" s="298" t="n"/>
      <c r="C223" s="298" t="n"/>
      <c r="D223" s="297" t="n"/>
      <c r="E223" s="349" t="n"/>
      <c r="F223" s="349" t="n"/>
      <c r="G223" s="349" t="n"/>
      <c r="H223" s="349" t="n"/>
      <c r="I223" s="382" t="n"/>
      <c r="J223" s="383" t="n"/>
      <c r="K223" s="351" t="n"/>
      <c r="L223" s="296" t="n"/>
      <c r="M223" s="349" t="n"/>
      <c r="N223" s="349">
        <f>IF($A223="","",IF(OR(LOWER($D223&amp;"")="n/a",ISNUMBER(SEARCH("subscription",LOWER($A223&amp;" "&amp;$M223&amp;""))),ISNUMBER(SEARCH("membership",LOWER($A223&amp;" "&amp;$M223&amp;"")))),"",IF($G223="","",IF(ISNUMBER(SEARCH("non",LOWER($E223&amp;""))),$G223*0.85,$G223))))</f>
        <v/>
      </c>
      <c r="O223" s="349">
        <f>IF($A223="","",IF(OR(LOWER($D223&amp;"")="n/a",ISNUMBER(SEARCH("subscription",LOWER($A223&amp;" "&amp;$M223&amp;""))),ISNUMBER(SEARCH("membership",LOWER($A223&amp;" "&amp;$M223&amp;"")))),"",IF(OR($N223="",$I223="",$I223=0),"",$N223/$I223)))</f>
        <v/>
      </c>
      <c r="P223" s="349">
        <f>IF($A223="","",IF(OR(LOWER($D223&amp;"")="n/a",ISNUMBER(SEARCH("subscription",LOWER($A223&amp;" "&amp;$M223&amp;""))),ISNUMBER(SEARCH("membership",LOWER($A223&amp;" "&amp;$M223&amp;"")))),"",IF(LOWER($L223&amp;"")="yes",0,IF($K223&lt;&gt;"",$K223,IF($O223&lt;&gt;"",$O223,"")))))</f>
        <v/>
      </c>
      <c r="Q223" s="351">
        <f>IF($A223="","",IF($U223="Subscription","",IF($U223="Profit",$P223-$H223,0)))</f>
        <v/>
      </c>
      <c r="R223" s="349">
        <f>IF($A223="","",IF($U223="Subscription","",IF($U223="Draw",$H223,0)))</f>
        <v/>
      </c>
      <c r="S223" s="349">
        <f>IF($A223="","",IF($U223="Subscription","",IF($U223="Disqualified",$H223,0)))</f>
        <v/>
      </c>
      <c r="T223" s="380">
        <f>IF($A223="","",IF($U223="Subscription","",IF($H223=0,IF($U223="Profit","N/A",0),IF($U223="Profit",$Q223/$H223,IF($U223="Disqualified",-1,0)))))</f>
        <v/>
      </c>
      <c r="U223" s="351">
        <f>IF($A223="","",IF(OR(LOWER($D223&amp;"")="n/a",ISNUMBER(SEARCH("subscription",LOWER($A223&amp;" "&amp;$M223&amp;""))),ISNUMBER(SEARCH("membership",LOWER($A223&amp;" "&amp;$M223&amp;"")))),"Subscription",IF(LOWER($L223&amp;"")="yes","Disqualified",IF($P223&gt;$H223,"Profit","Draw"))))</f>
        <v/>
      </c>
      <c r="V223" s="383">
        <f>IF(OR($A223="",$B223="",$C223="",$U223="Subscription"),"",IFERROR(ROUNDUP((IF(ISNUMBER($C223),$C223,DATEVALUE($C223))-IF(ISNUMBER($B223),$B223,DATEVALUE($B223)))/7,0),""))</f>
        <v/>
      </c>
      <c r="W223" s="351">
        <f>IF($U223="Subscription","",$Q223-$S223)</f>
        <v/>
      </c>
      <c r="X223" s="384">
        <f>IF(OR($A223="",$U223="Subscription",$J223="",$I223="",$J223=0,$I223=0,$I223&gt;$J223),"",$J223-$I223)</f>
        <v/>
      </c>
      <c r="Y223" s="381">
        <f>IF(OR($A223="",$U223="Subscription",$J223="",$J223=0,$X223=""),"",$X223/$J223)</f>
        <v/>
      </c>
    </row>
    <row r="224" ht="21" customHeight="1" s="270">
      <c r="A224" s="297" t="n"/>
      <c r="B224" s="298" t="n"/>
      <c r="C224" s="298" t="n"/>
      <c r="D224" s="297" t="n"/>
      <c r="E224" s="349" t="n"/>
      <c r="F224" s="349" t="n"/>
      <c r="G224" s="349" t="n"/>
      <c r="H224" s="349" t="n"/>
      <c r="I224" s="382" t="n"/>
      <c r="J224" s="383" t="n"/>
      <c r="K224" s="351" t="n"/>
      <c r="L224" s="296" t="n"/>
      <c r="M224" s="349" t="n"/>
      <c r="N224" s="349">
        <f>IF($A224="","",IF(OR(LOWER($D224&amp;"")="n/a",ISNUMBER(SEARCH("subscription",LOWER($A224&amp;" "&amp;$M224&amp;""))),ISNUMBER(SEARCH("membership",LOWER($A224&amp;" "&amp;$M224&amp;"")))),"",IF($G224="","",IF(ISNUMBER(SEARCH("non",LOWER($E224&amp;""))),$G224*0.85,$G224))))</f>
        <v/>
      </c>
      <c r="O224" s="349">
        <f>IF($A224="","",IF(OR(LOWER($D224&amp;"")="n/a",ISNUMBER(SEARCH("subscription",LOWER($A224&amp;" "&amp;$M224&amp;""))),ISNUMBER(SEARCH("membership",LOWER($A224&amp;" "&amp;$M224&amp;"")))),"",IF(OR($N224="",$I224="",$I224=0),"",$N224/$I224)))</f>
        <v/>
      </c>
      <c r="P224" s="349">
        <f>IF($A224="","",IF(OR(LOWER($D224&amp;"")="n/a",ISNUMBER(SEARCH("subscription",LOWER($A224&amp;" "&amp;$M224&amp;""))),ISNUMBER(SEARCH("membership",LOWER($A224&amp;" "&amp;$M224&amp;"")))),"",IF(LOWER($L224&amp;"")="yes",0,IF($K224&lt;&gt;"",$K224,IF($O224&lt;&gt;"",$O224,"")))))</f>
        <v/>
      </c>
      <c r="Q224" s="351">
        <f>IF($A224="","",IF($U224="Subscription","",IF($U224="Profit",$P224-$H224,0)))</f>
        <v/>
      </c>
      <c r="R224" s="349">
        <f>IF($A224="","",IF($U224="Subscription","",IF($U224="Draw",$H224,0)))</f>
        <v/>
      </c>
      <c r="S224" s="349">
        <f>IF($A224="","",IF($U224="Subscription","",IF($U224="Disqualified",$H224,0)))</f>
        <v/>
      </c>
      <c r="T224" s="380">
        <f>IF($A224="","",IF($U224="Subscription","",IF($H224=0,IF($U224="Profit","N/A",0),IF($U224="Profit",$Q224/$H224,IF($U224="Disqualified",-1,0)))))</f>
        <v/>
      </c>
      <c r="U224" s="351">
        <f>IF($A224="","",IF(OR(LOWER($D224&amp;"")="n/a",ISNUMBER(SEARCH("subscription",LOWER($A224&amp;" "&amp;$M224&amp;""))),ISNUMBER(SEARCH("membership",LOWER($A224&amp;" "&amp;$M224&amp;"")))),"Subscription",IF(LOWER($L224&amp;"")="yes","Disqualified",IF($P224&gt;$H224,"Profit","Draw"))))</f>
        <v/>
      </c>
      <c r="V224" s="383">
        <f>IF(OR($A224="",$B224="",$C224="",$U224="Subscription"),"",IFERROR(ROUNDUP((IF(ISNUMBER($C224),$C224,DATEVALUE($C224))-IF(ISNUMBER($B224),$B224,DATEVALUE($B224)))/7,0),""))</f>
        <v/>
      </c>
      <c r="W224" s="351">
        <f>IF($U224="Subscription","",$Q224-$S224)</f>
        <v/>
      </c>
      <c r="X224" s="384">
        <f>IF(OR($A224="",$U224="Subscription",$J224="",$I224="",$J224=0,$I224=0,$I224&gt;$J224),"",$J224-$I224)</f>
        <v/>
      </c>
      <c r="Y224" s="381">
        <f>IF(OR($A224="",$U224="Subscription",$J224="",$J224=0,$X224=""),"",$X224/$J224)</f>
        <v/>
      </c>
    </row>
    <row r="225" ht="21" customHeight="1" s="270">
      <c r="A225" s="297" t="n"/>
      <c r="B225" s="298" t="n"/>
      <c r="C225" s="298" t="n"/>
      <c r="D225" s="297" t="n"/>
      <c r="E225" s="349" t="n"/>
      <c r="F225" s="349" t="n"/>
      <c r="G225" s="349" t="n"/>
      <c r="H225" s="349" t="n"/>
      <c r="I225" s="382" t="n"/>
      <c r="J225" s="383" t="n"/>
      <c r="K225" s="351" t="n"/>
      <c r="L225" s="296" t="n"/>
      <c r="M225" s="349" t="n"/>
      <c r="N225" s="349">
        <f>IF($A225="","",IF(OR(LOWER($D225&amp;"")="n/a",ISNUMBER(SEARCH("subscription",LOWER($A225&amp;" "&amp;$M225&amp;""))),ISNUMBER(SEARCH("membership",LOWER($A225&amp;" "&amp;$M225&amp;"")))),"",IF($G225="","",IF(ISNUMBER(SEARCH("non",LOWER($E225&amp;""))),$G225*0.85,$G225))))</f>
        <v/>
      </c>
      <c r="O225" s="349">
        <f>IF($A225="","",IF(OR(LOWER($D225&amp;"")="n/a",ISNUMBER(SEARCH("subscription",LOWER($A225&amp;" "&amp;$M225&amp;""))),ISNUMBER(SEARCH("membership",LOWER($A225&amp;" "&amp;$M225&amp;"")))),"",IF(OR($N225="",$I225="",$I225=0),"",$N225/$I225)))</f>
        <v/>
      </c>
      <c r="P225" s="349">
        <f>IF($A225="","",IF(OR(LOWER($D225&amp;"")="n/a",ISNUMBER(SEARCH("subscription",LOWER($A225&amp;" "&amp;$M225&amp;""))),ISNUMBER(SEARCH("membership",LOWER($A225&amp;" "&amp;$M225&amp;"")))),"",IF(LOWER($L225&amp;"")="yes",0,IF($K225&lt;&gt;"",$K225,IF($O225&lt;&gt;"",$O225,"")))))</f>
        <v/>
      </c>
      <c r="Q225" s="351">
        <f>IF($A225="","",IF($U225="Subscription","",IF($U225="Profit",$P225-$H225,0)))</f>
        <v/>
      </c>
      <c r="R225" s="349">
        <f>IF($A225="","",IF($U225="Subscription","",IF($U225="Draw",$H225,0)))</f>
        <v/>
      </c>
      <c r="S225" s="349">
        <f>IF($A225="","",IF($U225="Subscription","",IF($U225="Disqualified",$H225,0)))</f>
        <v/>
      </c>
      <c r="T225" s="380">
        <f>IF($A225="","",IF($U225="Subscription","",IF($H225=0,IF($U225="Profit","N/A",0),IF($U225="Profit",$Q225/$H225,IF($U225="Disqualified",-1,0)))))</f>
        <v/>
      </c>
      <c r="U225" s="351">
        <f>IF($A225="","",IF(OR(LOWER($D225&amp;"")="n/a",ISNUMBER(SEARCH("subscription",LOWER($A225&amp;" "&amp;$M225&amp;""))),ISNUMBER(SEARCH("membership",LOWER($A225&amp;" "&amp;$M225&amp;"")))),"Subscription",IF(LOWER($L225&amp;"")="yes","Disqualified",IF($P225&gt;$H225,"Profit","Draw"))))</f>
        <v/>
      </c>
      <c r="V225" s="383">
        <f>IF(OR($A225="",$B225="",$C225="",$U225="Subscription"),"",IFERROR(ROUNDUP((IF(ISNUMBER($C225),$C225,DATEVALUE($C225))-IF(ISNUMBER($B225),$B225,DATEVALUE($B225)))/7,0),""))</f>
        <v/>
      </c>
      <c r="W225" s="351">
        <f>IF($U225="Subscription","",$Q225-$S225)</f>
        <v/>
      </c>
      <c r="X225" s="384">
        <f>IF(OR($A225="",$U225="Subscription",$J225="",$I225="",$J225=0,$I225=0,$I225&gt;$J225),"",$J225-$I225)</f>
        <v/>
      </c>
      <c r="Y225" s="381">
        <f>IF(OR($A225="",$U225="Subscription",$J225="",$J225=0,$X225=""),"",$X225/$J225)</f>
        <v/>
      </c>
    </row>
    <row r="226" ht="21" customHeight="1" s="270">
      <c r="A226" s="297" t="n"/>
      <c r="B226" s="298" t="n"/>
      <c r="C226" s="298" t="n"/>
      <c r="D226" s="297" t="n"/>
      <c r="E226" s="349" t="n"/>
      <c r="F226" s="349" t="n"/>
      <c r="G226" s="349" t="n"/>
      <c r="H226" s="349" t="n"/>
      <c r="I226" s="382" t="n"/>
      <c r="J226" s="383" t="n"/>
      <c r="K226" s="351" t="n"/>
      <c r="L226" s="296" t="n"/>
      <c r="M226" s="349" t="n"/>
      <c r="N226" s="349">
        <f>IF($A226="","",IF(OR(LOWER($D226&amp;"")="n/a",ISNUMBER(SEARCH("subscription",LOWER($A226&amp;" "&amp;$M226&amp;""))),ISNUMBER(SEARCH("membership",LOWER($A226&amp;" "&amp;$M226&amp;"")))),"",IF($G226="","",IF(ISNUMBER(SEARCH("non",LOWER($E226&amp;""))),$G226*0.85,$G226))))</f>
        <v/>
      </c>
      <c r="O226" s="349">
        <f>IF($A226="","",IF(OR(LOWER($D226&amp;"")="n/a",ISNUMBER(SEARCH("subscription",LOWER($A226&amp;" "&amp;$M226&amp;""))),ISNUMBER(SEARCH("membership",LOWER($A226&amp;" "&amp;$M226&amp;"")))),"",IF(OR($N226="",$I226="",$I226=0),"",$N226/$I226)))</f>
        <v/>
      </c>
      <c r="P226" s="349">
        <f>IF($A226="","",IF(OR(LOWER($D226&amp;"")="n/a",ISNUMBER(SEARCH("subscription",LOWER($A226&amp;" "&amp;$M226&amp;""))),ISNUMBER(SEARCH("membership",LOWER($A226&amp;" "&amp;$M226&amp;"")))),"",IF(LOWER($L226&amp;"")="yes",0,IF($K226&lt;&gt;"",$K226,IF($O226&lt;&gt;"",$O226,"")))))</f>
        <v/>
      </c>
      <c r="Q226" s="351">
        <f>IF($A226="","",IF($U226="Subscription","",IF($U226="Profit",$P226-$H226,0)))</f>
        <v/>
      </c>
      <c r="R226" s="349">
        <f>IF($A226="","",IF($U226="Subscription","",IF($U226="Draw",$H226,0)))</f>
        <v/>
      </c>
      <c r="S226" s="349">
        <f>IF($A226="","",IF($U226="Subscription","",IF($U226="Disqualified",$H226,0)))</f>
        <v/>
      </c>
      <c r="T226" s="380">
        <f>IF($A226="","",IF($U226="Subscription","",IF($H226=0,IF($U226="Profit","N/A",0),IF($U226="Profit",$Q226/$H226,IF($U226="Disqualified",-1,0)))))</f>
        <v/>
      </c>
      <c r="U226" s="351">
        <f>IF($A226="","",IF(OR(LOWER($D226&amp;"")="n/a",ISNUMBER(SEARCH("subscription",LOWER($A226&amp;" "&amp;$M226&amp;""))),ISNUMBER(SEARCH("membership",LOWER($A226&amp;" "&amp;$M226&amp;"")))),"Subscription",IF(LOWER($L226&amp;"")="yes","Disqualified",IF($P226&gt;$H226,"Profit","Draw"))))</f>
        <v/>
      </c>
      <c r="V226" s="383">
        <f>IF(OR($A226="",$B226="",$C226="",$U226="Subscription"),"",IFERROR(ROUNDUP((IF(ISNUMBER($C226),$C226,DATEVALUE($C226))-IF(ISNUMBER($B226),$B226,DATEVALUE($B226)))/7,0),""))</f>
        <v/>
      </c>
      <c r="W226" s="351">
        <f>IF($U226="Subscription","",$Q226-$S226)</f>
        <v/>
      </c>
      <c r="X226" s="384">
        <f>IF(OR($A226="",$U226="Subscription",$J226="",$I226="",$J226=0,$I226=0,$I226&gt;$J226),"",$J226-$I226)</f>
        <v/>
      </c>
      <c r="Y226" s="381">
        <f>IF(OR($A226="",$U226="Subscription",$J226="",$J226=0,$X226=""),"",$X226/$J226)</f>
        <v/>
      </c>
    </row>
    <row r="227" ht="21" customHeight="1" s="270">
      <c r="A227" s="297" t="n"/>
      <c r="B227" s="298" t="n"/>
      <c r="C227" s="298" t="n"/>
      <c r="D227" s="297" t="n"/>
      <c r="E227" s="349" t="n"/>
      <c r="F227" s="349" t="n"/>
      <c r="G227" s="349" t="n"/>
      <c r="H227" s="349" t="n"/>
      <c r="I227" s="382" t="n"/>
      <c r="J227" s="383" t="n"/>
      <c r="K227" s="351" t="n"/>
      <c r="L227" s="296" t="n"/>
      <c r="M227" s="349" t="n"/>
      <c r="N227" s="349">
        <f>IF($A227="","",IF(OR(LOWER($D227&amp;"")="n/a",ISNUMBER(SEARCH("subscription",LOWER($A227&amp;" "&amp;$M227&amp;""))),ISNUMBER(SEARCH("membership",LOWER($A227&amp;" "&amp;$M227&amp;"")))),"",IF($G227="","",IF(ISNUMBER(SEARCH("non",LOWER($E227&amp;""))),$G227*0.85,$G227))))</f>
        <v/>
      </c>
      <c r="O227" s="349">
        <f>IF($A227="","",IF(OR(LOWER($D227&amp;"")="n/a",ISNUMBER(SEARCH("subscription",LOWER($A227&amp;" "&amp;$M227&amp;""))),ISNUMBER(SEARCH("membership",LOWER($A227&amp;" "&amp;$M227&amp;"")))),"",IF(OR($N227="",$I227="",$I227=0),"",$N227/$I227)))</f>
        <v/>
      </c>
      <c r="P227" s="349">
        <f>IF($A227="","",IF(OR(LOWER($D227&amp;"")="n/a",ISNUMBER(SEARCH("subscription",LOWER($A227&amp;" "&amp;$M227&amp;""))),ISNUMBER(SEARCH("membership",LOWER($A227&amp;" "&amp;$M227&amp;"")))),"",IF(LOWER($L227&amp;"")="yes",0,IF($K227&lt;&gt;"",$K227,IF($O227&lt;&gt;"",$O227,"")))))</f>
        <v/>
      </c>
      <c r="Q227" s="351">
        <f>IF($A227="","",IF($U227="Subscription","",IF($U227="Profit",$P227-$H227,0)))</f>
        <v/>
      </c>
      <c r="R227" s="349">
        <f>IF($A227="","",IF($U227="Subscription","",IF($U227="Draw",$H227,0)))</f>
        <v/>
      </c>
      <c r="S227" s="349">
        <f>IF($A227="","",IF($U227="Subscription","",IF($U227="Disqualified",$H227,0)))</f>
        <v/>
      </c>
      <c r="T227" s="380">
        <f>IF($A227="","",IF($U227="Subscription","",IF($H227=0,IF($U227="Profit","N/A",0),IF($U227="Profit",$Q227/$H227,IF($U227="Disqualified",-1,0)))))</f>
        <v/>
      </c>
      <c r="U227" s="351">
        <f>IF($A227="","",IF(OR(LOWER($D227&amp;"")="n/a",ISNUMBER(SEARCH("subscription",LOWER($A227&amp;" "&amp;$M227&amp;""))),ISNUMBER(SEARCH("membership",LOWER($A227&amp;" "&amp;$M227&amp;"")))),"Subscription",IF(LOWER($L227&amp;"")="yes","Disqualified",IF($P227&gt;$H227,"Profit","Draw"))))</f>
        <v/>
      </c>
      <c r="V227" s="383">
        <f>IF(OR($A227="",$B227="",$C227="",$U227="Subscription"),"",IFERROR(ROUNDUP((IF(ISNUMBER($C227),$C227,DATEVALUE($C227))-IF(ISNUMBER($B227),$B227,DATEVALUE($B227)))/7,0),""))</f>
        <v/>
      </c>
      <c r="W227" s="351">
        <f>IF($U227="Subscription","",$Q227-$S227)</f>
        <v/>
      </c>
      <c r="X227" s="384">
        <f>IF(OR($A227="",$U227="Subscription",$J227="",$I227="",$J227=0,$I227=0,$I227&gt;$J227),"",$J227-$I227)</f>
        <v/>
      </c>
      <c r="Y227" s="381">
        <f>IF(OR($A227="",$U227="Subscription",$J227="",$J227=0,$X227=""),"",$X227/$J227)</f>
        <v/>
      </c>
    </row>
    <row r="228" ht="21" customHeight="1" s="270">
      <c r="A228" s="297" t="n"/>
      <c r="B228" s="298" t="n"/>
      <c r="C228" s="298" t="n"/>
      <c r="D228" s="297" t="n"/>
      <c r="E228" s="349" t="n"/>
      <c r="F228" s="349" t="n"/>
      <c r="G228" s="349" t="n"/>
      <c r="H228" s="349" t="n"/>
      <c r="I228" s="382" t="n"/>
      <c r="J228" s="383" t="n"/>
      <c r="K228" s="351" t="n"/>
      <c r="L228" s="296" t="n"/>
      <c r="M228" s="349" t="n"/>
      <c r="N228" s="349">
        <f>IF($A228="","",IF(OR(LOWER($D228&amp;"")="n/a",ISNUMBER(SEARCH("subscription",LOWER($A228&amp;" "&amp;$M228&amp;""))),ISNUMBER(SEARCH("membership",LOWER($A228&amp;" "&amp;$M228&amp;"")))),"",IF($G228="","",IF(ISNUMBER(SEARCH("non",LOWER($E228&amp;""))),$G228*0.85,$G228))))</f>
        <v/>
      </c>
      <c r="O228" s="349">
        <f>IF($A228="","",IF(OR(LOWER($D228&amp;"")="n/a",ISNUMBER(SEARCH("subscription",LOWER($A228&amp;" "&amp;$M228&amp;""))),ISNUMBER(SEARCH("membership",LOWER($A228&amp;" "&amp;$M228&amp;"")))),"",IF(OR($N228="",$I228="",$I228=0),"",$N228/$I228)))</f>
        <v/>
      </c>
      <c r="P228" s="349">
        <f>IF($A228="","",IF(OR(LOWER($D228&amp;"")="n/a",ISNUMBER(SEARCH("subscription",LOWER($A228&amp;" "&amp;$M228&amp;""))),ISNUMBER(SEARCH("membership",LOWER($A228&amp;" "&amp;$M228&amp;"")))),"",IF(LOWER($L228&amp;"")="yes",0,IF($K228&lt;&gt;"",$K228,IF($O228&lt;&gt;"",$O228,"")))))</f>
        <v/>
      </c>
      <c r="Q228" s="351">
        <f>IF($A228="","",IF($U228="Subscription","",IF($U228="Profit",$P228-$H228,0)))</f>
        <v/>
      </c>
      <c r="R228" s="349">
        <f>IF($A228="","",IF($U228="Subscription","",IF($U228="Draw",$H228,0)))</f>
        <v/>
      </c>
      <c r="S228" s="349">
        <f>IF($A228="","",IF($U228="Subscription","",IF($U228="Disqualified",$H228,0)))</f>
        <v/>
      </c>
      <c r="T228" s="380">
        <f>IF($A228="","",IF($U228="Subscription","",IF($H228=0,IF($U228="Profit","N/A",0),IF($U228="Profit",$Q228/$H228,IF($U228="Disqualified",-1,0)))))</f>
        <v/>
      </c>
      <c r="U228" s="351">
        <f>IF($A228="","",IF(OR(LOWER($D228&amp;"")="n/a",ISNUMBER(SEARCH("subscription",LOWER($A228&amp;" "&amp;$M228&amp;""))),ISNUMBER(SEARCH("membership",LOWER($A228&amp;" "&amp;$M228&amp;"")))),"Subscription",IF(LOWER($L228&amp;"")="yes","Disqualified",IF($P228&gt;$H228,"Profit","Draw"))))</f>
        <v/>
      </c>
      <c r="V228" s="383">
        <f>IF(OR($A228="",$B228="",$C228="",$U228="Subscription"),"",IFERROR(ROUNDUP((IF(ISNUMBER($C228),$C228,DATEVALUE($C228))-IF(ISNUMBER($B228),$B228,DATEVALUE($B228)))/7,0),""))</f>
        <v/>
      </c>
      <c r="W228" s="351">
        <f>IF($U228="Subscription","",$Q228-$S228)</f>
        <v/>
      </c>
      <c r="X228" s="384">
        <f>IF(OR($A228="",$U228="Subscription",$J228="",$I228="",$J228=0,$I228=0,$I228&gt;$J228),"",$J228-$I228)</f>
        <v/>
      </c>
      <c r="Y228" s="381">
        <f>IF(OR($A228="",$U228="Subscription",$J228="",$J228=0,$X228=""),"",$X228/$J228)</f>
        <v/>
      </c>
    </row>
    <row r="229" ht="21" customHeight="1" s="270">
      <c r="A229" s="297" t="n"/>
      <c r="B229" s="298" t="n"/>
      <c r="C229" s="298" t="n"/>
      <c r="D229" s="297" t="n"/>
      <c r="E229" s="349" t="n"/>
      <c r="F229" s="349" t="n"/>
      <c r="G229" s="349" t="n"/>
      <c r="H229" s="349" t="n"/>
      <c r="I229" s="382" t="n"/>
      <c r="J229" s="383" t="n"/>
      <c r="K229" s="351" t="n"/>
      <c r="L229" s="296" t="n"/>
      <c r="M229" s="349" t="n"/>
      <c r="N229" s="349">
        <f>IF($A229="","",IF(OR(LOWER($D229&amp;"")="n/a",ISNUMBER(SEARCH("subscription",LOWER($A229&amp;" "&amp;$M229&amp;""))),ISNUMBER(SEARCH("membership",LOWER($A229&amp;" "&amp;$M229&amp;"")))),"",IF($G229="","",IF(ISNUMBER(SEARCH("non",LOWER($E229&amp;""))),$G229*0.85,$G229))))</f>
        <v/>
      </c>
      <c r="O229" s="349">
        <f>IF($A229="","",IF(OR(LOWER($D229&amp;"")="n/a",ISNUMBER(SEARCH("subscription",LOWER($A229&amp;" "&amp;$M229&amp;""))),ISNUMBER(SEARCH("membership",LOWER($A229&amp;" "&amp;$M229&amp;"")))),"",IF(OR($N229="",$I229="",$I229=0),"",$N229/$I229)))</f>
        <v/>
      </c>
      <c r="P229" s="349">
        <f>IF($A229="","",IF(OR(LOWER($D229&amp;"")="n/a",ISNUMBER(SEARCH("subscription",LOWER($A229&amp;" "&amp;$M229&amp;""))),ISNUMBER(SEARCH("membership",LOWER($A229&amp;" "&amp;$M229&amp;"")))),"",IF(LOWER($L229&amp;"")="yes",0,IF($K229&lt;&gt;"",$K229,IF($O229&lt;&gt;"",$O229,"")))))</f>
        <v/>
      </c>
      <c r="Q229" s="351">
        <f>IF($A229="","",IF($U229="Subscription","",IF($U229="Profit",$P229-$H229,0)))</f>
        <v/>
      </c>
      <c r="R229" s="349">
        <f>IF($A229="","",IF($U229="Subscription","",IF($U229="Draw",$H229,0)))</f>
        <v/>
      </c>
      <c r="S229" s="349">
        <f>IF($A229="","",IF($U229="Subscription","",IF($U229="Disqualified",$H229,0)))</f>
        <v/>
      </c>
      <c r="T229" s="380">
        <f>IF($A229="","",IF($U229="Subscription","",IF($H229=0,IF($U229="Profit","N/A",0),IF($U229="Profit",$Q229/$H229,IF($U229="Disqualified",-1,0)))))</f>
        <v/>
      </c>
      <c r="U229" s="351">
        <f>IF($A229="","",IF(OR(LOWER($D229&amp;"")="n/a",ISNUMBER(SEARCH("subscription",LOWER($A229&amp;" "&amp;$M229&amp;""))),ISNUMBER(SEARCH("membership",LOWER($A229&amp;" "&amp;$M229&amp;"")))),"Subscription",IF(LOWER($L229&amp;"")="yes","Disqualified",IF($P229&gt;$H229,"Profit","Draw"))))</f>
        <v/>
      </c>
      <c r="V229" s="383">
        <f>IF(OR($A229="",$B229="",$C229="",$U229="Subscription"),"",IFERROR(ROUNDUP((IF(ISNUMBER($C229),$C229,DATEVALUE($C229))-IF(ISNUMBER($B229),$B229,DATEVALUE($B229)))/7,0),""))</f>
        <v/>
      </c>
      <c r="W229" s="351">
        <f>IF($U229="Subscription","",$Q229-$S229)</f>
        <v/>
      </c>
      <c r="X229" s="384">
        <f>IF(OR($A229="",$U229="Subscription",$J229="",$I229="",$J229=0,$I229=0,$I229&gt;$J229),"",$J229-$I229)</f>
        <v/>
      </c>
      <c r="Y229" s="381">
        <f>IF(OR($A229="",$U229="Subscription",$J229="",$J229=0,$X229=""),"",$X229/$J229)</f>
        <v/>
      </c>
    </row>
    <row r="230" ht="21" customHeight="1" s="270">
      <c r="A230" s="297" t="n"/>
      <c r="B230" s="298" t="n"/>
      <c r="C230" s="298" t="n"/>
      <c r="D230" s="297" t="n"/>
      <c r="E230" s="349" t="n"/>
      <c r="F230" s="349" t="n"/>
      <c r="G230" s="349" t="n"/>
      <c r="H230" s="349" t="n"/>
      <c r="I230" s="382" t="n"/>
      <c r="J230" s="383" t="n"/>
      <c r="K230" s="351" t="n"/>
      <c r="L230" s="296" t="n"/>
      <c r="M230" s="349" t="n"/>
      <c r="N230" s="349">
        <f>IF($A230="","",IF(OR(LOWER($D230&amp;"")="n/a",ISNUMBER(SEARCH("subscription",LOWER($A230&amp;" "&amp;$M230&amp;""))),ISNUMBER(SEARCH("membership",LOWER($A230&amp;" "&amp;$M230&amp;"")))),"",IF($G230="","",IF(ISNUMBER(SEARCH("non",LOWER($E230&amp;""))),$G230*0.85,$G230))))</f>
        <v/>
      </c>
      <c r="O230" s="349">
        <f>IF($A230="","",IF(OR(LOWER($D230&amp;"")="n/a",ISNUMBER(SEARCH("subscription",LOWER($A230&amp;" "&amp;$M230&amp;""))),ISNUMBER(SEARCH("membership",LOWER($A230&amp;" "&amp;$M230&amp;"")))),"",IF(OR($N230="",$I230="",$I230=0),"",$N230/$I230)))</f>
        <v/>
      </c>
      <c r="P230" s="349">
        <f>IF($A230="","",IF(OR(LOWER($D230&amp;"")="n/a",ISNUMBER(SEARCH("subscription",LOWER($A230&amp;" "&amp;$M230&amp;""))),ISNUMBER(SEARCH("membership",LOWER($A230&amp;" "&amp;$M230&amp;"")))),"",IF(LOWER($L230&amp;"")="yes",0,IF($K230&lt;&gt;"",$K230,IF($O230&lt;&gt;"",$O230,"")))))</f>
        <v/>
      </c>
      <c r="Q230" s="351">
        <f>IF($A230="","",IF($U230="Subscription","",IF($U230="Profit",$P230-$H230,0)))</f>
        <v/>
      </c>
      <c r="R230" s="349">
        <f>IF($A230="","",IF($U230="Subscription","",IF($U230="Draw",$H230,0)))</f>
        <v/>
      </c>
      <c r="S230" s="349">
        <f>IF($A230="","",IF($U230="Subscription","",IF($U230="Disqualified",$H230,0)))</f>
        <v/>
      </c>
      <c r="T230" s="380">
        <f>IF($A230="","",IF($U230="Subscription","",IF($H230=0,IF($U230="Profit","N/A",0),IF($U230="Profit",$Q230/$H230,IF($U230="Disqualified",-1,0)))))</f>
        <v/>
      </c>
      <c r="U230" s="351">
        <f>IF($A230="","",IF(OR(LOWER($D230&amp;"")="n/a",ISNUMBER(SEARCH("subscription",LOWER($A230&amp;" "&amp;$M230&amp;""))),ISNUMBER(SEARCH("membership",LOWER($A230&amp;" "&amp;$M230&amp;"")))),"Subscription",IF(LOWER($L230&amp;"")="yes","Disqualified",IF($P230&gt;$H230,"Profit","Draw"))))</f>
        <v/>
      </c>
      <c r="V230" s="383">
        <f>IF(OR($A230="",$B230="",$C230="",$U230="Subscription"),"",IFERROR(ROUNDUP((IF(ISNUMBER($C230),$C230,DATEVALUE($C230))-IF(ISNUMBER($B230),$B230,DATEVALUE($B230)))/7,0),""))</f>
        <v/>
      </c>
      <c r="W230" s="351">
        <f>IF($U230="Subscription","",$Q230-$S230)</f>
        <v/>
      </c>
      <c r="X230" s="384">
        <f>IF(OR($A230="",$U230="Subscription",$J230="",$I230="",$J230=0,$I230=0,$I230&gt;$J230),"",$J230-$I230)</f>
        <v/>
      </c>
      <c r="Y230" s="381">
        <f>IF(OR($A230="",$U230="Subscription",$J230="",$J230=0,$X230=""),"",$X230/$J230)</f>
        <v/>
      </c>
    </row>
    <row r="231" ht="21" customHeight="1" s="270">
      <c r="A231" s="297" t="n"/>
      <c r="B231" s="298" t="n"/>
      <c r="C231" s="298" t="n"/>
      <c r="D231" s="297" t="n"/>
      <c r="E231" s="349" t="n"/>
      <c r="F231" s="349" t="n"/>
      <c r="G231" s="349" t="n"/>
      <c r="H231" s="349" t="n"/>
      <c r="I231" s="382" t="n"/>
      <c r="J231" s="383" t="n"/>
      <c r="K231" s="351" t="n"/>
      <c r="L231" s="296" t="n"/>
      <c r="M231" s="349" t="n"/>
      <c r="N231" s="349">
        <f>IF($A231="","",IF(OR(LOWER($D231&amp;"")="n/a",ISNUMBER(SEARCH("subscription",LOWER($A231&amp;" "&amp;$M231&amp;""))),ISNUMBER(SEARCH("membership",LOWER($A231&amp;" "&amp;$M231&amp;"")))),"",IF($G231="","",IF(ISNUMBER(SEARCH("non",LOWER($E231&amp;""))),$G231*0.85,$G231))))</f>
        <v/>
      </c>
      <c r="O231" s="349">
        <f>IF($A231="","",IF(OR(LOWER($D231&amp;"")="n/a",ISNUMBER(SEARCH("subscription",LOWER($A231&amp;" "&amp;$M231&amp;""))),ISNUMBER(SEARCH("membership",LOWER($A231&amp;" "&amp;$M231&amp;"")))),"",IF(OR($N231="",$I231="",$I231=0),"",$N231/$I231)))</f>
        <v/>
      </c>
      <c r="P231" s="349">
        <f>IF($A231="","",IF(OR(LOWER($D231&amp;"")="n/a",ISNUMBER(SEARCH("subscription",LOWER($A231&amp;" "&amp;$M231&amp;""))),ISNUMBER(SEARCH("membership",LOWER($A231&amp;" "&amp;$M231&amp;"")))),"",IF(LOWER($L231&amp;"")="yes",0,IF($K231&lt;&gt;"",$K231,IF($O231&lt;&gt;"",$O231,"")))))</f>
        <v/>
      </c>
      <c r="Q231" s="351">
        <f>IF($A231="","",IF($U231="Subscription","",IF($U231="Profit",$P231-$H231,0)))</f>
        <v/>
      </c>
      <c r="R231" s="349">
        <f>IF($A231="","",IF($U231="Subscription","",IF($U231="Draw",$H231,0)))</f>
        <v/>
      </c>
      <c r="S231" s="349">
        <f>IF($A231="","",IF($U231="Subscription","",IF($U231="Disqualified",$H231,0)))</f>
        <v/>
      </c>
      <c r="T231" s="380">
        <f>IF($A231="","",IF($U231="Subscription","",IF($H231=0,IF($U231="Profit","N/A",0),IF($U231="Profit",$Q231/$H231,IF($U231="Disqualified",-1,0)))))</f>
        <v/>
      </c>
      <c r="U231" s="351">
        <f>IF($A231="","",IF(OR(LOWER($D231&amp;"")="n/a",ISNUMBER(SEARCH("subscription",LOWER($A231&amp;" "&amp;$M231&amp;""))),ISNUMBER(SEARCH("membership",LOWER($A231&amp;" "&amp;$M231&amp;"")))),"Subscription",IF(LOWER($L231&amp;"")="yes","Disqualified",IF($P231&gt;$H231,"Profit","Draw"))))</f>
        <v/>
      </c>
      <c r="V231" s="383">
        <f>IF(OR($A231="",$B231="",$C231="",$U231="Subscription"),"",IFERROR(ROUNDUP((IF(ISNUMBER($C231),$C231,DATEVALUE($C231))-IF(ISNUMBER($B231),$B231,DATEVALUE($B231)))/7,0),""))</f>
        <v/>
      </c>
      <c r="W231" s="351">
        <f>IF($U231="Subscription","",$Q231-$S231)</f>
        <v/>
      </c>
      <c r="X231" s="384">
        <f>IF(OR($A231="",$U231="Subscription",$J231="",$I231="",$J231=0,$I231=0,$I231&gt;$J231),"",$J231-$I231)</f>
        <v/>
      </c>
      <c r="Y231" s="381">
        <f>IF(OR($A231="",$U231="Subscription",$J231="",$J231=0,$X231=""),"",$X231/$J231)</f>
        <v/>
      </c>
    </row>
    <row r="232" ht="21" customHeight="1" s="270">
      <c r="A232" s="297" t="n"/>
      <c r="B232" s="298" t="n"/>
      <c r="C232" s="298" t="n"/>
      <c r="D232" s="297" t="n"/>
      <c r="E232" s="349" t="n"/>
      <c r="F232" s="349" t="n"/>
      <c r="G232" s="349" t="n"/>
      <c r="H232" s="349" t="n"/>
      <c r="I232" s="382" t="n"/>
      <c r="J232" s="383" t="n"/>
      <c r="K232" s="351" t="n"/>
      <c r="L232" s="296" t="n"/>
      <c r="M232" s="349" t="n"/>
      <c r="N232" s="349">
        <f>IF($A232="","",IF(OR(LOWER($D232&amp;"")="n/a",ISNUMBER(SEARCH("subscription",LOWER($A232&amp;" "&amp;$M232&amp;""))),ISNUMBER(SEARCH("membership",LOWER($A232&amp;" "&amp;$M232&amp;"")))),"",IF($G232="","",IF(ISNUMBER(SEARCH("non",LOWER($E232&amp;""))),$G232*0.85,$G232))))</f>
        <v/>
      </c>
      <c r="O232" s="349">
        <f>IF($A232="","",IF(OR(LOWER($D232&amp;"")="n/a",ISNUMBER(SEARCH("subscription",LOWER($A232&amp;" "&amp;$M232&amp;""))),ISNUMBER(SEARCH("membership",LOWER($A232&amp;" "&amp;$M232&amp;"")))),"",IF(OR($N232="",$I232="",$I232=0),"",$N232/$I232)))</f>
        <v/>
      </c>
      <c r="P232" s="349">
        <f>IF($A232="","",IF(OR(LOWER($D232&amp;"")="n/a",ISNUMBER(SEARCH("subscription",LOWER($A232&amp;" "&amp;$M232&amp;""))),ISNUMBER(SEARCH("membership",LOWER($A232&amp;" "&amp;$M232&amp;"")))),"",IF(LOWER($L232&amp;"")="yes",0,IF($K232&lt;&gt;"",$K232,IF($O232&lt;&gt;"",$O232,"")))))</f>
        <v/>
      </c>
      <c r="Q232" s="351">
        <f>IF($A232="","",IF($U232="Subscription","",IF($U232="Profit",$P232-$H232,0)))</f>
        <v/>
      </c>
      <c r="R232" s="349">
        <f>IF($A232="","",IF($U232="Subscription","",IF($U232="Draw",$H232,0)))</f>
        <v/>
      </c>
      <c r="S232" s="349">
        <f>IF($A232="","",IF($U232="Subscription","",IF($U232="Disqualified",$H232,0)))</f>
        <v/>
      </c>
      <c r="T232" s="380">
        <f>IF($A232="","",IF($U232="Subscription","",IF($H232=0,IF($U232="Profit","N/A",0),IF($U232="Profit",$Q232/$H232,IF($U232="Disqualified",-1,0)))))</f>
        <v/>
      </c>
      <c r="U232" s="351">
        <f>IF($A232="","",IF(OR(LOWER($D232&amp;"")="n/a",ISNUMBER(SEARCH("subscription",LOWER($A232&amp;" "&amp;$M232&amp;""))),ISNUMBER(SEARCH("membership",LOWER($A232&amp;" "&amp;$M232&amp;"")))),"Subscription",IF(LOWER($L232&amp;"")="yes","Disqualified",IF($P232&gt;$H232,"Profit","Draw"))))</f>
        <v/>
      </c>
      <c r="V232" s="383">
        <f>IF(OR($A232="",$B232="",$C232="",$U232="Subscription"),"",IFERROR(ROUNDUP((IF(ISNUMBER($C232),$C232,DATEVALUE($C232))-IF(ISNUMBER($B232),$B232,DATEVALUE($B232)))/7,0),""))</f>
        <v/>
      </c>
      <c r="W232" s="351">
        <f>IF($U232="Subscription","",$Q232-$S232)</f>
        <v/>
      </c>
      <c r="X232" s="384">
        <f>IF(OR($A232="",$U232="Subscription",$J232="",$I232="",$J232=0,$I232=0,$I232&gt;$J232),"",$J232-$I232)</f>
        <v/>
      </c>
      <c r="Y232" s="381">
        <f>IF(OR($A232="",$U232="Subscription",$J232="",$J232=0,$X232=""),"",$X232/$J232)</f>
        <v/>
      </c>
    </row>
    <row r="233" ht="21" customHeight="1" s="270">
      <c r="A233" s="297" t="n"/>
      <c r="B233" s="298" t="n"/>
      <c r="C233" s="298" t="n"/>
      <c r="D233" s="297" t="n"/>
      <c r="E233" s="349" t="n"/>
      <c r="F233" s="349" t="n"/>
      <c r="G233" s="349" t="n"/>
      <c r="H233" s="349" t="n"/>
      <c r="I233" s="382" t="n"/>
      <c r="J233" s="383" t="n"/>
      <c r="K233" s="351" t="n"/>
      <c r="L233" s="296" t="n"/>
      <c r="M233" s="349" t="n"/>
      <c r="N233" s="349">
        <f>IF($A233="","",IF(OR(LOWER($D233&amp;"")="n/a",ISNUMBER(SEARCH("subscription",LOWER($A233&amp;" "&amp;$M233&amp;""))),ISNUMBER(SEARCH("membership",LOWER($A233&amp;" "&amp;$M233&amp;"")))),"",IF($G233="","",IF(ISNUMBER(SEARCH("non",LOWER($E233&amp;""))),$G233*0.85,$G233))))</f>
        <v/>
      </c>
      <c r="O233" s="349">
        <f>IF($A233="","",IF(OR(LOWER($D233&amp;"")="n/a",ISNUMBER(SEARCH("subscription",LOWER($A233&amp;" "&amp;$M233&amp;""))),ISNUMBER(SEARCH("membership",LOWER($A233&amp;" "&amp;$M233&amp;"")))),"",IF(OR($N233="",$I233="",$I233=0),"",$N233/$I233)))</f>
        <v/>
      </c>
      <c r="P233" s="349">
        <f>IF($A233="","",IF(OR(LOWER($D233&amp;"")="n/a",ISNUMBER(SEARCH("subscription",LOWER($A233&amp;" "&amp;$M233&amp;""))),ISNUMBER(SEARCH("membership",LOWER($A233&amp;" "&amp;$M233&amp;"")))),"",IF(LOWER($L233&amp;"")="yes",0,IF($K233&lt;&gt;"",$K233,IF($O233&lt;&gt;"",$O233,"")))))</f>
        <v/>
      </c>
      <c r="Q233" s="351">
        <f>IF($A233="","",IF($U233="Subscription","",IF($U233="Profit",$P233-$H233,0)))</f>
        <v/>
      </c>
      <c r="R233" s="349">
        <f>IF($A233="","",IF($U233="Subscription","",IF($U233="Draw",$H233,0)))</f>
        <v/>
      </c>
      <c r="S233" s="349">
        <f>IF($A233="","",IF($U233="Subscription","",IF($U233="Disqualified",$H233,0)))</f>
        <v/>
      </c>
      <c r="T233" s="380">
        <f>IF($A233="","",IF($U233="Subscription","",IF($H233=0,IF($U233="Profit","N/A",0),IF($U233="Profit",$Q233/$H233,IF($U233="Disqualified",-1,0)))))</f>
        <v/>
      </c>
      <c r="U233" s="351">
        <f>IF($A233="","",IF(OR(LOWER($D233&amp;"")="n/a",ISNUMBER(SEARCH("subscription",LOWER($A233&amp;" "&amp;$M233&amp;""))),ISNUMBER(SEARCH("membership",LOWER($A233&amp;" "&amp;$M233&amp;"")))),"Subscription",IF(LOWER($L233&amp;"")="yes","Disqualified",IF($P233&gt;$H233,"Profit","Draw"))))</f>
        <v/>
      </c>
      <c r="V233" s="383">
        <f>IF(OR($A233="",$B233="",$C233="",$U233="Subscription"),"",IFERROR(ROUNDUP((IF(ISNUMBER($C233),$C233,DATEVALUE($C233))-IF(ISNUMBER($B233),$B233,DATEVALUE($B233)))/7,0),""))</f>
        <v/>
      </c>
      <c r="W233" s="351">
        <f>IF($U233="Subscription","",$Q233-$S233)</f>
        <v/>
      </c>
      <c r="X233" s="384">
        <f>IF(OR($A233="",$U233="Subscription",$J233="",$I233="",$J233=0,$I233=0,$I233&gt;$J233),"",$J233-$I233)</f>
        <v/>
      </c>
      <c r="Y233" s="381">
        <f>IF(OR($A233="",$U233="Subscription",$J233="",$J233=0,$X233=""),"",$X233/$J233)</f>
        <v/>
      </c>
    </row>
    <row r="234" ht="21" customHeight="1" s="270">
      <c r="A234" s="297" t="n"/>
      <c r="B234" s="298" t="n"/>
      <c r="C234" s="298" t="n"/>
      <c r="D234" s="297" t="n"/>
      <c r="E234" s="349" t="n"/>
      <c r="F234" s="349" t="n"/>
      <c r="G234" s="349" t="n"/>
      <c r="H234" s="349" t="n"/>
      <c r="I234" s="382" t="n"/>
      <c r="J234" s="383" t="n"/>
      <c r="K234" s="351" t="n"/>
      <c r="L234" s="296" t="n"/>
      <c r="M234" s="349" t="n"/>
      <c r="N234" s="349">
        <f>IF($A234="","",IF(OR(LOWER($D234&amp;"")="n/a",ISNUMBER(SEARCH("subscription",LOWER($A234&amp;" "&amp;$M234&amp;""))),ISNUMBER(SEARCH("membership",LOWER($A234&amp;" "&amp;$M234&amp;"")))),"",IF($G234="","",IF(ISNUMBER(SEARCH("non",LOWER($E234&amp;""))),$G234*0.85,$G234))))</f>
        <v/>
      </c>
      <c r="O234" s="349">
        <f>IF($A234="","",IF(OR(LOWER($D234&amp;"")="n/a",ISNUMBER(SEARCH("subscription",LOWER($A234&amp;" "&amp;$M234&amp;""))),ISNUMBER(SEARCH("membership",LOWER($A234&amp;" "&amp;$M234&amp;"")))),"",IF(OR($N234="",$I234="",$I234=0),"",$N234/$I234)))</f>
        <v/>
      </c>
      <c r="P234" s="349">
        <f>IF($A234="","",IF(OR(LOWER($D234&amp;"")="n/a",ISNUMBER(SEARCH("subscription",LOWER($A234&amp;" "&amp;$M234&amp;""))),ISNUMBER(SEARCH("membership",LOWER($A234&amp;" "&amp;$M234&amp;"")))),"",IF(LOWER($L234&amp;"")="yes",0,IF($K234&lt;&gt;"",$K234,IF($O234&lt;&gt;"",$O234,"")))))</f>
        <v/>
      </c>
      <c r="Q234" s="351">
        <f>IF($A234="","",IF($U234="Subscription","",IF($U234="Profit",$P234-$H234,0)))</f>
        <v/>
      </c>
      <c r="R234" s="349">
        <f>IF($A234="","",IF($U234="Subscription","",IF($U234="Draw",$H234,0)))</f>
        <v/>
      </c>
      <c r="S234" s="349">
        <f>IF($A234="","",IF($U234="Subscription","",IF($U234="Disqualified",$H234,0)))</f>
        <v/>
      </c>
      <c r="T234" s="380">
        <f>IF($A234="","",IF($U234="Subscription","",IF($H234=0,IF($U234="Profit","N/A",0),IF($U234="Profit",$Q234/$H234,IF($U234="Disqualified",-1,0)))))</f>
        <v/>
      </c>
      <c r="U234" s="351">
        <f>IF($A234="","",IF(OR(LOWER($D234&amp;"")="n/a",ISNUMBER(SEARCH("subscription",LOWER($A234&amp;" "&amp;$M234&amp;""))),ISNUMBER(SEARCH("membership",LOWER($A234&amp;" "&amp;$M234&amp;"")))),"Subscription",IF(LOWER($L234&amp;"")="yes","Disqualified",IF($P234&gt;$H234,"Profit","Draw"))))</f>
        <v/>
      </c>
      <c r="V234" s="383">
        <f>IF(OR($A234="",$B234="",$C234="",$U234="Subscription"),"",IFERROR(ROUNDUP((IF(ISNUMBER($C234),$C234,DATEVALUE($C234))-IF(ISNUMBER($B234),$B234,DATEVALUE($B234)))/7,0),""))</f>
        <v/>
      </c>
      <c r="W234" s="351">
        <f>IF($U234="Subscription","",$Q234-$S234)</f>
        <v/>
      </c>
      <c r="X234" s="384">
        <f>IF(OR($A234="",$U234="Subscription",$J234="",$I234="",$J234=0,$I234=0,$I234&gt;$J234),"",$J234-$I234)</f>
        <v/>
      </c>
      <c r="Y234" s="381">
        <f>IF(OR($A234="",$U234="Subscription",$J234="",$J234=0,$X234=""),"",$X234/$J234)</f>
        <v/>
      </c>
    </row>
    <row r="235" ht="21" customHeight="1" s="270">
      <c r="A235" s="297" t="n"/>
      <c r="B235" s="298" t="n"/>
      <c r="C235" s="298" t="n"/>
      <c r="D235" s="297" t="n"/>
      <c r="E235" s="349" t="n"/>
      <c r="F235" s="349" t="n"/>
      <c r="G235" s="349" t="n"/>
      <c r="H235" s="349" t="n"/>
      <c r="I235" s="382" t="n"/>
      <c r="J235" s="383" t="n"/>
      <c r="K235" s="351" t="n"/>
      <c r="L235" s="296" t="n"/>
      <c r="M235" s="349" t="n"/>
      <c r="N235" s="349">
        <f>IF($A235="","",IF(OR(LOWER($D235&amp;"")="n/a",ISNUMBER(SEARCH("subscription",LOWER($A235&amp;" "&amp;$M235&amp;""))),ISNUMBER(SEARCH("membership",LOWER($A235&amp;" "&amp;$M235&amp;"")))),"",IF($G235="","",IF(ISNUMBER(SEARCH("non",LOWER($E235&amp;""))),$G235*0.85,$G235))))</f>
        <v/>
      </c>
      <c r="O235" s="349">
        <f>IF($A235="","",IF(OR(LOWER($D235&amp;"")="n/a",ISNUMBER(SEARCH("subscription",LOWER($A235&amp;" "&amp;$M235&amp;""))),ISNUMBER(SEARCH("membership",LOWER($A235&amp;" "&amp;$M235&amp;"")))),"",IF(OR($N235="",$I235="",$I235=0),"",$N235/$I235)))</f>
        <v/>
      </c>
      <c r="P235" s="349">
        <f>IF($A235="","",IF(OR(LOWER($D235&amp;"")="n/a",ISNUMBER(SEARCH("subscription",LOWER($A235&amp;" "&amp;$M235&amp;""))),ISNUMBER(SEARCH("membership",LOWER($A235&amp;" "&amp;$M235&amp;"")))),"",IF(LOWER($L235&amp;"")="yes",0,IF($K235&lt;&gt;"",$K235,IF($O235&lt;&gt;"",$O235,"")))))</f>
        <v/>
      </c>
      <c r="Q235" s="351">
        <f>IF($A235="","",IF($U235="Subscription","",IF($U235="Profit",$P235-$H235,0)))</f>
        <v/>
      </c>
      <c r="R235" s="349">
        <f>IF($A235="","",IF($U235="Subscription","",IF($U235="Draw",$H235,0)))</f>
        <v/>
      </c>
      <c r="S235" s="349">
        <f>IF($A235="","",IF($U235="Subscription","",IF($U235="Disqualified",$H235,0)))</f>
        <v/>
      </c>
      <c r="T235" s="380">
        <f>IF($A235="","",IF($U235="Subscription","",IF($H235=0,IF($U235="Profit","N/A",0),IF($U235="Profit",$Q235/$H235,IF($U235="Disqualified",-1,0)))))</f>
        <v/>
      </c>
      <c r="U235" s="351">
        <f>IF($A235="","",IF(OR(LOWER($D235&amp;"")="n/a",ISNUMBER(SEARCH("subscription",LOWER($A235&amp;" "&amp;$M235&amp;""))),ISNUMBER(SEARCH("membership",LOWER($A235&amp;" "&amp;$M235&amp;"")))),"Subscription",IF(LOWER($L235&amp;"")="yes","Disqualified",IF($P235&gt;$H235,"Profit","Draw"))))</f>
        <v/>
      </c>
      <c r="V235" s="383">
        <f>IF(OR($A235="",$B235="",$C235="",$U235="Subscription"),"",IFERROR(ROUNDUP((IF(ISNUMBER($C235),$C235,DATEVALUE($C235))-IF(ISNUMBER($B235),$B235,DATEVALUE($B235)))/7,0),""))</f>
        <v/>
      </c>
      <c r="W235" s="351">
        <f>IF($U235="Subscription","",$Q235-$S235)</f>
        <v/>
      </c>
      <c r="X235" s="384">
        <f>IF(OR($A235="",$U235="Subscription",$J235="",$I235="",$J235=0,$I235=0,$I235&gt;$J235),"",$J235-$I235)</f>
        <v/>
      </c>
      <c r="Y235" s="381">
        <f>IF(OR($A235="",$U235="Subscription",$J235="",$J235=0,$X235=""),"",$X235/$J235)</f>
        <v/>
      </c>
    </row>
    <row r="236" ht="21" customHeight="1" s="270">
      <c r="A236" s="297" t="n"/>
      <c r="B236" s="298" t="n"/>
      <c r="C236" s="298" t="n"/>
      <c r="D236" s="297" t="n"/>
      <c r="E236" s="349" t="n"/>
      <c r="F236" s="349" t="n"/>
      <c r="G236" s="349" t="n"/>
      <c r="H236" s="349" t="n"/>
      <c r="I236" s="382" t="n"/>
      <c r="J236" s="383" t="n"/>
      <c r="K236" s="351" t="n"/>
      <c r="L236" s="296" t="n"/>
      <c r="M236" s="349" t="n"/>
      <c r="N236" s="349">
        <f>IF($A236="","",IF(OR(LOWER($D236&amp;"")="n/a",ISNUMBER(SEARCH("subscription",LOWER($A236&amp;" "&amp;$M236&amp;""))),ISNUMBER(SEARCH("membership",LOWER($A236&amp;" "&amp;$M236&amp;"")))),"",IF($G236="","",IF(ISNUMBER(SEARCH("non",LOWER($E236&amp;""))),$G236*0.85,$G236))))</f>
        <v/>
      </c>
      <c r="O236" s="349">
        <f>IF($A236="","",IF(OR(LOWER($D236&amp;"")="n/a",ISNUMBER(SEARCH("subscription",LOWER($A236&amp;" "&amp;$M236&amp;""))),ISNUMBER(SEARCH("membership",LOWER($A236&amp;" "&amp;$M236&amp;"")))),"",IF(OR($N236="",$I236="",$I236=0),"",$N236/$I236)))</f>
        <v/>
      </c>
      <c r="P236" s="349">
        <f>IF($A236="","",IF(OR(LOWER($D236&amp;"")="n/a",ISNUMBER(SEARCH("subscription",LOWER($A236&amp;" "&amp;$M236&amp;""))),ISNUMBER(SEARCH("membership",LOWER($A236&amp;" "&amp;$M236&amp;"")))),"",IF(LOWER($L236&amp;"")="yes",0,IF($K236&lt;&gt;"",$K236,IF($O236&lt;&gt;"",$O236,"")))))</f>
        <v/>
      </c>
      <c r="Q236" s="351">
        <f>IF($A236="","",IF($U236="Subscription","",IF($U236="Profit",$P236-$H236,0)))</f>
        <v/>
      </c>
      <c r="R236" s="349">
        <f>IF($A236="","",IF($U236="Subscription","",IF($U236="Draw",$H236,0)))</f>
        <v/>
      </c>
      <c r="S236" s="349">
        <f>IF($A236="","",IF($U236="Subscription","",IF($U236="Disqualified",$H236,0)))</f>
        <v/>
      </c>
      <c r="T236" s="380">
        <f>IF($A236="","",IF($U236="Subscription","",IF($H236=0,IF($U236="Profit","N/A",0),IF($U236="Profit",$Q236/$H236,IF($U236="Disqualified",-1,0)))))</f>
        <v/>
      </c>
      <c r="U236" s="351">
        <f>IF($A236="","",IF(OR(LOWER($D236&amp;"")="n/a",ISNUMBER(SEARCH("subscription",LOWER($A236&amp;" "&amp;$M236&amp;""))),ISNUMBER(SEARCH("membership",LOWER($A236&amp;" "&amp;$M236&amp;"")))),"Subscription",IF(LOWER($L236&amp;"")="yes","Disqualified",IF($P236&gt;$H236,"Profit","Draw"))))</f>
        <v/>
      </c>
      <c r="V236" s="383">
        <f>IF(OR($A236="",$B236="",$C236="",$U236="Subscription"),"",IFERROR(ROUNDUP((IF(ISNUMBER($C236),$C236,DATEVALUE($C236))-IF(ISNUMBER($B236),$B236,DATEVALUE($B236)))/7,0),""))</f>
        <v/>
      </c>
      <c r="W236" s="351">
        <f>IF($U236="Subscription","",$Q236-$S236)</f>
        <v/>
      </c>
      <c r="X236" s="384">
        <f>IF(OR($A236="",$U236="Subscription",$J236="",$I236="",$J236=0,$I236=0,$I236&gt;$J236),"",$J236-$I236)</f>
        <v/>
      </c>
      <c r="Y236" s="381">
        <f>IF(OR($A236="",$U236="Subscription",$J236="",$J236=0,$X236=""),"",$X236/$J236)</f>
        <v/>
      </c>
    </row>
    <row r="237" ht="21" customHeight="1" s="270">
      <c r="A237" s="297" t="n"/>
      <c r="B237" s="298" t="n"/>
      <c r="C237" s="298" t="n"/>
      <c r="D237" s="297" t="n"/>
      <c r="E237" s="349" t="n"/>
      <c r="F237" s="349" t="n"/>
      <c r="G237" s="349" t="n"/>
      <c r="H237" s="349" t="n"/>
      <c r="I237" s="382" t="n"/>
      <c r="J237" s="383" t="n"/>
      <c r="K237" s="351" t="n"/>
      <c r="L237" s="296" t="n"/>
      <c r="M237" s="349" t="n"/>
      <c r="N237" s="349">
        <f>IF($A237="","",IF(OR(LOWER($D237&amp;"")="n/a",ISNUMBER(SEARCH("subscription",LOWER($A237&amp;" "&amp;$M237&amp;""))),ISNUMBER(SEARCH("membership",LOWER($A237&amp;" "&amp;$M237&amp;"")))),"",IF($G237="","",IF(ISNUMBER(SEARCH("non",LOWER($E237&amp;""))),$G237*0.85,$G237))))</f>
        <v/>
      </c>
      <c r="O237" s="349">
        <f>IF($A237="","",IF(OR(LOWER($D237&amp;"")="n/a",ISNUMBER(SEARCH("subscription",LOWER($A237&amp;" "&amp;$M237&amp;""))),ISNUMBER(SEARCH("membership",LOWER($A237&amp;" "&amp;$M237&amp;"")))),"",IF(OR($N237="",$I237="",$I237=0),"",$N237/$I237)))</f>
        <v/>
      </c>
      <c r="P237" s="349">
        <f>IF($A237="","",IF(OR(LOWER($D237&amp;"")="n/a",ISNUMBER(SEARCH("subscription",LOWER($A237&amp;" "&amp;$M237&amp;""))),ISNUMBER(SEARCH("membership",LOWER($A237&amp;" "&amp;$M237&amp;"")))),"",IF(LOWER($L237&amp;"")="yes",0,IF($K237&lt;&gt;"",$K237,IF($O237&lt;&gt;"",$O237,"")))))</f>
        <v/>
      </c>
      <c r="Q237" s="351">
        <f>IF($A237="","",IF($U237="Subscription","",IF($U237="Profit",$P237-$H237,0)))</f>
        <v/>
      </c>
      <c r="R237" s="349">
        <f>IF($A237="","",IF($U237="Subscription","",IF($U237="Draw",$H237,0)))</f>
        <v/>
      </c>
      <c r="S237" s="349">
        <f>IF($A237="","",IF($U237="Subscription","",IF($U237="Disqualified",$H237,0)))</f>
        <v/>
      </c>
      <c r="T237" s="380">
        <f>IF($A237="","",IF($U237="Subscription","",IF($H237=0,IF($U237="Profit","N/A",0),IF($U237="Profit",$Q237/$H237,IF($U237="Disqualified",-1,0)))))</f>
        <v/>
      </c>
      <c r="U237" s="351">
        <f>IF($A237="","",IF(OR(LOWER($D237&amp;"")="n/a",ISNUMBER(SEARCH("subscription",LOWER($A237&amp;" "&amp;$M237&amp;""))),ISNUMBER(SEARCH("membership",LOWER($A237&amp;" "&amp;$M237&amp;"")))),"Subscription",IF(LOWER($L237&amp;"")="yes","Disqualified",IF($P237&gt;$H237,"Profit","Draw"))))</f>
        <v/>
      </c>
      <c r="V237" s="383">
        <f>IF(OR($A237="",$B237="",$C237="",$U237="Subscription"),"",IFERROR(ROUNDUP((IF(ISNUMBER($C237),$C237,DATEVALUE($C237))-IF(ISNUMBER($B237),$B237,DATEVALUE($B237)))/7,0),""))</f>
        <v/>
      </c>
      <c r="W237" s="351">
        <f>IF($U237="Subscription","",$Q237-$S237)</f>
        <v/>
      </c>
      <c r="X237" s="384">
        <f>IF(OR($A237="",$U237="Subscription",$J237="",$I237="",$J237=0,$I237=0,$I237&gt;$J237),"",$J237-$I237)</f>
        <v/>
      </c>
      <c r="Y237" s="381">
        <f>IF(OR($A237="",$U237="Subscription",$J237="",$J237=0,$X237=""),"",$X237/$J237)</f>
        <v/>
      </c>
    </row>
    <row r="238" ht="21" customHeight="1" s="270">
      <c r="A238" s="297" t="n"/>
      <c r="B238" s="298" t="n"/>
      <c r="C238" s="298" t="n"/>
      <c r="D238" s="297" t="n"/>
      <c r="E238" s="349" t="n"/>
      <c r="F238" s="349" t="n"/>
      <c r="G238" s="349" t="n"/>
      <c r="H238" s="349" t="n"/>
      <c r="I238" s="382" t="n"/>
      <c r="J238" s="383" t="n"/>
      <c r="K238" s="351" t="n"/>
      <c r="L238" s="296" t="n"/>
      <c r="M238" s="349" t="n"/>
      <c r="N238" s="349">
        <f>IF($A238="","",IF(OR(LOWER($D238&amp;"")="n/a",ISNUMBER(SEARCH("subscription",LOWER($A238&amp;" "&amp;$M238&amp;""))),ISNUMBER(SEARCH("membership",LOWER($A238&amp;" "&amp;$M238&amp;"")))),"",IF($G238="","",IF(ISNUMBER(SEARCH("non",LOWER($E238&amp;""))),$G238*0.85,$G238))))</f>
        <v/>
      </c>
      <c r="O238" s="349">
        <f>IF($A238="","",IF(OR(LOWER($D238&amp;"")="n/a",ISNUMBER(SEARCH("subscription",LOWER($A238&amp;" "&amp;$M238&amp;""))),ISNUMBER(SEARCH("membership",LOWER($A238&amp;" "&amp;$M238&amp;"")))),"",IF(OR($N238="",$I238="",$I238=0),"",$N238/$I238)))</f>
        <v/>
      </c>
      <c r="P238" s="349">
        <f>IF($A238="","",IF(OR(LOWER($D238&amp;"")="n/a",ISNUMBER(SEARCH("subscription",LOWER($A238&amp;" "&amp;$M238&amp;""))),ISNUMBER(SEARCH("membership",LOWER($A238&amp;" "&amp;$M238&amp;"")))),"",IF(LOWER($L238&amp;"")="yes",0,IF($K238&lt;&gt;"",$K238,IF($O238&lt;&gt;"",$O238,"")))))</f>
        <v/>
      </c>
      <c r="Q238" s="351">
        <f>IF($A238="","",IF($U238="Subscription","",IF($U238="Profit",$P238-$H238,0)))</f>
        <v/>
      </c>
      <c r="R238" s="349">
        <f>IF($A238="","",IF($U238="Subscription","",IF($U238="Draw",$H238,0)))</f>
        <v/>
      </c>
      <c r="S238" s="349">
        <f>IF($A238="","",IF($U238="Subscription","",IF($U238="Disqualified",$H238,0)))</f>
        <v/>
      </c>
      <c r="T238" s="380">
        <f>IF($A238="","",IF($U238="Subscription","",IF($H238=0,IF($U238="Profit","N/A",0),IF($U238="Profit",$Q238/$H238,IF($U238="Disqualified",-1,0)))))</f>
        <v/>
      </c>
      <c r="U238" s="351">
        <f>IF($A238="","",IF(OR(LOWER($D238&amp;"")="n/a",ISNUMBER(SEARCH("subscription",LOWER($A238&amp;" "&amp;$M238&amp;""))),ISNUMBER(SEARCH("membership",LOWER($A238&amp;" "&amp;$M238&amp;"")))),"Subscription",IF(LOWER($L238&amp;"")="yes","Disqualified",IF($P238&gt;$H238,"Profit","Draw"))))</f>
        <v/>
      </c>
      <c r="V238" s="383">
        <f>IF(OR($A238="",$B238="",$C238="",$U238="Subscription"),"",IFERROR(ROUNDUP((IF(ISNUMBER($C238),$C238,DATEVALUE($C238))-IF(ISNUMBER($B238),$B238,DATEVALUE($B238)))/7,0),""))</f>
        <v/>
      </c>
      <c r="W238" s="351">
        <f>IF($U238="Subscription","",$Q238-$S238)</f>
        <v/>
      </c>
      <c r="X238" s="384">
        <f>IF(OR($A238="",$U238="Subscription",$J238="",$I238="",$J238=0,$I238=0,$I238&gt;$J238),"",$J238-$I238)</f>
        <v/>
      </c>
      <c r="Y238" s="381">
        <f>IF(OR($A238="",$U238="Subscription",$J238="",$J238=0,$X238=""),"",$X238/$J238)</f>
        <v/>
      </c>
    </row>
    <row r="239" ht="21" customHeight="1" s="270">
      <c r="A239" s="297" t="n"/>
      <c r="B239" s="298" t="n"/>
      <c r="C239" s="298" t="n"/>
      <c r="D239" s="297" t="n"/>
      <c r="E239" s="349" t="n"/>
      <c r="F239" s="349" t="n"/>
      <c r="G239" s="349" t="n"/>
      <c r="H239" s="349" t="n"/>
      <c r="I239" s="382" t="n"/>
      <c r="J239" s="383" t="n"/>
      <c r="K239" s="351" t="n"/>
      <c r="L239" s="296" t="n"/>
      <c r="M239" s="349" t="n"/>
      <c r="N239" s="349">
        <f>IF($A239="","",IF(OR(LOWER($D239&amp;"")="n/a",ISNUMBER(SEARCH("subscription",LOWER($A239&amp;" "&amp;$M239&amp;""))),ISNUMBER(SEARCH("membership",LOWER($A239&amp;" "&amp;$M239&amp;"")))),"",IF($G239="","",IF(ISNUMBER(SEARCH("non",LOWER($E239&amp;""))),$G239*0.85,$G239))))</f>
        <v/>
      </c>
      <c r="O239" s="349">
        <f>IF($A239="","",IF(OR(LOWER($D239&amp;"")="n/a",ISNUMBER(SEARCH("subscription",LOWER($A239&amp;" "&amp;$M239&amp;""))),ISNUMBER(SEARCH("membership",LOWER($A239&amp;" "&amp;$M239&amp;"")))),"",IF(OR($N239="",$I239="",$I239=0),"",$N239/$I239)))</f>
        <v/>
      </c>
      <c r="P239" s="349">
        <f>IF($A239="","",IF(OR(LOWER($D239&amp;"")="n/a",ISNUMBER(SEARCH("subscription",LOWER($A239&amp;" "&amp;$M239&amp;""))),ISNUMBER(SEARCH("membership",LOWER($A239&amp;" "&amp;$M239&amp;"")))),"",IF(LOWER($L239&amp;"")="yes",0,IF($K239&lt;&gt;"",$K239,IF($O239&lt;&gt;"",$O239,"")))))</f>
        <v/>
      </c>
      <c r="Q239" s="351">
        <f>IF($A239="","",IF($U239="Subscription","",IF($U239="Profit",$P239-$H239,0)))</f>
        <v/>
      </c>
      <c r="R239" s="349">
        <f>IF($A239="","",IF($U239="Subscription","",IF($U239="Draw",$H239,0)))</f>
        <v/>
      </c>
      <c r="S239" s="349">
        <f>IF($A239="","",IF($U239="Subscription","",IF($U239="Disqualified",$H239,0)))</f>
        <v/>
      </c>
      <c r="T239" s="380">
        <f>IF($A239="","",IF($U239="Subscription","",IF($H239=0,IF($U239="Profit","N/A",0),IF($U239="Profit",$Q239/$H239,IF($U239="Disqualified",-1,0)))))</f>
        <v/>
      </c>
      <c r="U239" s="351">
        <f>IF($A239="","",IF(OR(LOWER($D239&amp;"")="n/a",ISNUMBER(SEARCH("subscription",LOWER($A239&amp;" "&amp;$M239&amp;""))),ISNUMBER(SEARCH("membership",LOWER($A239&amp;" "&amp;$M239&amp;"")))),"Subscription",IF(LOWER($L239&amp;"")="yes","Disqualified",IF($P239&gt;$H239,"Profit","Draw"))))</f>
        <v/>
      </c>
      <c r="V239" s="383">
        <f>IF(OR($A239="",$B239="",$C239="",$U239="Subscription"),"",IFERROR(ROUNDUP((IF(ISNUMBER($C239),$C239,DATEVALUE($C239))-IF(ISNUMBER($B239),$B239,DATEVALUE($B239)))/7,0),""))</f>
        <v/>
      </c>
      <c r="W239" s="351">
        <f>IF($U239="Subscription","",$Q239-$S239)</f>
        <v/>
      </c>
      <c r="X239" s="384">
        <f>IF(OR($A239="",$U239="Subscription",$J239="",$I239="",$J239=0,$I239=0,$I239&gt;$J239),"",$J239-$I239)</f>
        <v/>
      </c>
      <c r="Y239" s="381">
        <f>IF(OR($A239="",$U239="Subscription",$J239="",$J239=0,$X239=""),"",$X239/$J239)</f>
        <v/>
      </c>
    </row>
    <row r="240" ht="21" customHeight="1" s="270">
      <c r="A240" s="297" t="n"/>
      <c r="B240" s="298" t="n"/>
      <c r="C240" s="298" t="n"/>
      <c r="D240" s="297" t="n"/>
      <c r="E240" s="349" t="n"/>
      <c r="F240" s="349" t="n"/>
      <c r="G240" s="349" t="n"/>
      <c r="H240" s="349" t="n"/>
      <c r="I240" s="382" t="n"/>
      <c r="J240" s="383" t="n"/>
      <c r="K240" s="351" t="n"/>
      <c r="L240" s="296" t="n"/>
      <c r="M240" s="349" t="n"/>
      <c r="N240" s="349">
        <f>IF($A240="","",IF(OR(LOWER($D240&amp;"")="n/a",ISNUMBER(SEARCH("subscription",LOWER($A240&amp;" "&amp;$M240&amp;""))),ISNUMBER(SEARCH("membership",LOWER($A240&amp;" "&amp;$M240&amp;"")))),"",IF($G240="","",IF(ISNUMBER(SEARCH("non",LOWER($E240&amp;""))),$G240*0.85,$G240))))</f>
        <v/>
      </c>
      <c r="O240" s="349">
        <f>IF($A240="","",IF(OR(LOWER($D240&amp;"")="n/a",ISNUMBER(SEARCH("subscription",LOWER($A240&amp;" "&amp;$M240&amp;""))),ISNUMBER(SEARCH("membership",LOWER($A240&amp;" "&amp;$M240&amp;"")))),"",IF(OR($N240="",$I240="",$I240=0),"",$N240/$I240)))</f>
        <v/>
      </c>
      <c r="P240" s="349">
        <f>IF($A240="","",IF(OR(LOWER($D240&amp;"")="n/a",ISNUMBER(SEARCH("subscription",LOWER($A240&amp;" "&amp;$M240&amp;""))),ISNUMBER(SEARCH("membership",LOWER($A240&amp;" "&amp;$M240&amp;"")))),"",IF(LOWER($L240&amp;"")="yes",0,IF($K240&lt;&gt;"",$K240,IF($O240&lt;&gt;"",$O240,"")))))</f>
        <v/>
      </c>
      <c r="Q240" s="351">
        <f>IF($A240="","",IF($U240="Subscription","",IF($U240="Profit",$P240-$H240,0)))</f>
        <v/>
      </c>
      <c r="R240" s="349">
        <f>IF($A240="","",IF($U240="Subscription","",IF($U240="Draw",$H240,0)))</f>
        <v/>
      </c>
      <c r="S240" s="349">
        <f>IF($A240="","",IF($U240="Subscription","",IF($U240="Disqualified",$H240,0)))</f>
        <v/>
      </c>
      <c r="T240" s="380">
        <f>IF($A240="","",IF($U240="Subscription","",IF($H240=0,IF($U240="Profit","N/A",0),IF($U240="Profit",$Q240/$H240,IF($U240="Disqualified",-1,0)))))</f>
        <v/>
      </c>
      <c r="U240" s="351">
        <f>IF($A240="","",IF(OR(LOWER($D240&amp;"")="n/a",ISNUMBER(SEARCH("subscription",LOWER($A240&amp;" "&amp;$M240&amp;""))),ISNUMBER(SEARCH("membership",LOWER($A240&amp;" "&amp;$M240&amp;"")))),"Subscription",IF(LOWER($L240&amp;"")="yes","Disqualified",IF($P240&gt;$H240,"Profit","Draw"))))</f>
        <v/>
      </c>
      <c r="V240" s="383">
        <f>IF(OR($A240="",$B240="",$C240="",$U240="Subscription"),"",IFERROR(ROUNDUP((IF(ISNUMBER($C240),$C240,DATEVALUE($C240))-IF(ISNUMBER($B240),$B240,DATEVALUE($B240)))/7,0),""))</f>
        <v/>
      </c>
      <c r="W240" s="351">
        <f>IF($U240="Subscription","",$Q240-$S240)</f>
        <v/>
      </c>
      <c r="X240" s="384">
        <f>IF(OR($A240="",$U240="Subscription",$J240="",$I240="",$J240=0,$I240=0,$I240&gt;$J240),"",$J240-$I240)</f>
        <v/>
      </c>
      <c r="Y240" s="381">
        <f>IF(OR($A240="",$U240="Subscription",$J240="",$J240=0,$X240=""),"",$X240/$J240)</f>
        <v/>
      </c>
    </row>
    <row r="241" ht="21" customHeight="1" s="270">
      <c r="A241" s="297" t="n"/>
      <c r="B241" s="298" t="n"/>
      <c r="C241" s="298" t="n"/>
      <c r="D241" s="297" t="n"/>
      <c r="E241" s="349" t="n"/>
      <c r="F241" s="349" t="n"/>
      <c r="G241" s="349" t="n"/>
      <c r="H241" s="349" t="n"/>
      <c r="I241" s="382" t="n"/>
      <c r="J241" s="383" t="n"/>
      <c r="K241" s="351" t="n"/>
      <c r="L241" s="296" t="n"/>
      <c r="M241" s="349" t="n"/>
      <c r="N241" s="349">
        <f>IF($A241="","",IF(OR(LOWER($D241&amp;"")="n/a",ISNUMBER(SEARCH("subscription",LOWER($A241&amp;" "&amp;$M241&amp;""))),ISNUMBER(SEARCH("membership",LOWER($A241&amp;" "&amp;$M241&amp;"")))),"",IF($G241="","",IF(ISNUMBER(SEARCH("non",LOWER($E241&amp;""))),$G241*0.85,$G241))))</f>
        <v/>
      </c>
      <c r="O241" s="349">
        <f>IF($A241="","",IF(OR(LOWER($D241&amp;"")="n/a",ISNUMBER(SEARCH("subscription",LOWER($A241&amp;" "&amp;$M241&amp;""))),ISNUMBER(SEARCH("membership",LOWER($A241&amp;" "&amp;$M241&amp;"")))),"",IF(OR($N241="",$I241="",$I241=0),"",$N241/$I241)))</f>
        <v/>
      </c>
      <c r="P241" s="349">
        <f>IF($A241="","",IF(OR(LOWER($D241&amp;"")="n/a",ISNUMBER(SEARCH("subscription",LOWER($A241&amp;" "&amp;$M241&amp;""))),ISNUMBER(SEARCH("membership",LOWER($A241&amp;" "&amp;$M241&amp;"")))),"",IF(LOWER($L241&amp;"")="yes",0,IF($K241&lt;&gt;"",$K241,IF($O241&lt;&gt;"",$O241,"")))))</f>
        <v/>
      </c>
      <c r="Q241" s="351">
        <f>IF($A241="","",IF($U241="Subscription","",IF($U241="Profit",$P241-$H241,0)))</f>
        <v/>
      </c>
      <c r="R241" s="349">
        <f>IF($A241="","",IF($U241="Subscription","",IF($U241="Draw",$H241,0)))</f>
        <v/>
      </c>
      <c r="S241" s="349">
        <f>IF($A241="","",IF($U241="Subscription","",IF($U241="Disqualified",$H241,0)))</f>
        <v/>
      </c>
      <c r="T241" s="380">
        <f>IF($A241="","",IF($U241="Subscription","",IF($H241=0,IF($U241="Profit","N/A",0),IF($U241="Profit",$Q241/$H241,IF($U241="Disqualified",-1,0)))))</f>
        <v/>
      </c>
      <c r="U241" s="351">
        <f>IF($A241="","",IF(OR(LOWER($D241&amp;"")="n/a",ISNUMBER(SEARCH("subscription",LOWER($A241&amp;" "&amp;$M241&amp;""))),ISNUMBER(SEARCH("membership",LOWER($A241&amp;" "&amp;$M241&amp;"")))),"Subscription",IF(LOWER($L241&amp;"")="yes","Disqualified",IF($P241&gt;$H241,"Profit","Draw"))))</f>
        <v/>
      </c>
      <c r="V241" s="383">
        <f>IF(OR($A241="",$B241="",$C241="",$U241="Subscription"),"",IFERROR(ROUNDUP((IF(ISNUMBER($C241),$C241,DATEVALUE($C241))-IF(ISNUMBER($B241),$B241,DATEVALUE($B241)))/7,0),""))</f>
        <v/>
      </c>
      <c r="W241" s="351">
        <f>IF($U241="Subscription","",$Q241-$S241)</f>
        <v/>
      </c>
      <c r="X241" s="384">
        <f>IF(OR($A241="",$U241="Subscription",$J241="",$I241="",$J241=0,$I241=0,$I241&gt;$J241),"",$J241-$I241)</f>
        <v/>
      </c>
      <c r="Y241" s="381">
        <f>IF(OR($A241="",$U241="Subscription",$J241="",$J241=0,$X241=""),"",$X241/$J241)</f>
        <v/>
      </c>
    </row>
    <row r="242" ht="21" customHeight="1" s="270">
      <c r="A242" s="297" t="n"/>
      <c r="B242" s="298" t="n"/>
      <c r="C242" s="298" t="n"/>
      <c r="D242" s="297" t="n"/>
      <c r="E242" s="349" t="n"/>
      <c r="F242" s="349" t="n"/>
      <c r="G242" s="349" t="n"/>
      <c r="H242" s="349" t="n"/>
      <c r="I242" s="382" t="n"/>
      <c r="J242" s="383" t="n"/>
      <c r="K242" s="351" t="n"/>
      <c r="L242" s="296" t="n"/>
      <c r="M242" s="349" t="n"/>
      <c r="N242" s="349">
        <f>IF($A242="","",IF(OR(LOWER($D242&amp;"")="n/a",ISNUMBER(SEARCH("subscription",LOWER($A242&amp;" "&amp;$M242&amp;""))),ISNUMBER(SEARCH("membership",LOWER($A242&amp;" "&amp;$M242&amp;"")))),"",IF($G242="","",IF(ISNUMBER(SEARCH("non",LOWER($E242&amp;""))),$G242*0.85,$G242))))</f>
        <v/>
      </c>
      <c r="O242" s="349">
        <f>IF($A242="","",IF(OR(LOWER($D242&amp;"")="n/a",ISNUMBER(SEARCH("subscription",LOWER($A242&amp;" "&amp;$M242&amp;""))),ISNUMBER(SEARCH("membership",LOWER($A242&amp;" "&amp;$M242&amp;"")))),"",IF(OR($N242="",$I242="",$I242=0),"",$N242/$I242)))</f>
        <v/>
      </c>
      <c r="P242" s="349">
        <f>IF($A242="","",IF(OR(LOWER($D242&amp;"")="n/a",ISNUMBER(SEARCH("subscription",LOWER($A242&amp;" "&amp;$M242&amp;""))),ISNUMBER(SEARCH("membership",LOWER($A242&amp;" "&amp;$M242&amp;"")))),"",IF(LOWER($L242&amp;"")="yes",0,IF($K242&lt;&gt;"",$K242,IF($O242&lt;&gt;"",$O242,"")))))</f>
        <v/>
      </c>
      <c r="Q242" s="351">
        <f>IF($A242="","",IF($U242="Subscription","",IF($U242="Profit",$P242-$H242,0)))</f>
        <v/>
      </c>
      <c r="R242" s="349">
        <f>IF($A242="","",IF($U242="Subscription","",IF($U242="Draw",$H242,0)))</f>
        <v/>
      </c>
      <c r="S242" s="349">
        <f>IF($A242="","",IF($U242="Subscription","",IF($U242="Disqualified",$H242,0)))</f>
        <v/>
      </c>
      <c r="T242" s="380">
        <f>IF($A242="","",IF($U242="Subscription","",IF($H242=0,IF($U242="Profit","N/A",0),IF($U242="Profit",$Q242/$H242,IF($U242="Disqualified",-1,0)))))</f>
        <v/>
      </c>
      <c r="U242" s="351">
        <f>IF($A242="","",IF(OR(LOWER($D242&amp;"")="n/a",ISNUMBER(SEARCH("subscription",LOWER($A242&amp;" "&amp;$M242&amp;""))),ISNUMBER(SEARCH("membership",LOWER($A242&amp;" "&amp;$M242&amp;"")))),"Subscription",IF(LOWER($L242&amp;"")="yes","Disqualified",IF($P242&gt;$H242,"Profit","Draw"))))</f>
        <v/>
      </c>
      <c r="V242" s="383">
        <f>IF(OR($A242="",$B242="",$C242="",$U242="Subscription"),"",IFERROR(ROUNDUP((IF(ISNUMBER($C242),$C242,DATEVALUE($C242))-IF(ISNUMBER($B242),$B242,DATEVALUE($B242)))/7,0),""))</f>
        <v/>
      </c>
      <c r="W242" s="351">
        <f>IF($U242="Subscription","",$Q242-$S242)</f>
        <v/>
      </c>
      <c r="X242" s="384">
        <f>IF(OR($A242="",$U242="Subscription",$J242="",$I242="",$J242=0,$I242=0,$I242&gt;$J242),"",$J242-$I242)</f>
        <v/>
      </c>
      <c r="Y242" s="381">
        <f>IF(OR($A242="",$U242="Subscription",$J242="",$J242=0,$X242=""),"",$X242/$J242)</f>
        <v/>
      </c>
    </row>
    <row r="243" ht="21" customHeight="1" s="270">
      <c r="A243" s="297" t="n"/>
      <c r="B243" s="298" t="n"/>
      <c r="C243" s="298" t="n"/>
      <c r="D243" s="297" t="n"/>
      <c r="E243" s="349" t="n"/>
      <c r="F243" s="349" t="n"/>
      <c r="G243" s="349" t="n"/>
      <c r="H243" s="349" t="n"/>
      <c r="I243" s="382" t="n"/>
      <c r="J243" s="383" t="n"/>
      <c r="K243" s="351" t="n"/>
      <c r="L243" s="296" t="n"/>
      <c r="M243" s="349" t="n"/>
      <c r="N243" s="349">
        <f>IF($A243="","",IF(OR(LOWER($D243&amp;"")="n/a",ISNUMBER(SEARCH("subscription",LOWER($A243&amp;" "&amp;$M243&amp;""))),ISNUMBER(SEARCH("membership",LOWER($A243&amp;" "&amp;$M243&amp;"")))),"",IF($G243="","",IF(ISNUMBER(SEARCH("non",LOWER($E243&amp;""))),$G243*0.85,$G243))))</f>
        <v/>
      </c>
      <c r="O243" s="349">
        <f>IF($A243="","",IF(OR(LOWER($D243&amp;"")="n/a",ISNUMBER(SEARCH("subscription",LOWER($A243&amp;" "&amp;$M243&amp;""))),ISNUMBER(SEARCH("membership",LOWER($A243&amp;" "&amp;$M243&amp;"")))),"",IF(OR($N243="",$I243="",$I243=0),"",$N243/$I243)))</f>
        <v/>
      </c>
      <c r="P243" s="349">
        <f>IF($A243="","",IF(OR(LOWER($D243&amp;"")="n/a",ISNUMBER(SEARCH("subscription",LOWER($A243&amp;" "&amp;$M243&amp;""))),ISNUMBER(SEARCH("membership",LOWER($A243&amp;" "&amp;$M243&amp;"")))),"",IF(LOWER($L243&amp;"")="yes",0,IF($K243&lt;&gt;"",$K243,IF($O243&lt;&gt;"",$O243,"")))))</f>
        <v/>
      </c>
      <c r="Q243" s="351">
        <f>IF($A243="","",IF($U243="Subscription","",IF($U243="Profit",$P243-$H243,0)))</f>
        <v/>
      </c>
      <c r="R243" s="349">
        <f>IF($A243="","",IF($U243="Subscription","",IF($U243="Draw",$H243,0)))</f>
        <v/>
      </c>
      <c r="S243" s="349">
        <f>IF($A243="","",IF($U243="Subscription","",IF($U243="Disqualified",$H243,0)))</f>
        <v/>
      </c>
      <c r="T243" s="380">
        <f>IF($A243="","",IF($U243="Subscription","",IF($H243=0,IF($U243="Profit","N/A",0),IF($U243="Profit",$Q243/$H243,IF($U243="Disqualified",-1,0)))))</f>
        <v/>
      </c>
      <c r="U243" s="351">
        <f>IF($A243="","",IF(OR(LOWER($D243&amp;"")="n/a",ISNUMBER(SEARCH("subscription",LOWER($A243&amp;" "&amp;$M243&amp;""))),ISNUMBER(SEARCH("membership",LOWER($A243&amp;" "&amp;$M243&amp;"")))),"Subscription",IF(LOWER($L243&amp;"")="yes","Disqualified",IF($P243&gt;$H243,"Profit","Draw"))))</f>
        <v/>
      </c>
      <c r="V243" s="383">
        <f>IF(OR($A243="",$B243="",$C243="",$U243="Subscription"),"",IFERROR(ROUNDUP((IF(ISNUMBER($C243),$C243,DATEVALUE($C243))-IF(ISNUMBER($B243),$B243,DATEVALUE($B243)))/7,0),""))</f>
        <v/>
      </c>
      <c r="W243" s="351">
        <f>IF($U243="Subscription","",$Q243-$S243)</f>
        <v/>
      </c>
      <c r="X243" s="384">
        <f>IF(OR($A243="",$U243="Subscription",$J243="",$I243="",$J243=0,$I243=0,$I243&gt;$J243),"",$J243-$I243)</f>
        <v/>
      </c>
      <c r="Y243" s="381">
        <f>IF(OR($A243="",$U243="Subscription",$J243="",$J243=0,$X243=""),"",$X243/$J243)</f>
        <v/>
      </c>
    </row>
    <row r="244" ht="21" customHeight="1" s="270">
      <c r="A244" s="297" t="n"/>
      <c r="B244" s="298" t="n"/>
      <c r="C244" s="298" t="n"/>
      <c r="D244" s="297" t="n"/>
      <c r="E244" s="349" t="n"/>
      <c r="F244" s="349" t="n"/>
      <c r="G244" s="349" t="n"/>
      <c r="H244" s="349" t="n"/>
      <c r="I244" s="382" t="n"/>
      <c r="J244" s="383" t="n"/>
      <c r="K244" s="351" t="n"/>
      <c r="L244" s="296" t="n"/>
      <c r="M244" s="349" t="n"/>
      <c r="N244" s="349">
        <f>IF($A244="","",IF(OR(LOWER($D244&amp;"")="n/a",ISNUMBER(SEARCH("subscription",LOWER($A244&amp;" "&amp;$M244&amp;""))),ISNUMBER(SEARCH("membership",LOWER($A244&amp;" "&amp;$M244&amp;"")))),"",IF($G244="","",IF(ISNUMBER(SEARCH("non",LOWER($E244&amp;""))),$G244*0.85,$G244))))</f>
        <v/>
      </c>
      <c r="O244" s="349">
        <f>IF($A244="","",IF(OR(LOWER($D244&amp;"")="n/a",ISNUMBER(SEARCH("subscription",LOWER($A244&amp;" "&amp;$M244&amp;""))),ISNUMBER(SEARCH("membership",LOWER($A244&amp;" "&amp;$M244&amp;"")))),"",IF(OR($N244="",$I244="",$I244=0),"",$N244/$I244)))</f>
        <v/>
      </c>
      <c r="P244" s="349">
        <f>IF($A244="","",IF(OR(LOWER($D244&amp;"")="n/a",ISNUMBER(SEARCH("subscription",LOWER($A244&amp;" "&amp;$M244&amp;""))),ISNUMBER(SEARCH("membership",LOWER($A244&amp;" "&amp;$M244&amp;"")))),"",IF(LOWER($L244&amp;"")="yes",0,IF($K244&lt;&gt;"",$K244,IF($O244&lt;&gt;"",$O244,"")))))</f>
        <v/>
      </c>
      <c r="Q244" s="351">
        <f>IF($A244="","",IF($U244="Subscription","",IF($U244="Profit",$P244-$H244,0)))</f>
        <v/>
      </c>
      <c r="R244" s="349">
        <f>IF($A244="","",IF($U244="Subscription","",IF($U244="Draw",$H244,0)))</f>
        <v/>
      </c>
      <c r="S244" s="349">
        <f>IF($A244="","",IF($U244="Subscription","",IF($U244="Disqualified",$H244,0)))</f>
        <v/>
      </c>
      <c r="T244" s="380">
        <f>IF($A244="","",IF($U244="Subscription","",IF($H244=0,IF($U244="Profit","N/A",0),IF($U244="Profit",$Q244/$H244,IF($U244="Disqualified",-1,0)))))</f>
        <v/>
      </c>
      <c r="U244" s="351">
        <f>IF($A244="","",IF(OR(LOWER($D244&amp;"")="n/a",ISNUMBER(SEARCH("subscription",LOWER($A244&amp;" "&amp;$M244&amp;""))),ISNUMBER(SEARCH("membership",LOWER($A244&amp;" "&amp;$M244&amp;"")))),"Subscription",IF(LOWER($L244&amp;"")="yes","Disqualified",IF($P244&gt;$H244,"Profit","Draw"))))</f>
        <v/>
      </c>
      <c r="V244" s="383">
        <f>IF(OR($A244="",$B244="",$C244="",$U244="Subscription"),"",IFERROR(ROUNDUP((IF(ISNUMBER($C244),$C244,DATEVALUE($C244))-IF(ISNUMBER($B244),$B244,DATEVALUE($B244)))/7,0),""))</f>
        <v/>
      </c>
      <c r="W244" s="351">
        <f>IF($U244="Subscription","",$Q244-$S244)</f>
        <v/>
      </c>
      <c r="X244" s="384">
        <f>IF(OR($A244="",$U244="Subscription",$J244="",$I244="",$J244=0,$I244=0,$I244&gt;$J244),"",$J244-$I244)</f>
        <v/>
      </c>
      <c r="Y244" s="381">
        <f>IF(OR($A244="",$U244="Subscription",$J244="",$J244=0,$X244=""),"",$X244/$J244)</f>
        <v/>
      </c>
    </row>
    <row r="245" ht="21" customHeight="1" s="270">
      <c r="A245" s="297" t="n"/>
      <c r="B245" s="298" t="n"/>
      <c r="C245" s="298" t="n"/>
      <c r="D245" s="297" t="n"/>
      <c r="E245" s="349" t="n"/>
      <c r="F245" s="349" t="n"/>
      <c r="G245" s="349" t="n"/>
      <c r="H245" s="349" t="n"/>
      <c r="I245" s="382" t="n"/>
      <c r="J245" s="383" t="n"/>
      <c r="K245" s="351" t="n"/>
      <c r="L245" s="296" t="n"/>
      <c r="M245" s="349" t="n"/>
      <c r="N245" s="349">
        <f>IF($A245="","",IF(OR(LOWER($D245&amp;"")="n/a",ISNUMBER(SEARCH("subscription",LOWER($A245&amp;" "&amp;$M245&amp;""))),ISNUMBER(SEARCH("membership",LOWER($A245&amp;" "&amp;$M245&amp;"")))),"",IF($G245="","",IF(ISNUMBER(SEARCH("non",LOWER($E245&amp;""))),$G245*0.85,$G245))))</f>
        <v/>
      </c>
      <c r="O245" s="349">
        <f>IF($A245="","",IF(OR(LOWER($D245&amp;"")="n/a",ISNUMBER(SEARCH("subscription",LOWER($A245&amp;" "&amp;$M245&amp;""))),ISNUMBER(SEARCH("membership",LOWER($A245&amp;" "&amp;$M245&amp;"")))),"",IF(OR($N245="",$I245="",$I245=0),"",$N245/$I245)))</f>
        <v/>
      </c>
      <c r="P245" s="349">
        <f>IF($A245="","",IF(OR(LOWER($D245&amp;"")="n/a",ISNUMBER(SEARCH("subscription",LOWER($A245&amp;" "&amp;$M245&amp;""))),ISNUMBER(SEARCH("membership",LOWER($A245&amp;" "&amp;$M245&amp;"")))),"",IF(LOWER($L245&amp;"")="yes",0,IF($K245&lt;&gt;"",$K245,IF($O245&lt;&gt;"",$O245,"")))))</f>
        <v/>
      </c>
      <c r="Q245" s="351">
        <f>IF($A245="","",IF($U245="Subscription","",IF($U245="Profit",$P245-$H245,0)))</f>
        <v/>
      </c>
      <c r="R245" s="349">
        <f>IF($A245="","",IF($U245="Subscription","",IF($U245="Draw",$H245,0)))</f>
        <v/>
      </c>
      <c r="S245" s="349">
        <f>IF($A245="","",IF($U245="Subscription","",IF($U245="Disqualified",$H245,0)))</f>
        <v/>
      </c>
      <c r="T245" s="380">
        <f>IF($A245="","",IF($U245="Subscription","",IF($H245=0,IF($U245="Profit","N/A",0),IF($U245="Profit",$Q245/$H245,IF($U245="Disqualified",-1,0)))))</f>
        <v/>
      </c>
      <c r="U245" s="351">
        <f>IF($A245="","",IF(OR(LOWER($D245&amp;"")="n/a",ISNUMBER(SEARCH("subscription",LOWER($A245&amp;" "&amp;$M245&amp;""))),ISNUMBER(SEARCH("membership",LOWER($A245&amp;" "&amp;$M245&amp;"")))),"Subscription",IF(LOWER($L245&amp;"")="yes","Disqualified",IF($P245&gt;$H245,"Profit","Draw"))))</f>
        <v/>
      </c>
      <c r="V245" s="383">
        <f>IF(OR($A245="",$B245="",$C245="",$U245="Subscription"),"",IFERROR(ROUNDUP((IF(ISNUMBER($C245),$C245,DATEVALUE($C245))-IF(ISNUMBER($B245),$B245,DATEVALUE($B245)))/7,0),""))</f>
        <v/>
      </c>
      <c r="W245" s="351">
        <f>IF($U245="Subscription","",$Q245-$S245)</f>
        <v/>
      </c>
      <c r="X245" s="384">
        <f>IF(OR($A245="",$U245="Subscription",$J245="",$I245="",$J245=0,$I245=0,$I245&gt;$J245),"",$J245-$I245)</f>
        <v/>
      </c>
      <c r="Y245" s="381">
        <f>IF(OR($A245="",$U245="Subscription",$J245="",$J245=0,$X245=""),"",$X245/$J245)</f>
        <v/>
      </c>
    </row>
    <row r="246" ht="21" customHeight="1" s="270">
      <c r="A246" s="297" t="n"/>
      <c r="B246" s="298" t="n"/>
      <c r="C246" s="298" t="n"/>
      <c r="D246" s="297" t="n"/>
      <c r="E246" s="349" t="n"/>
      <c r="F246" s="349" t="n"/>
      <c r="G246" s="349" t="n"/>
      <c r="H246" s="349" t="n"/>
      <c r="I246" s="382" t="n"/>
      <c r="J246" s="383" t="n"/>
      <c r="K246" s="351" t="n"/>
      <c r="L246" s="296" t="n"/>
      <c r="M246" s="349" t="n"/>
      <c r="N246" s="349">
        <f>IF($A246="","",IF(OR(LOWER($D246&amp;"")="n/a",ISNUMBER(SEARCH("subscription",LOWER($A246&amp;" "&amp;$M246&amp;""))),ISNUMBER(SEARCH("membership",LOWER($A246&amp;" "&amp;$M246&amp;"")))),"",IF($G246="","",IF(ISNUMBER(SEARCH("non",LOWER($E246&amp;""))),$G246*0.85,$G246))))</f>
        <v/>
      </c>
      <c r="O246" s="349">
        <f>IF($A246="","",IF(OR(LOWER($D246&amp;"")="n/a",ISNUMBER(SEARCH("subscription",LOWER($A246&amp;" "&amp;$M246&amp;""))),ISNUMBER(SEARCH("membership",LOWER($A246&amp;" "&amp;$M246&amp;"")))),"",IF(OR($N246="",$I246="",$I246=0),"",$N246/$I246)))</f>
        <v/>
      </c>
      <c r="P246" s="349">
        <f>IF($A246="","",IF(OR(LOWER($D246&amp;"")="n/a",ISNUMBER(SEARCH("subscription",LOWER($A246&amp;" "&amp;$M246&amp;""))),ISNUMBER(SEARCH("membership",LOWER($A246&amp;" "&amp;$M246&amp;"")))),"",IF(LOWER($L246&amp;"")="yes",0,IF($K246&lt;&gt;"",$K246,IF($O246&lt;&gt;"",$O246,"")))))</f>
        <v/>
      </c>
      <c r="Q246" s="351">
        <f>IF($A246="","",IF($U246="Subscription","",IF($U246="Profit",$P246-$H246,0)))</f>
        <v/>
      </c>
      <c r="R246" s="349">
        <f>IF($A246="","",IF($U246="Subscription","",IF($U246="Draw",$H246,0)))</f>
        <v/>
      </c>
      <c r="S246" s="349">
        <f>IF($A246="","",IF($U246="Subscription","",IF($U246="Disqualified",$H246,0)))</f>
        <v/>
      </c>
      <c r="T246" s="380">
        <f>IF($A246="","",IF($U246="Subscription","",IF($H246=0,IF($U246="Profit","N/A",0),IF($U246="Profit",$Q246/$H246,IF($U246="Disqualified",-1,0)))))</f>
        <v/>
      </c>
      <c r="U246" s="351">
        <f>IF($A246="","",IF(OR(LOWER($D246&amp;"")="n/a",ISNUMBER(SEARCH("subscription",LOWER($A246&amp;" "&amp;$M246&amp;""))),ISNUMBER(SEARCH("membership",LOWER($A246&amp;" "&amp;$M246&amp;"")))),"Subscription",IF(LOWER($L246&amp;"")="yes","Disqualified",IF($P246&gt;$H246,"Profit","Draw"))))</f>
        <v/>
      </c>
      <c r="V246" s="383">
        <f>IF(OR($A246="",$B246="",$C246="",$U246="Subscription"),"",IFERROR(ROUNDUP((IF(ISNUMBER($C246),$C246,DATEVALUE($C246))-IF(ISNUMBER($B246),$B246,DATEVALUE($B246)))/7,0),""))</f>
        <v/>
      </c>
      <c r="W246" s="351">
        <f>IF($U246="Subscription","",$Q246-$S246)</f>
        <v/>
      </c>
      <c r="X246" s="384">
        <f>IF(OR($A246="",$U246="Subscription",$J246="",$I246="",$J246=0,$I246=0,$I246&gt;$J246),"",$J246-$I246)</f>
        <v/>
      </c>
      <c r="Y246" s="381">
        <f>IF(OR($A246="",$U246="Subscription",$J246="",$J246=0,$X246=""),"",$X246/$J246)</f>
        <v/>
      </c>
    </row>
    <row r="247" ht="21" customHeight="1" s="270">
      <c r="A247" s="297" t="n"/>
      <c r="B247" s="298" t="n"/>
      <c r="C247" s="298" t="n"/>
      <c r="D247" s="297" t="n"/>
      <c r="E247" s="349" t="n"/>
      <c r="F247" s="349" t="n"/>
      <c r="G247" s="349" t="n"/>
      <c r="H247" s="349" t="n"/>
      <c r="I247" s="382" t="n"/>
      <c r="J247" s="383" t="n"/>
      <c r="K247" s="351" t="n"/>
      <c r="L247" s="296" t="n"/>
      <c r="M247" s="349" t="n"/>
      <c r="N247" s="349">
        <f>IF($A247="","",IF(OR(LOWER($D247&amp;"")="n/a",ISNUMBER(SEARCH("subscription",LOWER($A247&amp;" "&amp;$M247&amp;""))),ISNUMBER(SEARCH("membership",LOWER($A247&amp;" "&amp;$M247&amp;"")))),"",IF($G247="","",IF(ISNUMBER(SEARCH("non",LOWER($E247&amp;""))),$G247*0.85,$G247))))</f>
        <v/>
      </c>
      <c r="O247" s="349">
        <f>IF($A247="","",IF(OR(LOWER($D247&amp;"")="n/a",ISNUMBER(SEARCH("subscription",LOWER($A247&amp;" "&amp;$M247&amp;""))),ISNUMBER(SEARCH("membership",LOWER($A247&amp;" "&amp;$M247&amp;"")))),"",IF(OR($N247="",$I247="",$I247=0),"",$N247/$I247)))</f>
        <v/>
      </c>
      <c r="P247" s="349">
        <f>IF($A247="","",IF(OR(LOWER($D247&amp;"")="n/a",ISNUMBER(SEARCH("subscription",LOWER($A247&amp;" "&amp;$M247&amp;""))),ISNUMBER(SEARCH("membership",LOWER($A247&amp;" "&amp;$M247&amp;"")))),"",IF(LOWER($L247&amp;"")="yes",0,IF($K247&lt;&gt;"",$K247,IF($O247&lt;&gt;"",$O247,"")))))</f>
        <v/>
      </c>
      <c r="Q247" s="351">
        <f>IF($A247="","",IF($U247="Subscription","",IF($U247="Profit",$P247-$H247,0)))</f>
        <v/>
      </c>
      <c r="R247" s="349">
        <f>IF($A247="","",IF($U247="Subscription","",IF($U247="Draw",$H247,0)))</f>
        <v/>
      </c>
      <c r="S247" s="349">
        <f>IF($A247="","",IF($U247="Subscription","",IF($U247="Disqualified",$H247,0)))</f>
        <v/>
      </c>
      <c r="T247" s="380">
        <f>IF($A247="","",IF($U247="Subscription","",IF($H247=0,IF($U247="Profit","N/A",0),IF($U247="Profit",$Q247/$H247,IF($U247="Disqualified",-1,0)))))</f>
        <v/>
      </c>
      <c r="U247" s="351">
        <f>IF($A247="","",IF(OR(LOWER($D247&amp;"")="n/a",ISNUMBER(SEARCH("subscription",LOWER($A247&amp;" "&amp;$M247&amp;""))),ISNUMBER(SEARCH("membership",LOWER($A247&amp;" "&amp;$M247&amp;"")))),"Subscription",IF(LOWER($L247&amp;"")="yes","Disqualified",IF($P247&gt;$H247,"Profit","Draw"))))</f>
        <v/>
      </c>
      <c r="V247" s="383">
        <f>IF(OR($A247="",$B247="",$C247="",$U247="Subscription"),"",IFERROR(ROUNDUP((IF(ISNUMBER($C247),$C247,DATEVALUE($C247))-IF(ISNUMBER($B247),$B247,DATEVALUE($B247)))/7,0),""))</f>
        <v/>
      </c>
      <c r="W247" s="351">
        <f>IF($U247="Subscription","",$Q247-$S247)</f>
        <v/>
      </c>
      <c r="X247" s="384">
        <f>IF(OR($A247="",$U247="Subscription",$J247="",$I247="",$J247=0,$I247=0,$I247&gt;$J247),"",$J247-$I247)</f>
        <v/>
      </c>
      <c r="Y247" s="381">
        <f>IF(OR($A247="",$U247="Subscription",$J247="",$J247=0,$X247=""),"",$X247/$J247)</f>
        <v/>
      </c>
    </row>
    <row r="248" ht="21" customHeight="1" s="270">
      <c r="A248" s="297" t="n"/>
      <c r="B248" s="298" t="n"/>
      <c r="C248" s="298" t="n"/>
      <c r="D248" s="297" t="n"/>
      <c r="E248" s="349" t="n"/>
      <c r="F248" s="349" t="n"/>
      <c r="G248" s="349" t="n"/>
      <c r="H248" s="349" t="n"/>
      <c r="I248" s="382" t="n"/>
      <c r="J248" s="383" t="n"/>
      <c r="K248" s="351" t="n"/>
      <c r="L248" s="296" t="n"/>
      <c r="M248" s="349" t="n"/>
      <c r="N248" s="349">
        <f>IF($A248="","",IF(OR(LOWER($D248&amp;"")="n/a",ISNUMBER(SEARCH("subscription",LOWER($A248&amp;" "&amp;$M248&amp;""))),ISNUMBER(SEARCH("membership",LOWER($A248&amp;" "&amp;$M248&amp;"")))),"",IF($G248="","",IF(ISNUMBER(SEARCH("non",LOWER($E248&amp;""))),$G248*0.85,$G248))))</f>
        <v/>
      </c>
      <c r="O248" s="349">
        <f>IF($A248="","",IF(OR(LOWER($D248&amp;"")="n/a",ISNUMBER(SEARCH("subscription",LOWER($A248&amp;" "&amp;$M248&amp;""))),ISNUMBER(SEARCH("membership",LOWER($A248&amp;" "&amp;$M248&amp;"")))),"",IF(OR($N248="",$I248="",$I248=0),"",$N248/$I248)))</f>
        <v/>
      </c>
      <c r="P248" s="349">
        <f>IF($A248="","",IF(OR(LOWER($D248&amp;"")="n/a",ISNUMBER(SEARCH("subscription",LOWER($A248&amp;" "&amp;$M248&amp;""))),ISNUMBER(SEARCH("membership",LOWER($A248&amp;" "&amp;$M248&amp;"")))),"",IF(LOWER($L248&amp;"")="yes",0,IF($K248&lt;&gt;"",$K248,IF($O248&lt;&gt;"",$O248,"")))))</f>
        <v/>
      </c>
      <c r="Q248" s="351">
        <f>IF($A248="","",IF($U248="Subscription","",IF($U248="Profit",$P248-$H248,0)))</f>
        <v/>
      </c>
      <c r="R248" s="349">
        <f>IF($A248="","",IF($U248="Subscription","",IF($U248="Draw",$H248,0)))</f>
        <v/>
      </c>
      <c r="S248" s="349">
        <f>IF($A248="","",IF($U248="Subscription","",IF($U248="Disqualified",$H248,0)))</f>
        <v/>
      </c>
      <c r="T248" s="380">
        <f>IF($A248="","",IF($U248="Subscription","",IF($H248=0,IF($U248="Profit","N/A",0),IF($U248="Profit",$Q248/$H248,IF($U248="Disqualified",-1,0)))))</f>
        <v/>
      </c>
      <c r="U248" s="351">
        <f>IF($A248="","",IF(OR(LOWER($D248&amp;"")="n/a",ISNUMBER(SEARCH("subscription",LOWER($A248&amp;" "&amp;$M248&amp;""))),ISNUMBER(SEARCH("membership",LOWER($A248&amp;" "&amp;$M248&amp;"")))),"Subscription",IF(LOWER($L248&amp;"")="yes","Disqualified",IF($P248&gt;$H248,"Profit","Draw"))))</f>
        <v/>
      </c>
      <c r="V248" s="383">
        <f>IF(OR($A248="",$B248="",$C248="",$U248="Subscription"),"",IFERROR(ROUNDUP((IF(ISNUMBER($C248),$C248,DATEVALUE($C248))-IF(ISNUMBER($B248),$B248,DATEVALUE($B248)))/7,0),""))</f>
        <v/>
      </c>
      <c r="W248" s="351">
        <f>IF($U248="Subscription","",$Q248-$S248)</f>
        <v/>
      </c>
      <c r="X248" s="384">
        <f>IF(OR($A248="",$U248="Subscription",$J248="",$I248="",$J248=0,$I248=0,$I248&gt;$J248),"",$J248-$I248)</f>
        <v/>
      </c>
      <c r="Y248" s="381">
        <f>IF(OR($A248="",$U248="Subscription",$J248="",$J248=0,$X248=""),"",$X248/$J248)</f>
        <v/>
      </c>
    </row>
    <row r="249" ht="21" customHeight="1" s="270">
      <c r="A249" s="297" t="n"/>
      <c r="B249" s="298" t="n"/>
      <c r="C249" s="298" t="n"/>
      <c r="D249" s="297" t="n"/>
      <c r="E249" s="349" t="n"/>
      <c r="F249" s="349" t="n"/>
      <c r="G249" s="349" t="n"/>
      <c r="H249" s="349" t="n"/>
      <c r="I249" s="382" t="n"/>
      <c r="J249" s="383" t="n"/>
      <c r="K249" s="351" t="n"/>
      <c r="L249" s="296" t="n"/>
      <c r="M249" s="349" t="n"/>
      <c r="N249" s="349">
        <f>IF($A249="","",IF(OR(LOWER($D249&amp;"")="n/a",ISNUMBER(SEARCH("subscription",LOWER($A249&amp;" "&amp;$M249&amp;""))),ISNUMBER(SEARCH("membership",LOWER($A249&amp;" "&amp;$M249&amp;"")))),"",IF($G249="","",IF(ISNUMBER(SEARCH("non",LOWER($E249&amp;""))),$G249*0.85,$G249))))</f>
        <v/>
      </c>
      <c r="O249" s="349">
        <f>IF($A249="","",IF(OR(LOWER($D249&amp;"")="n/a",ISNUMBER(SEARCH("subscription",LOWER($A249&amp;" "&amp;$M249&amp;""))),ISNUMBER(SEARCH("membership",LOWER($A249&amp;" "&amp;$M249&amp;"")))),"",IF(OR($N249="",$I249="",$I249=0),"",$N249/$I249)))</f>
        <v/>
      </c>
      <c r="P249" s="349">
        <f>IF($A249="","",IF(OR(LOWER($D249&amp;"")="n/a",ISNUMBER(SEARCH("subscription",LOWER($A249&amp;" "&amp;$M249&amp;""))),ISNUMBER(SEARCH("membership",LOWER($A249&amp;" "&amp;$M249&amp;"")))),"",IF(LOWER($L249&amp;"")="yes",0,IF($K249&lt;&gt;"",$K249,IF($O249&lt;&gt;"",$O249,"")))))</f>
        <v/>
      </c>
      <c r="Q249" s="351">
        <f>IF($A249="","",IF($U249="Subscription","",IF($U249="Profit",$P249-$H249,0)))</f>
        <v/>
      </c>
      <c r="R249" s="349">
        <f>IF($A249="","",IF($U249="Subscription","",IF($U249="Draw",$H249,0)))</f>
        <v/>
      </c>
      <c r="S249" s="349">
        <f>IF($A249="","",IF($U249="Subscription","",IF($U249="Disqualified",$H249,0)))</f>
        <v/>
      </c>
      <c r="T249" s="380">
        <f>IF($A249="","",IF($U249="Subscription","",IF($H249=0,IF($U249="Profit","N/A",0),IF($U249="Profit",$Q249/$H249,IF($U249="Disqualified",-1,0)))))</f>
        <v/>
      </c>
      <c r="U249" s="351">
        <f>IF($A249="","",IF(OR(LOWER($D249&amp;"")="n/a",ISNUMBER(SEARCH("subscription",LOWER($A249&amp;" "&amp;$M249&amp;""))),ISNUMBER(SEARCH("membership",LOWER($A249&amp;" "&amp;$M249&amp;"")))),"Subscription",IF(LOWER($L249&amp;"")="yes","Disqualified",IF($P249&gt;$H249,"Profit","Draw"))))</f>
        <v/>
      </c>
      <c r="V249" s="383">
        <f>IF(OR($A249="",$B249="",$C249="",$U249="Subscription"),"",IFERROR(ROUNDUP((IF(ISNUMBER($C249),$C249,DATEVALUE($C249))-IF(ISNUMBER($B249),$B249,DATEVALUE($B249)))/7,0),""))</f>
        <v/>
      </c>
      <c r="W249" s="351">
        <f>IF($U249="Subscription","",$Q249-$S249)</f>
        <v/>
      </c>
      <c r="X249" s="384">
        <f>IF(OR($A249="",$U249="Subscription",$J249="",$I249="",$J249=0,$I249=0,$I249&gt;$J249),"",$J249-$I249)</f>
        <v/>
      </c>
      <c r="Y249" s="381">
        <f>IF(OR($A249="",$U249="Subscription",$J249="",$J249=0,$X249=""),"",$X249/$J249)</f>
        <v/>
      </c>
    </row>
    <row r="250" ht="21" customHeight="1" s="270">
      <c r="A250" s="297" t="n"/>
      <c r="B250" s="298" t="n"/>
      <c r="C250" s="298" t="n"/>
      <c r="D250" s="297" t="n"/>
      <c r="E250" s="349" t="n"/>
      <c r="F250" s="349" t="n"/>
      <c r="G250" s="349" t="n"/>
      <c r="H250" s="349" t="n"/>
      <c r="I250" s="382" t="n"/>
      <c r="J250" s="383" t="n"/>
      <c r="K250" s="351" t="n"/>
      <c r="L250" s="296" t="n"/>
      <c r="M250" s="349" t="n"/>
      <c r="N250" s="349">
        <f>IF($A250="","",IF(OR(LOWER($D250&amp;"")="n/a",ISNUMBER(SEARCH("subscription",LOWER($A250&amp;" "&amp;$M250&amp;""))),ISNUMBER(SEARCH("membership",LOWER($A250&amp;" "&amp;$M250&amp;"")))),"",IF($G250="","",IF(ISNUMBER(SEARCH("non",LOWER($E250&amp;""))),$G250*0.85,$G250))))</f>
        <v/>
      </c>
      <c r="O250" s="349">
        <f>IF($A250="","",IF(OR(LOWER($D250&amp;"")="n/a",ISNUMBER(SEARCH("subscription",LOWER($A250&amp;" "&amp;$M250&amp;""))),ISNUMBER(SEARCH("membership",LOWER($A250&amp;" "&amp;$M250&amp;"")))),"",IF(OR($N250="",$I250="",$I250=0),"",$N250/$I250)))</f>
        <v/>
      </c>
      <c r="P250" s="349">
        <f>IF($A250="","",IF(OR(LOWER($D250&amp;"")="n/a",ISNUMBER(SEARCH("subscription",LOWER($A250&amp;" "&amp;$M250&amp;""))),ISNUMBER(SEARCH("membership",LOWER($A250&amp;" "&amp;$M250&amp;"")))),"",IF(LOWER($L250&amp;"")="yes",0,IF($K250&lt;&gt;"",$K250,IF($O250&lt;&gt;"",$O250,"")))))</f>
        <v/>
      </c>
      <c r="Q250" s="351">
        <f>IF($A250="","",IF($U250="Subscription","",IF($U250="Profit",$P250-$H250,0)))</f>
        <v/>
      </c>
      <c r="R250" s="349">
        <f>IF($A250="","",IF($U250="Subscription","",IF($U250="Draw",$H250,0)))</f>
        <v/>
      </c>
      <c r="S250" s="349">
        <f>IF($A250="","",IF($U250="Subscription","",IF($U250="Disqualified",$H250,0)))</f>
        <v/>
      </c>
      <c r="T250" s="380">
        <f>IF($A250="","",IF($U250="Subscription","",IF($H250=0,IF($U250="Profit","N/A",0),IF($U250="Profit",$Q250/$H250,IF($U250="Disqualified",-1,0)))))</f>
        <v/>
      </c>
      <c r="U250" s="351">
        <f>IF($A250="","",IF(OR(LOWER($D250&amp;"")="n/a",ISNUMBER(SEARCH("subscription",LOWER($A250&amp;" "&amp;$M250&amp;""))),ISNUMBER(SEARCH("membership",LOWER($A250&amp;" "&amp;$M250&amp;"")))),"Subscription",IF(LOWER($L250&amp;"")="yes","Disqualified",IF($P250&gt;$H250,"Profit","Draw"))))</f>
        <v/>
      </c>
      <c r="V250" s="383">
        <f>IF(OR($A250="",$B250="",$C250="",$U250="Subscription"),"",IFERROR(ROUNDUP((IF(ISNUMBER($C250),$C250,DATEVALUE($C250))-IF(ISNUMBER($B250),$B250,DATEVALUE($B250)))/7,0),""))</f>
        <v/>
      </c>
      <c r="W250" s="351">
        <f>IF($U250="Subscription","",$Q250-$S250)</f>
        <v/>
      </c>
      <c r="X250" s="384">
        <f>IF(OR($A250="",$U250="Subscription",$J250="",$I250="",$J250=0,$I250=0,$I250&gt;$J250),"",$J250-$I250)</f>
        <v/>
      </c>
      <c r="Y250" s="381">
        <f>IF(OR($A250="",$U250="Subscription",$J250="",$J250=0,$X250=""),"",$X250/$J250)</f>
        <v/>
      </c>
    </row>
    <row r="251" ht="21" customHeight="1" s="270">
      <c r="A251" s="297" t="n"/>
      <c r="B251" s="298" t="n"/>
      <c r="C251" s="298" t="n"/>
      <c r="D251" s="297" t="n"/>
      <c r="E251" s="349" t="n"/>
      <c r="F251" s="349" t="n"/>
      <c r="G251" s="349" t="n"/>
      <c r="H251" s="349" t="n"/>
      <c r="I251" s="382" t="n"/>
      <c r="J251" s="383" t="n"/>
      <c r="K251" s="351" t="n"/>
      <c r="L251" s="296" t="n"/>
      <c r="M251" s="349" t="n"/>
      <c r="N251" s="349">
        <f>IF($A251="","",IF(OR(LOWER($D251&amp;"")="n/a",ISNUMBER(SEARCH("subscription",LOWER($A251&amp;" "&amp;$M251&amp;""))),ISNUMBER(SEARCH("membership",LOWER($A251&amp;" "&amp;$M251&amp;"")))),"",IF($G251="","",IF(ISNUMBER(SEARCH("non",LOWER($E251&amp;""))),$G251*0.85,$G251))))</f>
        <v/>
      </c>
      <c r="O251" s="349">
        <f>IF($A251="","",IF(OR(LOWER($D251&amp;"")="n/a",ISNUMBER(SEARCH("subscription",LOWER($A251&amp;" "&amp;$M251&amp;""))),ISNUMBER(SEARCH("membership",LOWER($A251&amp;" "&amp;$M251&amp;"")))),"",IF(OR($N251="",$I251="",$I251=0),"",$N251/$I251)))</f>
        <v/>
      </c>
      <c r="P251" s="349">
        <f>IF($A251="","",IF(OR(LOWER($D251&amp;"")="n/a",ISNUMBER(SEARCH("subscription",LOWER($A251&amp;" "&amp;$M251&amp;""))),ISNUMBER(SEARCH("membership",LOWER($A251&amp;" "&amp;$M251&amp;"")))),"",IF(LOWER($L251&amp;"")="yes",0,IF($K251&lt;&gt;"",$K251,IF($O251&lt;&gt;"",$O251,"")))))</f>
        <v/>
      </c>
      <c r="Q251" s="351">
        <f>IF($A251="","",IF($U251="Subscription","",IF($U251="Profit",$P251-$H251,0)))</f>
        <v/>
      </c>
      <c r="R251" s="349">
        <f>IF($A251="","",IF($U251="Subscription","",IF($U251="Draw",$H251,0)))</f>
        <v/>
      </c>
      <c r="S251" s="349">
        <f>IF($A251="","",IF($U251="Subscription","",IF($U251="Disqualified",$H251,0)))</f>
        <v/>
      </c>
      <c r="T251" s="380">
        <f>IF($A251="","",IF($U251="Subscription","",IF($H251=0,IF($U251="Profit","N/A",0),IF($U251="Profit",$Q251/$H251,IF($U251="Disqualified",-1,0)))))</f>
        <v/>
      </c>
      <c r="U251" s="351">
        <f>IF($A251="","",IF(OR(LOWER($D251&amp;"")="n/a",ISNUMBER(SEARCH("subscription",LOWER($A251&amp;" "&amp;$M251&amp;""))),ISNUMBER(SEARCH("membership",LOWER($A251&amp;" "&amp;$M251&amp;"")))),"Subscription",IF(LOWER($L251&amp;"")="yes","Disqualified",IF($P251&gt;$H251,"Profit","Draw"))))</f>
        <v/>
      </c>
      <c r="V251" s="383">
        <f>IF(OR($A251="",$B251="",$C251="",$U251="Subscription"),"",IFERROR(ROUNDUP((IF(ISNUMBER($C251),$C251,DATEVALUE($C251))-IF(ISNUMBER($B251),$B251,DATEVALUE($B251)))/7,0),""))</f>
        <v/>
      </c>
      <c r="W251" s="351">
        <f>IF($U251="Subscription","",$Q251-$S251)</f>
        <v/>
      </c>
      <c r="X251" s="384">
        <f>IF(OR($A251="",$U251="Subscription",$J251="",$I251="",$J251=0,$I251=0,$I251&gt;$J251),"",$J251-$I251)</f>
        <v/>
      </c>
      <c r="Y251" s="381">
        <f>IF(OR($A251="",$U251="Subscription",$J251="",$J251=0,$X251=""),"",$X251/$J251)</f>
        <v/>
      </c>
    </row>
    <row r="252" ht="21" customHeight="1" s="270">
      <c r="A252" s="297" t="n"/>
      <c r="B252" s="298" t="n"/>
      <c r="C252" s="298" t="n"/>
      <c r="D252" s="297" t="n"/>
      <c r="E252" s="349" t="n"/>
      <c r="F252" s="349" t="n"/>
      <c r="G252" s="349" t="n"/>
      <c r="H252" s="349" t="n"/>
      <c r="I252" s="382" t="n"/>
      <c r="J252" s="383" t="n"/>
      <c r="K252" s="351" t="n"/>
      <c r="L252" s="296" t="n"/>
      <c r="M252" s="349" t="n"/>
      <c r="N252" s="349">
        <f>IF($A252="","",IF(OR(LOWER($D252&amp;"")="n/a",ISNUMBER(SEARCH("subscription",LOWER($A252&amp;" "&amp;$M252&amp;""))),ISNUMBER(SEARCH("membership",LOWER($A252&amp;" "&amp;$M252&amp;"")))),"",IF($G252="","",IF(ISNUMBER(SEARCH("non",LOWER($E252&amp;""))),$G252*0.85,$G252))))</f>
        <v/>
      </c>
      <c r="O252" s="349">
        <f>IF($A252="","",IF(OR(LOWER($D252&amp;"")="n/a",ISNUMBER(SEARCH("subscription",LOWER($A252&amp;" "&amp;$M252&amp;""))),ISNUMBER(SEARCH("membership",LOWER($A252&amp;" "&amp;$M252&amp;"")))),"",IF(OR($N252="",$I252="",$I252=0),"",$N252/$I252)))</f>
        <v/>
      </c>
      <c r="P252" s="349">
        <f>IF($A252="","",IF(OR(LOWER($D252&amp;"")="n/a",ISNUMBER(SEARCH("subscription",LOWER($A252&amp;" "&amp;$M252&amp;""))),ISNUMBER(SEARCH("membership",LOWER($A252&amp;" "&amp;$M252&amp;"")))),"",IF(LOWER($L252&amp;"")="yes",0,IF($K252&lt;&gt;"",$K252,IF($O252&lt;&gt;"",$O252,"")))))</f>
        <v/>
      </c>
      <c r="Q252" s="351">
        <f>IF($A252="","",IF($U252="Subscription","",IF($U252="Profit",$P252-$H252,0)))</f>
        <v/>
      </c>
      <c r="R252" s="349">
        <f>IF($A252="","",IF($U252="Subscription","",IF($U252="Draw",$H252,0)))</f>
        <v/>
      </c>
      <c r="S252" s="349">
        <f>IF($A252="","",IF($U252="Subscription","",IF($U252="Disqualified",$H252,0)))</f>
        <v/>
      </c>
      <c r="T252" s="380">
        <f>IF($A252="","",IF($U252="Subscription","",IF($H252=0,IF($U252="Profit","N/A",0),IF($U252="Profit",$Q252/$H252,IF($U252="Disqualified",-1,0)))))</f>
        <v/>
      </c>
      <c r="U252" s="351">
        <f>IF($A252="","",IF(OR(LOWER($D252&amp;"")="n/a",ISNUMBER(SEARCH("subscription",LOWER($A252&amp;" "&amp;$M252&amp;""))),ISNUMBER(SEARCH("membership",LOWER($A252&amp;" "&amp;$M252&amp;"")))),"Subscription",IF(LOWER($L252&amp;"")="yes","Disqualified",IF($P252&gt;$H252,"Profit","Draw"))))</f>
        <v/>
      </c>
      <c r="V252" s="383">
        <f>IF(OR($A252="",$B252="",$C252="",$U252="Subscription"),"",IFERROR(ROUNDUP((IF(ISNUMBER($C252),$C252,DATEVALUE($C252))-IF(ISNUMBER($B252),$B252,DATEVALUE($B252)))/7,0),""))</f>
        <v/>
      </c>
      <c r="W252" s="351">
        <f>IF($U252="Subscription","",$Q252-$S252)</f>
        <v/>
      </c>
      <c r="X252" s="384">
        <f>IF(OR($A252="",$U252="Subscription",$J252="",$I252="",$J252=0,$I252=0,$I252&gt;$J252),"",$J252-$I252)</f>
        <v/>
      </c>
      <c r="Y252" s="381">
        <f>IF(OR($A252="",$U252="Subscription",$J252="",$J252=0,$X252=""),"",$X252/$J252)</f>
        <v/>
      </c>
    </row>
    <row r="253" ht="21" customHeight="1" s="270">
      <c r="A253" s="297" t="n"/>
      <c r="B253" s="298" t="n"/>
      <c r="C253" s="298" t="n"/>
      <c r="D253" s="297" t="n"/>
      <c r="E253" s="349" t="n"/>
      <c r="F253" s="349" t="n"/>
      <c r="G253" s="349" t="n"/>
      <c r="H253" s="349" t="n"/>
      <c r="I253" s="382" t="n"/>
      <c r="J253" s="383" t="n"/>
      <c r="K253" s="351" t="n"/>
      <c r="L253" s="296" t="n"/>
      <c r="M253" s="349" t="n"/>
      <c r="N253" s="349">
        <f>IF($A253="","",IF(OR(LOWER($D253&amp;"")="n/a",ISNUMBER(SEARCH("subscription",LOWER($A253&amp;" "&amp;$M253&amp;""))),ISNUMBER(SEARCH("membership",LOWER($A253&amp;" "&amp;$M253&amp;"")))),"",IF($G253="","",IF(ISNUMBER(SEARCH("non",LOWER($E253&amp;""))),$G253*0.85,$G253))))</f>
        <v/>
      </c>
      <c r="O253" s="349">
        <f>IF($A253="","",IF(OR(LOWER($D253&amp;"")="n/a",ISNUMBER(SEARCH("subscription",LOWER($A253&amp;" "&amp;$M253&amp;""))),ISNUMBER(SEARCH("membership",LOWER($A253&amp;" "&amp;$M253&amp;"")))),"",IF(OR($N253="",$I253="",$I253=0),"",$N253/$I253)))</f>
        <v/>
      </c>
      <c r="P253" s="349">
        <f>IF($A253="","",IF(OR(LOWER($D253&amp;"")="n/a",ISNUMBER(SEARCH("subscription",LOWER($A253&amp;" "&amp;$M253&amp;""))),ISNUMBER(SEARCH("membership",LOWER($A253&amp;" "&amp;$M253&amp;"")))),"",IF(LOWER($L253&amp;"")="yes",0,IF($K253&lt;&gt;"",$K253,IF($O253&lt;&gt;"",$O253,"")))))</f>
        <v/>
      </c>
      <c r="Q253" s="351">
        <f>IF($A253="","",IF($U253="Subscription","",IF($U253="Profit",$P253-$H253,0)))</f>
        <v/>
      </c>
      <c r="R253" s="349">
        <f>IF($A253="","",IF($U253="Subscription","",IF($U253="Draw",$H253,0)))</f>
        <v/>
      </c>
      <c r="S253" s="349">
        <f>IF($A253="","",IF($U253="Subscription","",IF($U253="Disqualified",$H253,0)))</f>
        <v/>
      </c>
      <c r="T253" s="380">
        <f>IF($A253="","",IF($U253="Subscription","",IF($H253=0,IF($U253="Profit","N/A",0),IF($U253="Profit",$Q253/$H253,IF($U253="Disqualified",-1,0)))))</f>
        <v/>
      </c>
      <c r="U253" s="351">
        <f>IF($A253="","",IF(OR(LOWER($D253&amp;"")="n/a",ISNUMBER(SEARCH("subscription",LOWER($A253&amp;" "&amp;$M253&amp;""))),ISNUMBER(SEARCH("membership",LOWER($A253&amp;" "&amp;$M253&amp;"")))),"Subscription",IF(LOWER($L253&amp;"")="yes","Disqualified",IF($P253&gt;$H253,"Profit","Draw"))))</f>
        <v/>
      </c>
      <c r="V253" s="383">
        <f>IF(OR($A253="",$B253="",$C253="",$U253="Subscription"),"",IFERROR(ROUNDUP((IF(ISNUMBER($C253),$C253,DATEVALUE($C253))-IF(ISNUMBER($B253),$B253,DATEVALUE($B253)))/7,0),""))</f>
        <v/>
      </c>
      <c r="W253" s="351">
        <f>IF($U253="Subscription","",$Q253-$S253)</f>
        <v/>
      </c>
      <c r="X253" s="384">
        <f>IF(OR($A253="",$U253="Subscription",$J253="",$I253="",$J253=0,$I253=0,$I253&gt;$J253),"",$J253-$I253)</f>
        <v/>
      </c>
      <c r="Y253" s="381">
        <f>IF(OR($A253="",$U253="Subscription",$J253="",$J253=0,$X253=""),"",$X253/$J253)</f>
        <v/>
      </c>
    </row>
    <row r="254" ht="21" customHeight="1" s="270">
      <c r="A254" s="297" t="n"/>
      <c r="B254" s="298" t="n"/>
      <c r="C254" s="298" t="n"/>
      <c r="D254" s="297" t="n"/>
      <c r="E254" s="349" t="n"/>
      <c r="F254" s="349" t="n"/>
      <c r="G254" s="349" t="n"/>
      <c r="H254" s="349" t="n"/>
      <c r="I254" s="382" t="n"/>
      <c r="J254" s="383" t="n"/>
      <c r="K254" s="351" t="n"/>
      <c r="L254" s="296" t="n"/>
      <c r="M254" s="349" t="n"/>
      <c r="N254" s="349">
        <f>IF($A254="","",IF(OR(LOWER($D254&amp;"")="n/a",ISNUMBER(SEARCH("subscription",LOWER($A254&amp;" "&amp;$M254&amp;""))),ISNUMBER(SEARCH("membership",LOWER($A254&amp;" "&amp;$M254&amp;"")))),"",IF($G254="","",IF(ISNUMBER(SEARCH("non",LOWER($E254&amp;""))),$G254*0.85,$G254))))</f>
        <v/>
      </c>
      <c r="O254" s="349">
        <f>IF($A254="","",IF(OR(LOWER($D254&amp;"")="n/a",ISNUMBER(SEARCH("subscription",LOWER($A254&amp;" "&amp;$M254&amp;""))),ISNUMBER(SEARCH("membership",LOWER($A254&amp;" "&amp;$M254&amp;"")))),"",IF(OR($N254="",$I254="",$I254=0),"",$N254/$I254)))</f>
        <v/>
      </c>
      <c r="P254" s="349">
        <f>IF($A254="","",IF(OR(LOWER($D254&amp;"")="n/a",ISNUMBER(SEARCH("subscription",LOWER($A254&amp;" "&amp;$M254&amp;""))),ISNUMBER(SEARCH("membership",LOWER($A254&amp;" "&amp;$M254&amp;"")))),"",IF(LOWER($L254&amp;"")="yes",0,IF($K254&lt;&gt;"",$K254,IF($O254&lt;&gt;"",$O254,"")))))</f>
        <v/>
      </c>
      <c r="Q254" s="351">
        <f>IF($A254="","",IF($U254="Subscription","",IF($U254="Profit",$P254-$H254,0)))</f>
        <v/>
      </c>
      <c r="R254" s="349">
        <f>IF($A254="","",IF($U254="Subscription","",IF($U254="Draw",$H254,0)))</f>
        <v/>
      </c>
      <c r="S254" s="349">
        <f>IF($A254="","",IF($U254="Subscription","",IF($U254="Disqualified",$H254,0)))</f>
        <v/>
      </c>
      <c r="T254" s="380">
        <f>IF($A254="","",IF($U254="Subscription","",IF($H254=0,IF($U254="Profit","N/A",0),IF($U254="Profit",$Q254/$H254,IF($U254="Disqualified",-1,0)))))</f>
        <v/>
      </c>
      <c r="U254" s="351">
        <f>IF($A254="","",IF(OR(LOWER($D254&amp;"")="n/a",ISNUMBER(SEARCH("subscription",LOWER($A254&amp;" "&amp;$M254&amp;""))),ISNUMBER(SEARCH("membership",LOWER($A254&amp;" "&amp;$M254&amp;"")))),"Subscription",IF(LOWER($L254&amp;"")="yes","Disqualified",IF($P254&gt;$H254,"Profit","Draw"))))</f>
        <v/>
      </c>
      <c r="V254" s="383">
        <f>IF(OR($A254="",$B254="",$C254="",$U254="Subscription"),"",IFERROR(ROUNDUP((IF(ISNUMBER($C254),$C254,DATEVALUE($C254))-IF(ISNUMBER($B254),$B254,DATEVALUE($B254)))/7,0),""))</f>
        <v/>
      </c>
      <c r="W254" s="351">
        <f>IF($U254="Subscription","",$Q254-$S254)</f>
        <v/>
      </c>
      <c r="X254" s="384">
        <f>IF(OR($A254="",$U254="Subscription",$J254="",$I254="",$J254=0,$I254=0,$I254&gt;$J254),"",$J254-$I254)</f>
        <v/>
      </c>
      <c r="Y254" s="381">
        <f>IF(OR($A254="",$U254="Subscription",$J254="",$J254=0,$X254=""),"",$X254/$J254)</f>
        <v/>
      </c>
    </row>
    <row r="255" ht="21" customHeight="1" s="270">
      <c r="A255" s="297" t="n"/>
      <c r="B255" s="298" t="n"/>
      <c r="C255" s="298" t="n"/>
      <c r="D255" s="297" t="n"/>
      <c r="E255" s="349" t="n"/>
      <c r="F255" s="349" t="n"/>
      <c r="G255" s="349" t="n"/>
      <c r="H255" s="349" t="n"/>
      <c r="I255" s="382" t="n"/>
      <c r="J255" s="383" t="n"/>
      <c r="K255" s="351" t="n"/>
      <c r="L255" s="296" t="n"/>
      <c r="M255" s="349" t="n"/>
      <c r="N255" s="349">
        <f>IF($A255="","",IF(OR(LOWER($D255&amp;"")="n/a",ISNUMBER(SEARCH("subscription",LOWER($A255&amp;" "&amp;$M255&amp;""))),ISNUMBER(SEARCH("membership",LOWER($A255&amp;" "&amp;$M255&amp;"")))),"",IF($G255="","",IF(ISNUMBER(SEARCH("non",LOWER($E255&amp;""))),$G255*0.85,$G255))))</f>
        <v/>
      </c>
      <c r="O255" s="349">
        <f>IF($A255="","",IF(OR(LOWER($D255&amp;"")="n/a",ISNUMBER(SEARCH("subscription",LOWER($A255&amp;" "&amp;$M255&amp;""))),ISNUMBER(SEARCH("membership",LOWER($A255&amp;" "&amp;$M255&amp;"")))),"",IF(OR($N255="",$I255="",$I255=0),"",$N255/$I255)))</f>
        <v/>
      </c>
      <c r="P255" s="349">
        <f>IF($A255="","",IF(OR(LOWER($D255&amp;"")="n/a",ISNUMBER(SEARCH("subscription",LOWER($A255&amp;" "&amp;$M255&amp;""))),ISNUMBER(SEARCH("membership",LOWER($A255&amp;" "&amp;$M255&amp;"")))),"",IF(LOWER($L255&amp;"")="yes",0,IF($K255&lt;&gt;"",$K255,IF($O255&lt;&gt;"",$O255,"")))))</f>
        <v/>
      </c>
      <c r="Q255" s="351">
        <f>IF($A255="","",IF($U255="Subscription","",IF($U255="Profit",$P255-$H255,0)))</f>
        <v/>
      </c>
      <c r="R255" s="349">
        <f>IF($A255="","",IF($U255="Subscription","",IF($U255="Draw",$H255,0)))</f>
        <v/>
      </c>
      <c r="S255" s="349">
        <f>IF($A255="","",IF($U255="Subscription","",IF($U255="Disqualified",$H255,0)))</f>
        <v/>
      </c>
      <c r="T255" s="380">
        <f>IF($A255="","",IF($U255="Subscription","",IF($H255=0,IF($U255="Profit","N/A",0),IF($U255="Profit",$Q255/$H255,IF($U255="Disqualified",-1,0)))))</f>
        <v/>
      </c>
      <c r="U255" s="351">
        <f>IF($A255="","",IF(OR(LOWER($D255&amp;"")="n/a",ISNUMBER(SEARCH("subscription",LOWER($A255&amp;" "&amp;$M255&amp;""))),ISNUMBER(SEARCH("membership",LOWER($A255&amp;" "&amp;$M255&amp;"")))),"Subscription",IF(LOWER($L255&amp;"")="yes","Disqualified",IF($P255&gt;$H255,"Profit","Draw"))))</f>
        <v/>
      </c>
      <c r="V255" s="383">
        <f>IF(OR($A255="",$B255="",$C255="",$U255="Subscription"),"",IFERROR(ROUNDUP((IF(ISNUMBER($C255),$C255,DATEVALUE($C255))-IF(ISNUMBER($B255),$B255,DATEVALUE($B255)))/7,0),""))</f>
        <v/>
      </c>
      <c r="W255" s="351">
        <f>IF($U255="Subscription","",$Q255-$S255)</f>
        <v/>
      </c>
      <c r="X255" s="384">
        <f>IF(OR($A255="",$U255="Subscription",$J255="",$I255="",$J255=0,$I255=0,$I255&gt;$J255),"",$J255-$I255)</f>
        <v/>
      </c>
      <c r="Y255" s="381">
        <f>IF(OR($A255="",$U255="Subscription",$J255="",$J255=0,$X255=""),"",$X255/$J255)</f>
        <v/>
      </c>
    </row>
    <row r="256" ht="21" customHeight="1" s="270">
      <c r="A256" s="297" t="n"/>
      <c r="B256" s="298" t="n"/>
      <c r="C256" s="298" t="n"/>
      <c r="D256" s="297" t="n"/>
      <c r="E256" s="349" t="n"/>
      <c r="F256" s="349" t="n"/>
      <c r="G256" s="349" t="n"/>
      <c r="H256" s="349" t="n"/>
      <c r="I256" s="382" t="n"/>
      <c r="J256" s="383" t="n"/>
      <c r="K256" s="351" t="n"/>
      <c r="L256" s="296" t="n"/>
      <c r="M256" s="349" t="n"/>
      <c r="N256" s="349">
        <f>IF($A256="","",IF(OR(LOWER($D256&amp;"")="n/a",ISNUMBER(SEARCH("subscription",LOWER($A256&amp;" "&amp;$M256&amp;""))),ISNUMBER(SEARCH("membership",LOWER($A256&amp;" "&amp;$M256&amp;"")))),"",IF($G256="","",IF(ISNUMBER(SEARCH("non",LOWER($E256&amp;""))),$G256*0.85,$G256))))</f>
        <v/>
      </c>
      <c r="O256" s="349">
        <f>IF($A256="","",IF(OR(LOWER($D256&amp;"")="n/a",ISNUMBER(SEARCH("subscription",LOWER($A256&amp;" "&amp;$M256&amp;""))),ISNUMBER(SEARCH("membership",LOWER($A256&amp;" "&amp;$M256&amp;"")))),"",IF(OR($N256="",$I256="",$I256=0),"",$N256/$I256)))</f>
        <v/>
      </c>
      <c r="P256" s="349">
        <f>IF($A256="","",IF(OR(LOWER($D256&amp;"")="n/a",ISNUMBER(SEARCH("subscription",LOWER($A256&amp;" "&amp;$M256&amp;""))),ISNUMBER(SEARCH("membership",LOWER($A256&amp;" "&amp;$M256&amp;"")))),"",IF(LOWER($L256&amp;"")="yes",0,IF($K256&lt;&gt;"",$K256,IF($O256&lt;&gt;"",$O256,"")))))</f>
        <v/>
      </c>
      <c r="Q256" s="351">
        <f>IF($A256="","",IF($U256="Subscription","",IF($U256="Profit",$P256-$H256,0)))</f>
        <v/>
      </c>
      <c r="R256" s="349">
        <f>IF($A256="","",IF($U256="Subscription","",IF($U256="Draw",$H256,0)))</f>
        <v/>
      </c>
      <c r="S256" s="349">
        <f>IF($A256="","",IF($U256="Subscription","",IF($U256="Disqualified",$H256,0)))</f>
        <v/>
      </c>
      <c r="T256" s="380">
        <f>IF($A256="","",IF($U256="Subscription","",IF($H256=0,IF($U256="Profit","N/A",0),IF($U256="Profit",$Q256/$H256,IF($U256="Disqualified",-1,0)))))</f>
        <v/>
      </c>
      <c r="U256" s="351">
        <f>IF($A256="","",IF(OR(LOWER($D256&amp;"")="n/a",ISNUMBER(SEARCH("subscription",LOWER($A256&amp;" "&amp;$M256&amp;""))),ISNUMBER(SEARCH("membership",LOWER($A256&amp;" "&amp;$M256&amp;"")))),"Subscription",IF(LOWER($L256&amp;"")="yes","Disqualified",IF($P256&gt;$H256,"Profit","Draw"))))</f>
        <v/>
      </c>
      <c r="V256" s="383">
        <f>IF(OR($A256="",$B256="",$C256="",$U256="Subscription"),"",IFERROR(ROUNDUP((IF(ISNUMBER($C256),$C256,DATEVALUE($C256))-IF(ISNUMBER($B256),$B256,DATEVALUE($B256)))/7,0),""))</f>
        <v/>
      </c>
      <c r="W256" s="351">
        <f>IF($U256="Subscription","",$Q256-$S256)</f>
        <v/>
      </c>
      <c r="X256" s="384">
        <f>IF(OR($A256="",$U256="Subscription",$J256="",$I256="",$J256=0,$I256=0,$I256&gt;$J256),"",$J256-$I256)</f>
        <v/>
      </c>
      <c r="Y256" s="381">
        <f>IF(OR($A256="",$U256="Subscription",$J256="",$J256=0,$X256=""),"",$X256/$J256)</f>
        <v/>
      </c>
    </row>
    <row r="257" ht="21" customHeight="1" s="270">
      <c r="A257" s="297" t="n"/>
      <c r="B257" s="298" t="n"/>
      <c r="C257" s="298" t="n"/>
      <c r="D257" s="297" t="n"/>
      <c r="E257" s="349" t="n"/>
      <c r="F257" s="349" t="n"/>
      <c r="G257" s="349" t="n"/>
      <c r="H257" s="349" t="n"/>
      <c r="I257" s="382" t="n"/>
      <c r="J257" s="383" t="n"/>
      <c r="K257" s="351" t="n"/>
      <c r="L257" s="296" t="n"/>
      <c r="M257" s="349" t="n"/>
      <c r="N257" s="349">
        <f>IF($A257="","",IF(OR(LOWER($D257&amp;"")="n/a",ISNUMBER(SEARCH("subscription",LOWER($A257&amp;" "&amp;$M257&amp;""))),ISNUMBER(SEARCH("membership",LOWER($A257&amp;" "&amp;$M257&amp;"")))),"",IF($G257="","",IF(ISNUMBER(SEARCH("non",LOWER($E257&amp;""))),$G257*0.85,$G257))))</f>
        <v/>
      </c>
      <c r="O257" s="349">
        <f>IF($A257="","",IF(OR(LOWER($D257&amp;"")="n/a",ISNUMBER(SEARCH("subscription",LOWER($A257&amp;" "&amp;$M257&amp;""))),ISNUMBER(SEARCH("membership",LOWER($A257&amp;" "&amp;$M257&amp;"")))),"",IF(OR($N257="",$I257="",$I257=0),"",$N257/$I257)))</f>
        <v/>
      </c>
      <c r="P257" s="349">
        <f>IF($A257="","",IF(OR(LOWER($D257&amp;"")="n/a",ISNUMBER(SEARCH("subscription",LOWER($A257&amp;" "&amp;$M257&amp;""))),ISNUMBER(SEARCH("membership",LOWER($A257&amp;" "&amp;$M257&amp;"")))),"",IF(LOWER($L257&amp;"")="yes",0,IF($K257&lt;&gt;"",$K257,IF($O257&lt;&gt;"",$O257,"")))))</f>
        <v/>
      </c>
      <c r="Q257" s="351">
        <f>IF($A257="","",IF($U257="Subscription","",IF($U257="Profit",$P257-$H257,0)))</f>
        <v/>
      </c>
      <c r="R257" s="349">
        <f>IF($A257="","",IF($U257="Subscription","",IF($U257="Draw",$H257,0)))</f>
        <v/>
      </c>
      <c r="S257" s="349">
        <f>IF($A257="","",IF($U257="Subscription","",IF($U257="Disqualified",$H257,0)))</f>
        <v/>
      </c>
      <c r="T257" s="380">
        <f>IF($A257="","",IF($U257="Subscription","",IF($H257=0,IF($U257="Profit","N/A",0),IF($U257="Profit",$Q257/$H257,IF($U257="Disqualified",-1,0)))))</f>
        <v/>
      </c>
      <c r="U257" s="351">
        <f>IF($A257="","",IF(OR(LOWER($D257&amp;"")="n/a",ISNUMBER(SEARCH("subscription",LOWER($A257&amp;" "&amp;$M257&amp;""))),ISNUMBER(SEARCH("membership",LOWER($A257&amp;" "&amp;$M257&amp;"")))),"Subscription",IF(LOWER($L257&amp;"")="yes","Disqualified",IF($P257&gt;$H257,"Profit","Draw"))))</f>
        <v/>
      </c>
      <c r="V257" s="383">
        <f>IF(OR($A257="",$B257="",$C257="",$U257="Subscription"),"",IFERROR(ROUNDUP((IF(ISNUMBER($C257),$C257,DATEVALUE($C257))-IF(ISNUMBER($B257),$B257,DATEVALUE($B257)))/7,0),""))</f>
        <v/>
      </c>
      <c r="W257" s="351">
        <f>IF($U257="Subscription","",$Q257-$S257)</f>
        <v/>
      </c>
      <c r="X257" s="384">
        <f>IF(OR($A257="",$U257="Subscription",$J257="",$I257="",$J257=0,$I257=0,$I257&gt;$J257),"",$J257-$I257)</f>
        <v/>
      </c>
      <c r="Y257" s="381">
        <f>IF(OR($A257="",$U257="Subscription",$J257="",$J257=0,$X257=""),"",$X257/$J257)</f>
        <v/>
      </c>
    </row>
    <row r="258" ht="21" customHeight="1" s="270">
      <c r="A258" s="297" t="n"/>
      <c r="B258" s="298" t="n"/>
      <c r="C258" s="298" t="n"/>
      <c r="D258" s="297" t="n"/>
      <c r="E258" s="349" t="n"/>
      <c r="F258" s="349" t="n"/>
      <c r="G258" s="349" t="n"/>
      <c r="H258" s="349" t="n"/>
      <c r="I258" s="382" t="n"/>
      <c r="J258" s="383" t="n"/>
      <c r="K258" s="351" t="n"/>
      <c r="L258" s="296" t="n"/>
      <c r="M258" s="349" t="n"/>
      <c r="N258" s="349">
        <f>IF($A258="","",IF(OR(LOWER($D258&amp;"")="n/a",ISNUMBER(SEARCH("subscription",LOWER($A258&amp;" "&amp;$M258&amp;""))),ISNUMBER(SEARCH("membership",LOWER($A258&amp;" "&amp;$M258&amp;"")))),"",IF($G258="","",IF(ISNUMBER(SEARCH("non",LOWER($E258&amp;""))),$G258*0.85,$G258))))</f>
        <v/>
      </c>
      <c r="O258" s="349">
        <f>IF($A258="","",IF(OR(LOWER($D258&amp;"")="n/a",ISNUMBER(SEARCH("subscription",LOWER($A258&amp;" "&amp;$M258&amp;""))),ISNUMBER(SEARCH("membership",LOWER($A258&amp;" "&amp;$M258&amp;"")))),"",IF(OR($N258="",$I258="",$I258=0),"",$N258/$I258)))</f>
        <v/>
      </c>
      <c r="P258" s="349">
        <f>IF($A258="","",IF(OR(LOWER($D258&amp;"")="n/a",ISNUMBER(SEARCH("subscription",LOWER($A258&amp;" "&amp;$M258&amp;""))),ISNUMBER(SEARCH("membership",LOWER($A258&amp;" "&amp;$M258&amp;"")))),"",IF(LOWER($L258&amp;"")="yes",0,IF($K258&lt;&gt;"",$K258,IF($O258&lt;&gt;"",$O258,"")))))</f>
        <v/>
      </c>
      <c r="Q258" s="351">
        <f>IF($A258="","",IF($U258="Subscription","",IF($U258="Profit",$P258-$H258,0)))</f>
        <v/>
      </c>
      <c r="R258" s="349">
        <f>IF($A258="","",IF($U258="Subscription","",IF($U258="Draw",$H258,0)))</f>
        <v/>
      </c>
      <c r="S258" s="349">
        <f>IF($A258="","",IF($U258="Subscription","",IF($U258="Disqualified",$H258,0)))</f>
        <v/>
      </c>
      <c r="T258" s="380">
        <f>IF($A258="","",IF($U258="Subscription","",IF($H258=0,IF($U258="Profit","N/A",0),IF($U258="Profit",$Q258/$H258,IF($U258="Disqualified",-1,0)))))</f>
        <v/>
      </c>
      <c r="U258" s="351">
        <f>IF($A258="","",IF(OR(LOWER($D258&amp;"")="n/a",ISNUMBER(SEARCH("subscription",LOWER($A258&amp;" "&amp;$M258&amp;""))),ISNUMBER(SEARCH("membership",LOWER($A258&amp;" "&amp;$M258&amp;"")))),"Subscription",IF(LOWER($L258&amp;"")="yes","Disqualified",IF($P258&gt;$H258,"Profit","Draw"))))</f>
        <v/>
      </c>
      <c r="V258" s="383">
        <f>IF(OR($A258="",$B258="",$C258="",$U258="Subscription"),"",IFERROR(ROUNDUP((IF(ISNUMBER($C258),$C258,DATEVALUE($C258))-IF(ISNUMBER($B258),$B258,DATEVALUE($B258)))/7,0),""))</f>
        <v/>
      </c>
      <c r="W258" s="351">
        <f>IF($U258="Subscription","",$Q258-$S258)</f>
        <v/>
      </c>
      <c r="X258" s="384">
        <f>IF(OR($A258="",$U258="Subscription",$J258="",$I258="",$J258=0,$I258=0,$I258&gt;$J258),"",$J258-$I258)</f>
        <v/>
      </c>
      <c r="Y258" s="381">
        <f>IF(OR($A258="",$U258="Subscription",$J258="",$J258=0,$X258=""),"",$X258/$J258)</f>
        <v/>
      </c>
    </row>
    <row r="259" ht="21" customHeight="1" s="270">
      <c r="A259" s="297" t="n"/>
      <c r="B259" s="298" t="n"/>
      <c r="C259" s="298" t="n"/>
      <c r="D259" s="297" t="n"/>
      <c r="E259" s="349" t="n"/>
      <c r="F259" s="349" t="n"/>
      <c r="G259" s="349" t="n"/>
      <c r="H259" s="349" t="n"/>
      <c r="I259" s="382" t="n"/>
      <c r="J259" s="383" t="n"/>
      <c r="K259" s="351" t="n"/>
      <c r="L259" s="296" t="n"/>
      <c r="M259" s="349" t="n"/>
      <c r="N259" s="349">
        <f>IF($A259="","",IF(OR(LOWER($D259&amp;"")="n/a",ISNUMBER(SEARCH("subscription",LOWER($A259&amp;" "&amp;$M259&amp;""))),ISNUMBER(SEARCH("membership",LOWER($A259&amp;" "&amp;$M259&amp;"")))),"",IF($G259="","",IF(ISNUMBER(SEARCH("non",LOWER($E259&amp;""))),$G259*0.85,$G259))))</f>
        <v/>
      </c>
      <c r="O259" s="349">
        <f>IF($A259="","",IF(OR(LOWER($D259&amp;"")="n/a",ISNUMBER(SEARCH("subscription",LOWER($A259&amp;" "&amp;$M259&amp;""))),ISNUMBER(SEARCH("membership",LOWER($A259&amp;" "&amp;$M259&amp;"")))),"",IF(OR($N259="",$I259="",$I259=0),"",$N259/$I259)))</f>
        <v/>
      </c>
      <c r="P259" s="349">
        <f>IF($A259="","",IF(OR(LOWER($D259&amp;"")="n/a",ISNUMBER(SEARCH("subscription",LOWER($A259&amp;" "&amp;$M259&amp;""))),ISNUMBER(SEARCH("membership",LOWER($A259&amp;" "&amp;$M259&amp;"")))),"",IF(LOWER($L259&amp;"")="yes",0,IF($K259&lt;&gt;"",$K259,IF($O259&lt;&gt;"",$O259,"")))))</f>
        <v/>
      </c>
      <c r="Q259" s="351">
        <f>IF($A259="","",IF($U259="Subscription","",IF($U259="Profit",$P259-$H259,0)))</f>
        <v/>
      </c>
      <c r="R259" s="349">
        <f>IF($A259="","",IF($U259="Subscription","",IF($U259="Draw",$H259,0)))</f>
        <v/>
      </c>
      <c r="S259" s="349">
        <f>IF($A259="","",IF($U259="Subscription","",IF($U259="Disqualified",$H259,0)))</f>
        <v/>
      </c>
      <c r="T259" s="380">
        <f>IF($A259="","",IF($U259="Subscription","",IF($H259=0,IF($U259="Profit","N/A",0),IF($U259="Profit",$Q259/$H259,IF($U259="Disqualified",-1,0)))))</f>
        <v/>
      </c>
      <c r="U259" s="351">
        <f>IF($A259="","",IF(OR(LOWER($D259&amp;"")="n/a",ISNUMBER(SEARCH("subscription",LOWER($A259&amp;" "&amp;$M259&amp;""))),ISNUMBER(SEARCH("membership",LOWER($A259&amp;" "&amp;$M259&amp;"")))),"Subscription",IF(LOWER($L259&amp;"")="yes","Disqualified",IF($P259&gt;$H259,"Profit","Draw"))))</f>
        <v/>
      </c>
      <c r="V259" s="383">
        <f>IF(OR($A259="",$B259="",$C259="",$U259="Subscription"),"",IFERROR(ROUNDUP((IF(ISNUMBER($C259),$C259,DATEVALUE($C259))-IF(ISNUMBER($B259),$B259,DATEVALUE($B259)))/7,0),""))</f>
        <v/>
      </c>
      <c r="W259" s="351">
        <f>IF($U259="Subscription","",$Q259-$S259)</f>
        <v/>
      </c>
      <c r="X259" s="384">
        <f>IF(OR($A259="",$U259="Subscription",$J259="",$I259="",$J259=0,$I259=0,$I259&gt;$J259),"",$J259-$I259)</f>
        <v/>
      </c>
      <c r="Y259" s="381">
        <f>IF(OR($A259="",$U259="Subscription",$J259="",$J259=0,$X259=""),"",$X259/$J259)</f>
        <v/>
      </c>
    </row>
    <row r="260" ht="21" customHeight="1" s="270">
      <c r="A260" s="297" t="n"/>
      <c r="B260" s="298" t="n"/>
      <c r="C260" s="298" t="n"/>
      <c r="D260" s="297" t="n"/>
      <c r="E260" s="349" t="n"/>
      <c r="F260" s="349" t="n"/>
      <c r="G260" s="349" t="n"/>
      <c r="H260" s="349" t="n"/>
      <c r="I260" s="382" t="n"/>
      <c r="J260" s="383" t="n"/>
      <c r="K260" s="351" t="n"/>
      <c r="L260" s="296" t="n"/>
      <c r="M260" s="349" t="n"/>
      <c r="N260" s="349">
        <f>IF($A260="","",IF(OR(LOWER($D260&amp;"")="n/a",ISNUMBER(SEARCH("subscription",LOWER($A260&amp;" "&amp;$M260&amp;""))),ISNUMBER(SEARCH("membership",LOWER($A260&amp;" "&amp;$M260&amp;"")))),"",IF($G260="","",IF(ISNUMBER(SEARCH("non",LOWER($E260&amp;""))),$G260*0.85,$G260))))</f>
        <v/>
      </c>
      <c r="O260" s="349">
        <f>IF($A260="","",IF(OR(LOWER($D260&amp;"")="n/a",ISNUMBER(SEARCH("subscription",LOWER($A260&amp;" "&amp;$M260&amp;""))),ISNUMBER(SEARCH("membership",LOWER($A260&amp;" "&amp;$M260&amp;"")))),"",IF(OR($N260="",$I260="",$I260=0),"",$N260/$I260)))</f>
        <v/>
      </c>
      <c r="P260" s="349">
        <f>IF($A260="","",IF(OR(LOWER($D260&amp;"")="n/a",ISNUMBER(SEARCH("subscription",LOWER($A260&amp;" "&amp;$M260&amp;""))),ISNUMBER(SEARCH("membership",LOWER($A260&amp;" "&amp;$M260&amp;"")))),"",IF(LOWER($L260&amp;"")="yes",0,IF($K260&lt;&gt;"",$K260,IF($O260&lt;&gt;"",$O260,"")))))</f>
        <v/>
      </c>
      <c r="Q260" s="351">
        <f>IF($A260="","",IF($U260="Subscription","",IF($U260="Profit",$P260-$H260,0)))</f>
        <v/>
      </c>
      <c r="R260" s="349">
        <f>IF($A260="","",IF($U260="Subscription","",IF($U260="Draw",$H260,0)))</f>
        <v/>
      </c>
      <c r="S260" s="349">
        <f>IF($A260="","",IF($U260="Subscription","",IF($U260="Disqualified",$H260,0)))</f>
        <v/>
      </c>
      <c r="T260" s="380">
        <f>IF($A260="","",IF($U260="Subscription","",IF($H260=0,IF($U260="Profit","N/A",0),IF($U260="Profit",$Q260/$H260,IF($U260="Disqualified",-1,0)))))</f>
        <v/>
      </c>
      <c r="U260" s="351">
        <f>IF($A260="","",IF(OR(LOWER($D260&amp;"")="n/a",ISNUMBER(SEARCH("subscription",LOWER($A260&amp;" "&amp;$M260&amp;""))),ISNUMBER(SEARCH("membership",LOWER($A260&amp;" "&amp;$M260&amp;"")))),"Subscription",IF(LOWER($L260&amp;"")="yes","Disqualified",IF($P260&gt;$H260,"Profit","Draw"))))</f>
        <v/>
      </c>
      <c r="V260" s="383">
        <f>IF(OR($A260="",$B260="",$C260="",$U260="Subscription"),"",IFERROR(ROUNDUP((IF(ISNUMBER($C260),$C260,DATEVALUE($C260))-IF(ISNUMBER($B260),$B260,DATEVALUE($B260)))/7,0),""))</f>
        <v/>
      </c>
      <c r="W260" s="351">
        <f>IF($U260="Subscription","",$Q260-$S260)</f>
        <v/>
      </c>
      <c r="X260" s="384">
        <f>IF(OR($A260="",$U260="Subscription",$J260="",$I260="",$J260=0,$I260=0,$I260&gt;$J260),"",$J260-$I260)</f>
        <v/>
      </c>
      <c r="Y260" s="381">
        <f>IF(OR($A260="",$U260="Subscription",$J260="",$J260=0,$X260=""),"",$X260/$J260)</f>
        <v/>
      </c>
    </row>
    <row r="261" ht="21" customHeight="1" s="270">
      <c r="A261" s="297" t="n"/>
      <c r="B261" s="298" t="n"/>
      <c r="C261" s="298" t="n"/>
      <c r="D261" s="297" t="n"/>
      <c r="E261" s="349" t="n"/>
      <c r="F261" s="349" t="n"/>
      <c r="G261" s="349" t="n"/>
      <c r="H261" s="349" t="n"/>
      <c r="I261" s="382" t="n"/>
      <c r="J261" s="383" t="n"/>
      <c r="K261" s="351" t="n"/>
      <c r="L261" s="296" t="n"/>
      <c r="M261" s="349" t="n"/>
      <c r="N261" s="349">
        <f>IF($A261="","",IF(OR(LOWER($D261&amp;"")="n/a",ISNUMBER(SEARCH("subscription",LOWER($A261&amp;" "&amp;$M261&amp;""))),ISNUMBER(SEARCH("membership",LOWER($A261&amp;" "&amp;$M261&amp;"")))),"",IF($G261="","",IF(ISNUMBER(SEARCH("non",LOWER($E261&amp;""))),$G261*0.85,$G261))))</f>
        <v/>
      </c>
      <c r="O261" s="349">
        <f>IF($A261="","",IF(OR(LOWER($D261&amp;"")="n/a",ISNUMBER(SEARCH("subscription",LOWER($A261&amp;" "&amp;$M261&amp;""))),ISNUMBER(SEARCH("membership",LOWER($A261&amp;" "&amp;$M261&amp;"")))),"",IF(OR($N261="",$I261="",$I261=0),"",$N261/$I261)))</f>
        <v/>
      </c>
      <c r="P261" s="349">
        <f>IF($A261="","",IF(OR(LOWER($D261&amp;"")="n/a",ISNUMBER(SEARCH("subscription",LOWER($A261&amp;" "&amp;$M261&amp;""))),ISNUMBER(SEARCH("membership",LOWER($A261&amp;" "&amp;$M261&amp;"")))),"",IF(LOWER($L261&amp;"")="yes",0,IF($K261&lt;&gt;"",$K261,IF($O261&lt;&gt;"",$O261,"")))))</f>
        <v/>
      </c>
      <c r="Q261" s="351">
        <f>IF($A261="","",IF($U261="Subscription","",IF($U261="Profit",$P261-$H261,0)))</f>
        <v/>
      </c>
      <c r="R261" s="349">
        <f>IF($A261="","",IF($U261="Subscription","",IF($U261="Draw",$H261,0)))</f>
        <v/>
      </c>
      <c r="S261" s="349">
        <f>IF($A261="","",IF($U261="Subscription","",IF($U261="Disqualified",$H261,0)))</f>
        <v/>
      </c>
      <c r="T261" s="380">
        <f>IF($A261="","",IF($U261="Subscription","",IF($H261=0,IF($U261="Profit","N/A",0),IF($U261="Profit",$Q261/$H261,IF($U261="Disqualified",-1,0)))))</f>
        <v/>
      </c>
      <c r="U261" s="351">
        <f>IF($A261="","",IF(OR(LOWER($D261&amp;"")="n/a",ISNUMBER(SEARCH("subscription",LOWER($A261&amp;" "&amp;$M261&amp;""))),ISNUMBER(SEARCH("membership",LOWER($A261&amp;" "&amp;$M261&amp;"")))),"Subscription",IF(LOWER($L261&amp;"")="yes","Disqualified",IF($P261&gt;$H261,"Profit","Draw"))))</f>
        <v/>
      </c>
      <c r="V261" s="383">
        <f>IF(OR($A261="",$B261="",$C261="",$U261="Subscription"),"",IFERROR(ROUNDUP((IF(ISNUMBER($C261),$C261,DATEVALUE($C261))-IF(ISNUMBER($B261),$B261,DATEVALUE($B261)))/7,0),""))</f>
        <v/>
      </c>
      <c r="W261" s="351">
        <f>IF($U261="Subscription","",$Q261-$S261)</f>
        <v/>
      </c>
      <c r="X261" s="384">
        <f>IF(OR($A261="",$U261="Subscription",$J261="",$I261="",$J261=0,$I261=0,$I261&gt;$J261),"",$J261-$I261)</f>
        <v/>
      </c>
      <c r="Y261" s="381">
        <f>IF(OR($A261="",$U261="Subscription",$J261="",$J261=0,$X261=""),"",$X261/$J261)</f>
        <v/>
      </c>
    </row>
    <row r="262" ht="21" customHeight="1" s="270">
      <c r="A262" s="297" t="n"/>
      <c r="B262" s="298" t="n"/>
      <c r="C262" s="298" t="n"/>
      <c r="D262" s="297" t="n"/>
      <c r="E262" s="349" t="n"/>
      <c r="F262" s="349" t="n"/>
      <c r="G262" s="349" t="n"/>
      <c r="H262" s="349" t="n"/>
      <c r="I262" s="382" t="n"/>
      <c r="J262" s="383" t="n"/>
      <c r="K262" s="351" t="n"/>
      <c r="L262" s="296" t="n"/>
      <c r="M262" s="349" t="n"/>
      <c r="N262" s="349">
        <f>IF($A262="","",IF(OR(LOWER($D262&amp;"")="n/a",ISNUMBER(SEARCH("subscription",LOWER($A262&amp;" "&amp;$M262&amp;""))),ISNUMBER(SEARCH("membership",LOWER($A262&amp;" "&amp;$M262&amp;"")))),"",IF($G262="","",IF(ISNUMBER(SEARCH("non",LOWER($E262&amp;""))),$G262*0.85,$G262))))</f>
        <v/>
      </c>
      <c r="O262" s="349">
        <f>IF($A262="","",IF(OR(LOWER($D262&amp;"")="n/a",ISNUMBER(SEARCH("subscription",LOWER($A262&amp;" "&amp;$M262&amp;""))),ISNUMBER(SEARCH("membership",LOWER($A262&amp;" "&amp;$M262&amp;"")))),"",IF(OR($N262="",$I262="",$I262=0),"",$N262/$I262)))</f>
        <v/>
      </c>
      <c r="P262" s="349">
        <f>IF($A262="","",IF(OR(LOWER($D262&amp;"")="n/a",ISNUMBER(SEARCH("subscription",LOWER($A262&amp;" "&amp;$M262&amp;""))),ISNUMBER(SEARCH("membership",LOWER($A262&amp;" "&amp;$M262&amp;"")))),"",IF(LOWER($L262&amp;"")="yes",0,IF($K262&lt;&gt;"",$K262,IF($O262&lt;&gt;"",$O262,"")))))</f>
        <v/>
      </c>
      <c r="Q262" s="351">
        <f>IF($A262="","",IF($U262="Subscription","",IF($U262="Profit",$P262-$H262,0)))</f>
        <v/>
      </c>
      <c r="R262" s="349">
        <f>IF($A262="","",IF($U262="Subscription","",IF($U262="Draw",$H262,0)))</f>
        <v/>
      </c>
      <c r="S262" s="349">
        <f>IF($A262="","",IF($U262="Subscription","",IF($U262="Disqualified",$H262,0)))</f>
        <v/>
      </c>
      <c r="T262" s="380">
        <f>IF($A262="","",IF($U262="Subscription","",IF($H262=0,IF($U262="Profit","N/A",0),IF($U262="Profit",$Q262/$H262,IF($U262="Disqualified",-1,0)))))</f>
        <v/>
      </c>
      <c r="U262" s="351">
        <f>IF($A262="","",IF(OR(LOWER($D262&amp;"")="n/a",ISNUMBER(SEARCH("subscription",LOWER($A262&amp;" "&amp;$M262&amp;""))),ISNUMBER(SEARCH("membership",LOWER($A262&amp;" "&amp;$M262&amp;"")))),"Subscription",IF(LOWER($L262&amp;"")="yes","Disqualified",IF($P262&gt;$H262,"Profit","Draw"))))</f>
        <v/>
      </c>
      <c r="V262" s="383">
        <f>IF(OR($A262="",$B262="",$C262="",$U262="Subscription"),"",IFERROR(ROUNDUP((IF(ISNUMBER($C262),$C262,DATEVALUE($C262))-IF(ISNUMBER($B262),$B262,DATEVALUE($B262)))/7,0),""))</f>
        <v/>
      </c>
      <c r="W262" s="351">
        <f>IF($U262="Subscription","",$Q262-$S262)</f>
        <v/>
      </c>
      <c r="X262" s="384">
        <f>IF(OR($A262="",$U262="Subscription",$J262="",$I262="",$J262=0,$I262=0,$I262&gt;$J262),"",$J262-$I262)</f>
        <v/>
      </c>
      <c r="Y262" s="381">
        <f>IF(OR($A262="",$U262="Subscription",$J262="",$J262=0,$X262=""),"",$X262/$J262)</f>
        <v/>
      </c>
    </row>
    <row r="263" ht="21" customHeight="1" s="270">
      <c r="A263" s="297" t="n"/>
      <c r="B263" s="298" t="n"/>
      <c r="C263" s="298" t="n"/>
      <c r="D263" s="297" t="n"/>
      <c r="E263" s="349" t="n"/>
      <c r="F263" s="349" t="n"/>
      <c r="G263" s="349" t="n"/>
      <c r="H263" s="349" t="n"/>
      <c r="I263" s="382" t="n"/>
      <c r="J263" s="383" t="n"/>
      <c r="K263" s="351" t="n"/>
      <c r="L263" s="296" t="n"/>
      <c r="M263" s="349" t="n"/>
      <c r="N263" s="349">
        <f>IF($A263="","",IF(OR(LOWER($D263&amp;"")="n/a",ISNUMBER(SEARCH("subscription",LOWER($A263&amp;" "&amp;$M263&amp;""))),ISNUMBER(SEARCH("membership",LOWER($A263&amp;" "&amp;$M263&amp;"")))),"",IF($G263="","",IF(ISNUMBER(SEARCH("non",LOWER($E263&amp;""))),$G263*0.85,$G263))))</f>
        <v/>
      </c>
      <c r="O263" s="349">
        <f>IF($A263="","",IF(OR(LOWER($D263&amp;"")="n/a",ISNUMBER(SEARCH("subscription",LOWER($A263&amp;" "&amp;$M263&amp;""))),ISNUMBER(SEARCH("membership",LOWER($A263&amp;" "&amp;$M263&amp;"")))),"",IF(OR($N263="",$I263="",$I263=0),"",$N263/$I263)))</f>
        <v/>
      </c>
      <c r="P263" s="349">
        <f>IF($A263="","",IF(OR(LOWER($D263&amp;"")="n/a",ISNUMBER(SEARCH("subscription",LOWER($A263&amp;" "&amp;$M263&amp;""))),ISNUMBER(SEARCH("membership",LOWER($A263&amp;" "&amp;$M263&amp;"")))),"",IF(LOWER($L263&amp;"")="yes",0,IF($K263&lt;&gt;"",$K263,IF($O263&lt;&gt;"",$O263,"")))))</f>
        <v/>
      </c>
      <c r="Q263" s="351">
        <f>IF($A263="","",IF($U263="Subscription","",IF($U263="Profit",$P263-$H263,0)))</f>
        <v/>
      </c>
      <c r="R263" s="349">
        <f>IF($A263="","",IF($U263="Subscription","",IF($U263="Draw",$H263,0)))</f>
        <v/>
      </c>
      <c r="S263" s="349">
        <f>IF($A263="","",IF($U263="Subscription","",IF($U263="Disqualified",$H263,0)))</f>
        <v/>
      </c>
      <c r="T263" s="380">
        <f>IF($A263="","",IF($U263="Subscription","",IF($H263=0,IF($U263="Profit","N/A",0),IF($U263="Profit",$Q263/$H263,IF($U263="Disqualified",-1,0)))))</f>
        <v/>
      </c>
      <c r="U263" s="351">
        <f>IF($A263="","",IF(OR(LOWER($D263&amp;"")="n/a",ISNUMBER(SEARCH("subscription",LOWER($A263&amp;" "&amp;$M263&amp;""))),ISNUMBER(SEARCH("membership",LOWER($A263&amp;" "&amp;$M263&amp;"")))),"Subscription",IF(LOWER($L263&amp;"")="yes","Disqualified",IF($P263&gt;$H263,"Profit","Draw"))))</f>
        <v/>
      </c>
      <c r="V263" s="383">
        <f>IF(OR($A263="",$B263="",$C263="",$U263="Subscription"),"",IFERROR(ROUNDUP((IF(ISNUMBER($C263),$C263,DATEVALUE($C263))-IF(ISNUMBER($B263),$B263,DATEVALUE($B263)))/7,0),""))</f>
        <v/>
      </c>
      <c r="W263" s="351">
        <f>IF($U263="Subscription","",$Q263-$S263)</f>
        <v/>
      </c>
      <c r="X263" s="384">
        <f>IF(OR($A263="",$U263="Subscription",$J263="",$I263="",$J263=0,$I263=0,$I263&gt;$J263),"",$J263-$I263)</f>
        <v/>
      </c>
      <c r="Y263" s="381">
        <f>IF(OR($A263="",$U263="Subscription",$J263="",$J263=0,$X263=""),"",$X263/$J263)</f>
        <v/>
      </c>
    </row>
    <row r="264" ht="21" customHeight="1" s="270">
      <c r="A264" s="297" t="n"/>
      <c r="B264" s="298" t="n"/>
      <c r="C264" s="298" t="n"/>
      <c r="D264" s="297" t="n"/>
      <c r="E264" s="349" t="n"/>
      <c r="F264" s="349" t="n"/>
      <c r="G264" s="349" t="n"/>
      <c r="H264" s="349" t="n"/>
      <c r="I264" s="382" t="n"/>
      <c r="J264" s="383" t="n"/>
      <c r="K264" s="351" t="n"/>
      <c r="L264" s="296" t="n"/>
      <c r="M264" s="349" t="n"/>
      <c r="N264" s="349">
        <f>IF($A264="","",IF(OR(LOWER($D264&amp;"")="n/a",ISNUMBER(SEARCH("subscription",LOWER($A264&amp;" "&amp;$M264&amp;""))),ISNUMBER(SEARCH("membership",LOWER($A264&amp;" "&amp;$M264&amp;"")))),"",IF($G264="","",IF(ISNUMBER(SEARCH("non",LOWER($E264&amp;""))),$G264*0.85,$G264))))</f>
        <v/>
      </c>
      <c r="O264" s="349">
        <f>IF($A264="","",IF(OR(LOWER($D264&amp;"")="n/a",ISNUMBER(SEARCH("subscription",LOWER($A264&amp;" "&amp;$M264&amp;""))),ISNUMBER(SEARCH("membership",LOWER($A264&amp;" "&amp;$M264&amp;"")))),"",IF(OR($N264="",$I264="",$I264=0),"",$N264/$I264)))</f>
        <v/>
      </c>
      <c r="P264" s="349">
        <f>IF($A264="","",IF(OR(LOWER($D264&amp;"")="n/a",ISNUMBER(SEARCH("subscription",LOWER($A264&amp;" "&amp;$M264&amp;""))),ISNUMBER(SEARCH("membership",LOWER($A264&amp;" "&amp;$M264&amp;"")))),"",IF(LOWER($L264&amp;"")="yes",0,IF($K264&lt;&gt;"",$K264,IF($O264&lt;&gt;"",$O264,"")))))</f>
        <v/>
      </c>
      <c r="Q264" s="351">
        <f>IF($A264="","",IF($U264="Subscription","",IF($U264="Profit",$P264-$H264,0)))</f>
        <v/>
      </c>
      <c r="R264" s="349">
        <f>IF($A264="","",IF($U264="Subscription","",IF($U264="Draw",$H264,0)))</f>
        <v/>
      </c>
      <c r="S264" s="349">
        <f>IF($A264="","",IF($U264="Subscription","",IF($U264="Disqualified",$H264,0)))</f>
        <v/>
      </c>
      <c r="T264" s="380">
        <f>IF($A264="","",IF($U264="Subscription","",IF($H264=0,IF($U264="Profit","N/A",0),IF($U264="Profit",$Q264/$H264,IF($U264="Disqualified",-1,0)))))</f>
        <v/>
      </c>
      <c r="U264" s="351">
        <f>IF($A264="","",IF(OR(LOWER($D264&amp;"")="n/a",ISNUMBER(SEARCH("subscription",LOWER($A264&amp;" "&amp;$M264&amp;""))),ISNUMBER(SEARCH("membership",LOWER($A264&amp;" "&amp;$M264&amp;"")))),"Subscription",IF(LOWER($L264&amp;"")="yes","Disqualified",IF($P264&gt;$H264,"Profit","Draw"))))</f>
        <v/>
      </c>
      <c r="V264" s="383">
        <f>IF(OR($A264="",$B264="",$C264="",$U264="Subscription"),"",IFERROR(ROUNDUP((IF(ISNUMBER($C264),$C264,DATEVALUE($C264))-IF(ISNUMBER($B264),$B264,DATEVALUE($B264)))/7,0),""))</f>
        <v/>
      </c>
      <c r="W264" s="351">
        <f>IF($U264="Subscription","",$Q264-$S264)</f>
        <v/>
      </c>
      <c r="X264" s="384">
        <f>IF(OR($A264="",$U264="Subscription",$J264="",$I264="",$J264=0,$I264=0,$I264&gt;$J264),"",$J264-$I264)</f>
        <v/>
      </c>
      <c r="Y264" s="381">
        <f>IF(OR($A264="",$U264="Subscription",$J264="",$J264=0,$X264=""),"",$X264/$J264)</f>
        <v/>
      </c>
    </row>
    <row r="265" ht="21" customHeight="1" s="270">
      <c r="A265" s="297" t="n"/>
      <c r="B265" s="298" t="n"/>
      <c r="C265" s="298" t="n"/>
      <c r="D265" s="297" t="n"/>
      <c r="E265" s="349" t="n"/>
      <c r="F265" s="349" t="n"/>
      <c r="G265" s="349" t="n"/>
      <c r="H265" s="349" t="n"/>
      <c r="I265" s="382" t="n"/>
      <c r="J265" s="383" t="n"/>
      <c r="K265" s="351" t="n"/>
      <c r="L265" s="296" t="n"/>
      <c r="M265" s="349" t="n"/>
      <c r="N265" s="349">
        <f>IF($A265="","",IF(OR(LOWER($D265&amp;"")="n/a",ISNUMBER(SEARCH("subscription",LOWER($A265&amp;" "&amp;$M265&amp;""))),ISNUMBER(SEARCH("membership",LOWER($A265&amp;" "&amp;$M265&amp;"")))),"",IF($G265="","",IF(ISNUMBER(SEARCH("non",LOWER($E265&amp;""))),$G265*0.85,$G265))))</f>
        <v/>
      </c>
      <c r="O265" s="349">
        <f>IF($A265="","",IF(OR(LOWER($D265&amp;"")="n/a",ISNUMBER(SEARCH("subscription",LOWER($A265&amp;" "&amp;$M265&amp;""))),ISNUMBER(SEARCH("membership",LOWER($A265&amp;" "&amp;$M265&amp;"")))),"",IF(OR($N265="",$I265="",$I265=0),"",$N265/$I265)))</f>
        <v/>
      </c>
      <c r="P265" s="349">
        <f>IF($A265="","",IF(OR(LOWER($D265&amp;"")="n/a",ISNUMBER(SEARCH("subscription",LOWER($A265&amp;" "&amp;$M265&amp;""))),ISNUMBER(SEARCH("membership",LOWER($A265&amp;" "&amp;$M265&amp;"")))),"",IF(LOWER($L265&amp;"")="yes",0,IF($K265&lt;&gt;"",$K265,IF($O265&lt;&gt;"",$O265,"")))))</f>
        <v/>
      </c>
      <c r="Q265" s="351">
        <f>IF($A265="","",IF($U265="Subscription","",IF($U265="Profit",$P265-$H265,0)))</f>
        <v/>
      </c>
      <c r="R265" s="349">
        <f>IF($A265="","",IF($U265="Subscription","",IF($U265="Draw",$H265,0)))</f>
        <v/>
      </c>
      <c r="S265" s="349">
        <f>IF($A265="","",IF($U265="Subscription","",IF($U265="Disqualified",$H265,0)))</f>
        <v/>
      </c>
      <c r="T265" s="380">
        <f>IF($A265="","",IF($U265="Subscription","",IF($H265=0,IF($U265="Profit","N/A",0),IF($U265="Profit",$Q265/$H265,IF($U265="Disqualified",-1,0)))))</f>
        <v/>
      </c>
      <c r="U265" s="351">
        <f>IF($A265="","",IF(OR(LOWER($D265&amp;"")="n/a",ISNUMBER(SEARCH("subscription",LOWER($A265&amp;" "&amp;$M265&amp;""))),ISNUMBER(SEARCH("membership",LOWER($A265&amp;" "&amp;$M265&amp;"")))),"Subscription",IF(LOWER($L265&amp;"")="yes","Disqualified",IF($P265&gt;$H265,"Profit","Draw"))))</f>
        <v/>
      </c>
      <c r="V265" s="383">
        <f>IF(OR($A265="",$B265="",$C265="",$U265="Subscription"),"",IFERROR(ROUNDUP((IF(ISNUMBER($C265),$C265,DATEVALUE($C265))-IF(ISNUMBER($B265),$B265,DATEVALUE($B265)))/7,0),""))</f>
        <v/>
      </c>
      <c r="W265" s="351">
        <f>IF($U265="Subscription","",$Q265-$S265)</f>
        <v/>
      </c>
      <c r="X265" s="384">
        <f>IF(OR($A265="",$U265="Subscription",$J265="",$I265="",$J265=0,$I265=0,$I265&gt;$J265),"",$J265-$I265)</f>
        <v/>
      </c>
      <c r="Y265" s="381">
        <f>IF(OR($A265="",$U265="Subscription",$J265="",$J265=0,$X265=""),"",$X265/$J265)</f>
        <v/>
      </c>
    </row>
    <row r="266" ht="21" customHeight="1" s="270">
      <c r="A266" s="297" t="n"/>
      <c r="B266" s="298" t="n"/>
      <c r="C266" s="298" t="n"/>
      <c r="D266" s="297" t="n"/>
      <c r="E266" s="349" t="n"/>
      <c r="F266" s="349" t="n"/>
      <c r="G266" s="349" t="n"/>
      <c r="H266" s="349" t="n"/>
      <c r="I266" s="382" t="n"/>
      <c r="J266" s="383" t="n"/>
      <c r="K266" s="351" t="n"/>
      <c r="L266" s="296" t="n"/>
      <c r="M266" s="349" t="n"/>
      <c r="N266" s="349">
        <f>IF($A266="","",IF(OR(LOWER($D266&amp;"")="n/a",ISNUMBER(SEARCH("subscription",LOWER($A266&amp;" "&amp;$M266&amp;""))),ISNUMBER(SEARCH("membership",LOWER($A266&amp;" "&amp;$M266&amp;"")))),"",IF($G266="","",IF(ISNUMBER(SEARCH("non",LOWER($E266&amp;""))),$G266*0.85,$G266))))</f>
        <v/>
      </c>
      <c r="O266" s="349">
        <f>IF($A266="","",IF(OR(LOWER($D266&amp;"")="n/a",ISNUMBER(SEARCH("subscription",LOWER($A266&amp;" "&amp;$M266&amp;""))),ISNUMBER(SEARCH("membership",LOWER($A266&amp;" "&amp;$M266&amp;"")))),"",IF(OR($N266="",$I266="",$I266=0),"",$N266/$I266)))</f>
        <v/>
      </c>
      <c r="P266" s="349">
        <f>IF($A266="","",IF(OR(LOWER($D266&amp;"")="n/a",ISNUMBER(SEARCH("subscription",LOWER($A266&amp;" "&amp;$M266&amp;""))),ISNUMBER(SEARCH("membership",LOWER($A266&amp;" "&amp;$M266&amp;"")))),"",IF(LOWER($L266&amp;"")="yes",0,IF($K266&lt;&gt;"",$K266,IF($O266&lt;&gt;"",$O266,"")))))</f>
        <v/>
      </c>
      <c r="Q266" s="351">
        <f>IF($A266="","",IF($U266="Subscription","",IF($U266="Profit",$P266-$H266,0)))</f>
        <v/>
      </c>
      <c r="R266" s="349">
        <f>IF($A266="","",IF($U266="Subscription","",IF($U266="Draw",$H266,0)))</f>
        <v/>
      </c>
      <c r="S266" s="349">
        <f>IF($A266="","",IF($U266="Subscription","",IF($U266="Disqualified",$H266,0)))</f>
        <v/>
      </c>
      <c r="T266" s="380">
        <f>IF($A266="","",IF($U266="Subscription","",IF($H266=0,IF($U266="Profit","N/A",0),IF($U266="Profit",$Q266/$H266,IF($U266="Disqualified",-1,0)))))</f>
        <v/>
      </c>
      <c r="U266" s="351">
        <f>IF($A266="","",IF(OR(LOWER($D266&amp;"")="n/a",ISNUMBER(SEARCH("subscription",LOWER($A266&amp;" "&amp;$M266&amp;""))),ISNUMBER(SEARCH("membership",LOWER($A266&amp;" "&amp;$M266&amp;"")))),"Subscription",IF(LOWER($L266&amp;"")="yes","Disqualified",IF($P266&gt;$H266,"Profit","Draw"))))</f>
        <v/>
      </c>
      <c r="V266" s="383">
        <f>IF(OR($A266="",$B266="",$C266="",$U266="Subscription"),"",IFERROR(ROUNDUP((IF(ISNUMBER($C266),$C266,DATEVALUE($C266))-IF(ISNUMBER($B266),$B266,DATEVALUE($B266)))/7,0),""))</f>
        <v/>
      </c>
      <c r="W266" s="351">
        <f>IF($U266="Subscription","",$Q266-$S266)</f>
        <v/>
      </c>
      <c r="X266" s="384">
        <f>IF(OR($A266="",$U266="Subscription",$J266="",$I266="",$J266=0,$I266=0,$I266&gt;$J266),"",$J266-$I266)</f>
        <v/>
      </c>
      <c r="Y266" s="381">
        <f>IF(OR($A266="",$U266="Subscription",$J266="",$J266=0,$X266=""),"",$X266/$J266)</f>
        <v/>
      </c>
    </row>
    <row r="267" ht="21" customHeight="1" s="270">
      <c r="A267" s="297" t="n"/>
      <c r="B267" s="298" t="n"/>
      <c r="C267" s="298" t="n"/>
      <c r="D267" s="297" t="n"/>
      <c r="E267" s="349" t="n"/>
      <c r="F267" s="349" t="n"/>
      <c r="G267" s="349" t="n"/>
      <c r="H267" s="349" t="n"/>
      <c r="I267" s="382" t="n"/>
      <c r="J267" s="383" t="n"/>
      <c r="K267" s="351" t="n"/>
      <c r="L267" s="296" t="n"/>
      <c r="M267" s="349" t="n"/>
      <c r="N267" s="349">
        <f>IF($A267="","",IF(OR(LOWER($D267&amp;"")="n/a",ISNUMBER(SEARCH("subscription",LOWER($A267&amp;" "&amp;$M267&amp;""))),ISNUMBER(SEARCH("membership",LOWER($A267&amp;" "&amp;$M267&amp;"")))),"",IF($G267="","",IF(ISNUMBER(SEARCH("non",LOWER($E267&amp;""))),$G267*0.85,$G267))))</f>
        <v/>
      </c>
      <c r="O267" s="349">
        <f>IF($A267="","",IF(OR(LOWER($D267&amp;"")="n/a",ISNUMBER(SEARCH("subscription",LOWER($A267&amp;" "&amp;$M267&amp;""))),ISNUMBER(SEARCH("membership",LOWER($A267&amp;" "&amp;$M267&amp;"")))),"",IF(OR($N267="",$I267="",$I267=0),"",$N267/$I267)))</f>
        <v/>
      </c>
      <c r="P267" s="349">
        <f>IF($A267="","",IF(OR(LOWER($D267&amp;"")="n/a",ISNUMBER(SEARCH("subscription",LOWER($A267&amp;" "&amp;$M267&amp;""))),ISNUMBER(SEARCH("membership",LOWER($A267&amp;" "&amp;$M267&amp;"")))),"",IF(LOWER($L267&amp;"")="yes",0,IF($K267&lt;&gt;"",$K267,IF($O267&lt;&gt;"",$O267,"")))))</f>
        <v/>
      </c>
      <c r="Q267" s="351">
        <f>IF($A267="","",IF($U267="Subscription","",IF($U267="Profit",$P267-$H267,0)))</f>
        <v/>
      </c>
      <c r="R267" s="349">
        <f>IF($A267="","",IF($U267="Subscription","",IF($U267="Draw",$H267,0)))</f>
        <v/>
      </c>
      <c r="S267" s="349">
        <f>IF($A267="","",IF($U267="Subscription","",IF($U267="Disqualified",$H267,0)))</f>
        <v/>
      </c>
      <c r="T267" s="380">
        <f>IF($A267="","",IF($U267="Subscription","",IF($H267=0,IF($U267="Profit","N/A",0),IF($U267="Profit",$Q267/$H267,IF($U267="Disqualified",-1,0)))))</f>
        <v/>
      </c>
      <c r="U267" s="351">
        <f>IF($A267="","",IF(OR(LOWER($D267&amp;"")="n/a",ISNUMBER(SEARCH("subscription",LOWER($A267&amp;" "&amp;$M267&amp;""))),ISNUMBER(SEARCH("membership",LOWER($A267&amp;" "&amp;$M267&amp;"")))),"Subscription",IF(LOWER($L267&amp;"")="yes","Disqualified",IF($P267&gt;$H267,"Profit","Draw"))))</f>
        <v/>
      </c>
      <c r="V267" s="383">
        <f>IF(OR($A267="",$B267="",$C267="",$U267="Subscription"),"",IFERROR(ROUNDUP((IF(ISNUMBER($C267),$C267,DATEVALUE($C267))-IF(ISNUMBER($B267),$B267,DATEVALUE($B267)))/7,0),""))</f>
        <v/>
      </c>
      <c r="W267" s="351">
        <f>IF($U267="Subscription","",$Q267-$S267)</f>
        <v/>
      </c>
      <c r="X267" s="384">
        <f>IF(OR($A267="",$U267="Subscription",$J267="",$I267="",$J267=0,$I267=0,$I267&gt;$J267),"",$J267-$I267)</f>
        <v/>
      </c>
      <c r="Y267" s="381">
        <f>IF(OR($A267="",$U267="Subscription",$J267="",$J267=0,$X267=""),"",$X267/$J267)</f>
        <v/>
      </c>
    </row>
    <row r="268" ht="21" customHeight="1" s="270">
      <c r="A268" s="297" t="n"/>
      <c r="B268" s="298" t="n"/>
      <c r="C268" s="298" t="n"/>
      <c r="D268" s="297" t="n"/>
      <c r="E268" s="349" t="n"/>
      <c r="F268" s="349" t="n"/>
      <c r="G268" s="349" t="n"/>
      <c r="H268" s="349" t="n"/>
      <c r="I268" s="382" t="n"/>
      <c r="J268" s="383" t="n"/>
      <c r="K268" s="351" t="n"/>
      <c r="L268" s="296" t="n"/>
      <c r="M268" s="349" t="n"/>
      <c r="N268" s="349">
        <f>IF($A268="","",IF(OR(LOWER($D268&amp;"")="n/a",ISNUMBER(SEARCH("subscription",LOWER($A268&amp;" "&amp;$M268&amp;""))),ISNUMBER(SEARCH("membership",LOWER($A268&amp;" "&amp;$M268&amp;"")))),"",IF($G268="","",IF(ISNUMBER(SEARCH("non",LOWER($E268&amp;""))),$G268*0.85,$G268))))</f>
        <v/>
      </c>
      <c r="O268" s="349">
        <f>IF($A268="","",IF(OR(LOWER($D268&amp;"")="n/a",ISNUMBER(SEARCH("subscription",LOWER($A268&amp;" "&amp;$M268&amp;""))),ISNUMBER(SEARCH("membership",LOWER($A268&amp;" "&amp;$M268&amp;"")))),"",IF(OR($N268="",$I268="",$I268=0),"",$N268/$I268)))</f>
        <v/>
      </c>
      <c r="P268" s="349">
        <f>IF($A268="","",IF(OR(LOWER($D268&amp;"")="n/a",ISNUMBER(SEARCH("subscription",LOWER($A268&amp;" "&amp;$M268&amp;""))),ISNUMBER(SEARCH("membership",LOWER($A268&amp;" "&amp;$M268&amp;"")))),"",IF(LOWER($L268&amp;"")="yes",0,IF($K268&lt;&gt;"",$K268,IF($O268&lt;&gt;"",$O268,"")))))</f>
        <v/>
      </c>
      <c r="Q268" s="351">
        <f>IF($A268="","",IF($U268="Subscription","",IF($U268="Profit",$P268-$H268,0)))</f>
        <v/>
      </c>
      <c r="R268" s="349">
        <f>IF($A268="","",IF($U268="Subscription","",IF($U268="Draw",$H268,0)))</f>
        <v/>
      </c>
      <c r="S268" s="349">
        <f>IF($A268="","",IF($U268="Subscription","",IF($U268="Disqualified",$H268,0)))</f>
        <v/>
      </c>
      <c r="T268" s="380">
        <f>IF($A268="","",IF($U268="Subscription","",IF($H268=0,IF($U268="Profit","N/A",0),IF($U268="Profit",$Q268/$H268,IF($U268="Disqualified",-1,0)))))</f>
        <v/>
      </c>
      <c r="U268" s="351">
        <f>IF($A268="","",IF(OR(LOWER($D268&amp;"")="n/a",ISNUMBER(SEARCH("subscription",LOWER($A268&amp;" "&amp;$M268&amp;""))),ISNUMBER(SEARCH("membership",LOWER($A268&amp;" "&amp;$M268&amp;"")))),"Subscription",IF(LOWER($L268&amp;"")="yes","Disqualified",IF($P268&gt;$H268,"Profit","Draw"))))</f>
        <v/>
      </c>
      <c r="V268" s="383">
        <f>IF(OR($A268="",$B268="",$C268="",$U268="Subscription"),"",IFERROR(ROUNDUP((IF(ISNUMBER($C268),$C268,DATEVALUE($C268))-IF(ISNUMBER($B268),$B268,DATEVALUE($B268)))/7,0),""))</f>
        <v/>
      </c>
      <c r="W268" s="351">
        <f>IF($U268="Subscription","",$Q268-$S268)</f>
        <v/>
      </c>
      <c r="X268" s="384">
        <f>IF(OR($A268="",$U268="Subscription",$J268="",$I268="",$J268=0,$I268=0,$I268&gt;$J268),"",$J268-$I268)</f>
        <v/>
      </c>
      <c r="Y268" s="381">
        <f>IF(OR($A268="",$U268="Subscription",$J268="",$J268=0,$X268=""),"",$X268/$J268)</f>
        <v/>
      </c>
    </row>
    <row r="269" ht="21" customHeight="1" s="270">
      <c r="A269" s="297" t="n"/>
      <c r="B269" s="298" t="n"/>
      <c r="C269" s="298" t="n"/>
      <c r="D269" s="297" t="n"/>
      <c r="E269" s="349" t="n"/>
      <c r="F269" s="349" t="n"/>
      <c r="G269" s="349" t="n"/>
      <c r="H269" s="349" t="n"/>
      <c r="I269" s="382" t="n"/>
      <c r="J269" s="383" t="n"/>
      <c r="K269" s="351" t="n"/>
      <c r="L269" s="296" t="n"/>
      <c r="M269" s="349" t="n"/>
      <c r="N269" s="349">
        <f>IF($A269="","",IF(OR(LOWER($D269&amp;"")="n/a",ISNUMBER(SEARCH("subscription",LOWER($A269&amp;" "&amp;$M269&amp;""))),ISNUMBER(SEARCH("membership",LOWER($A269&amp;" "&amp;$M269&amp;"")))),"",IF($G269="","",IF(ISNUMBER(SEARCH("non",LOWER($E269&amp;""))),$G269*0.85,$G269))))</f>
        <v/>
      </c>
      <c r="O269" s="349">
        <f>IF($A269="","",IF(OR(LOWER($D269&amp;"")="n/a",ISNUMBER(SEARCH("subscription",LOWER($A269&amp;" "&amp;$M269&amp;""))),ISNUMBER(SEARCH("membership",LOWER($A269&amp;" "&amp;$M269&amp;"")))),"",IF(OR($N269="",$I269="",$I269=0),"",$N269/$I269)))</f>
        <v/>
      </c>
      <c r="P269" s="349">
        <f>IF($A269="","",IF(OR(LOWER($D269&amp;"")="n/a",ISNUMBER(SEARCH("subscription",LOWER($A269&amp;" "&amp;$M269&amp;""))),ISNUMBER(SEARCH("membership",LOWER($A269&amp;" "&amp;$M269&amp;"")))),"",IF(LOWER($L269&amp;"")="yes",0,IF($K269&lt;&gt;"",$K269,IF($O269&lt;&gt;"",$O269,"")))))</f>
        <v/>
      </c>
      <c r="Q269" s="351">
        <f>IF($A269="","",IF($U269="Subscription","",IF($U269="Profit",$P269-$H269,0)))</f>
        <v/>
      </c>
      <c r="R269" s="349">
        <f>IF($A269="","",IF($U269="Subscription","",IF($U269="Draw",$H269,0)))</f>
        <v/>
      </c>
      <c r="S269" s="349">
        <f>IF($A269="","",IF($U269="Subscription","",IF($U269="Disqualified",$H269,0)))</f>
        <v/>
      </c>
      <c r="T269" s="380">
        <f>IF($A269="","",IF($U269="Subscription","",IF($H269=0,IF($U269="Profit","N/A",0),IF($U269="Profit",$Q269/$H269,IF($U269="Disqualified",-1,0)))))</f>
        <v/>
      </c>
      <c r="U269" s="351">
        <f>IF($A269="","",IF(OR(LOWER($D269&amp;"")="n/a",ISNUMBER(SEARCH("subscription",LOWER($A269&amp;" "&amp;$M269&amp;""))),ISNUMBER(SEARCH("membership",LOWER($A269&amp;" "&amp;$M269&amp;"")))),"Subscription",IF(LOWER($L269&amp;"")="yes","Disqualified",IF($P269&gt;$H269,"Profit","Draw"))))</f>
        <v/>
      </c>
      <c r="V269" s="383">
        <f>IF(OR($A269="",$B269="",$C269="",$U269="Subscription"),"",IFERROR(ROUNDUP((IF(ISNUMBER($C269),$C269,DATEVALUE($C269))-IF(ISNUMBER($B269),$B269,DATEVALUE($B269)))/7,0),""))</f>
        <v/>
      </c>
      <c r="W269" s="351">
        <f>IF($U269="Subscription","",$Q269-$S269)</f>
        <v/>
      </c>
      <c r="X269" s="384">
        <f>IF(OR($A269="",$U269="Subscription",$J269="",$I269="",$J269=0,$I269=0,$I269&gt;$J269),"",$J269-$I269)</f>
        <v/>
      </c>
      <c r="Y269" s="381">
        <f>IF(OR($A269="",$U269="Subscription",$J269="",$J269=0,$X269=""),"",$X269/$J269)</f>
        <v/>
      </c>
    </row>
    <row r="270" ht="21" customHeight="1" s="270">
      <c r="A270" s="297" t="n"/>
      <c r="B270" s="298" t="n"/>
      <c r="C270" s="298" t="n"/>
      <c r="D270" s="297" t="n"/>
      <c r="E270" s="349" t="n"/>
      <c r="F270" s="349" t="n"/>
      <c r="G270" s="349" t="n"/>
      <c r="H270" s="349" t="n"/>
      <c r="I270" s="382" t="n"/>
      <c r="J270" s="383" t="n"/>
      <c r="K270" s="351" t="n"/>
      <c r="L270" s="296" t="n"/>
      <c r="M270" s="349" t="n"/>
      <c r="N270" s="349">
        <f>IF($A270="","",IF(OR(LOWER($D270&amp;"")="n/a",ISNUMBER(SEARCH("subscription",LOWER($A270&amp;" "&amp;$M270&amp;""))),ISNUMBER(SEARCH("membership",LOWER($A270&amp;" "&amp;$M270&amp;"")))),"",IF($G270="","",IF(ISNUMBER(SEARCH("non",LOWER($E270&amp;""))),$G270*0.85,$G270))))</f>
        <v/>
      </c>
      <c r="O270" s="349">
        <f>IF($A270="","",IF(OR(LOWER($D270&amp;"")="n/a",ISNUMBER(SEARCH("subscription",LOWER($A270&amp;" "&amp;$M270&amp;""))),ISNUMBER(SEARCH("membership",LOWER($A270&amp;" "&amp;$M270&amp;"")))),"",IF(OR($N270="",$I270="",$I270=0),"",$N270/$I270)))</f>
        <v/>
      </c>
      <c r="P270" s="349">
        <f>IF($A270="","",IF(OR(LOWER($D270&amp;"")="n/a",ISNUMBER(SEARCH("subscription",LOWER($A270&amp;" "&amp;$M270&amp;""))),ISNUMBER(SEARCH("membership",LOWER($A270&amp;" "&amp;$M270&amp;"")))),"",IF(LOWER($L270&amp;"")="yes",0,IF($K270&lt;&gt;"",$K270,IF($O270&lt;&gt;"",$O270,"")))))</f>
        <v/>
      </c>
      <c r="Q270" s="351">
        <f>IF($A270="","",IF($U270="Subscription","",IF($U270="Profit",$P270-$H270,0)))</f>
        <v/>
      </c>
      <c r="R270" s="349">
        <f>IF($A270="","",IF($U270="Subscription","",IF($U270="Draw",$H270,0)))</f>
        <v/>
      </c>
      <c r="S270" s="349">
        <f>IF($A270="","",IF($U270="Subscription","",IF($U270="Disqualified",$H270,0)))</f>
        <v/>
      </c>
      <c r="T270" s="380">
        <f>IF($A270="","",IF($U270="Subscription","",IF($H270=0,IF($U270="Profit","N/A",0),IF($U270="Profit",$Q270/$H270,IF($U270="Disqualified",-1,0)))))</f>
        <v/>
      </c>
      <c r="U270" s="351">
        <f>IF($A270="","",IF(OR(LOWER($D270&amp;"")="n/a",ISNUMBER(SEARCH("subscription",LOWER($A270&amp;" "&amp;$M270&amp;""))),ISNUMBER(SEARCH("membership",LOWER($A270&amp;" "&amp;$M270&amp;"")))),"Subscription",IF(LOWER($L270&amp;"")="yes","Disqualified",IF($P270&gt;$H270,"Profit","Draw"))))</f>
        <v/>
      </c>
      <c r="V270" s="383">
        <f>IF(OR($A270="",$B270="",$C270="",$U270="Subscription"),"",IFERROR(ROUNDUP((IF(ISNUMBER($C270),$C270,DATEVALUE($C270))-IF(ISNUMBER($B270),$B270,DATEVALUE($B270)))/7,0),""))</f>
        <v/>
      </c>
      <c r="W270" s="351">
        <f>IF($U270="Subscription","",$Q270-$S270)</f>
        <v/>
      </c>
      <c r="X270" s="384">
        <f>IF(OR($A270="",$U270="Subscription",$J270="",$I270="",$J270=0,$I270=0,$I270&gt;$J270),"",$J270-$I270)</f>
        <v/>
      </c>
      <c r="Y270" s="381">
        <f>IF(OR($A270="",$U270="Subscription",$J270="",$J270=0,$X270=""),"",$X270/$J270)</f>
        <v/>
      </c>
    </row>
    <row r="271" ht="21" customHeight="1" s="270">
      <c r="A271" s="297" t="n"/>
      <c r="B271" s="298" t="n"/>
      <c r="C271" s="298" t="n"/>
      <c r="D271" s="297" t="n"/>
      <c r="E271" s="349" t="n"/>
      <c r="F271" s="349" t="n"/>
      <c r="G271" s="349" t="n"/>
      <c r="H271" s="349" t="n"/>
      <c r="I271" s="382" t="n"/>
      <c r="J271" s="383" t="n"/>
      <c r="K271" s="351" t="n"/>
      <c r="L271" s="296" t="n"/>
      <c r="M271" s="349" t="n"/>
      <c r="N271" s="349">
        <f>IF($A271="","",IF(OR(LOWER($D271&amp;"")="n/a",ISNUMBER(SEARCH("subscription",LOWER($A271&amp;" "&amp;$M271&amp;""))),ISNUMBER(SEARCH("membership",LOWER($A271&amp;" "&amp;$M271&amp;"")))),"",IF($G271="","",IF(ISNUMBER(SEARCH("non",LOWER($E271&amp;""))),$G271*0.85,$G271))))</f>
        <v/>
      </c>
      <c r="O271" s="349">
        <f>IF($A271="","",IF(OR(LOWER($D271&amp;"")="n/a",ISNUMBER(SEARCH("subscription",LOWER($A271&amp;" "&amp;$M271&amp;""))),ISNUMBER(SEARCH("membership",LOWER($A271&amp;" "&amp;$M271&amp;"")))),"",IF(OR($N271="",$I271="",$I271=0),"",$N271/$I271)))</f>
        <v/>
      </c>
      <c r="P271" s="349">
        <f>IF($A271="","",IF(OR(LOWER($D271&amp;"")="n/a",ISNUMBER(SEARCH("subscription",LOWER($A271&amp;" "&amp;$M271&amp;""))),ISNUMBER(SEARCH("membership",LOWER($A271&amp;" "&amp;$M271&amp;"")))),"",IF(LOWER($L271&amp;"")="yes",0,IF($K271&lt;&gt;"",$K271,IF($O271&lt;&gt;"",$O271,"")))))</f>
        <v/>
      </c>
      <c r="Q271" s="351">
        <f>IF($A271="","",IF($U271="Subscription","",IF($U271="Profit",$P271-$H271,0)))</f>
        <v/>
      </c>
      <c r="R271" s="349">
        <f>IF($A271="","",IF($U271="Subscription","",IF($U271="Draw",$H271,0)))</f>
        <v/>
      </c>
      <c r="S271" s="349">
        <f>IF($A271="","",IF($U271="Subscription","",IF($U271="Disqualified",$H271,0)))</f>
        <v/>
      </c>
      <c r="T271" s="380">
        <f>IF($A271="","",IF($U271="Subscription","",IF($H271=0,IF($U271="Profit","N/A",0),IF($U271="Profit",$Q271/$H271,IF($U271="Disqualified",-1,0)))))</f>
        <v/>
      </c>
      <c r="U271" s="351">
        <f>IF($A271="","",IF(OR(LOWER($D271&amp;"")="n/a",ISNUMBER(SEARCH("subscription",LOWER($A271&amp;" "&amp;$M271&amp;""))),ISNUMBER(SEARCH("membership",LOWER($A271&amp;" "&amp;$M271&amp;"")))),"Subscription",IF(LOWER($L271&amp;"")="yes","Disqualified",IF($P271&gt;$H271,"Profit","Draw"))))</f>
        <v/>
      </c>
      <c r="V271" s="383">
        <f>IF(OR($A271="",$B271="",$C271="",$U271="Subscription"),"",IFERROR(ROUNDUP((IF(ISNUMBER($C271),$C271,DATEVALUE($C271))-IF(ISNUMBER($B271),$B271,DATEVALUE($B271)))/7,0),""))</f>
        <v/>
      </c>
      <c r="W271" s="351">
        <f>IF($U271="Subscription","",$Q271-$S271)</f>
        <v/>
      </c>
      <c r="X271" s="384">
        <f>IF(OR($A271="",$U271="Subscription",$J271="",$I271="",$J271=0,$I271=0,$I271&gt;$J271),"",$J271-$I271)</f>
        <v/>
      </c>
      <c r="Y271" s="381">
        <f>IF(OR($A271="",$U271="Subscription",$J271="",$J271=0,$X271=""),"",$X271/$J271)</f>
        <v/>
      </c>
    </row>
    <row r="272" ht="21" customHeight="1" s="270">
      <c r="A272" s="297" t="n"/>
      <c r="B272" s="298" t="n"/>
      <c r="C272" s="298" t="n"/>
      <c r="D272" s="297" t="n"/>
      <c r="E272" s="349" t="n"/>
      <c r="F272" s="349" t="n"/>
      <c r="G272" s="349" t="n"/>
      <c r="H272" s="349" t="n"/>
      <c r="I272" s="382" t="n"/>
      <c r="J272" s="383" t="n"/>
      <c r="K272" s="351" t="n"/>
      <c r="L272" s="296" t="n"/>
      <c r="M272" s="349" t="n"/>
      <c r="N272" s="349">
        <f>IF($A272="","",IF(OR(LOWER($D272&amp;"")="n/a",ISNUMBER(SEARCH("subscription",LOWER($A272&amp;" "&amp;$M272&amp;""))),ISNUMBER(SEARCH("membership",LOWER($A272&amp;" "&amp;$M272&amp;"")))),"",IF($G272="","",IF(ISNUMBER(SEARCH("non",LOWER($E272&amp;""))),$G272*0.85,$G272))))</f>
        <v/>
      </c>
      <c r="O272" s="349">
        <f>IF($A272="","",IF(OR(LOWER($D272&amp;"")="n/a",ISNUMBER(SEARCH("subscription",LOWER($A272&amp;" "&amp;$M272&amp;""))),ISNUMBER(SEARCH("membership",LOWER($A272&amp;" "&amp;$M272&amp;"")))),"",IF(OR($N272="",$I272="",$I272=0),"",$N272/$I272)))</f>
        <v/>
      </c>
      <c r="P272" s="349">
        <f>IF($A272="","",IF(OR(LOWER($D272&amp;"")="n/a",ISNUMBER(SEARCH("subscription",LOWER($A272&amp;" "&amp;$M272&amp;""))),ISNUMBER(SEARCH("membership",LOWER($A272&amp;" "&amp;$M272&amp;"")))),"",IF(LOWER($L272&amp;"")="yes",0,IF($K272&lt;&gt;"",$K272,IF($O272&lt;&gt;"",$O272,"")))))</f>
        <v/>
      </c>
      <c r="Q272" s="351">
        <f>IF($A272="","",IF($U272="Subscription","",IF($U272="Profit",$P272-$H272,0)))</f>
        <v/>
      </c>
      <c r="R272" s="349">
        <f>IF($A272="","",IF($U272="Subscription","",IF($U272="Draw",$H272,0)))</f>
        <v/>
      </c>
      <c r="S272" s="349">
        <f>IF($A272="","",IF($U272="Subscription","",IF($U272="Disqualified",$H272,0)))</f>
        <v/>
      </c>
      <c r="T272" s="380">
        <f>IF($A272="","",IF($U272="Subscription","",IF($H272=0,IF($U272="Profit","N/A",0),IF($U272="Profit",$Q272/$H272,IF($U272="Disqualified",-1,0)))))</f>
        <v/>
      </c>
      <c r="U272" s="351">
        <f>IF($A272="","",IF(OR(LOWER($D272&amp;"")="n/a",ISNUMBER(SEARCH("subscription",LOWER($A272&amp;" "&amp;$M272&amp;""))),ISNUMBER(SEARCH("membership",LOWER($A272&amp;" "&amp;$M272&amp;"")))),"Subscription",IF(LOWER($L272&amp;"")="yes","Disqualified",IF($P272&gt;$H272,"Profit","Draw"))))</f>
        <v/>
      </c>
      <c r="V272" s="383">
        <f>IF(OR($A272="",$B272="",$C272="",$U272="Subscription"),"",IFERROR(ROUNDUP((IF(ISNUMBER($C272),$C272,DATEVALUE($C272))-IF(ISNUMBER($B272),$B272,DATEVALUE($B272)))/7,0),""))</f>
        <v/>
      </c>
      <c r="W272" s="351">
        <f>IF($U272="Subscription","",$Q272-$S272)</f>
        <v/>
      </c>
      <c r="X272" s="384">
        <f>IF(OR($A272="",$U272="Subscription",$J272="",$I272="",$J272=0,$I272=0,$I272&gt;$J272),"",$J272-$I272)</f>
        <v/>
      </c>
      <c r="Y272" s="381">
        <f>IF(OR($A272="",$U272="Subscription",$J272="",$J272=0,$X272=""),"",$X272/$J272)</f>
        <v/>
      </c>
    </row>
    <row r="273" ht="21" customHeight="1" s="270">
      <c r="A273" s="297" t="n"/>
      <c r="B273" s="298" t="n"/>
      <c r="C273" s="298" t="n"/>
      <c r="D273" s="297" t="n"/>
      <c r="E273" s="349" t="n"/>
      <c r="F273" s="349" t="n"/>
      <c r="G273" s="349" t="n"/>
      <c r="H273" s="349" t="n"/>
      <c r="I273" s="382" t="n"/>
      <c r="J273" s="383" t="n"/>
      <c r="K273" s="351" t="n"/>
      <c r="L273" s="296" t="n"/>
      <c r="M273" s="349" t="n"/>
      <c r="N273" s="349">
        <f>IF($A273="","",IF(OR(LOWER($D273&amp;"")="n/a",ISNUMBER(SEARCH("subscription",LOWER($A273&amp;" "&amp;$M273&amp;""))),ISNUMBER(SEARCH("membership",LOWER($A273&amp;" "&amp;$M273&amp;"")))),"",IF($G273="","",IF(ISNUMBER(SEARCH("non",LOWER($E273&amp;""))),$G273*0.85,$G273))))</f>
        <v/>
      </c>
      <c r="O273" s="349">
        <f>IF($A273="","",IF(OR(LOWER($D273&amp;"")="n/a",ISNUMBER(SEARCH("subscription",LOWER($A273&amp;" "&amp;$M273&amp;""))),ISNUMBER(SEARCH("membership",LOWER($A273&amp;" "&amp;$M273&amp;"")))),"",IF(OR($N273="",$I273="",$I273=0),"",$N273/$I273)))</f>
        <v/>
      </c>
      <c r="P273" s="349">
        <f>IF($A273="","",IF(OR(LOWER($D273&amp;"")="n/a",ISNUMBER(SEARCH("subscription",LOWER($A273&amp;" "&amp;$M273&amp;""))),ISNUMBER(SEARCH("membership",LOWER($A273&amp;" "&amp;$M273&amp;"")))),"",IF(LOWER($L273&amp;"")="yes",0,IF($K273&lt;&gt;"",$K273,IF($O273&lt;&gt;"",$O273,"")))))</f>
        <v/>
      </c>
      <c r="Q273" s="351">
        <f>IF($A273="","",IF($U273="Subscription","",IF($U273="Profit",$P273-$H273,0)))</f>
        <v/>
      </c>
      <c r="R273" s="349">
        <f>IF($A273="","",IF($U273="Subscription","",IF($U273="Draw",$H273,0)))</f>
        <v/>
      </c>
      <c r="S273" s="349">
        <f>IF($A273="","",IF($U273="Subscription","",IF($U273="Disqualified",$H273,0)))</f>
        <v/>
      </c>
      <c r="T273" s="380">
        <f>IF($A273="","",IF($U273="Subscription","",IF($H273=0,IF($U273="Profit","N/A",0),IF($U273="Profit",$Q273/$H273,IF($U273="Disqualified",-1,0)))))</f>
        <v/>
      </c>
      <c r="U273" s="351">
        <f>IF($A273="","",IF(OR(LOWER($D273&amp;"")="n/a",ISNUMBER(SEARCH("subscription",LOWER($A273&amp;" "&amp;$M273&amp;""))),ISNUMBER(SEARCH("membership",LOWER($A273&amp;" "&amp;$M273&amp;"")))),"Subscription",IF(LOWER($L273&amp;"")="yes","Disqualified",IF($P273&gt;$H273,"Profit","Draw"))))</f>
        <v/>
      </c>
      <c r="V273" s="383">
        <f>IF(OR($A273="",$B273="",$C273="",$U273="Subscription"),"",IFERROR(ROUNDUP((IF(ISNUMBER($C273),$C273,DATEVALUE($C273))-IF(ISNUMBER($B273),$B273,DATEVALUE($B273)))/7,0),""))</f>
        <v/>
      </c>
      <c r="W273" s="351">
        <f>IF($U273="Subscription","",$Q273-$S273)</f>
        <v/>
      </c>
      <c r="X273" s="384">
        <f>IF(OR($A273="",$U273="Subscription",$J273="",$I273="",$J273=0,$I273=0,$I273&gt;$J273),"",$J273-$I273)</f>
        <v/>
      </c>
      <c r="Y273" s="381">
        <f>IF(OR($A273="",$U273="Subscription",$J273="",$J273=0,$X273=""),"",$X273/$J273)</f>
        <v/>
      </c>
    </row>
    <row r="274" ht="21" customHeight="1" s="270">
      <c r="A274" s="297" t="n"/>
      <c r="B274" s="298" t="n"/>
      <c r="C274" s="298" t="n"/>
      <c r="D274" s="297" t="n"/>
      <c r="E274" s="349" t="n"/>
      <c r="F274" s="349" t="n"/>
      <c r="G274" s="349" t="n"/>
      <c r="H274" s="349" t="n"/>
      <c r="I274" s="382" t="n"/>
      <c r="J274" s="383" t="n"/>
      <c r="K274" s="351" t="n"/>
      <c r="L274" s="296" t="n"/>
      <c r="M274" s="349" t="n"/>
      <c r="N274" s="349">
        <f>IF($A274="","",IF(OR(LOWER($D274&amp;"")="n/a",ISNUMBER(SEARCH("subscription",LOWER($A274&amp;" "&amp;$M274&amp;""))),ISNUMBER(SEARCH("membership",LOWER($A274&amp;" "&amp;$M274&amp;"")))),"",IF($G274="","",IF(ISNUMBER(SEARCH("non",LOWER($E274&amp;""))),$G274*0.85,$G274))))</f>
        <v/>
      </c>
      <c r="O274" s="349">
        <f>IF($A274="","",IF(OR(LOWER($D274&amp;"")="n/a",ISNUMBER(SEARCH("subscription",LOWER($A274&amp;" "&amp;$M274&amp;""))),ISNUMBER(SEARCH("membership",LOWER($A274&amp;" "&amp;$M274&amp;"")))),"",IF(OR($N274="",$I274="",$I274=0),"",$N274/$I274)))</f>
        <v/>
      </c>
      <c r="P274" s="349">
        <f>IF($A274="","",IF(OR(LOWER($D274&amp;"")="n/a",ISNUMBER(SEARCH("subscription",LOWER($A274&amp;" "&amp;$M274&amp;""))),ISNUMBER(SEARCH("membership",LOWER($A274&amp;" "&amp;$M274&amp;"")))),"",IF(LOWER($L274&amp;"")="yes",0,IF($K274&lt;&gt;"",$K274,IF($O274&lt;&gt;"",$O274,"")))))</f>
        <v/>
      </c>
      <c r="Q274" s="351">
        <f>IF($A274="","",IF($U274="Subscription","",IF($U274="Profit",$P274-$H274,0)))</f>
        <v/>
      </c>
      <c r="R274" s="349">
        <f>IF($A274="","",IF($U274="Subscription","",IF($U274="Draw",$H274,0)))</f>
        <v/>
      </c>
      <c r="S274" s="349">
        <f>IF($A274="","",IF($U274="Subscription","",IF($U274="Disqualified",$H274,0)))</f>
        <v/>
      </c>
      <c r="T274" s="380">
        <f>IF($A274="","",IF($U274="Subscription","",IF($H274=0,IF($U274="Profit","N/A",0),IF($U274="Profit",$Q274/$H274,IF($U274="Disqualified",-1,0)))))</f>
        <v/>
      </c>
      <c r="U274" s="351">
        <f>IF($A274="","",IF(OR(LOWER($D274&amp;"")="n/a",ISNUMBER(SEARCH("subscription",LOWER($A274&amp;" "&amp;$M274&amp;""))),ISNUMBER(SEARCH("membership",LOWER($A274&amp;" "&amp;$M274&amp;"")))),"Subscription",IF(LOWER($L274&amp;"")="yes","Disqualified",IF($P274&gt;$H274,"Profit","Draw"))))</f>
        <v/>
      </c>
      <c r="V274" s="383">
        <f>IF(OR($A274="",$B274="",$C274="",$U274="Subscription"),"",IFERROR(ROUNDUP((IF(ISNUMBER($C274),$C274,DATEVALUE($C274))-IF(ISNUMBER($B274),$B274,DATEVALUE($B274)))/7,0),""))</f>
        <v/>
      </c>
      <c r="W274" s="351">
        <f>IF($U274="Subscription","",$Q274-$S274)</f>
        <v/>
      </c>
      <c r="X274" s="384">
        <f>IF(OR($A274="",$U274="Subscription",$J274="",$I274="",$J274=0,$I274=0,$I274&gt;$J274),"",$J274-$I274)</f>
        <v/>
      </c>
      <c r="Y274" s="381">
        <f>IF(OR($A274="",$U274="Subscription",$J274="",$J274=0,$X274=""),"",$X274/$J274)</f>
        <v/>
      </c>
    </row>
    <row r="275" ht="21" customHeight="1" s="270">
      <c r="A275" s="297" t="n"/>
      <c r="B275" s="298" t="n"/>
      <c r="C275" s="298" t="n"/>
      <c r="D275" s="297" t="n"/>
      <c r="E275" s="349" t="n"/>
      <c r="F275" s="349" t="n"/>
      <c r="G275" s="349" t="n"/>
      <c r="H275" s="349" t="n"/>
      <c r="I275" s="382" t="n"/>
      <c r="J275" s="383" t="n"/>
      <c r="K275" s="351" t="n"/>
      <c r="L275" s="296" t="n"/>
      <c r="M275" s="349" t="n"/>
      <c r="N275" s="349">
        <f>IF($A275="","",IF(OR(LOWER($D275&amp;"")="n/a",ISNUMBER(SEARCH("subscription",LOWER($A275&amp;" "&amp;$M275&amp;""))),ISNUMBER(SEARCH("membership",LOWER($A275&amp;" "&amp;$M275&amp;"")))),"",IF($G275="","",IF(ISNUMBER(SEARCH("non",LOWER($E275&amp;""))),$G275*0.85,$G275))))</f>
        <v/>
      </c>
      <c r="O275" s="349">
        <f>IF($A275="","",IF(OR(LOWER($D275&amp;"")="n/a",ISNUMBER(SEARCH("subscription",LOWER($A275&amp;" "&amp;$M275&amp;""))),ISNUMBER(SEARCH("membership",LOWER($A275&amp;" "&amp;$M275&amp;"")))),"",IF(OR($N275="",$I275="",$I275=0),"",$N275/$I275)))</f>
        <v/>
      </c>
      <c r="P275" s="349">
        <f>IF($A275="","",IF(OR(LOWER($D275&amp;"")="n/a",ISNUMBER(SEARCH("subscription",LOWER($A275&amp;" "&amp;$M275&amp;""))),ISNUMBER(SEARCH("membership",LOWER($A275&amp;" "&amp;$M275&amp;"")))),"",IF(LOWER($L275&amp;"")="yes",0,IF($K275&lt;&gt;"",$K275,IF($O275&lt;&gt;"",$O275,"")))))</f>
        <v/>
      </c>
      <c r="Q275" s="351">
        <f>IF($A275="","",IF($U275="Subscription","",IF($U275="Profit",$P275-$H275,0)))</f>
        <v/>
      </c>
      <c r="R275" s="349">
        <f>IF($A275="","",IF($U275="Subscription","",IF($U275="Draw",$H275,0)))</f>
        <v/>
      </c>
      <c r="S275" s="349">
        <f>IF($A275="","",IF($U275="Subscription","",IF($U275="Disqualified",$H275,0)))</f>
        <v/>
      </c>
      <c r="T275" s="380">
        <f>IF($A275="","",IF($U275="Subscription","",IF($H275=0,IF($U275="Profit","N/A",0),IF($U275="Profit",$Q275/$H275,IF($U275="Disqualified",-1,0)))))</f>
        <v/>
      </c>
      <c r="U275" s="351">
        <f>IF($A275="","",IF(OR(LOWER($D275&amp;"")="n/a",ISNUMBER(SEARCH("subscription",LOWER($A275&amp;" "&amp;$M275&amp;""))),ISNUMBER(SEARCH("membership",LOWER($A275&amp;" "&amp;$M275&amp;"")))),"Subscription",IF(LOWER($L275&amp;"")="yes","Disqualified",IF($P275&gt;$H275,"Profit","Draw"))))</f>
        <v/>
      </c>
      <c r="V275" s="383">
        <f>IF(OR($A275="",$B275="",$C275="",$U275="Subscription"),"",IFERROR(ROUNDUP((IF(ISNUMBER($C275),$C275,DATEVALUE($C275))-IF(ISNUMBER($B275),$B275,DATEVALUE($B275)))/7,0),""))</f>
        <v/>
      </c>
      <c r="W275" s="351">
        <f>IF($U275="Subscription","",$Q275-$S275)</f>
        <v/>
      </c>
      <c r="X275" s="384">
        <f>IF(OR($A275="",$U275="Subscription",$J275="",$I275="",$J275=0,$I275=0,$I275&gt;$J275),"",$J275-$I275)</f>
        <v/>
      </c>
      <c r="Y275" s="381">
        <f>IF(OR($A275="",$U275="Subscription",$J275="",$J275=0,$X275=""),"",$X275/$J275)</f>
        <v/>
      </c>
    </row>
    <row r="276" ht="21" customHeight="1" s="270">
      <c r="A276" s="297" t="n"/>
      <c r="B276" s="298" t="n"/>
      <c r="C276" s="298" t="n"/>
      <c r="D276" s="297" t="n"/>
      <c r="E276" s="349" t="n"/>
      <c r="F276" s="349" t="n"/>
      <c r="G276" s="349" t="n"/>
      <c r="H276" s="349" t="n"/>
      <c r="I276" s="382" t="n"/>
      <c r="J276" s="383" t="n"/>
      <c r="K276" s="351" t="n"/>
      <c r="L276" s="296" t="n"/>
      <c r="M276" s="349" t="n"/>
      <c r="N276" s="349">
        <f>IF($A276="","",IF(OR(LOWER($D276&amp;"")="n/a",ISNUMBER(SEARCH("subscription",LOWER($A276&amp;" "&amp;$M276&amp;""))),ISNUMBER(SEARCH("membership",LOWER($A276&amp;" "&amp;$M276&amp;"")))),"",IF($G276="","",IF(ISNUMBER(SEARCH("non",LOWER($E276&amp;""))),$G276*0.85,$G276))))</f>
        <v/>
      </c>
      <c r="O276" s="349">
        <f>IF($A276="","",IF(OR(LOWER($D276&amp;"")="n/a",ISNUMBER(SEARCH("subscription",LOWER($A276&amp;" "&amp;$M276&amp;""))),ISNUMBER(SEARCH("membership",LOWER($A276&amp;" "&amp;$M276&amp;"")))),"",IF(OR($N276="",$I276="",$I276=0),"",$N276/$I276)))</f>
        <v/>
      </c>
      <c r="P276" s="349">
        <f>IF($A276="","",IF(OR(LOWER($D276&amp;"")="n/a",ISNUMBER(SEARCH("subscription",LOWER($A276&amp;" "&amp;$M276&amp;""))),ISNUMBER(SEARCH("membership",LOWER($A276&amp;" "&amp;$M276&amp;"")))),"",IF(LOWER($L276&amp;"")="yes",0,IF($K276&lt;&gt;"",$K276,IF($O276&lt;&gt;"",$O276,"")))))</f>
        <v/>
      </c>
      <c r="Q276" s="351">
        <f>IF($A276="","",IF($U276="Subscription","",IF($U276="Profit",$P276-$H276,0)))</f>
        <v/>
      </c>
      <c r="R276" s="349">
        <f>IF($A276="","",IF($U276="Subscription","",IF($U276="Draw",$H276,0)))</f>
        <v/>
      </c>
      <c r="S276" s="349">
        <f>IF($A276="","",IF($U276="Subscription","",IF($U276="Disqualified",$H276,0)))</f>
        <v/>
      </c>
      <c r="T276" s="380">
        <f>IF($A276="","",IF($U276="Subscription","",IF($H276=0,IF($U276="Profit","N/A",0),IF($U276="Profit",$Q276/$H276,IF($U276="Disqualified",-1,0)))))</f>
        <v/>
      </c>
      <c r="U276" s="351">
        <f>IF($A276="","",IF(OR(LOWER($D276&amp;"")="n/a",ISNUMBER(SEARCH("subscription",LOWER($A276&amp;" "&amp;$M276&amp;""))),ISNUMBER(SEARCH("membership",LOWER($A276&amp;" "&amp;$M276&amp;"")))),"Subscription",IF(LOWER($L276&amp;"")="yes","Disqualified",IF($P276&gt;$H276,"Profit","Draw"))))</f>
        <v/>
      </c>
      <c r="V276" s="383">
        <f>IF(OR($A276="",$B276="",$C276="",$U276="Subscription"),"",IFERROR(ROUNDUP((IF(ISNUMBER($C276),$C276,DATEVALUE($C276))-IF(ISNUMBER($B276),$B276,DATEVALUE($B276)))/7,0),""))</f>
        <v/>
      </c>
      <c r="W276" s="351">
        <f>IF($U276="Subscription","",$Q276-$S276)</f>
        <v/>
      </c>
      <c r="X276" s="384">
        <f>IF(OR($A276="",$U276="Subscription",$J276="",$I276="",$J276=0,$I276=0,$I276&gt;$J276),"",$J276-$I276)</f>
        <v/>
      </c>
      <c r="Y276" s="381">
        <f>IF(OR($A276="",$U276="Subscription",$J276="",$J276=0,$X276=""),"",$X276/$J276)</f>
        <v/>
      </c>
    </row>
    <row r="277" ht="21" customHeight="1" s="270">
      <c r="A277" s="297" t="n"/>
      <c r="B277" s="298" t="n"/>
      <c r="C277" s="298" t="n"/>
      <c r="D277" s="297" t="n"/>
      <c r="E277" s="349" t="n"/>
      <c r="F277" s="349" t="n"/>
      <c r="G277" s="349" t="n"/>
      <c r="H277" s="349" t="n"/>
      <c r="I277" s="382" t="n"/>
      <c r="J277" s="383" t="n"/>
      <c r="K277" s="351" t="n"/>
      <c r="L277" s="296" t="n"/>
      <c r="M277" s="349" t="n"/>
      <c r="N277" s="349">
        <f>IF($A277="","",IF(OR(LOWER($D277&amp;"")="n/a",ISNUMBER(SEARCH("subscription",LOWER($A277&amp;" "&amp;$M277&amp;""))),ISNUMBER(SEARCH("membership",LOWER($A277&amp;" "&amp;$M277&amp;"")))),"",IF($G277="","",IF(ISNUMBER(SEARCH("non",LOWER($E277&amp;""))),$G277*0.85,$G277))))</f>
        <v/>
      </c>
      <c r="O277" s="349">
        <f>IF($A277="","",IF(OR(LOWER($D277&amp;"")="n/a",ISNUMBER(SEARCH("subscription",LOWER($A277&amp;" "&amp;$M277&amp;""))),ISNUMBER(SEARCH("membership",LOWER($A277&amp;" "&amp;$M277&amp;"")))),"",IF(OR($N277="",$I277="",$I277=0),"",$N277/$I277)))</f>
        <v/>
      </c>
      <c r="P277" s="349">
        <f>IF($A277="","",IF(OR(LOWER($D277&amp;"")="n/a",ISNUMBER(SEARCH("subscription",LOWER($A277&amp;" "&amp;$M277&amp;""))),ISNUMBER(SEARCH("membership",LOWER($A277&amp;" "&amp;$M277&amp;"")))),"",IF(LOWER($L277&amp;"")="yes",0,IF($K277&lt;&gt;"",$K277,IF($O277&lt;&gt;"",$O277,"")))))</f>
        <v/>
      </c>
      <c r="Q277" s="351">
        <f>IF($A277="","",IF($U277="Subscription","",IF($U277="Profit",$P277-$H277,0)))</f>
        <v/>
      </c>
      <c r="R277" s="349">
        <f>IF($A277="","",IF($U277="Subscription","",IF($U277="Draw",$H277,0)))</f>
        <v/>
      </c>
      <c r="S277" s="349">
        <f>IF($A277="","",IF($U277="Subscription","",IF($U277="Disqualified",$H277,0)))</f>
        <v/>
      </c>
      <c r="T277" s="380">
        <f>IF($A277="","",IF($U277="Subscription","",IF($H277=0,IF($U277="Profit","N/A",0),IF($U277="Profit",$Q277/$H277,IF($U277="Disqualified",-1,0)))))</f>
        <v/>
      </c>
      <c r="U277" s="351">
        <f>IF($A277="","",IF(OR(LOWER($D277&amp;"")="n/a",ISNUMBER(SEARCH("subscription",LOWER($A277&amp;" "&amp;$M277&amp;""))),ISNUMBER(SEARCH("membership",LOWER($A277&amp;" "&amp;$M277&amp;"")))),"Subscription",IF(LOWER($L277&amp;"")="yes","Disqualified",IF($P277&gt;$H277,"Profit","Draw"))))</f>
        <v/>
      </c>
      <c r="V277" s="383">
        <f>IF(OR($A277="",$B277="",$C277="",$U277="Subscription"),"",IFERROR(ROUNDUP((IF(ISNUMBER($C277),$C277,DATEVALUE($C277))-IF(ISNUMBER($B277),$B277,DATEVALUE($B277)))/7,0),""))</f>
        <v/>
      </c>
      <c r="W277" s="351">
        <f>IF($U277="Subscription","",$Q277-$S277)</f>
        <v/>
      </c>
      <c r="X277" s="384">
        <f>IF(OR($A277="",$U277="Subscription",$J277="",$I277="",$J277=0,$I277=0,$I277&gt;$J277),"",$J277-$I277)</f>
        <v/>
      </c>
      <c r="Y277" s="381">
        <f>IF(OR($A277="",$U277="Subscription",$J277="",$J277=0,$X277=""),"",$X277/$J277)</f>
        <v/>
      </c>
    </row>
    <row r="278" ht="21" customHeight="1" s="270">
      <c r="A278" s="297" t="n"/>
      <c r="B278" s="298" t="n"/>
      <c r="C278" s="298" t="n"/>
      <c r="D278" s="297" t="n"/>
      <c r="E278" s="349" t="n"/>
      <c r="F278" s="349" t="n"/>
      <c r="G278" s="349" t="n"/>
      <c r="H278" s="349" t="n"/>
      <c r="I278" s="382" t="n"/>
      <c r="J278" s="383" t="n"/>
      <c r="K278" s="351" t="n"/>
      <c r="L278" s="296" t="n"/>
      <c r="M278" s="349" t="n"/>
      <c r="N278" s="349">
        <f>IF($A278="","",IF(OR(LOWER($D278&amp;"")="n/a",ISNUMBER(SEARCH("subscription",LOWER($A278&amp;" "&amp;$M278&amp;""))),ISNUMBER(SEARCH("membership",LOWER($A278&amp;" "&amp;$M278&amp;"")))),"",IF($G278="","",IF(ISNUMBER(SEARCH("non",LOWER($E278&amp;""))),$G278*0.85,$G278))))</f>
        <v/>
      </c>
      <c r="O278" s="349">
        <f>IF($A278="","",IF(OR(LOWER($D278&amp;"")="n/a",ISNUMBER(SEARCH("subscription",LOWER($A278&amp;" "&amp;$M278&amp;""))),ISNUMBER(SEARCH("membership",LOWER($A278&amp;" "&amp;$M278&amp;"")))),"",IF(OR($N278="",$I278="",$I278=0),"",$N278/$I278)))</f>
        <v/>
      </c>
      <c r="P278" s="349">
        <f>IF($A278="","",IF(OR(LOWER($D278&amp;"")="n/a",ISNUMBER(SEARCH("subscription",LOWER($A278&amp;" "&amp;$M278&amp;""))),ISNUMBER(SEARCH("membership",LOWER($A278&amp;" "&amp;$M278&amp;"")))),"",IF(LOWER($L278&amp;"")="yes",0,IF($K278&lt;&gt;"",$K278,IF($O278&lt;&gt;"",$O278,"")))))</f>
        <v/>
      </c>
      <c r="Q278" s="351">
        <f>IF($A278="","",IF($U278="Subscription","",IF($U278="Profit",$P278-$H278,0)))</f>
        <v/>
      </c>
      <c r="R278" s="349">
        <f>IF($A278="","",IF($U278="Subscription","",IF($U278="Draw",$H278,0)))</f>
        <v/>
      </c>
      <c r="S278" s="349">
        <f>IF($A278="","",IF($U278="Subscription","",IF($U278="Disqualified",$H278,0)))</f>
        <v/>
      </c>
      <c r="T278" s="380">
        <f>IF($A278="","",IF($U278="Subscription","",IF($H278=0,IF($U278="Profit","N/A",0),IF($U278="Profit",$Q278/$H278,IF($U278="Disqualified",-1,0)))))</f>
        <v/>
      </c>
      <c r="U278" s="351">
        <f>IF($A278="","",IF(OR(LOWER($D278&amp;"")="n/a",ISNUMBER(SEARCH("subscription",LOWER($A278&amp;" "&amp;$M278&amp;""))),ISNUMBER(SEARCH("membership",LOWER($A278&amp;" "&amp;$M278&amp;"")))),"Subscription",IF(LOWER($L278&amp;"")="yes","Disqualified",IF($P278&gt;$H278,"Profit","Draw"))))</f>
        <v/>
      </c>
      <c r="V278" s="383">
        <f>IF(OR($A278="",$B278="",$C278="",$U278="Subscription"),"",IFERROR(ROUNDUP((IF(ISNUMBER($C278),$C278,DATEVALUE($C278))-IF(ISNUMBER($B278),$B278,DATEVALUE($B278)))/7,0),""))</f>
        <v/>
      </c>
      <c r="W278" s="351">
        <f>IF($U278="Subscription","",$Q278-$S278)</f>
        <v/>
      </c>
      <c r="X278" s="384">
        <f>IF(OR($A278="",$U278="Subscription",$J278="",$I278="",$J278=0,$I278=0,$I278&gt;$J278),"",$J278-$I278)</f>
        <v/>
      </c>
      <c r="Y278" s="381">
        <f>IF(OR($A278="",$U278="Subscription",$J278="",$J278=0,$X278=""),"",$X278/$J278)</f>
        <v/>
      </c>
    </row>
    <row r="279" ht="21" customHeight="1" s="270">
      <c r="A279" s="297" t="n"/>
      <c r="B279" s="298" t="n"/>
      <c r="C279" s="298" t="n"/>
      <c r="D279" s="297" t="n"/>
      <c r="E279" s="349" t="n"/>
      <c r="F279" s="349" t="n"/>
      <c r="G279" s="349" t="n"/>
      <c r="H279" s="349" t="n"/>
      <c r="I279" s="382" t="n"/>
      <c r="J279" s="383" t="n"/>
      <c r="K279" s="351" t="n"/>
      <c r="L279" s="296" t="n"/>
      <c r="M279" s="349" t="n"/>
      <c r="N279" s="349">
        <f>IF($A279="","",IF(OR(LOWER($D279&amp;"")="n/a",ISNUMBER(SEARCH("subscription",LOWER($A279&amp;" "&amp;$M279&amp;""))),ISNUMBER(SEARCH("membership",LOWER($A279&amp;" "&amp;$M279&amp;"")))),"",IF($G279="","",IF(ISNUMBER(SEARCH("non",LOWER($E279&amp;""))),$G279*0.85,$G279))))</f>
        <v/>
      </c>
      <c r="O279" s="349">
        <f>IF($A279="","",IF(OR(LOWER($D279&amp;"")="n/a",ISNUMBER(SEARCH("subscription",LOWER($A279&amp;" "&amp;$M279&amp;""))),ISNUMBER(SEARCH("membership",LOWER($A279&amp;" "&amp;$M279&amp;"")))),"",IF(OR($N279="",$I279="",$I279=0),"",$N279/$I279)))</f>
        <v/>
      </c>
      <c r="P279" s="349">
        <f>IF($A279="","",IF(OR(LOWER($D279&amp;"")="n/a",ISNUMBER(SEARCH("subscription",LOWER($A279&amp;" "&amp;$M279&amp;""))),ISNUMBER(SEARCH("membership",LOWER($A279&amp;" "&amp;$M279&amp;"")))),"",IF(LOWER($L279&amp;"")="yes",0,IF($K279&lt;&gt;"",$K279,IF($O279&lt;&gt;"",$O279,"")))))</f>
        <v/>
      </c>
      <c r="Q279" s="351">
        <f>IF($A279="","",IF($U279="Subscription","",IF($U279="Profit",$P279-$H279,0)))</f>
        <v/>
      </c>
      <c r="R279" s="349">
        <f>IF($A279="","",IF($U279="Subscription","",IF($U279="Draw",$H279,0)))</f>
        <v/>
      </c>
      <c r="S279" s="349">
        <f>IF($A279="","",IF($U279="Subscription","",IF($U279="Disqualified",$H279,0)))</f>
        <v/>
      </c>
      <c r="T279" s="380">
        <f>IF($A279="","",IF($U279="Subscription","",IF($H279=0,IF($U279="Profit","N/A",0),IF($U279="Profit",$Q279/$H279,IF($U279="Disqualified",-1,0)))))</f>
        <v/>
      </c>
      <c r="U279" s="351">
        <f>IF($A279="","",IF(OR(LOWER($D279&amp;"")="n/a",ISNUMBER(SEARCH("subscription",LOWER($A279&amp;" "&amp;$M279&amp;""))),ISNUMBER(SEARCH("membership",LOWER($A279&amp;" "&amp;$M279&amp;"")))),"Subscription",IF(LOWER($L279&amp;"")="yes","Disqualified",IF($P279&gt;$H279,"Profit","Draw"))))</f>
        <v/>
      </c>
      <c r="V279" s="383">
        <f>IF(OR($A279="",$B279="",$C279="",$U279="Subscription"),"",IFERROR(ROUNDUP((IF(ISNUMBER($C279),$C279,DATEVALUE($C279))-IF(ISNUMBER($B279),$B279,DATEVALUE($B279)))/7,0),""))</f>
        <v/>
      </c>
      <c r="W279" s="351">
        <f>IF($U279="Subscription","",$Q279-$S279)</f>
        <v/>
      </c>
      <c r="X279" s="384">
        <f>IF(OR($A279="",$U279="Subscription",$J279="",$I279="",$J279=0,$I279=0,$I279&gt;$J279),"",$J279-$I279)</f>
        <v/>
      </c>
      <c r="Y279" s="381">
        <f>IF(OR($A279="",$U279="Subscription",$J279="",$J279=0,$X279=""),"",$X279/$J279)</f>
        <v/>
      </c>
    </row>
    <row r="280" ht="21" customHeight="1" s="270">
      <c r="A280" s="297" t="n"/>
      <c r="B280" s="298" t="n"/>
      <c r="C280" s="298" t="n"/>
      <c r="D280" s="297" t="n"/>
      <c r="E280" s="349" t="n"/>
      <c r="F280" s="349" t="n"/>
      <c r="G280" s="349" t="n"/>
      <c r="H280" s="349" t="n"/>
      <c r="I280" s="382" t="n"/>
      <c r="J280" s="383" t="n"/>
      <c r="K280" s="351" t="n"/>
      <c r="L280" s="296" t="n"/>
      <c r="M280" s="349" t="n"/>
      <c r="N280" s="349">
        <f>IF($A280="","",IF(OR(LOWER($D280&amp;"")="n/a",ISNUMBER(SEARCH("subscription",LOWER($A280&amp;" "&amp;$M280&amp;""))),ISNUMBER(SEARCH("membership",LOWER($A280&amp;" "&amp;$M280&amp;"")))),"",IF($G280="","",IF(ISNUMBER(SEARCH("non",LOWER($E280&amp;""))),$G280*0.85,$G280))))</f>
        <v/>
      </c>
      <c r="O280" s="349">
        <f>IF($A280="","",IF(OR(LOWER($D280&amp;"")="n/a",ISNUMBER(SEARCH("subscription",LOWER($A280&amp;" "&amp;$M280&amp;""))),ISNUMBER(SEARCH("membership",LOWER($A280&amp;" "&amp;$M280&amp;"")))),"",IF(OR($N280="",$I280="",$I280=0),"",$N280/$I280)))</f>
        <v/>
      </c>
      <c r="P280" s="349">
        <f>IF($A280="","",IF(OR(LOWER($D280&amp;"")="n/a",ISNUMBER(SEARCH("subscription",LOWER($A280&amp;" "&amp;$M280&amp;""))),ISNUMBER(SEARCH("membership",LOWER($A280&amp;" "&amp;$M280&amp;"")))),"",IF(LOWER($L280&amp;"")="yes",0,IF($K280&lt;&gt;"",$K280,IF($O280&lt;&gt;"",$O280,"")))))</f>
        <v/>
      </c>
      <c r="Q280" s="351">
        <f>IF($A280="","",IF($U280="Subscription","",IF($U280="Profit",$P280-$H280,0)))</f>
        <v/>
      </c>
      <c r="R280" s="349">
        <f>IF($A280="","",IF($U280="Subscription","",IF($U280="Draw",$H280,0)))</f>
        <v/>
      </c>
      <c r="S280" s="349">
        <f>IF($A280="","",IF($U280="Subscription","",IF($U280="Disqualified",$H280,0)))</f>
        <v/>
      </c>
      <c r="T280" s="380">
        <f>IF($A280="","",IF($U280="Subscription","",IF($H280=0,IF($U280="Profit","N/A",0),IF($U280="Profit",$Q280/$H280,IF($U280="Disqualified",-1,0)))))</f>
        <v/>
      </c>
      <c r="U280" s="351">
        <f>IF($A280="","",IF(OR(LOWER($D280&amp;"")="n/a",ISNUMBER(SEARCH("subscription",LOWER($A280&amp;" "&amp;$M280&amp;""))),ISNUMBER(SEARCH("membership",LOWER($A280&amp;" "&amp;$M280&amp;"")))),"Subscription",IF(LOWER($L280&amp;"")="yes","Disqualified",IF($P280&gt;$H280,"Profit","Draw"))))</f>
        <v/>
      </c>
      <c r="V280" s="383">
        <f>IF(OR($A280="",$B280="",$C280="",$U280="Subscription"),"",IFERROR(ROUNDUP((IF(ISNUMBER($C280),$C280,DATEVALUE($C280))-IF(ISNUMBER($B280),$B280,DATEVALUE($B280)))/7,0),""))</f>
        <v/>
      </c>
      <c r="W280" s="351">
        <f>IF($U280="Subscription","",$Q280-$S280)</f>
        <v/>
      </c>
      <c r="X280" s="384">
        <f>IF(OR($A280="",$U280="Subscription",$J280="",$I280="",$J280=0,$I280=0,$I280&gt;$J280),"",$J280-$I280)</f>
        <v/>
      </c>
      <c r="Y280" s="381">
        <f>IF(OR($A280="",$U280="Subscription",$J280="",$J280=0,$X280=""),"",$X280/$J280)</f>
        <v/>
      </c>
    </row>
    <row r="281" ht="21" customHeight="1" s="270">
      <c r="A281" s="297" t="n"/>
      <c r="B281" s="298" t="n"/>
      <c r="C281" s="298" t="n"/>
      <c r="D281" s="297" t="n"/>
      <c r="E281" s="349" t="n"/>
      <c r="F281" s="349" t="n"/>
      <c r="G281" s="349" t="n"/>
      <c r="H281" s="349" t="n"/>
      <c r="I281" s="382" t="n"/>
      <c r="J281" s="383" t="n"/>
      <c r="K281" s="351" t="n"/>
      <c r="L281" s="296" t="n"/>
      <c r="M281" s="349" t="n"/>
      <c r="N281" s="349">
        <f>IF($A281="","",IF(OR(LOWER($D281&amp;"")="n/a",ISNUMBER(SEARCH("subscription",LOWER($A281&amp;" "&amp;$M281&amp;""))),ISNUMBER(SEARCH("membership",LOWER($A281&amp;" "&amp;$M281&amp;"")))),"",IF($G281="","",IF(ISNUMBER(SEARCH("non",LOWER($E281&amp;""))),$G281*0.85,$G281))))</f>
        <v/>
      </c>
      <c r="O281" s="349">
        <f>IF($A281="","",IF(OR(LOWER($D281&amp;"")="n/a",ISNUMBER(SEARCH("subscription",LOWER($A281&amp;" "&amp;$M281&amp;""))),ISNUMBER(SEARCH("membership",LOWER($A281&amp;" "&amp;$M281&amp;"")))),"",IF(OR($N281="",$I281="",$I281=0),"",$N281/$I281)))</f>
        <v/>
      </c>
      <c r="P281" s="349">
        <f>IF($A281="","",IF(OR(LOWER($D281&amp;"")="n/a",ISNUMBER(SEARCH("subscription",LOWER($A281&amp;" "&amp;$M281&amp;""))),ISNUMBER(SEARCH("membership",LOWER($A281&amp;" "&amp;$M281&amp;"")))),"",IF(LOWER($L281&amp;"")="yes",0,IF($K281&lt;&gt;"",$K281,IF($O281&lt;&gt;"",$O281,"")))))</f>
        <v/>
      </c>
      <c r="Q281" s="351">
        <f>IF($A281="","",IF($U281="Subscription","",IF($U281="Profit",$P281-$H281,0)))</f>
        <v/>
      </c>
      <c r="R281" s="349">
        <f>IF($A281="","",IF($U281="Subscription","",IF($U281="Draw",$H281,0)))</f>
        <v/>
      </c>
      <c r="S281" s="349">
        <f>IF($A281="","",IF($U281="Subscription","",IF($U281="Disqualified",$H281,0)))</f>
        <v/>
      </c>
      <c r="T281" s="380">
        <f>IF($A281="","",IF($U281="Subscription","",IF($H281=0,IF($U281="Profit","N/A",0),IF($U281="Profit",$Q281/$H281,IF($U281="Disqualified",-1,0)))))</f>
        <v/>
      </c>
      <c r="U281" s="351">
        <f>IF($A281="","",IF(OR(LOWER($D281&amp;"")="n/a",ISNUMBER(SEARCH("subscription",LOWER($A281&amp;" "&amp;$M281&amp;""))),ISNUMBER(SEARCH("membership",LOWER($A281&amp;" "&amp;$M281&amp;"")))),"Subscription",IF(LOWER($L281&amp;"")="yes","Disqualified",IF($P281&gt;$H281,"Profit","Draw"))))</f>
        <v/>
      </c>
      <c r="V281" s="383">
        <f>IF(OR($A281="",$B281="",$C281="",$U281="Subscription"),"",IFERROR(ROUNDUP((IF(ISNUMBER($C281),$C281,DATEVALUE($C281))-IF(ISNUMBER($B281),$B281,DATEVALUE($B281)))/7,0),""))</f>
        <v/>
      </c>
      <c r="W281" s="351">
        <f>IF($U281="Subscription","",$Q281-$S281)</f>
        <v/>
      </c>
      <c r="X281" s="384">
        <f>IF(OR($A281="",$U281="Subscription",$J281="",$I281="",$J281=0,$I281=0,$I281&gt;$J281),"",$J281-$I281)</f>
        <v/>
      </c>
      <c r="Y281" s="381">
        <f>IF(OR($A281="",$U281="Subscription",$J281="",$J281=0,$X281=""),"",$X281/$J281)</f>
        <v/>
      </c>
    </row>
    <row r="282" ht="21" customHeight="1" s="270">
      <c r="A282" s="297" t="n"/>
      <c r="B282" s="298" t="n"/>
      <c r="C282" s="298" t="n"/>
      <c r="D282" s="297" t="n"/>
      <c r="E282" s="349" t="n"/>
      <c r="F282" s="349" t="n"/>
      <c r="G282" s="349" t="n"/>
      <c r="H282" s="349" t="n"/>
      <c r="I282" s="382" t="n"/>
      <c r="J282" s="383" t="n"/>
      <c r="K282" s="351" t="n"/>
      <c r="L282" s="296" t="n"/>
      <c r="M282" s="349" t="n"/>
      <c r="N282" s="349">
        <f>IF($A282="","",IF(OR(LOWER($D282&amp;"")="n/a",ISNUMBER(SEARCH("subscription",LOWER($A282&amp;" "&amp;$M282&amp;""))),ISNUMBER(SEARCH("membership",LOWER($A282&amp;" "&amp;$M282&amp;"")))),"",IF($G282="","",IF(ISNUMBER(SEARCH("non",LOWER($E282&amp;""))),$G282*0.85,$G282))))</f>
        <v/>
      </c>
      <c r="O282" s="349">
        <f>IF($A282="","",IF(OR(LOWER($D282&amp;"")="n/a",ISNUMBER(SEARCH("subscription",LOWER($A282&amp;" "&amp;$M282&amp;""))),ISNUMBER(SEARCH("membership",LOWER($A282&amp;" "&amp;$M282&amp;"")))),"",IF(OR($N282="",$I282="",$I282=0),"",$N282/$I282)))</f>
        <v/>
      </c>
      <c r="P282" s="349">
        <f>IF($A282="","",IF(OR(LOWER($D282&amp;"")="n/a",ISNUMBER(SEARCH("subscription",LOWER($A282&amp;" "&amp;$M282&amp;""))),ISNUMBER(SEARCH("membership",LOWER($A282&amp;" "&amp;$M282&amp;"")))),"",IF(LOWER($L282&amp;"")="yes",0,IF($K282&lt;&gt;"",$K282,IF($O282&lt;&gt;"",$O282,"")))))</f>
        <v/>
      </c>
      <c r="Q282" s="351">
        <f>IF($A282="","",IF($U282="Subscription","",IF($U282="Profit",$P282-$H282,0)))</f>
        <v/>
      </c>
      <c r="R282" s="349">
        <f>IF($A282="","",IF($U282="Subscription","",IF($U282="Draw",$H282,0)))</f>
        <v/>
      </c>
      <c r="S282" s="349">
        <f>IF($A282="","",IF($U282="Subscription","",IF($U282="Disqualified",$H282,0)))</f>
        <v/>
      </c>
      <c r="T282" s="380">
        <f>IF($A282="","",IF($U282="Subscription","",IF($H282=0,IF($U282="Profit","N/A",0),IF($U282="Profit",$Q282/$H282,IF($U282="Disqualified",-1,0)))))</f>
        <v/>
      </c>
      <c r="U282" s="351">
        <f>IF($A282="","",IF(OR(LOWER($D282&amp;"")="n/a",ISNUMBER(SEARCH("subscription",LOWER($A282&amp;" "&amp;$M282&amp;""))),ISNUMBER(SEARCH("membership",LOWER($A282&amp;" "&amp;$M282&amp;"")))),"Subscription",IF(LOWER($L282&amp;"")="yes","Disqualified",IF($P282&gt;$H282,"Profit","Draw"))))</f>
        <v/>
      </c>
      <c r="V282" s="383">
        <f>IF(OR($A282="",$B282="",$C282="",$U282="Subscription"),"",IFERROR(ROUNDUP((IF(ISNUMBER($C282),$C282,DATEVALUE($C282))-IF(ISNUMBER($B282),$B282,DATEVALUE($B282)))/7,0),""))</f>
        <v/>
      </c>
      <c r="W282" s="351">
        <f>IF($U282="Subscription","",$Q282-$S282)</f>
        <v/>
      </c>
      <c r="X282" s="384">
        <f>IF(OR($A282="",$U282="Subscription",$J282="",$I282="",$J282=0,$I282=0,$I282&gt;$J282),"",$J282-$I282)</f>
        <v/>
      </c>
      <c r="Y282" s="381">
        <f>IF(OR($A282="",$U282="Subscription",$J282="",$J282=0,$X282=""),"",$X282/$J282)</f>
        <v/>
      </c>
    </row>
    <row r="283" ht="21" customHeight="1" s="270">
      <c r="A283" s="297" t="n"/>
      <c r="B283" s="298" t="n"/>
      <c r="C283" s="298" t="n"/>
      <c r="D283" s="297" t="n"/>
      <c r="E283" s="349" t="n"/>
      <c r="F283" s="349" t="n"/>
      <c r="G283" s="349" t="n"/>
      <c r="H283" s="349" t="n"/>
      <c r="I283" s="382" t="n"/>
      <c r="J283" s="383" t="n"/>
      <c r="K283" s="351" t="n"/>
      <c r="L283" s="296" t="n"/>
      <c r="M283" s="349" t="n"/>
      <c r="N283" s="349">
        <f>IF($A283="","",IF(OR(LOWER($D283&amp;"")="n/a",ISNUMBER(SEARCH("subscription",LOWER($A283&amp;" "&amp;$M283&amp;""))),ISNUMBER(SEARCH("membership",LOWER($A283&amp;" "&amp;$M283&amp;"")))),"",IF($G283="","",IF(ISNUMBER(SEARCH("non",LOWER($E283&amp;""))),$G283*0.85,$G283))))</f>
        <v/>
      </c>
      <c r="O283" s="349">
        <f>IF($A283="","",IF(OR(LOWER($D283&amp;"")="n/a",ISNUMBER(SEARCH("subscription",LOWER($A283&amp;" "&amp;$M283&amp;""))),ISNUMBER(SEARCH("membership",LOWER($A283&amp;" "&amp;$M283&amp;"")))),"",IF(OR($N283="",$I283="",$I283=0),"",$N283/$I283)))</f>
        <v/>
      </c>
      <c r="P283" s="349">
        <f>IF($A283="","",IF(OR(LOWER($D283&amp;"")="n/a",ISNUMBER(SEARCH("subscription",LOWER($A283&amp;" "&amp;$M283&amp;""))),ISNUMBER(SEARCH("membership",LOWER($A283&amp;" "&amp;$M283&amp;"")))),"",IF(LOWER($L283&amp;"")="yes",0,IF($K283&lt;&gt;"",$K283,IF($O283&lt;&gt;"",$O283,"")))))</f>
        <v/>
      </c>
      <c r="Q283" s="351">
        <f>IF($A283="","",IF($U283="Subscription","",IF($U283="Profit",$P283-$H283,0)))</f>
        <v/>
      </c>
      <c r="R283" s="349">
        <f>IF($A283="","",IF($U283="Subscription","",IF($U283="Draw",$H283,0)))</f>
        <v/>
      </c>
      <c r="S283" s="349">
        <f>IF($A283="","",IF($U283="Subscription","",IF($U283="Disqualified",$H283,0)))</f>
        <v/>
      </c>
      <c r="T283" s="380">
        <f>IF($A283="","",IF($U283="Subscription","",IF($H283=0,IF($U283="Profit","N/A",0),IF($U283="Profit",$Q283/$H283,IF($U283="Disqualified",-1,0)))))</f>
        <v/>
      </c>
      <c r="U283" s="351">
        <f>IF($A283="","",IF(OR(LOWER($D283&amp;"")="n/a",ISNUMBER(SEARCH("subscription",LOWER($A283&amp;" "&amp;$M283&amp;""))),ISNUMBER(SEARCH("membership",LOWER($A283&amp;" "&amp;$M283&amp;"")))),"Subscription",IF(LOWER($L283&amp;"")="yes","Disqualified",IF($P283&gt;$H283,"Profit","Draw"))))</f>
        <v/>
      </c>
      <c r="V283" s="383">
        <f>IF(OR($A283="",$B283="",$C283="",$U283="Subscription"),"",IFERROR(ROUNDUP((IF(ISNUMBER($C283),$C283,DATEVALUE($C283))-IF(ISNUMBER($B283),$B283,DATEVALUE($B283)))/7,0),""))</f>
        <v/>
      </c>
      <c r="W283" s="351">
        <f>IF($U283="Subscription","",$Q283-$S283)</f>
        <v/>
      </c>
      <c r="X283" s="384">
        <f>IF(OR($A283="",$U283="Subscription",$J283="",$I283="",$J283=0,$I283=0,$I283&gt;$J283),"",$J283-$I283)</f>
        <v/>
      </c>
      <c r="Y283" s="381">
        <f>IF(OR($A283="",$U283="Subscription",$J283="",$J283=0,$X283=""),"",$X283/$J283)</f>
        <v/>
      </c>
    </row>
    <row r="284" ht="21" customHeight="1" s="270">
      <c r="A284" s="297" t="n"/>
      <c r="B284" s="298" t="n"/>
      <c r="C284" s="298" t="n"/>
      <c r="D284" s="297" t="n"/>
      <c r="E284" s="349" t="n"/>
      <c r="F284" s="349" t="n"/>
      <c r="G284" s="349" t="n"/>
      <c r="H284" s="349" t="n"/>
      <c r="I284" s="382" t="n"/>
      <c r="J284" s="383" t="n"/>
      <c r="K284" s="351" t="n"/>
      <c r="L284" s="296" t="n"/>
      <c r="M284" s="349" t="n"/>
      <c r="N284" s="349">
        <f>IF($A284="","",IF(OR(LOWER($D284&amp;"")="n/a",ISNUMBER(SEARCH("subscription",LOWER($A284&amp;" "&amp;$M284&amp;""))),ISNUMBER(SEARCH("membership",LOWER($A284&amp;" "&amp;$M284&amp;"")))),"",IF($G284="","",IF(ISNUMBER(SEARCH("non",LOWER($E284&amp;""))),$G284*0.85,$G284))))</f>
        <v/>
      </c>
      <c r="O284" s="349">
        <f>IF($A284="","",IF(OR(LOWER($D284&amp;"")="n/a",ISNUMBER(SEARCH("subscription",LOWER($A284&amp;" "&amp;$M284&amp;""))),ISNUMBER(SEARCH("membership",LOWER($A284&amp;" "&amp;$M284&amp;"")))),"",IF(OR($N284="",$I284="",$I284=0),"",$N284/$I284)))</f>
        <v/>
      </c>
      <c r="P284" s="349">
        <f>IF($A284="","",IF(OR(LOWER($D284&amp;"")="n/a",ISNUMBER(SEARCH("subscription",LOWER($A284&amp;" "&amp;$M284&amp;""))),ISNUMBER(SEARCH("membership",LOWER($A284&amp;" "&amp;$M284&amp;"")))),"",IF(LOWER($L284&amp;"")="yes",0,IF($K284&lt;&gt;"",$K284,IF($O284&lt;&gt;"",$O284,"")))))</f>
        <v/>
      </c>
      <c r="Q284" s="351">
        <f>IF($A284="","",IF($U284="Subscription","",IF($U284="Profit",$P284-$H284,0)))</f>
        <v/>
      </c>
      <c r="R284" s="349">
        <f>IF($A284="","",IF($U284="Subscription","",IF($U284="Draw",$H284,0)))</f>
        <v/>
      </c>
      <c r="S284" s="349">
        <f>IF($A284="","",IF($U284="Subscription","",IF($U284="Disqualified",$H284,0)))</f>
        <v/>
      </c>
      <c r="T284" s="380">
        <f>IF($A284="","",IF($U284="Subscription","",IF($H284=0,IF($U284="Profit","N/A",0),IF($U284="Profit",$Q284/$H284,IF($U284="Disqualified",-1,0)))))</f>
        <v/>
      </c>
      <c r="U284" s="351">
        <f>IF($A284="","",IF(OR(LOWER($D284&amp;"")="n/a",ISNUMBER(SEARCH("subscription",LOWER($A284&amp;" "&amp;$M284&amp;""))),ISNUMBER(SEARCH("membership",LOWER($A284&amp;" "&amp;$M284&amp;"")))),"Subscription",IF(LOWER($L284&amp;"")="yes","Disqualified",IF($P284&gt;$H284,"Profit","Draw"))))</f>
        <v/>
      </c>
      <c r="V284" s="383">
        <f>IF(OR($A284="",$B284="",$C284="",$U284="Subscription"),"",IFERROR(ROUNDUP((IF(ISNUMBER($C284),$C284,DATEVALUE($C284))-IF(ISNUMBER($B284),$B284,DATEVALUE($B284)))/7,0),""))</f>
        <v/>
      </c>
      <c r="W284" s="351">
        <f>IF($U284="Subscription","",$Q284-$S284)</f>
        <v/>
      </c>
      <c r="X284" s="384">
        <f>IF(OR($A284="",$U284="Subscription",$J284="",$I284="",$J284=0,$I284=0,$I284&gt;$J284),"",$J284-$I284)</f>
        <v/>
      </c>
      <c r="Y284" s="381">
        <f>IF(OR($A284="",$U284="Subscription",$J284="",$J284=0,$X284=""),"",$X284/$J284)</f>
        <v/>
      </c>
    </row>
    <row r="285" ht="21" customHeight="1" s="270">
      <c r="A285" s="297" t="n"/>
      <c r="B285" s="298" t="n"/>
      <c r="C285" s="298" t="n"/>
      <c r="D285" s="297" t="n"/>
      <c r="E285" s="349" t="n"/>
      <c r="F285" s="349" t="n"/>
      <c r="G285" s="349" t="n"/>
      <c r="H285" s="349" t="n"/>
      <c r="I285" s="382" t="n"/>
      <c r="J285" s="383" t="n"/>
      <c r="K285" s="351" t="n"/>
      <c r="L285" s="296" t="n"/>
      <c r="M285" s="349" t="n"/>
      <c r="N285" s="349">
        <f>IF($A285="","",IF(OR(LOWER($D285&amp;"")="n/a",ISNUMBER(SEARCH("subscription",LOWER($A285&amp;" "&amp;$M285&amp;""))),ISNUMBER(SEARCH("membership",LOWER($A285&amp;" "&amp;$M285&amp;"")))),"",IF($G285="","",IF(ISNUMBER(SEARCH("non",LOWER($E285&amp;""))),$G285*0.85,$G285))))</f>
        <v/>
      </c>
      <c r="O285" s="349">
        <f>IF($A285="","",IF(OR(LOWER($D285&amp;"")="n/a",ISNUMBER(SEARCH("subscription",LOWER($A285&amp;" "&amp;$M285&amp;""))),ISNUMBER(SEARCH("membership",LOWER($A285&amp;" "&amp;$M285&amp;"")))),"",IF(OR($N285="",$I285="",$I285=0),"",$N285/$I285)))</f>
        <v/>
      </c>
      <c r="P285" s="349">
        <f>IF($A285="","",IF(OR(LOWER($D285&amp;"")="n/a",ISNUMBER(SEARCH("subscription",LOWER($A285&amp;" "&amp;$M285&amp;""))),ISNUMBER(SEARCH("membership",LOWER($A285&amp;" "&amp;$M285&amp;"")))),"",IF(LOWER($L285&amp;"")="yes",0,IF($K285&lt;&gt;"",$K285,IF($O285&lt;&gt;"",$O285,"")))))</f>
        <v/>
      </c>
      <c r="Q285" s="351">
        <f>IF($A285="","",IF($U285="Subscription","",IF($U285="Profit",$P285-$H285,0)))</f>
        <v/>
      </c>
      <c r="R285" s="349">
        <f>IF($A285="","",IF($U285="Subscription","",IF($U285="Draw",$H285,0)))</f>
        <v/>
      </c>
      <c r="S285" s="349">
        <f>IF($A285="","",IF($U285="Subscription","",IF($U285="Disqualified",$H285,0)))</f>
        <v/>
      </c>
      <c r="T285" s="380">
        <f>IF($A285="","",IF($U285="Subscription","",IF($H285=0,IF($U285="Profit","N/A",0),IF($U285="Profit",$Q285/$H285,IF($U285="Disqualified",-1,0)))))</f>
        <v/>
      </c>
      <c r="U285" s="351">
        <f>IF($A285="","",IF(OR(LOWER($D285&amp;"")="n/a",ISNUMBER(SEARCH("subscription",LOWER($A285&amp;" "&amp;$M285&amp;""))),ISNUMBER(SEARCH("membership",LOWER($A285&amp;" "&amp;$M285&amp;"")))),"Subscription",IF(LOWER($L285&amp;"")="yes","Disqualified",IF($P285&gt;$H285,"Profit","Draw"))))</f>
        <v/>
      </c>
      <c r="V285" s="383">
        <f>IF(OR($A285="",$B285="",$C285="",$U285="Subscription"),"",IFERROR(ROUNDUP((IF(ISNUMBER($C285),$C285,DATEVALUE($C285))-IF(ISNUMBER($B285),$B285,DATEVALUE($B285)))/7,0),""))</f>
        <v/>
      </c>
      <c r="W285" s="351">
        <f>IF($U285="Subscription","",$Q285-$S285)</f>
        <v/>
      </c>
      <c r="X285" s="384">
        <f>IF(OR($A285="",$U285="Subscription",$J285="",$I285="",$J285=0,$I285=0,$I285&gt;$J285),"",$J285-$I285)</f>
        <v/>
      </c>
      <c r="Y285" s="381">
        <f>IF(OR($A285="",$U285="Subscription",$J285="",$J285=0,$X285=""),"",$X285/$J285)</f>
        <v/>
      </c>
    </row>
    <row r="286" ht="21" customHeight="1" s="270">
      <c r="A286" s="297" t="n"/>
      <c r="B286" s="298" t="n"/>
      <c r="C286" s="298" t="n"/>
      <c r="D286" s="297" t="n"/>
      <c r="E286" s="349" t="n"/>
      <c r="F286" s="349" t="n"/>
      <c r="G286" s="349" t="n"/>
      <c r="H286" s="349" t="n"/>
      <c r="I286" s="382" t="n"/>
      <c r="J286" s="383" t="n"/>
      <c r="K286" s="351" t="n"/>
      <c r="L286" s="296" t="n"/>
      <c r="M286" s="349" t="n"/>
      <c r="N286" s="349">
        <f>IF($A286="","",IF(OR(LOWER($D286&amp;"")="n/a",ISNUMBER(SEARCH("subscription",LOWER($A286&amp;" "&amp;$M286&amp;""))),ISNUMBER(SEARCH("membership",LOWER($A286&amp;" "&amp;$M286&amp;"")))),"",IF($G286="","",IF(ISNUMBER(SEARCH("non",LOWER($E286&amp;""))),$G286*0.85,$G286))))</f>
        <v/>
      </c>
      <c r="O286" s="349">
        <f>IF($A286="","",IF(OR(LOWER($D286&amp;"")="n/a",ISNUMBER(SEARCH("subscription",LOWER($A286&amp;" "&amp;$M286&amp;""))),ISNUMBER(SEARCH("membership",LOWER($A286&amp;" "&amp;$M286&amp;"")))),"",IF(OR($N286="",$I286="",$I286=0),"",$N286/$I286)))</f>
        <v/>
      </c>
      <c r="P286" s="349">
        <f>IF($A286="","",IF(OR(LOWER($D286&amp;"")="n/a",ISNUMBER(SEARCH("subscription",LOWER($A286&amp;" "&amp;$M286&amp;""))),ISNUMBER(SEARCH("membership",LOWER($A286&amp;" "&amp;$M286&amp;"")))),"",IF(LOWER($L286&amp;"")="yes",0,IF($K286&lt;&gt;"",$K286,IF($O286&lt;&gt;"",$O286,"")))))</f>
        <v/>
      </c>
      <c r="Q286" s="351">
        <f>IF($A286="","",IF($U286="Subscription","",IF($U286="Profit",$P286-$H286,0)))</f>
        <v/>
      </c>
      <c r="R286" s="349">
        <f>IF($A286="","",IF($U286="Subscription","",IF($U286="Draw",$H286,0)))</f>
        <v/>
      </c>
      <c r="S286" s="349">
        <f>IF($A286="","",IF($U286="Subscription","",IF($U286="Disqualified",$H286,0)))</f>
        <v/>
      </c>
      <c r="T286" s="380">
        <f>IF($A286="","",IF($U286="Subscription","",IF($H286=0,IF($U286="Profit","N/A",0),IF($U286="Profit",$Q286/$H286,IF($U286="Disqualified",-1,0)))))</f>
        <v/>
      </c>
      <c r="U286" s="351">
        <f>IF($A286="","",IF(OR(LOWER($D286&amp;"")="n/a",ISNUMBER(SEARCH("subscription",LOWER($A286&amp;" "&amp;$M286&amp;""))),ISNUMBER(SEARCH("membership",LOWER($A286&amp;" "&amp;$M286&amp;"")))),"Subscription",IF(LOWER($L286&amp;"")="yes","Disqualified",IF($P286&gt;$H286,"Profit","Draw"))))</f>
        <v/>
      </c>
      <c r="V286" s="383">
        <f>IF(OR($A286="",$B286="",$C286="",$U286="Subscription"),"",IFERROR(ROUNDUP((IF(ISNUMBER($C286),$C286,DATEVALUE($C286))-IF(ISNUMBER($B286),$B286,DATEVALUE($B286)))/7,0),""))</f>
        <v/>
      </c>
      <c r="W286" s="351">
        <f>IF($U286="Subscription","",$Q286-$S286)</f>
        <v/>
      </c>
      <c r="X286" s="384">
        <f>IF(OR($A286="",$U286="Subscription",$J286="",$I286="",$J286=0,$I286=0,$I286&gt;$J286),"",$J286-$I286)</f>
        <v/>
      </c>
      <c r="Y286" s="381">
        <f>IF(OR($A286="",$U286="Subscription",$J286="",$J286=0,$X286=""),"",$X286/$J286)</f>
        <v/>
      </c>
    </row>
    <row r="287" ht="21" customHeight="1" s="270">
      <c r="A287" s="297" t="n"/>
      <c r="B287" s="298" t="n"/>
      <c r="C287" s="298" t="n"/>
      <c r="D287" s="297" t="n"/>
      <c r="E287" s="349" t="n"/>
      <c r="F287" s="349" t="n"/>
      <c r="G287" s="349" t="n"/>
      <c r="H287" s="349" t="n"/>
      <c r="I287" s="382" t="n"/>
      <c r="J287" s="383" t="n"/>
      <c r="K287" s="351" t="n"/>
      <c r="L287" s="296" t="n"/>
      <c r="M287" s="349" t="n"/>
      <c r="N287" s="349">
        <f>IF($A287="","",IF(OR(LOWER($D287&amp;"")="n/a",ISNUMBER(SEARCH("subscription",LOWER($A287&amp;" "&amp;$M287&amp;""))),ISNUMBER(SEARCH("membership",LOWER($A287&amp;" "&amp;$M287&amp;"")))),"",IF($G287="","",IF(ISNUMBER(SEARCH("non",LOWER($E287&amp;""))),$G287*0.85,$G287))))</f>
        <v/>
      </c>
      <c r="O287" s="349">
        <f>IF($A287="","",IF(OR(LOWER($D287&amp;"")="n/a",ISNUMBER(SEARCH("subscription",LOWER($A287&amp;" "&amp;$M287&amp;""))),ISNUMBER(SEARCH("membership",LOWER($A287&amp;" "&amp;$M287&amp;"")))),"",IF(OR($N287="",$I287="",$I287=0),"",$N287/$I287)))</f>
        <v/>
      </c>
      <c r="P287" s="349">
        <f>IF($A287="","",IF(OR(LOWER($D287&amp;"")="n/a",ISNUMBER(SEARCH("subscription",LOWER($A287&amp;" "&amp;$M287&amp;""))),ISNUMBER(SEARCH("membership",LOWER($A287&amp;" "&amp;$M287&amp;"")))),"",IF(LOWER($L287&amp;"")="yes",0,IF($K287&lt;&gt;"",$K287,IF($O287&lt;&gt;"",$O287,"")))))</f>
        <v/>
      </c>
      <c r="Q287" s="351">
        <f>IF($A287="","",IF($U287="Subscription","",IF($U287="Profit",$P287-$H287,0)))</f>
        <v/>
      </c>
      <c r="R287" s="349">
        <f>IF($A287="","",IF($U287="Subscription","",IF($U287="Draw",$H287,0)))</f>
        <v/>
      </c>
      <c r="S287" s="349">
        <f>IF($A287="","",IF($U287="Subscription","",IF($U287="Disqualified",$H287,0)))</f>
        <v/>
      </c>
      <c r="T287" s="380">
        <f>IF($A287="","",IF($U287="Subscription","",IF($H287=0,IF($U287="Profit","N/A",0),IF($U287="Profit",$Q287/$H287,IF($U287="Disqualified",-1,0)))))</f>
        <v/>
      </c>
      <c r="U287" s="351">
        <f>IF($A287="","",IF(OR(LOWER($D287&amp;"")="n/a",ISNUMBER(SEARCH("subscription",LOWER($A287&amp;" "&amp;$M287&amp;""))),ISNUMBER(SEARCH("membership",LOWER($A287&amp;" "&amp;$M287&amp;"")))),"Subscription",IF(LOWER($L287&amp;"")="yes","Disqualified",IF($P287&gt;$H287,"Profit","Draw"))))</f>
        <v/>
      </c>
      <c r="V287" s="383">
        <f>IF(OR($A287="",$B287="",$C287="",$U287="Subscription"),"",IFERROR(ROUNDUP((IF(ISNUMBER($C287),$C287,DATEVALUE($C287))-IF(ISNUMBER($B287),$B287,DATEVALUE($B287)))/7,0),""))</f>
        <v/>
      </c>
      <c r="W287" s="351">
        <f>IF($U287="Subscription","",$Q287-$S287)</f>
        <v/>
      </c>
      <c r="X287" s="384">
        <f>IF(OR($A287="",$U287="Subscription",$J287="",$I287="",$J287=0,$I287=0,$I287&gt;$J287),"",$J287-$I287)</f>
        <v/>
      </c>
      <c r="Y287" s="381">
        <f>IF(OR($A287="",$U287="Subscription",$J287="",$J287=0,$X287=""),"",$X287/$J287)</f>
        <v/>
      </c>
    </row>
    <row r="288" ht="21" customHeight="1" s="270">
      <c r="A288" s="297" t="n"/>
      <c r="B288" s="298" t="n"/>
      <c r="C288" s="298" t="n"/>
      <c r="D288" s="297" t="n"/>
      <c r="E288" s="349" t="n"/>
      <c r="F288" s="349" t="n"/>
      <c r="G288" s="349" t="n"/>
      <c r="H288" s="349" t="n"/>
      <c r="I288" s="382" t="n"/>
      <c r="J288" s="383" t="n"/>
      <c r="K288" s="351" t="n"/>
      <c r="L288" s="296" t="n"/>
      <c r="M288" s="349" t="n"/>
      <c r="N288" s="349">
        <f>IF($A288="","",IF(OR(LOWER($D288&amp;"")="n/a",ISNUMBER(SEARCH("subscription",LOWER($A288&amp;" "&amp;$M288&amp;""))),ISNUMBER(SEARCH("membership",LOWER($A288&amp;" "&amp;$M288&amp;"")))),"",IF($G288="","",IF(ISNUMBER(SEARCH("non",LOWER($E288&amp;""))),$G288*0.85,$G288))))</f>
        <v/>
      </c>
      <c r="O288" s="349">
        <f>IF($A288="","",IF(OR(LOWER($D288&amp;"")="n/a",ISNUMBER(SEARCH("subscription",LOWER($A288&amp;" "&amp;$M288&amp;""))),ISNUMBER(SEARCH("membership",LOWER($A288&amp;" "&amp;$M288&amp;"")))),"",IF(OR($N288="",$I288="",$I288=0),"",$N288/$I288)))</f>
        <v/>
      </c>
      <c r="P288" s="349">
        <f>IF($A288="","",IF(OR(LOWER($D288&amp;"")="n/a",ISNUMBER(SEARCH("subscription",LOWER($A288&amp;" "&amp;$M288&amp;""))),ISNUMBER(SEARCH("membership",LOWER($A288&amp;" "&amp;$M288&amp;"")))),"",IF(LOWER($L288&amp;"")="yes",0,IF($K288&lt;&gt;"",$K288,IF($O288&lt;&gt;"",$O288,"")))))</f>
        <v/>
      </c>
      <c r="Q288" s="351">
        <f>IF($A288="","",IF($U288="Subscription","",IF($U288="Profit",$P288-$H288,0)))</f>
        <v/>
      </c>
      <c r="R288" s="349">
        <f>IF($A288="","",IF($U288="Subscription","",IF($U288="Draw",$H288,0)))</f>
        <v/>
      </c>
      <c r="S288" s="349">
        <f>IF($A288="","",IF($U288="Subscription","",IF($U288="Disqualified",$H288,0)))</f>
        <v/>
      </c>
      <c r="T288" s="380">
        <f>IF($A288="","",IF($U288="Subscription","",IF($H288=0,IF($U288="Profit","N/A",0),IF($U288="Profit",$Q288/$H288,IF($U288="Disqualified",-1,0)))))</f>
        <v/>
      </c>
      <c r="U288" s="351">
        <f>IF($A288="","",IF(OR(LOWER($D288&amp;"")="n/a",ISNUMBER(SEARCH("subscription",LOWER($A288&amp;" "&amp;$M288&amp;""))),ISNUMBER(SEARCH("membership",LOWER($A288&amp;" "&amp;$M288&amp;"")))),"Subscription",IF(LOWER($L288&amp;"")="yes","Disqualified",IF($P288&gt;$H288,"Profit","Draw"))))</f>
        <v/>
      </c>
      <c r="V288" s="383">
        <f>IF(OR($A288="",$B288="",$C288="",$U288="Subscription"),"",IFERROR(ROUNDUP((IF(ISNUMBER($C288),$C288,DATEVALUE($C288))-IF(ISNUMBER($B288),$B288,DATEVALUE($B288)))/7,0),""))</f>
        <v/>
      </c>
      <c r="W288" s="351">
        <f>IF($U288="Subscription","",$Q288-$S288)</f>
        <v/>
      </c>
      <c r="X288" s="384">
        <f>IF(OR($A288="",$U288="Subscription",$J288="",$I288="",$J288=0,$I288=0,$I288&gt;$J288),"",$J288-$I288)</f>
        <v/>
      </c>
      <c r="Y288" s="381">
        <f>IF(OR($A288="",$U288="Subscription",$J288="",$J288=0,$X288=""),"",$X288/$J288)</f>
        <v/>
      </c>
    </row>
    <row r="289" ht="21" customHeight="1" s="270">
      <c r="A289" s="297" t="n"/>
      <c r="B289" s="298" t="n"/>
      <c r="C289" s="298" t="n"/>
      <c r="D289" s="297" t="n"/>
      <c r="E289" s="349" t="n"/>
      <c r="F289" s="349" t="n"/>
      <c r="G289" s="349" t="n"/>
      <c r="H289" s="349" t="n"/>
      <c r="I289" s="382" t="n"/>
      <c r="J289" s="383" t="n"/>
      <c r="K289" s="351" t="n"/>
      <c r="L289" s="296" t="n"/>
      <c r="M289" s="349" t="n"/>
      <c r="N289" s="349">
        <f>IF($A289="","",IF(OR(LOWER($D289&amp;"")="n/a",ISNUMBER(SEARCH("subscription",LOWER($A289&amp;" "&amp;$M289&amp;""))),ISNUMBER(SEARCH("membership",LOWER($A289&amp;" "&amp;$M289&amp;"")))),"",IF($G289="","",IF(ISNUMBER(SEARCH("non",LOWER($E289&amp;""))),$G289*0.85,$G289))))</f>
        <v/>
      </c>
      <c r="O289" s="349">
        <f>IF($A289="","",IF(OR(LOWER($D289&amp;"")="n/a",ISNUMBER(SEARCH("subscription",LOWER($A289&amp;" "&amp;$M289&amp;""))),ISNUMBER(SEARCH("membership",LOWER($A289&amp;" "&amp;$M289&amp;"")))),"",IF(OR($N289="",$I289="",$I289=0),"",$N289/$I289)))</f>
        <v/>
      </c>
      <c r="P289" s="349">
        <f>IF($A289="","",IF(OR(LOWER($D289&amp;"")="n/a",ISNUMBER(SEARCH("subscription",LOWER($A289&amp;" "&amp;$M289&amp;""))),ISNUMBER(SEARCH("membership",LOWER($A289&amp;" "&amp;$M289&amp;"")))),"",IF(LOWER($L289&amp;"")="yes",0,IF($K289&lt;&gt;"",$K289,IF($O289&lt;&gt;"",$O289,"")))))</f>
        <v/>
      </c>
      <c r="Q289" s="351">
        <f>IF($A289="","",IF($U289="Subscription","",IF($U289="Profit",$P289-$H289,0)))</f>
        <v/>
      </c>
      <c r="R289" s="349">
        <f>IF($A289="","",IF($U289="Subscription","",IF($U289="Draw",$H289,0)))</f>
        <v/>
      </c>
      <c r="S289" s="349">
        <f>IF($A289="","",IF($U289="Subscription","",IF($U289="Disqualified",$H289,0)))</f>
        <v/>
      </c>
      <c r="T289" s="380">
        <f>IF($A289="","",IF($U289="Subscription","",IF($H289=0,IF($U289="Profit","N/A",0),IF($U289="Profit",$Q289/$H289,IF($U289="Disqualified",-1,0)))))</f>
        <v/>
      </c>
      <c r="U289" s="351">
        <f>IF($A289="","",IF(OR(LOWER($D289&amp;"")="n/a",ISNUMBER(SEARCH("subscription",LOWER($A289&amp;" "&amp;$M289&amp;""))),ISNUMBER(SEARCH("membership",LOWER($A289&amp;" "&amp;$M289&amp;"")))),"Subscription",IF(LOWER($L289&amp;"")="yes","Disqualified",IF($P289&gt;$H289,"Profit","Draw"))))</f>
        <v/>
      </c>
      <c r="V289" s="383">
        <f>IF(OR($A289="",$B289="",$C289="",$U289="Subscription"),"",IFERROR(ROUNDUP((IF(ISNUMBER($C289),$C289,DATEVALUE($C289))-IF(ISNUMBER($B289),$B289,DATEVALUE($B289)))/7,0),""))</f>
        <v/>
      </c>
      <c r="W289" s="351">
        <f>IF($U289="Subscription","",$Q289-$S289)</f>
        <v/>
      </c>
      <c r="X289" s="384">
        <f>IF(OR($A289="",$U289="Subscription",$J289="",$I289="",$J289=0,$I289=0,$I289&gt;$J289),"",$J289-$I289)</f>
        <v/>
      </c>
      <c r="Y289" s="381">
        <f>IF(OR($A289="",$U289="Subscription",$J289="",$J289=0,$X289=""),"",$X289/$J289)</f>
        <v/>
      </c>
    </row>
    <row r="290" ht="21" customHeight="1" s="270">
      <c r="A290" s="297" t="n"/>
      <c r="B290" s="298" t="n"/>
      <c r="C290" s="298" t="n"/>
      <c r="D290" s="297" t="n"/>
      <c r="E290" s="349" t="n"/>
      <c r="F290" s="349" t="n"/>
      <c r="G290" s="349" t="n"/>
      <c r="H290" s="349" t="n"/>
      <c r="I290" s="382" t="n"/>
      <c r="J290" s="383" t="n"/>
      <c r="K290" s="351" t="n"/>
      <c r="L290" s="296" t="n"/>
      <c r="M290" s="349" t="n"/>
      <c r="N290" s="349">
        <f>IF($A290="","",IF(OR(LOWER($D290&amp;"")="n/a",ISNUMBER(SEARCH("subscription",LOWER($A290&amp;" "&amp;$M290&amp;""))),ISNUMBER(SEARCH("membership",LOWER($A290&amp;" "&amp;$M290&amp;"")))),"",IF($G290="","",IF(ISNUMBER(SEARCH("non",LOWER($E290&amp;""))),$G290*0.85,$G290))))</f>
        <v/>
      </c>
      <c r="O290" s="349">
        <f>IF($A290="","",IF(OR(LOWER($D290&amp;"")="n/a",ISNUMBER(SEARCH("subscription",LOWER($A290&amp;" "&amp;$M290&amp;""))),ISNUMBER(SEARCH("membership",LOWER($A290&amp;" "&amp;$M290&amp;"")))),"",IF(OR($N290="",$I290="",$I290=0),"",$N290/$I290)))</f>
        <v/>
      </c>
      <c r="P290" s="349">
        <f>IF($A290="","",IF(OR(LOWER($D290&amp;"")="n/a",ISNUMBER(SEARCH("subscription",LOWER($A290&amp;" "&amp;$M290&amp;""))),ISNUMBER(SEARCH("membership",LOWER($A290&amp;" "&amp;$M290&amp;"")))),"",IF(LOWER($L290&amp;"")="yes",0,IF($K290&lt;&gt;"",$K290,IF($O290&lt;&gt;"",$O290,"")))))</f>
        <v/>
      </c>
      <c r="Q290" s="351">
        <f>IF($A290="","",IF($U290="Subscription","",IF($U290="Profit",$P290-$H290,0)))</f>
        <v/>
      </c>
      <c r="R290" s="349">
        <f>IF($A290="","",IF($U290="Subscription","",IF($U290="Draw",$H290,0)))</f>
        <v/>
      </c>
      <c r="S290" s="349">
        <f>IF($A290="","",IF($U290="Subscription","",IF($U290="Disqualified",$H290,0)))</f>
        <v/>
      </c>
      <c r="T290" s="380">
        <f>IF($A290="","",IF($U290="Subscription","",IF($H290=0,IF($U290="Profit","N/A",0),IF($U290="Profit",$Q290/$H290,IF($U290="Disqualified",-1,0)))))</f>
        <v/>
      </c>
      <c r="U290" s="351">
        <f>IF($A290="","",IF(OR(LOWER($D290&amp;"")="n/a",ISNUMBER(SEARCH("subscription",LOWER($A290&amp;" "&amp;$M290&amp;""))),ISNUMBER(SEARCH("membership",LOWER($A290&amp;" "&amp;$M290&amp;"")))),"Subscription",IF(LOWER($L290&amp;"")="yes","Disqualified",IF($P290&gt;$H290,"Profit","Draw"))))</f>
        <v/>
      </c>
      <c r="V290" s="383">
        <f>IF(OR($A290="",$B290="",$C290="",$U290="Subscription"),"",IFERROR(ROUNDUP((IF(ISNUMBER($C290),$C290,DATEVALUE($C290))-IF(ISNUMBER($B290),$B290,DATEVALUE($B290)))/7,0),""))</f>
        <v/>
      </c>
      <c r="W290" s="351">
        <f>IF($U290="Subscription","",$Q290-$S290)</f>
        <v/>
      </c>
      <c r="X290" s="384">
        <f>IF(OR($A290="",$U290="Subscription",$J290="",$I290="",$J290=0,$I290=0,$I290&gt;$J290),"",$J290-$I290)</f>
        <v/>
      </c>
      <c r="Y290" s="381">
        <f>IF(OR($A290="",$U290="Subscription",$J290="",$J290=0,$X290=""),"",$X290/$J290)</f>
        <v/>
      </c>
    </row>
    <row r="291" ht="21" customHeight="1" s="270">
      <c r="A291" s="297" t="n"/>
      <c r="B291" s="298" t="n"/>
      <c r="C291" s="298" t="n"/>
      <c r="D291" s="297" t="n"/>
      <c r="E291" s="349" t="n"/>
      <c r="F291" s="349" t="n"/>
      <c r="G291" s="349" t="n"/>
      <c r="H291" s="349" t="n"/>
      <c r="I291" s="382" t="n"/>
      <c r="J291" s="383" t="n"/>
      <c r="K291" s="351" t="n"/>
      <c r="L291" s="296" t="n"/>
      <c r="M291" s="349" t="n"/>
      <c r="N291" s="349">
        <f>IF($A291="","",IF(OR(LOWER($D291&amp;"")="n/a",ISNUMBER(SEARCH("subscription",LOWER($A291&amp;" "&amp;$M291&amp;""))),ISNUMBER(SEARCH("membership",LOWER($A291&amp;" "&amp;$M291&amp;"")))),"",IF($G291="","",IF(ISNUMBER(SEARCH("non",LOWER($E291&amp;""))),$G291*0.85,$G291))))</f>
        <v/>
      </c>
      <c r="O291" s="349">
        <f>IF($A291="","",IF(OR(LOWER($D291&amp;"")="n/a",ISNUMBER(SEARCH("subscription",LOWER($A291&amp;" "&amp;$M291&amp;""))),ISNUMBER(SEARCH("membership",LOWER($A291&amp;" "&amp;$M291&amp;"")))),"",IF(OR($N291="",$I291="",$I291=0),"",$N291/$I291)))</f>
        <v/>
      </c>
      <c r="P291" s="349">
        <f>IF($A291="","",IF(OR(LOWER($D291&amp;"")="n/a",ISNUMBER(SEARCH("subscription",LOWER($A291&amp;" "&amp;$M291&amp;""))),ISNUMBER(SEARCH("membership",LOWER($A291&amp;" "&amp;$M291&amp;"")))),"",IF(LOWER($L291&amp;"")="yes",0,IF($K291&lt;&gt;"",$K291,IF($O291&lt;&gt;"",$O291,"")))))</f>
        <v/>
      </c>
      <c r="Q291" s="351">
        <f>IF($A291="","",IF($U291="Subscription","",IF($U291="Profit",$P291-$H291,0)))</f>
        <v/>
      </c>
      <c r="R291" s="349">
        <f>IF($A291="","",IF($U291="Subscription","",IF($U291="Draw",$H291,0)))</f>
        <v/>
      </c>
      <c r="S291" s="349">
        <f>IF($A291="","",IF($U291="Subscription","",IF($U291="Disqualified",$H291,0)))</f>
        <v/>
      </c>
      <c r="T291" s="380">
        <f>IF($A291="","",IF($U291="Subscription","",IF($H291=0,IF($U291="Profit","N/A",0),IF($U291="Profit",$Q291/$H291,IF($U291="Disqualified",-1,0)))))</f>
        <v/>
      </c>
      <c r="U291" s="351">
        <f>IF($A291="","",IF(OR(LOWER($D291&amp;"")="n/a",ISNUMBER(SEARCH("subscription",LOWER($A291&amp;" "&amp;$M291&amp;""))),ISNUMBER(SEARCH("membership",LOWER($A291&amp;" "&amp;$M291&amp;"")))),"Subscription",IF(LOWER($L291&amp;"")="yes","Disqualified",IF($P291&gt;$H291,"Profit","Draw"))))</f>
        <v/>
      </c>
      <c r="V291" s="383">
        <f>IF(OR($A291="",$B291="",$C291="",$U291="Subscription"),"",IFERROR(ROUNDUP((IF(ISNUMBER($C291),$C291,DATEVALUE($C291))-IF(ISNUMBER($B291),$B291,DATEVALUE($B291)))/7,0),""))</f>
        <v/>
      </c>
      <c r="W291" s="351">
        <f>IF($U291="Subscription","",$Q291-$S291)</f>
        <v/>
      </c>
      <c r="X291" s="384">
        <f>IF(OR($A291="",$U291="Subscription",$J291="",$I291="",$J291=0,$I291=0,$I291&gt;$J291),"",$J291-$I291)</f>
        <v/>
      </c>
      <c r="Y291" s="381">
        <f>IF(OR($A291="",$U291="Subscription",$J291="",$J291=0,$X291=""),"",$X291/$J291)</f>
        <v/>
      </c>
    </row>
    <row r="292" ht="21" customHeight="1" s="270">
      <c r="A292" s="297" t="n"/>
      <c r="B292" s="298" t="n"/>
      <c r="C292" s="298" t="n"/>
      <c r="D292" s="297" t="n"/>
      <c r="E292" s="349" t="n"/>
      <c r="F292" s="349" t="n"/>
      <c r="G292" s="349" t="n"/>
      <c r="H292" s="349" t="n"/>
      <c r="I292" s="382" t="n"/>
      <c r="J292" s="383" t="n"/>
      <c r="K292" s="351" t="n"/>
      <c r="L292" s="296" t="n"/>
      <c r="M292" s="349" t="n"/>
      <c r="N292" s="349">
        <f>IF($A292="","",IF(OR(LOWER($D292&amp;"")="n/a",ISNUMBER(SEARCH("subscription",LOWER($A292&amp;" "&amp;$M292&amp;""))),ISNUMBER(SEARCH("membership",LOWER($A292&amp;" "&amp;$M292&amp;"")))),"",IF($G292="","",IF(ISNUMBER(SEARCH("non",LOWER($E292&amp;""))),$G292*0.85,$G292))))</f>
        <v/>
      </c>
      <c r="O292" s="349">
        <f>IF($A292="","",IF(OR(LOWER($D292&amp;"")="n/a",ISNUMBER(SEARCH("subscription",LOWER($A292&amp;" "&amp;$M292&amp;""))),ISNUMBER(SEARCH("membership",LOWER($A292&amp;" "&amp;$M292&amp;"")))),"",IF(OR($N292="",$I292="",$I292=0),"",$N292/$I292)))</f>
        <v/>
      </c>
      <c r="P292" s="349">
        <f>IF($A292="","",IF(OR(LOWER($D292&amp;"")="n/a",ISNUMBER(SEARCH("subscription",LOWER($A292&amp;" "&amp;$M292&amp;""))),ISNUMBER(SEARCH("membership",LOWER($A292&amp;" "&amp;$M292&amp;"")))),"",IF(LOWER($L292&amp;"")="yes",0,IF($K292&lt;&gt;"",$K292,IF($O292&lt;&gt;"",$O292,"")))))</f>
        <v/>
      </c>
      <c r="Q292" s="351">
        <f>IF($A292="","",IF($U292="Subscription","",IF($U292="Profit",$P292-$H292,0)))</f>
        <v/>
      </c>
      <c r="R292" s="349">
        <f>IF($A292="","",IF($U292="Subscription","",IF($U292="Draw",$H292,0)))</f>
        <v/>
      </c>
      <c r="S292" s="349">
        <f>IF($A292="","",IF($U292="Subscription","",IF($U292="Disqualified",$H292,0)))</f>
        <v/>
      </c>
      <c r="T292" s="380">
        <f>IF($A292="","",IF($U292="Subscription","",IF($H292=0,IF($U292="Profit","N/A",0),IF($U292="Profit",$Q292/$H292,IF($U292="Disqualified",-1,0)))))</f>
        <v/>
      </c>
      <c r="U292" s="351">
        <f>IF($A292="","",IF(OR(LOWER($D292&amp;"")="n/a",ISNUMBER(SEARCH("subscription",LOWER($A292&amp;" "&amp;$M292&amp;""))),ISNUMBER(SEARCH("membership",LOWER($A292&amp;" "&amp;$M292&amp;"")))),"Subscription",IF(LOWER($L292&amp;"")="yes","Disqualified",IF($P292&gt;$H292,"Profit","Draw"))))</f>
        <v/>
      </c>
      <c r="V292" s="383">
        <f>IF(OR($A292="",$B292="",$C292="",$U292="Subscription"),"",IFERROR(ROUNDUP((IF(ISNUMBER($C292),$C292,DATEVALUE($C292))-IF(ISNUMBER($B292),$B292,DATEVALUE($B292)))/7,0),""))</f>
        <v/>
      </c>
      <c r="W292" s="351">
        <f>IF($U292="Subscription","",$Q292-$S292)</f>
        <v/>
      </c>
      <c r="X292" s="384">
        <f>IF(OR($A292="",$U292="Subscription",$J292="",$I292="",$J292=0,$I292=0,$I292&gt;$J292),"",$J292-$I292)</f>
        <v/>
      </c>
      <c r="Y292" s="381">
        <f>IF(OR($A292="",$U292="Subscription",$J292="",$J292=0,$X292=""),"",$X292/$J292)</f>
        <v/>
      </c>
    </row>
    <row r="293" ht="21" customHeight="1" s="270">
      <c r="A293" s="297" t="n"/>
      <c r="B293" s="298" t="n"/>
      <c r="C293" s="298" t="n"/>
      <c r="D293" s="297" t="n"/>
      <c r="E293" s="349" t="n"/>
      <c r="F293" s="349" t="n"/>
      <c r="G293" s="349" t="n"/>
      <c r="H293" s="349" t="n"/>
      <c r="I293" s="382" t="n"/>
      <c r="J293" s="383" t="n"/>
      <c r="K293" s="351" t="n"/>
      <c r="L293" s="296" t="n"/>
      <c r="M293" s="349" t="n"/>
      <c r="N293" s="349">
        <f>IF($A293="","",IF(OR(LOWER($D293&amp;"")="n/a",ISNUMBER(SEARCH("subscription",LOWER($A293&amp;" "&amp;$M293&amp;""))),ISNUMBER(SEARCH("membership",LOWER($A293&amp;" "&amp;$M293&amp;"")))),"",IF($G293="","",IF(ISNUMBER(SEARCH("non",LOWER($E293&amp;""))),$G293*0.85,$G293))))</f>
        <v/>
      </c>
      <c r="O293" s="349">
        <f>IF($A293="","",IF(OR(LOWER($D293&amp;"")="n/a",ISNUMBER(SEARCH("subscription",LOWER($A293&amp;" "&amp;$M293&amp;""))),ISNUMBER(SEARCH("membership",LOWER($A293&amp;" "&amp;$M293&amp;"")))),"",IF(OR($N293="",$I293="",$I293=0),"",$N293/$I293)))</f>
        <v/>
      </c>
      <c r="P293" s="349">
        <f>IF($A293="","",IF(OR(LOWER($D293&amp;"")="n/a",ISNUMBER(SEARCH("subscription",LOWER($A293&amp;" "&amp;$M293&amp;""))),ISNUMBER(SEARCH("membership",LOWER($A293&amp;" "&amp;$M293&amp;"")))),"",IF(LOWER($L293&amp;"")="yes",0,IF($K293&lt;&gt;"",$K293,IF($O293&lt;&gt;"",$O293,"")))))</f>
        <v/>
      </c>
      <c r="Q293" s="351">
        <f>IF($A293="","",IF($U293="Subscription","",IF($U293="Profit",$P293-$H293,0)))</f>
        <v/>
      </c>
      <c r="R293" s="349">
        <f>IF($A293="","",IF($U293="Subscription","",IF($U293="Draw",$H293,0)))</f>
        <v/>
      </c>
      <c r="S293" s="349">
        <f>IF($A293="","",IF($U293="Subscription","",IF($U293="Disqualified",$H293,0)))</f>
        <v/>
      </c>
      <c r="T293" s="380">
        <f>IF($A293="","",IF($U293="Subscription","",IF($H293=0,IF($U293="Profit","N/A",0),IF($U293="Profit",$Q293/$H293,IF($U293="Disqualified",-1,0)))))</f>
        <v/>
      </c>
      <c r="U293" s="351">
        <f>IF($A293="","",IF(OR(LOWER($D293&amp;"")="n/a",ISNUMBER(SEARCH("subscription",LOWER($A293&amp;" "&amp;$M293&amp;""))),ISNUMBER(SEARCH("membership",LOWER($A293&amp;" "&amp;$M293&amp;"")))),"Subscription",IF(LOWER($L293&amp;"")="yes","Disqualified",IF($P293&gt;$H293,"Profit","Draw"))))</f>
        <v/>
      </c>
      <c r="V293" s="383">
        <f>IF(OR($A293="",$B293="",$C293="",$U293="Subscription"),"",IFERROR(ROUNDUP((IF(ISNUMBER($C293),$C293,DATEVALUE($C293))-IF(ISNUMBER($B293),$B293,DATEVALUE($B293)))/7,0),""))</f>
        <v/>
      </c>
      <c r="W293" s="351">
        <f>IF($U293="Subscription","",$Q293-$S293)</f>
        <v/>
      </c>
      <c r="X293" s="384">
        <f>IF(OR($A293="",$U293="Subscription",$J293="",$I293="",$J293=0,$I293=0,$I293&gt;$J293),"",$J293-$I293)</f>
        <v/>
      </c>
      <c r="Y293" s="381">
        <f>IF(OR($A293="",$U293="Subscription",$J293="",$J293=0,$X293=""),"",$X293/$J293)</f>
        <v/>
      </c>
    </row>
    <row r="294" ht="21" customHeight="1" s="270">
      <c r="A294" s="297" t="n"/>
      <c r="B294" s="298" t="n"/>
      <c r="C294" s="298" t="n"/>
      <c r="D294" s="297" t="n"/>
      <c r="E294" s="349" t="n"/>
      <c r="F294" s="349" t="n"/>
      <c r="G294" s="349" t="n"/>
      <c r="H294" s="349" t="n"/>
      <c r="I294" s="382" t="n"/>
      <c r="J294" s="383" t="n"/>
      <c r="K294" s="351" t="n"/>
      <c r="L294" s="296" t="n"/>
      <c r="M294" s="349" t="n"/>
      <c r="N294" s="349">
        <f>IF($A294="","",IF(OR(LOWER($D294&amp;"")="n/a",ISNUMBER(SEARCH("subscription",LOWER($A294&amp;" "&amp;$M294&amp;""))),ISNUMBER(SEARCH("membership",LOWER($A294&amp;" "&amp;$M294&amp;"")))),"",IF($G294="","",IF(ISNUMBER(SEARCH("non",LOWER($E294&amp;""))),$G294*0.85,$G294))))</f>
        <v/>
      </c>
      <c r="O294" s="349">
        <f>IF($A294="","",IF(OR(LOWER($D294&amp;"")="n/a",ISNUMBER(SEARCH("subscription",LOWER($A294&amp;" "&amp;$M294&amp;""))),ISNUMBER(SEARCH("membership",LOWER($A294&amp;" "&amp;$M294&amp;"")))),"",IF(OR($N294="",$I294="",$I294=0),"",$N294/$I294)))</f>
        <v/>
      </c>
      <c r="P294" s="349">
        <f>IF($A294="","",IF(OR(LOWER($D294&amp;"")="n/a",ISNUMBER(SEARCH("subscription",LOWER($A294&amp;" "&amp;$M294&amp;""))),ISNUMBER(SEARCH("membership",LOWER($A294&amp;" "&amp;$M294&amp;"")))),"",IF(LOWER($L294&amp;"")="yes",0,IF($K294&lt;&gt;"",$K294,IF($O294&lt;&gt;"",$O294,"")))))</f>
        <v/>
      </c>
      <c r="Q294" s="351">
        <f>IF($A294="","",IF($U294="Subscription","",IF($U294="Profit",$P294-$H294,0)))</f>
        <v/>
      </c>
      <c r="R294" s="349">
        <f>IF($A294="","",IF($U294="Subscription","",IF($U294="Draw",$H294,0)))</f>
        <v/>
      </c>
      <c r="S294" s="349">
        <f>IF($A294="","",IF($U294="Subscription","",IF($U294="Disqualified",$H294,0)))</f>
        <v/>
      </c>
      <c r="T294" s="380">
        <f>IF($A294="","",IF($U294="Subscription","",IF($H294=0,IF($U294="Profit","N/A",0),IF($U294="Profit",$Q294/$H294,IF($U294="Disqualified",-1,0)))))</f>
        <v/>
      </c>
      <c r="U294" s="351">
        <f>IF($A294="","",IF(OR(LOWER($D294&amp;"")="n/a",ISNUMBER(SEARCH("subscription",LOWER($A294&amp;" "&amp;$M294&amp;""))),ISNUMBER(SEARCH("membership",LOWER($A294&amp;" "&amp;$M294&amp;"")))),"Subscription",IF(LOWER($L294&amp;"")="yes","Disqualified",IF($P294&gt;$H294,"Profit","Draw"))))</f>
        <v/>
      </c>
      <c r="V294" s="383">
        <f>IF(OR($A294="",$B294="",$C294="",$U294="Subscription"),"",IFERROR(ROUNDUP((IF(ISNUMBER($C294),$C294,DATEVALUE($C294))-IF(ISNUMBER($B294),$B294,DATEVALUE($B294)))/7,0),""))</f>
        <v/>
      </c>
      <c r="W294" s="351">
        <f>IF($U294="Subscription","",$Q294-$S294)</f>
        <v/>
      </c>
      <c r="X294" s="384">
        <f>IF(OR($A294="",$U294="Subscription",$J294="",$I294="",$J294=0,$I294=0,$I294&gt;$J294),"",$J294-$I294)</f>
        <v/>
      </c>
      <c r="Y294" s="381">
        <f>IF(OR($A294="",$U294="Subscription",$J294="",$J294=0,$X294=""),"",$X294/$J294)</f>
        <v/>
      </c>
    </row>
    <row r="295" ht="21" customHeight="1" s="270">
      <c r="A295" s="297" t="n"/>
      <c r="B295" s="298" t="n"/>
      <c r="C295" s="298" t="n"/>
      <c r="D295" s="297" t="n"/>
      <c r="E295" s="349" t="n"/>
      <c r="F295" s="349" t="n"/>
      <c r="G295" s="349" t="n"/>
      <c r="H295" s="349" t="n"/>
      <c r="I295" s="382" t="n"/>
      <c r="J295" s="383" t="n"/>
      <c r="K295" s="351" t="n"/>
      <c r="L295" s="296" t="n"/>
      <c r="M295" s="349" t="n"/>
      <c r="N295" s="349">
        <f>IF($A295="","",IF(OR(LOWER($D295&amp;"")="n/a",ISNUMBER(SEARCH("subscription",LOWER($A295&amp;" "&amp;$M295&amp;""))),ISNUMBER(SEARCH("membership",LOWER($A295&amp;" "&amp;$M295&amp;"")))),"",IF($G295="","",IF(ISNUMBER(SEARCH("non",LOWER($E295&amp;""))),$G295*0.85,$G295))))</f>
        <v/>
      </c>
      <c r="O295" s="349">
        <f>IF($A295="","",IF(OR(LOWER($D295&amp;"")="n/a",ISNUMBER(SEARCH("subscription",LOWER($A295&amp;" "&amp;$M295&amp;""))),ISNUMBER(SEARCH("membership",LOWER($A295&amp;" "&amp;$M295&amp;"")))),"",IF(OR($N295="",$I295="",$I295=0),"",$N295/$I295)))</f>
        <v/>
      </c>
      <c r="P295" s="349">
        <f>IF($A295="","",IF(OR(LOWER($D295&amp;"")="n/a",ISNUMBER(SEARCH("subscription",LOWER($A295&amp;" "&amp;$M295&amp;""))),ISNUMBER(SEARCH("membership",LOWER($A295&amp;" "&amp;$M295&amp;"")))),"",IF(LOWER($L295&amp;"")="yes",0,IF($K295&lt;&gt;"",$K295,IF($O295&lt;&gt;"",$O295,"")))))</f>
        <v/>
      </c>
      <c r="Q295" s="351">
        <f>IF($A295="","",IF($U295="Subscription","",IF($U295="Profit",$P295-$H295,0)))</f>
        <v/>
      </c>
      <c r="R295" s="349">
        <f>IF($A295="","",IF($U295="Subscription","",IF($U295="Draw",$H295,0)))</f>
        <v/>
      </c>
      <c r="S295" s="349">
        <f>IF($A295="","",IF($U295="Subscription","",IF($U295="Disqualified",$H295,0)))</f>
        <v/>
      </c>
      <c r="T295" s="380">
        <f>IF($A295="","",IF($U295="Subscription","",IF($H295=0,IF($U295="Profit","N/A",0),IF($U295="Profit",$Q295/$H295,IF($U295="Disqualified",-1,0)))))</f>
        <v/>
      </c>
      <c r="U295" s="351">
        <f>IF($A295="","",IF(OR(LOWER($D295&amp;"")="n/a",ISNUMBER(SEARCH("subscription",LOWER($A295&amp;" "&amp;$M295&amp;""))),ISNUMBER(SEARCH("membership",LOWER($A295&amp;" "&amp;$M295&amp;"")))),"Subscription",IF(LOWER($L295&amp;"")="yes","Disqualified",IF($P295&gt;$H295,"Profit","Draw"))))</f>
        <v/>
      </c>
      <c r="V295" s="383">
        <f>IF(OR($A295="",$B295="",$C295="",$U295="Subscription"),"",IFERROR(ROUNDUP((IF(ISNUMBER($C295),$C295,DATEVALUE($C295))-IF(ISNUMBER($B295),$B295,DATEVALUE($B295)))/7,0),""))</f>
        <v/>
      </c>
      <c r="W295" s="351">
        <f>IF($U295="Subscription","",$Q295-$S295)</f>
        <v/>
      </c>
      <c r="X295" s="384">
        <f>IF(OR($A295="",$U295="Subscription",$J295="",$I295="",$J295=0,$I295=0,$I295&gt;$J295),"",$J295-$I295)</f>
        <v/>
      </c>
      <c r="Y295" s="381">
        <f>IF(OR($A295="",$U295="Subscription",$J295="",$J295=0,$X295=""),"",$X295/$J295)</f>
        <v/>
      </c>
    </row>
    <row r="296" ht="21" customHeight="1" s="270">
      <c r="A296" s="297" t="n"/>
      <c r="B296" s="298" t="n"/>
      <c r="C296" s="298" t="n"/>
      <c r="D296" s="297" t="n"/>
      <c r="E296" s="349" t="n"/>
      <c r="F296" s="349" t="n"/>
      <c r="G296" s="349" t="n"/>
      <c r="H296" s="349" t="n"/>
      <c r="I296" s="382" t="n"/>
      <c r="J296" s="383" t="n"/>
      <c r="K296" s="351" t="n"/>
      <c r="L296" s="296" t="n"/>
      <c r="M296" s="349" t="n"/>
      <c r="N296" s="349">
        <f>IF($A296="","",IF(OR(LOWER($D296&amp;"")="n/a",ISNUMBER(SEARCH("subscription",LOWER($A296&amp;" "&amp;$M296&amp;""))),ISNUMBER(SEARCH("membership",LOWER($A296&amp;" "&amp;$M296&amp;"")))),"",IF($G296="","",IF(ISNUMBER(SEARCH("non",LOWER($E296&amp;""))),$G296*0.85,$G296))))</f>
        <v/>
      </c>
      <c r="O296" s="349">
        <f>IF($A296="","",IF(OR(LOWER($D296&amp;"")="n/a",ISNUMBER(SEARCH("subscription",LOWER($A296&amp;" "&amp;$M296&amp;""))),ISNUMBER(SEARCH("membership",LOWER($A296&amp;" "&amp;$M296&amp;"")))),"",IF(OR($N296="",$I296="",$I296=0),"",$N296/$I296)))</f>
        <v/>
      </c>
      <c r="P296" s="349">
        <f>IF($A296="","",IF(OR(LOWER($D296&amp;"")="n/a",ISNUMBER(SEARCH("subscription",LOWER($A296&amp;" "&amp;$M296&amp;""))),ISNUMBER(SEARCH("membership",LOWER($A296&amp;" "&amp;$M296&amp;"")))),"",IF(LOWER($L296&amp;"")="yes",0,IF($K296&lt;&gt;"",$K296,IF($O296&lt;&gt;"",$O296,"")))))</f>
        <v/>
      </c>
      <c r="Q296" s="351">
        <f>IF($A296="","",IF($U296="Subscription","",IF($U296="Profit",$P296-$H296,0)))</f>
        <v/>
      </c>
      <c r="R296" s="349">
        <f>IF($A296="","",IF($U296="Subscription","",IF($U296="Draw",$H296,0)))</f>
        <v/>
      </c>
      <c r="S296" s="349">
        <f>IF($A296="","",IF($U296="Subscription","",IF($U296="Disqualified",$H296,0)))</f>
        <v/>
      </c>
      <c r="T296" s="380">
        <f>IF($A296="","",IF($U296="Subscription","",IF($H296=0,IF($U296="Profit","N/A",0),IF($U296="Profit",$Q296/$H296,IF($U296="Disqualified",-1,0)))))</f>
        <v/>
      </c>
      <c r="U296" s="351">
        <f>IF($A296="","",IF(OR(LOWER($D296&amp;"")="n/a",ISNUMBER(SEARCH("subscription",LOWER($A296&amp;" "&amp;$M296&amp;""))),ISNUMBER(SEARCH("membership",LOWER($A296&amp;" "&amp;$M296&amp;"")))),"Subscription",IF(LOWER($L296&amp;"")="yes","Disqualified",IF($P296&gt;$H296,"Profit","Draw"))))</f>
        <v/>
      </c>
      <c r="V296" s="383">
        <f>IF(OR($A296="",$B296="",$C296="",$U296="Subscription"),"",IFERROR(ROUNDUP((IF(ISNUMBER($C296),$C296,DATEVALUE($C296))-IF(ISNUMBER($B296),$B296,DATEVALUE($B296)))/7,0),""))</f>
        <v/>
      </c>
      <c r="W296" s="351">
        <f>IF($U296="Subscription","",$Q296-$S296)</f>
        <v/>
      </c>
      <c r="X296" s="384">
        <f>IF(OR($A296="",$U296="Subscription",$J296="",$I296="",$J296=0,$I296=0,$I296&gt;$J296),"",$J296-$I296)</f>
        <v/>
      </c>
      <c r="Y296" s="381">
        <f>IF(OR($A296="",$U296="Subscription",$J296="",$J296=0,$X296=""),"",$X296/$J296)</f>
        <v/>
      </c>
    </row>
    <row r="297" ht="21" customHeight="1" s="270">
      <c r="A297" s="297" t="n"/>
      <c r="B297" s="298" t="n"/>
      <c r="C297" s="298" t="n"/>
      <c r="D297" s="297" t="n"/>
      <c r="E297" s="349" t="n"/>
      <c r="F297" s="349" t="n"/>
      <c r="G297" s="349" t="n"/>
      <c r="H297" s="349" t="n"/>
      <c r="I297" s="382" t="n"/>
      <c r="J297" s="383" t="n"/>
      <c r="K297" s="351" t="n"/>
      <c r="L297" s="296" t="n"/>
      <c r="M297" s="349" t="n"/>
      <c r="N297" s="349">
        <f>IF($A297="","",IF(OR(LOWER($D297&amp;"")="n/a",ISNUMBER(SEARCH("subscription",LOWER($A297&amp;" "&amp;$M297&amp;""))),ISNUMBER(SEARCH("membership",LOWER($A297&amp;" "&amp;$M297&amp;"")))),"",IF($G297="","",IF(ISNUMBER(SEARCH("non",LOWER($E297&amp;""))),$G297*0.85,$G297))))</f>
        <v/>
      </c>
      <c r="O297" s="349">
        <f>IF($A297="","",IF(OR(LOWER($D297&amp;"")="n/a",ISNUMBER(SEARCH("subscription",LOWER($A297&amp;" "&amp;$M297&amp;""))),ISNUMBER(SEARCH("membership",LOWER($A297&amp;" "&amp;$M297&amp;"")))),"",IF(OR($N297="",$I297="",$I297=0),"",$N297/$I297)))</f>
        <v/>
      </c>
      <c r="P297" s="349">
        <f>IF($A297="","",IF(OR(LOWER($D297&amp;"")="n/a",ISNUMBER(SEARCH("subscription",LOWER($A297&amp;" "&amp;$M297&amp;""))),ISNUMBER(SEARCH("membership",LOWER($A297&amp;" "&amp;$M297&amp;"")))),"",IF(LOWER($L297&amp;"")="yes",0,IF($K297&lt;&gt;"",$K297,IF($O297&lt;&gt;"",$O297,"")))))</f>
        <v/>
      </c>
      <c r="Q297" s="351">
        <f>IF($A297="","",IF($U297="Subscription","",IF($U297="Profit",$P297-$H297,0)))</f>
        <v/>
      </c>
      <c r="R297" s="349">
        <f>IF($A297="","",IF($U297="Subscription","",IF($U297="Draw",$H297,0)))</f>
        <v/>
      </c>
      <c r="S297" s="349">
        <f>IF($A297="","",IF($U297="Subscription","",IF($U297="Disqualified",$H297,0)))</f>
        <v/>
      </c>
      <c r="T297" s="380">
        <f>IF($A297="","",IF($U297="Subscription","",IF($H297=0,IF($U297="Profit","N/A",0),IF($U297="Profit",$Q297/$H297,IF($U297="Disqualified",-1,0)))))</f>
        <v/>
      </c>
      <c r="U297" s="351">
        <f>IF($A297="","",IF(OR(LOWER($D297&amp;"")="n/a",ISNUMBER(SEARCH("subscription",LOWER($A297&amp;" "&amp;$M297&amp;""))),ISNUMBER(SEARCH("membership",LOWER($A297&amp;" "&amp;$M297&amp;"")))),"Subscription",IF(LOWER($L297&amp;"")="yes","Disqualified",IF($P297&gt;$H297,"Profit","Draw"))))</f>
        <v/>
      </c>
      <c r="V297" s="383">
        <f>IF(OR($A297="",$B297="",$C297="",$U297="Subscription"),"",IFERROR(ROUNDUP((IF(ISNUMBER($C297),$C297,DATEVALUE($C297))-IF(ISNUMBER($B297),$B297,DATEVALUE($B297)))/7,0),""))</f>
        <v/>
      </c>
      <c r="W297" s="351">
        <f>IF($U297="Subscription","",$Q297-$S297)</f>
        <v/>
      </c>
      <c r="X297" s="384">
        <f>IF(OR($A297="",$U297="Subscription",$J297="",$I297="",$J297=0,$I297=0,$I297&gt;$J297),"",$J297-$I297)</f>
        <v/>
      </c>
      <c r="Y297" s="381">
        <f>IF(OR($A297="",$U297="Subscription",$J297="",$J297=0,$X297=""),"",$X297/$J297)</f>
        <v/>
      </c>
    </row>
    <row r="298" ht="21" customHeight="1" s="270">
      <c r="A298" s="297" t="n"/>
      <c r="B298" s="298" t="n"/>
      <c r="C298" s="298" t="n"/>
      <c r="D298" s="297" t="n"/>
      <c r="E298" s="349" t="n"/>
      <c r="F298" s="349" t="n"/>
      <c r="G298" s="349" t="n"/>
      <c r="H298" s="349" t="n"/>
      <c r="I298" s="382" t="n"/>
      <c r="J298" s="383" t="n"/>
      <c r="K298" s="351" t="n"/>
      <c r="L298" s="296" t="n"/>
      <c r="M298" s="349" t="n"/>
      <c r="N298" s="349">
        <f>IF($A298="","",IF(OR(LOWER($D298&amp;"")="n/a",ISNUMBER(SEARCH("subscription",LOWER($A298&amp;" "&amp;$M298&amp;""))),ISNUMBER(SEARCH("membership",LOWER($A298&amp;" "&amp;$M298&amp;"")))),"",IF($G298="","",IF(ISNUMBER(SEARCH("non",LOWER($E298&amp;""))),$G298*0.85,$G298))))</f>
        <v/>
      </c>
      <c r="O298" s="349">
        <f>IF($A298="","",IF(OR(LOWER($D298&amp;"")="n/a",ISNUMBER(SEARCH("subscription",LOWER($A298&amp;" "&amp;$M298&amp;""))),ISNUMBER(SEARCH("membership",LOWER($A298&amp;" "&amp;$M298&amp;"")))),"",IF(OR($N298="",$I298="",$I298=0),"",$N298/$I298)))</f>
        <v/>
      </c>
      <c r="P298" s="349">
        <f>IF($A298="","",IF(OR(LOWER($D298&amp;"")="n/a",ISNUMBER(SEARCH("subscription",LOWER($A298&amp;" "&amp;$M298&amp;""))),ISNUMBER(SEARCH("membership",LOWER($A298&amp;" "&amp;$M298&amp;"")))),"",IF(LOWER($L298&amp;"")="yes",0,IF($K298&lt;&gt;"",$K298,IF($O298&lt;&gt;"",$O298,"")))))</f>
        <v/>
      </c>
      <c r="Q298" s="351">
        <f>IF($A298="","",IF($U298="Subscription","",IF($U298="Profit",$P298-$H298,0)))</f>
        <v/>
      </c>
      <c r="R298" s="349">
        <f>IF($A298="","",IF($U298="Subscription","",IF($U298="Draw",$H298,0)))</f>
        <v/>
      </c>
      <c r="S298" s="349">
        <f>IF($A298="","",IF($U298="Subscription","",IF($U298="Disqualified",$H298,0)))</f>
        <v/>
      </c>
      <c r="T298" s="380">
        <f>IF($A298="","",IF($U298="Subscription","",IF($H298=0,IF($U298="Profit","N/A",0),IF($U298="Profit",$Q298/$H298,IF($U298="Disqualified",-1,0)))))</f>
        <v/>
      </c>
      <c r="U298" s="351">
        <f>IF($A298="","",IF(OR(LOWER($D298&amp;"")="n/a",ISNUMBER(SEARCH("subscription",LOWER($A298&amp;" "&amp;$M298&amp;""))),ISNUMBER(SEARCH("membership",LOWER($A298&amp;" "&amp;$M298&amp;"")))),"Subscription",IF(LOWER($L298&amp;"")="yes","Disqualified",IF($P298&gt;$H298,"Profit","Draw"))))</f>
        <v/>
      </c>
      <c r="V298" s="383">
        <f>IF(OR($A298="",$B298="",$C298="",$U298="Subscription"),"",IFERROR(ROUNDUP((IF(ISNUMBER($C298),$C298,DATEVALUE($C298))-IF(ISNUMBER($B298),$B298,DATEVALUE($B298)))/7,0),""))</f>
        <v/>
      </c>
      <c r="W298" s="351">
        <f>IF($U298="Subscription","",$Q298-$S298)</f>
        <v/>
      </c>
      <c r="X298" s="384">
        <f>IF(OR($A298="",$U298="Subscription",$J298="",$I298="",$J298=0,$I298=0,$I298&gt;$J298),"",$J298-$I298)</f>
        <v/>
      </c>
      <c r="Y298" s="381">
        <f>IF(OR($A298="",$U298="Subscription",$J298="",$J298=0,$X298=""),"",$X298/$J298)</f>
        <v/>
      </c>
    </row>
    <row r="299" ht="21" customHeight="1" s="270">
      <c r="A299" s="297" t="n"/>
      <c r="B299" s="298" t="n"/>
      <c r="C299" s="298" t="n"/>
      <c r="D299" s="297" t="n"/>
      <c r="E299" s="349" t="n"/>
      <c r="F299" s="349" t="n"/>
      <c r="G299" s="349" t="n"/>
      <c r="H299" s="349" t="n"/>
      <c r="I299" s="382" t="n"/>
      <c r="J299" s="383" t="n"/>
      <c r="K299" s="351" t="n"/>
      <c r="L299" s="296" t="n"/>
      <c r="M299" s="349" t="n"/>
      <c r="N299" s="349">
        <f>IF($A299="","",IF(OR(LOWER($D299&amp;"")="n/a",ISNUMBER(SEARCH("subscription",LOWER($A299&amp;" "&amp;$M299&amp;""))),ISNUMBER(SEARCH("membership",LOWER($A299&amp;" "&amp;$M299&amp;"")))),"",IF($G299="","",IF(ISNUMBER(SEARCH("non",LOWER($E299&amp;""))),$G299*0.85,$G299))))</f>
        <v/>
      </c>
      <c r="O299" s="349">
        <f>IF($A299="","",IF(OR(LOWER($D299&amp;"")="n/a",ISNUMBER(SEARCH("subscription",LOWER($A299&amp;" "&amp;$M299&amp;""))),ISNUMBER(SEARCH("membership",LOWER($A299&amp;" "&amp;$M299&amp;"")))),"",IF(OR($N299="",$I299="",$I299=0),"",$N299/$I299)))</f>
        <v/>
      </c>
      <c r="P299" s="349">
        <f>IF($A299="","",IF(OR(LOWER($D299&amp;"")="n/a",ISNUMBER(SEARCH("subscription",LOWER($A299&amp;" "&amp;$M299&amp;""))),ISNUMBER(SEARCH("membership",LOWER($A299&amp;" "&amp;$M299&amp;"")))),"",IF(LOWER($L299&amp;"")="yes",0,IF($K299&lt;&gt;"",$K299,IF($O299&lt;&gt;"",$O299,"")))))</f>
        <v/>
      </c>
      <c r="Q299" s="351">
        <f>IF($A299="","",IF($U299="Subscription","",IF($U299="Profit",$P299-$H299,0)))</f>
        <v/>
      </c>
      <c r="R299" s="349">
        <f>IF($A299="","",IF($U299="Subscription","",IF($U299="Draw",$H299,0)))</f>
        <v/>
      </c>
      <c r="S299" s="349">
        <f>IF($A299="","",IF($U299="Subscription","",IF($U299="Disqualified",$H299,0)))</f>
        <v/>
      </c>
      <c r="T299" s="380">
        <f>IF($A299="","",IF($U299="Subscription","",IF($H299=0,IF($U299="Profit","N/A",0),IF($U299="Profit",$Q299/$H299,IF($U299="Disqualified",-1,0)))))</f>
        <v/>
      </c>
      <c r="U299" s="351">
        <f>IF($A299="","",IF(OR(LOWER($D299&amp;"")="n/a",ISNUMBER(SEARCH("subscription",LOWER($A299&amp;" "&amp;$M299&amp;""))),ISNUMBER(SEARCH("membership",LOWER($A299&amp;" "&amp;$M299&amp;"")))),"Subscription",IF(LOWER($L299&amp;"")="yes","Disqualified",IF($P299&gt;$H299,"Profit","Draw"))))</f>
        <v/>
      </c>
      <c r="V299" s="383">
        <f>IF(OR($A299="",$B299="",$C299="",$U299="Subscription"),"",IFERROR(ROUNDUP((IF(ISNUMBER($C299),$C299,DATEVALUE($C299))-IF(ISNUMBER($B299),$B299,DATEVALUE($B299)))/7,0),""))</f>
        <v/>
      </c>
      <c r="W299" s="351">
        <f>IF($U299="Subscription","",$Q299-$S299)</f>
        <v/>
      </c>
      <c r="X299" s="384">
        <f>IF(OR($A299="",$U299="Subscription",$J299="",$I299="",$J299=0,$I299=0,$I299&gt;$J299),"",$J299-$I299)</f>
        <v/>
      </c>
      <c r="Y299" s="381">
        <f>IF(OR($A299="",$U299="Subscription",$J299="",$J299=0,$X299=""),"",$X299/$J299)</f>
        <v/>
      </c>
    </row>
    <row r="300" ht="21" customHeight="1" s="270">
      <c r="A300" s="297" t="n"/>
      <c r="B300" s="298" t="n"/>
      <c r="C300" s="298" t="n"/>
      <c r="D300" s="297" t="n"/>
      <c r="E300" s="349" t="n"/>
      <c r="F300" s="349" t="n"/>
      <c r="G300" s="349" t="n"/>
      <c r="H300" s="349" t="n"/>
      <c r="I300" s="382" t="n"/>
      <c r="J300" s="383" t="n"/>
      <c r="K300" s="351" t="n"/>
      <c r="L300" s="296" t="n"/>
      <c r="M300" s="349" t="n"/>
      <c r="N300" s="349">
        <f>IF($A300="","",IF(OR(LOWER($D300&amp;"")="n/a",ISNUMBER(SEARCH("subscription",LOWER($A300&amp;" "&amp;$M300&amp;""))),ISNUMBER(SEARCH("membership",LOWER($A300&amp;" "&amp;$M300&amp;"")))),"",IF($G300="","",IF(ISNUMBER(SEARCH("non",LOWER($E300&amp;""))),$G300*0.85,$G300))))</f>
        <v/>
      </c>
      <c r="O300" s="349">
        <f>IF($A300="","",IF(OR(LOWER($D300&amp;"")="n/a",ISNUMBER(SEARCH("subscription",LOWER($A300&amp;" "&amp;$M300&amp;""))),ISNUMBER(SEARCH("membership",LOWER($A300&amp;" "&amp;$M300&amp;"")))),"",IF(OR($N300="",$I300="",$I300=0),"",$N300/$I300)))</f>
        <v/>
      </c>
      <c r="P300" s="349">
        <f>IF($A300="","",IF(OR(LOWER($D300&amp;"")="n/a",ISNUMBER(SEARCH("subscription",LOWER($A300&amp;" "&amp;$M300&amp;""))),ISNUMBER(SEARCH("membership",LOWER($A300&amp;" "&amp;$M300&amp;"")))),"",IF(LOWER($L300&amp;"")="yes",0,IF($K300&lt;&gt;"",$K300,IF($O300&lt;&gt;"",$O300,"")))))</f>
        <v/>
      </c>
      <c r="Q300" s="351">
        <f>IF($A300="","",IF($U300="Subscription","",IF($U300="Profit",$P300-$H300,0)))</f>
        <v/>
      </c>
      <c r="R300" s="349">
        <f>IF($A300="","",IF($U300="Subscription","",IF($U300="Draw",$H300,0)))</f>
        <v/>
      </c>
      <c r="S300" s="349">
        <f>IF($A300="","",IF($U300="Subscription","",IF($U300="Disqualified",$H300,0)))</f>
        <v/>
      </c>
      <c r="T300" s="380">
        <f>IF($A300="","",IF($U300="Subscription","",IF($H300=0,IF($U300="Profit","N/A",0),IF($U300="Profit",$Q300/$H300,IF($U300="Disqualified",-1,0)))))</f>
        <v/>
      </c>
      <c r="U300" s="351">
        <f>IF($A300="","",IF(OR(LOWER($D300&amp;"")="n/a",ISNUMBER(SEARCH("subscription",LOWER($A300&amp;" "&amp;$M300&amp;""))),ISNUMBER(SEARCH("membership",LOWER($A300&amp;" "&amp;$M300&amp;"")))),"Subscription",IF(LOWER($L300&amp;"")="yes","Disqualified",IF($P300&gt;$H300,"Profit","Draw"))))</f>
        <v/>
      </c>
      <c r="V300" s="383">
        <f>IF(OR($A300="",$B300="",$C300="",$U300="Subscription"),"",IFERROR(ROUNDUP((IF(ISNUMBER($C300),$C300,DATEVALUE($C300))-IF(ISNUMBER($B300),$B300,DATEVALUE($B300)))/7,0),""))</f>
        <v/>
      </c>
      <c r="W300" s="351">
        <f>IF($U300="Subscription","",$Q300-$S300)</f>
        <v/>
      </c>
      <c r="X300" s="384">
        <f>IF(OR($A300="",$U300="Subscription",$J300="",$I300="",$J300=0,$I300=0,$I300&gt;$J300),"",$J300-$I300)</f>
        <v/>
      </c>
      <c r="Y300" s="381">
        <f>IF(OR($A300="",$U300="Subscription",$J300="",$J300=0,$X300=""),"",$X300/$J300)</f>
        <v/>
      </c>
    </row>
    <row r="301" ht="21" customHeight="1" s="270">
      <c r="A301" s="297" t="n"/>
      <c r="B301" s="298" t="n"/>
      <c r="C301" s="298" t="n"/>
      <c r="D301" s="297" t="n"/>
      <c r="E301" s="349" t="n"/>
      <c r="F301" s="349" t="n"/>
      <c r="G301" s="349" t="n"/>
      <c r="H301" s="349" t="n"/>
      <c r="I301" s="382" t="n"/>
      <c r="J301" s="383" t="n"/>
      <c r="K301" s="351" t="n"/>
      <c r="L301" s="296" t="n"/>
      <c r="M301" s="349" t="n"/>
      <c r="N301" s="349">
        <f>IF($A301="","",IF(OR(LOWER($D301&amp;"")="n/a",ISNUMBER(SEARCH("subscription",LOWER($A301&amp;" "&amp;$M301&amp;""))),ISNUMBER(SEARCH("membership",LOWER($A301&amp;" "&amp;$M301&amp;"")))),"",IF($G301="","",IF(ISNUMBER(SEARCH("non",LOWER($E301&amp;""))),$G301*0.85,$G301))))</f>
        <v/>
      </c>
      <c r="O301" s="349">
        <f>IF($A301="","",IF(OR(LOWER($D301&amp;"")="n/a",ISNUMBER(SEARCH("subscription",LOWER($A301&amp;" "&amp;$M301&amp;""))),ISNUMBER(SEARCH("membership",LOWER($A301&amp;" "&amp;$M301&amp;"")))),"",IF(OR($N301="",$I301="",$I301=0),"",$N301/$I301)))</f>
        <v/>
      </c>
      <c r="P301" s="349">
        <f>IF($A301="","",IF(OR(LOWER($D301&amp;"")="n/a",ISNUMBER(SEARCH("subscription",LOWER($A301&amp;" "&amp;$M301&amp;""))),ISNUMBER(SEARCH("membership",LOWER($A301&amp;" "&amp;$M301&amp;"")))),"",IF(LOWER($L301&amp;"")="yes",0,IF($K301&lt;&gt;"",$K301,IF($O301&lt;&gt;"",$O301,"")))))</f>
        <v/>
      </c>
      <c r="Q301" s="351">
        <f>IF($A301="","",IF($U301="Subscription","",IF($U301="Profit",$P301-$H301,0)))</f>
        <v/>
      </c>
      <c r="R301" s="349">
        <f>IF($A301="","",IF($U301="Subscription","",IF($U301="Draw",$H301,0)))</f>
        <v/>
      </c>
      <c r="S301" s="349">
        <f>IF($A301="","",IF($U301="Subscription","",IF($U301="Disqualified",$H301,0)))</f>
        <v/>
      </c>
      <c r="T301" s="380">
        <f>IF($A301="","",IF($U301="Subscription","",IF($H301=0,IF($U301="Profit","N/A",0),IF($U301="Profit",$Q301/$H301,IF($U301="Disqualified",-1,0)))))</f>
        <v/>
      </c>
      <c r="U301" s="351">
        <f>IF($A301="","",IF(OR(LOWER($D301&amp;"")="n/a",ISNUMBER(SEARCH("subscription",LOWER($A301&amp;" "&amp;$M301&amp;""))),ISNUMBER(SEARCH("membership",LOWER($A301&amp;" "&amp;$M301&amp;"")))),"Subscription",IF(LOWER($L301&amp;"")="yes","Disqualified",IF($P301&gt;$H301,"Profit","Draw"))))</f>
        <v/>
      </c>
      <c r="V301" s="383">
        <f>IF(OR($A301="",$B301="",$C301="",$U301="Subscription"),"",IFERROR(ROUNDUP((IF(ISNUMBER($C301),$C301,DATEVALUE($C301))-IF(ISNUMBER($B301),$B301,DATEVALUE($B301)))/7,0),""))</f>
        <v/>
      </c>
      <c r="W301" s="351">
        <f>IF($U301="Subscription","",$Q301-$S301)</f>
        <v/>
      </c>
      <c r="X301" s="384">
        <f>IF(OR($A301="",$U301="Subscription",$J301="",$I301="",$J301=0,$I301=0,$I301&gt;$J301),"",$J301-$I301)</f>
        <v/>
      </c>
      <c r="Y301" s="381">
        <f>IF(OR($A301="",$U301="Subscription",$J301="",$J301=0,$X301=""),"",$X301/$J301)</f>
        <v/>
      </c>
    </row>
    <row r="302" ht="21" customHeight="1" s="270">
      <c r="A302" s="297" t="n"/>
      <c r="B302" s="298" t="n"/>
      <c r="C302" s="298" t="n"/>
      <c r="D302" s="297" t="n"/>
      <c r="E302" s="349" t="n"/>
      <c r="F302" s="349" t="n"/>
      <c r="G302" s="349" t="n"/>
      <c r="H302" s="349" t="n"/>
      <c r="I302" s="382" t="n"/>
      <c r="J302" s="383" t="n"/>
      <c r="K302" s="351" t="n"/>
      <c r="L302" s="296" t="n"/>
      <c r="M302" s="349" t="n"/>
      <c r="N302" s="349">
        <f>IF($A302="","",IF(OR(LOWER($D302&amp;"")="n/a",ISNUMBER(SEARCH("subscription",LOWER($A302&amp;" "&amp;$M302&amp;""))),ISNUMBER(SEARCH("membership",LOWER($A302&amp;" "&amp;$M302&amp;"")))),"",IF($G302="","",IF(ISNUMBER(SEARCH("non",LOWER($E302&amp;""))),$G302*0.85,$G302))))</f>
        <v/>
      </c>
      <c r="O302" s="349">
        <f>IF($A302="","",IF(OR(LOWER($D302&amp;"")="n/a",ISNUMBER(SEARCH("subscription",LOWER($A302&amp;" "&amp;$M302&amp;""))),ISNUMBER(SEARCH("membership",LOWER($A302&amp;" "&amp;$M302&amp;"")))),"",IF(OR($N302="",$I302="",$I302=0),"",$N302/$I302)))</f>
        <v/>
      </c>
      <c r="P302" s="349">
        <f>IF($A302="","",IF(OR(LOWER($D302&amp;"")="n/a",ISNUMBER(SEARCH("subscription",LOWER($A302&amp;" "&amp;$M302&amp;""))),ISNUMBER(SEARCH("membership",LOWER($A302&amp;" "&amp;$M302&amp;"")))),"",IF(LOWER($L302&amp;"")="yes",0,IF($K302&lt;&gt;"",$K302,IF($O302&lt;&gt;"",$O302,"")))))</f>
        <v/>
      </c>
      <c r="Q302" s="351">
        <f>IF($A302="","",IF($U302="Subscription","",IF($U302="Profit",$P302-$H302,0)))</f>
        <v/>
      </c>
      <c r="R302" s="349">
        <f>IF($A302="","",IF($U302="Subscription","",IF($U302="Draw",$H302,0)))</f>
        <v/>
      </c>
      <c r="S302" s="349">
        <f>IF($A302="","",IF($U302="Subscription","",IF($U302="Disqualified",$H302,0)))</f>
        <v/>
      </c>
      <c r="T302" s="380">
        <f>IF($A302="","",IF($U302="Subscription","",IF($H302=0,IF($U302="Profit","N/A",0),IF($U302="Profit",$Q302/$H302,IF($U302="Disqualified",-1,0)))))</f>
        <v/>
      </c>
      <c r="U302" s="351">
        <f>IF($A302="","",IF(OR(LOWER($D302&amp;"")="n/a",ISNUMBER(SEARCH("subscription",LOWER($A302&amp;" "&amp;$M302&amp;""))),ISNUMBER(SEARCH("membership",LOWER($A302&amp;" "&amp;$M302&amp;"")))),"Subscription",IF(LOWER($L302&amp;"")="yes","Disqualified",IF($P302&gt;$H302,"Profit","Draw"))))</f>
        <v/>
      </c>
      <c r="V302" s="383">
        <f>IF(OR($A302="",$B302="",$C302="",$U302="Subscription"),"",IFERROR(ROUNDUP((IF(ISNUMBER($C302),$C302,DATEVALUE($C302))-IF(ISNUMBER($B302),$B302,DATEVALUE($B302)))/7,0),""))</f>
        <v/>
      </c>
      <c r="W302" s="351">
        <f>IF($U302="Subscription","",$Q302-$S302)</f>
        <v/>
      </c>
      <c r="X302" s="384">
        <f>IF(OR($A302="",$U302="Subscription",$J302="",$I302="",$J302=0,$I302=0,$I302&gt;$J302),"",$J302-$I302)</f>
        <v/>
      </c>
      <c r="Y302" s="381">
        <f>IF(OR($A302="",$U302="Subscription",$J302="",$J302=0,$X302=""),"",$X302/$J302)</f>
        <v/>
      </c>
    </row>
    <row r="303" ht="21" customHeight="1" s="270">
      <c r="A303" s="297" t="n"/>
      <c r="B303" s="298" t="n"/>
      <c r="C303" s="298" t="n"/>
      <c r="D303" s="297" t="n"/>
      <c r="E303" s="349" t="n"/>
      <c r="F303" s="349" t="n"/>
      <c r="G303" s="349" t="n"/>
      <c r="H303" s="349" t="n"/>
      <c r="I303" s="382" t="n"/>
      <c r="J303" s="383" t="n"/>
      <c r="K303" s="351" t="n"/>
      <c r="L303" s="296" t="n"/>
      <c r="M303" s="349" t="n"/>
      <c r="N303" s="349">
        <f>IF($A303="","",IF(OR(LOWER($D303&amp;"")="n/a",ISNUMBER(SEARCH("subscription",LOWER($A303&amp;" "&amp;$M303&amp;""))),ISNUMBER(SEARCH("membership",LOWER($A303&amp;" "&amp;$M303&amp;"")))),"",IF($G303="","",IF(ISNUMBER(SEARCH("non",LOWER($E303&amp;""))),$G303*0.85,$G303))))</f>
        <v/>
      </c>
      <c r="O303" s="349">
        <f>IF($A303="","",IF(OR(LOWER($D303&amp;"")="n/a",ISNUMBER(SEARCH("subscription",LOWER($A303&amp;" "&amp;$M303&amp;""))),ISNUMBER(SEARCH("membership",LOWER($A303&amp;" "&amp;$M303&amp;"")))),"",IF(OR($N303="",$I303="",$I303=0),"",$N303/$I303)))</f>
        <v/>
      </c>
      <c r="P303" s="349">
        <f>IF($A303="","",IF(OR(LOWER($D303&amp;"")="n/a",ISNUMBER(SEARCH("subscription",LOWER($A303&amp;" "&amp;$M303&amp;""))),ISNUMBER(SEARCH("membership",LOWER($A303&amp;" "&amp;$M303&amp;"")))),"",IF(LOWER($L303&amp;"")="yes",0,IF($K303&lt;&gt;"",$K303,IF($O303&lt;&gt;"",$O303,"")))))</f>
        <v/>
      </c>
      <c r="Q303" s="351">
        <f>IF($A303="","",IF($U303="Subscription","",IF($U303="Profit",$P303-$H303,0)))</f>
        <v/>
      </c>
      <c r="R303" s="349">
        <f>IF($A303="","",IF($U303="Subscription","",IF($U303="Draw",$H303,0)))</f>
        <v/>
      </c>
      <c r="S303" s="349">
        <f>IF($A303="","",IF($U303="Subscription","",IF($U303="Disqualified",$H303,0)))</f>
        <v/>
      </c>
      <c r="T303" s="380">
        <f>IF($A303="","",IF($U303="Subscription","",IF($H303=0,IF($U303="Profit","N/A",0),IF($U303="Profit",$Q303/$H303,IF($U303="Disqualified",-1,0)))))</f>
        <v/>
      </c>
      <c r="U303" s="351">
        <f>IF($A303="","",IF(OR(LOWER($D303&amp;"")="n/a",ISNUMBER(SEARCH("subscription",LOWER($A303&amp;" "&amp;$M303&amp;""))),ISNUMBER(SEARCH("membership",LOWER($A303&amp;" "&amp;$M303&amp;"")))),"Subscription",IF(LOWER($L303&amp;"")="yes","Disqualified",IF($P303&gt;$H303,"Profit","Draw"))))</f>
        <v/>
      </c>
      <c r="V303" s="383">
        <f>IF(OR($A303="",$B303="",$C303="",$U303="Subscription"),"",IFERROR(ROUNDUP((IF(ISNUMBER($C303),$C303,DATEVALUE($C303))-IF(ISNUMBER($B303),$B303,DATEVALUE($B303)))/7,0),""))</f>
        <v/>
      </c>
      <c r="W303" s="351">
        <f>IF($U303="Subscription","",$Q303-$S303)</f>
        <v/>
      </c>
      <c r="X303" s="384">
        <f>IF(OR($A303="",$U303="Subscription",$J303="",$I303="",$J303=0,$I303=0,$I303&gt;$J303),"",$J303-$I303)</f>
        <v/>
      </c>
      <c r="Y303" s="381">
        <f>IF(OR($A303="",$U303="Subscription",$J303="",$J303=0,$X303=""),"",$X303/$J303)</f>
        <v/>
      </c>
    </row>
    <row r="304" ht="21" customHeight="1" s="270">
      <c r="A304" s="297" t="n"/>
      <c r="B304" s="298" t="n"/>
      <c r="C304" s="298" t="n"/>
      <c r="D304" s="297" t="n"/>
      <c r="E304" s="349" t="n"/>
      <c r="F304" s="349" t="n"/>
      <c r="G304" s="349" t="n"/>
      <c r="H304" s="349" t="n"/>
      <c r="I304" s="382" t="n"/>
      <c r="J304" s="383" t="n"/>
      <c r="K304" s="351" t="n"/>
      <c r="L304" s="296" t="n"/>
      <c r="M304" s="349" t="n"/>
      <c r="N304" s="349">
        <f>IF($A304="","",IF(OR(LOWER($D304&amp;"")="n/a",ISNUMBER(SEARCH("subscription",LOWER($A304&amp;" "&amp;$M304&amp;""))),ISNUMBER(SEARCH("membership",LOWER($A304&amp;" "&amp;$M304&amp;"")))),"",IF($G304="","",IF(ISNUMBER(SEARCH("non",LOWER($E304&amp;""))),$G304*0.85,$G304))))</f>
        <v/>
      </c>
      <c r="O304" s="349">
        <f>IF($A304="","",IF(OR(LOWER($D304&amp;"")="n/a",ISNUMBER(SEARCH("subscription",LOWER($A304&amp;" "&amp;$M304&amp;""))),ISNUMBER(SEARCH("membership",LOWER($A304&amp;" "&amp;$M304&amp;"")))),"",IF(OR($N304="",$I304="",$I304=0),"",$N304/$I304)))</f>
        <v/>
      </c>
      <c r="P304" s="349">
        <f>IF($A304="","",IF(OR(LOWER($D304&amp;"")="n/a",ISNUMBER(SEARCH("subscription",LOWER($A304&amp;" "&amp;$M304&amp;""))),ISNUMBER(SEARCH("membership",LOWER($A304&amp;" "&amp;$M304&amp;"")))),"",IF(LOWER($L304&amp;"")="yes",0,IF($K304&lt;&gt;"",$K304,IF($O304&lt;&gt;"",$O304,"")))))</f>
        <v/>
      </c>
      <c r="Q304" s="351">
        <f>IF($A304="","",IF($U304="Subscription","",IF($U304="Profit",$P304-$H304,0)))</f>
        <v/>
      </c>
      <c r="R304" s="349">
        <f>IF($A304="","",IF($U304="Subscription","",IF($U304="Draw",$H304,0)))</f>
        <v/>
      </c>
      <c r="S304" s="349">
        <f>IF($A304="","",IF($U304="Subscription","",IF($U304="Disqualified",$H304,0)))</f>
        <v/>
      </c>
      <c r="T304" s="380">
        <f>IF($A304="","",IF($U304="Subscription","",IF($H304=0,IF($U304="Profit","N/A",0),IF($U304="Profit",$Q304/$H304,IF($U304="Disqualified",-1,0)))))</f>
        <v/>
      </c>
      <c r="U304" s="351">
        <f>IF($A304="","",IF(OR(LOWER($D304&amp;"")="n/a",ISNUMBER(SEARCH("subscription",LOWER($A304&amp;" "&amp;$M304&amp;""))),ISNUMBER(SEARCH("membership",LOWER($A304&amp;" "&amp;$M304&amp;"")))),"Subscription",IF(LOWER($L304&amp;"")="yes","Disqualified",IF($P304&gt;$H304,"Profit","Draw"))))</f>
        <v/>
      </c>
      <c r="V304" s="383">
        <f>IF(OR($A304="",$B304="",$C304="",$U304="Subscription"),"",IFERROR(ROUNDUP((IF(ISNUMBER($C304),$C304,DATEVALUE($C304))-IF(ISNUMBER($B304),$B304,DATEVALUE($B304)))/7,0),""))</f>
        <v/>
      </c>
      <c r="W304" s="351">
        <f>IF($U304="Subscription","",$Q304-$S304)</f>
        <v/>
      </c>
      <c r="X304" s="384">
        <f>IF(OR($A304="",$U304="Subscription",$J304="",$I304="",$J304=0,$I304=0,$I304&gt;$J304),"",$J304-$I304)</f>
        <v/>
      </c>
      <c r="Y304" s="381">
        <f>IF(OR($A304="",$U304="Subscription",$J304="",$J304=0,$X304=""),"",$X304/$J304)</f>
        <v/>
      </c>
    </row>
    <row r="305" ht="21" customHeight="1" s="270">
      <c r="A305" s="297" t="n"/>
      <c r="B305" s="298" t="n"/>
      <c r="C305" s="298" t="n"/>
      <c r="D305" s="297" t="n"/>
      <c r="E305" s="349" t="n"/>
      <c r="F305" s="349" t="n"/>
      <c r="G305" s="349" t="n"/>
      <c r="H305" s="349" t="n"/>
      <c r="I305" s="382" t="n"/>
      <c r="J305" s="383" t="n"/>
      <c r="K305" s="351" t="n"/>
      <c r="L305" s="296" t="n"/>
      <c r="M305" s="349" t="n"/>
      <c r="N305" s="349">
        <f>IF($A305="","",IF(OR(LOWER($D305&amp;"")="n/a",ISNUMBER(SEARCH("subscription",LOWER($A305&amp;" "&amp;$M305&amp;""))),ISNUMBER(SEARCH("membership",LOWER($A305&amp;" "&amp;$M305&amp;"")))),"",IF($G305="","",IF(ISNUMBER(SEARCH("non",LOWER($E305&amp;""))),$G305*0.85,$G305))))</f>
        <v/>
      </c>
      <c r="O305" s="349">
        <f>IF($A305="","",IF(OR(LOWER($D305&amp;"")="n/a",ISNUMBER(SEARCH("subscription",LOWER($A305&amp;" "&amp;$M305&amp;""))),ISNUMBER(SEARCH("membership",LOWER($A305&amp;" "&amp;$M305&amp;"")))),"",IF(OR($N305="",$I305="",$I305=0),"",$N305/$I305)))</f>
        <v/>
      </c>
      <c r="P305" s="349">
        <f>IF($A305="","",IF(OR(LOWER($D305&amp;"")="n/a",ISNUMBER(SEARCH("subscription",LOWER($A305&amp;" "&amp;$M305&amp;""))),ISNUMBER(SEARCH("membership",LOWER($A305&amp;" "&amp;$M305&amp;"")))),"",IF(LOWER($L305&amp;"")="yes",0,IF($K305&lt;&gt;"",$K305,IF($O305&lt;&gt;"",$O305,"")))))</f>
        <v/>
      </c>
      <c r="Q305" s="351">
        <f>IF($A305="","",IF($U305="Subscription","",IF($U305="Profit",$P305-$H305,0)))</f>
        <v/>
      </c>
      <c r="R305" s="349">
        <f>IF($A305="","",IF($U305="Subscription","",IF($U305="Draw",$H305,0)))</f>
        <v/>
      </c>
      <c r="S305" s="349">
        <f>IF($A305="","",IF($U305="Subscription","",IF($U305="Disqualified",$H305,0)))</f>
        <v/>
      </c>
      <c r="T305" s="380">
        <f>IF($A305="","",IF($U305="Subscription","",IF($H305=0,IF($U305="Profit","N/A",0),IF($U305="Profit",$Q305/$H305,IF($U305="Disqualified",-1,0)))))</f>
        <v/>
      </c>
      <c r="U305" s="351">
        <f>IF($A305="","",IF(OR(LOWER($D305&amp;"")="n/a",ISNUMBER(SEARCH("subscription",LOWER($A305&amp;" "&amp;$M305&amp;""))),ISNUMBER(SEARCH("membership",LOWER($A305&amp;" "&amp;$M305&amp;"")))),"Subscription",IF(LOWER($L305&amp;"")="yes","Disqualified",IF($P305&gt;$H305,"Profit","Draw"))))</f>
        <v/>
      </c>
      <c r="V305" s="383">
        <f>IF(OR($A305="",$B305="",$C305="",$U305="Subscription"),"",IFERROR(ROUNDUP((IF(ISNUMBER($C305),$C305,DATEVALUE($C305))-IF(ISNUMBER($B305),$B305,DATEVALUE($B305)))/7,0),""))</f>
        <v/>
      </c>
      <c r="W305" s="351">
        <f>IF($U305="Subscription","",$Q305-$S305)</f>
        <v/>
      </c>
      <c r="X305" s="384">
        <f>IF(OR($A305="",$U305="Subscription",$J305="",$I305="",$J305=0,$I305=0,$I305&gt;$J305),"",$J305-$I305)</f>
        <v/>
      </c>
      <c r="Y305" s="381">
        <f>IF(OR($A305="",$U305="Subscription",$J305="",$J305=0,$X305=""),"",$X305/$J305)</f>
        <v/>
      </c>
    </row>
    <row r="306" ht="21" customHeight="1" s="270">
      <c r="A306" s="297" t="n"/>
      <c r="B306" s="298" t="n"/>
      <c r="C306" s="298" t="n"/>
      <c r="D306" s="297" t="n"/>
      <c r="E306" s="349" t="n"/>
      <c r="F306" s="349" t="n"/>
      <c r="G306" s="349" t="n"/>
      <c r="H306" s="349" t="n"/>
      <c r="I306" s="382" t="n"/>
      <c r="J306" s="383" t="n"/>
      <c r="K306" s="351" t="n"/>
      <c r="L306" s="296" t="n"/>
      <c r="M306" s="349" t="n"/>
      <c r="N306" s="349">
        <f>IF($A306="","",IF(OR(LOWER($D306&amp;"")="n/a",ISNUMBER(SEARCH("subscription",LOWER($A306&amp;" "&amp;$M306&amp;""))),ISNUMBER(SEARCH("membership",LOWER($A306&amp;" "&amp;$M306&amp;"")))),"",IF($G306="","",IF(ISNUMBER(SEARCH("non",LOWER($E306&amp;""))),$G306*0.85,$G306))))</f>
        <v/>
      </c>
      <c r="O306" s="349">
        <f>IF($A306="","",IF(OR(LOWER($D306&amp;"")="n/a",ISNUMBER(SEARCH("subscription",LOWER($A306&amp;" "&amp;$M306&amp;""))),ISNUMBER(SEARCH("membership",LOWER($A306&amp;" "&amp;$M306&amp;"")))),"",IF(OR($N306="",$I306="",$I306=0),"",$N306/$I306)))</f>
        <v/>
      </c>
      <c r="P306" s="349">
        <f>IF($A306="","",IF(OR(LOWER($D306&amp;"")="n/a",ISNUMBER(SEARCH("subscription",LOWER($A306&amp;" "&amp;$M306&amp;""))),ISNUMBER(SEARCH("membership",LOWER($A306&amp;" "&amp;$M306&amp;"")))),"",IF(LOWER($L306&amp;"")="yes",0,IF($K306&lt;&gt;"",$K306,IF($O306&lt;&gt;"",$O306,"")))))</f>
        <v/>
      </c>
      <c r="Q306" s="351">
        <f>IF($A306="","",IF($U306="Subscription","",IF($U306="Profit",$P306-$H306,0)))</f>
        <v/>
      </c>
      <c r="R306" s="349">
        <f>IF($A306="","",IF($U306="Subscription","",IF($U306="Draw",$H306,0)))</f>
        <v/>
      </c>
      <c r="S306" s="349">
        <f>IF($A306="","",IF($U306="Subscription","",IF($U306="Disqualified",$H306,0)))</f>
        <v/>
      </c>
      <c r="T306" s="380">
        <f>IF($A306="","",IF($U306="Subscription","",IF($H306=0,IF($U306="Profit","N/A",0),IF($U306="Profit",$Q306/$H306,IF($U306="Disqualified",-1,0)))))</f>
        <v/>
      </c>
      <c r="U306" s="351">
        <f>IF($A306="","",IF(OR(LOWER($D306&amp;"")="n/a",ISNUMBER(SEARCH("subscription",LOWER($A306&amp;" "&amp;$M306&amp;""))),ISNUMBER(SEARCH("membership",LOWER($A306&amp;" "&amp;$M306&amp;"")))),"Subscription",IF(LOWER($L306&amp;"")="yes","Disqualified",IF($P306&gt;$H306,"Profit","Draw"))))</f>
        <v/>
      </c>
      <c r="V306" s="383">
        <f>IF(OR($A306="",$B306="",$C306="",$U306="Subscription"),"",IFERROR(ROUNDUP((IF(ISNUMBER($C306),$C306,DATEVALUE($C306))-IF(ISNUMBER($B306),$B306,DATEVALUE($B306)))/7,0),""))</f>
        <v/>
      </c>
      <c r="W306" s="351">
        <f>IF($U306="Subscription","",$Q306-$S306)</f>
        <v/>
      </c>
      <c r="X306" s="384">
        <f>IF(OR($A306="",$U306="Subscription",$J306="",$I306="",$J306=0,$I306=0,$I306&gt;$J306),"",$J306-$I306)</f>
        <v/>
      </c>
      <c r="Y306" s="381">
        <f>IF(OR($A306="",$U306="Subscription",$J306="",$J306=0,$X306=""),"",$X306/$J306)</f>
        <v/>
      </c>
    </row>
    <row r="307" ht="21" customHeight="1" s="270">
      <c r="A307" s="297" t="n"/>
      <c r="B307" s="298" t="n"/>
      <c r="C307" s="298" t="n"/>
      <c r="D307" s="297" t="n"/>
      <c r="E307" s="349" t="n"/>
      <c r="F307" s="349" t="n"/>
      <c r="G307" s="349" t="n"/>
      <c r="H307" s="349" t="n"/>
      <c r="I307" s="382" t="n"/>
      <c r="J307" s="383" t="n"/>
      <c r="K307" s="351" t="n"/>
      <c r="L307" s="296" t="n"/>
      <c r="M307" s="349" t="n"/>
      <c r="N307" s="349">
        <f>IF($A307="","",IF(OR(LOWER($D307&amp;"")="n/a",ISNUMBER(SEARCH("subscription",LOWER($A307&amp;" "&amp;$M307&amp;""))),ISNUMBER(SEARCH("membership",LOWER($A307&amp;" "&amp;$M307&amp;"")))),"",IF($G307="","",IF(ISNUMBER(SEARCH("non",LOWER($E307&amp;""))),$G307*0.85,$G307))))</f>
        <v/>
      </c>
      <c r="O307" s="349">
        <f>IF($A307="","",IF(OR(LOWER($D307&amp;"")="n/a",ISNUMBER(SEARCH("subscription",LOWER($A307&amp;" "&amp;$M307&amp;""))),ISNUMBER(SEARCH("membership",LOWER($A307&amp;" "&amp;$M307&amp;"")))),"",IF(OR($N307="",$I307="",$I307=0),"",$N307/$I307)))</f>
        <v/>
      </c>
      <c r="P307" s="349">
        <f>IF($A307="","",IF(OR(LOWER($D307&amp;"")="n/a",ISNUMBER(SEARCH("subscription",LOWER($A307&amp;" "&amp;$M307&amp;""))),ISNUMBER(SEARCH("membership",LOWER($A307&amp;" "&amp;$M307&amp;"")))),"",IF(LOWER($L307&amp;"")="yes",0,IF($K307&lt;&gt;"",$K307,IF($O307&lt;&gt;"",$O307,"")))))</f>
        <v/>
      </c>
      <c r="Q307" s="351">
        <f>IF($A307="","",IF($U307="Subscription","",IF($U307="Profit",$P307-$H307,0)))</f>
        <v/>
      </c>
      <c r="R307" s="349">
        <f>IF($A307="","",IF($U307="Subscription","",IF($U307="Draw",$H307,0)))</f>
        <v/>
      </c>
      <c r="S307" s="349">
        <f>IF($A307="","",IF($U307="Subscription","",IF($U307="Disqualified",$H307,0)))</f>
        <v/>
      </c>
      <c r="T307" s="380">
        <f>IF($A307="","",IF($U307="Subscription","",IF($H307=0,IF($U307="Profit","N/A",0),IF($U307="Profit",$Q307/$H307,IF($U307="Disqualified",-1,0)))))</f>
        <v/>
      </c>
      <c r="U307" s="351">
        <f>IF($A307="","",IF(OR(LOWER($D307&amp;"")="n/a",ISNUMBER(SEARCH("subscription",LOWER($A307&amp;" "&amp;$M307&amp;""))),ISNUMBER(SEARCH("membership",LOWER($A307&amp;" "&amp;$M307&amp;"")))),"Subscription",IF(LOWER($L307&amp;"")="yes","Disqualified",IF($P307&gt;$H307,"Profit","Draw"))))</f>
        <v/>
      </c>
      <c r="V307" s="383">
        <f>IF(OR($A307="",$B307="",$C307="",$U307="Subscription"),"",IFERROR(ROUNDUP((IF(ISNUMBER($C307),$C307,DATEVALUE($C307))-IF(ISNUMBER($B307),$B307,DATEVALUE($B307)))/7,0),""))</f>
        <v/>
      </c>
      <c r="W307" s="351">
        <f>IF($U307="Subscription","",$Q307-$S307)</f>
        <v/>
      </c>
      <c r="X307" s="384">
        <f>IF(OR($A307="",$U307="Subscription",$J307="",$I307="",$J307=0,$I307=0,$I307&gt;$J307),"",$J307-$I307)</f>
        <v/>
      </c>
      <c r="Y307" s="381">
        <f>IF(OR($A307="",$U307="Subscription",$J307="",$J307=0,$X307=""),"",$X307/$J307)</f>
        <v/>
      </c>
    </row>
    <row r="308" ht="21" customHeight="1" s="270">
      <c r="A308" s="297" t="n"/>
      <c r="B308" s="298" t="n"/>
      <c r="C308" s="298" t="n"/>
      <c r="D308" s="297" t="n"/>
      <c r="E308" s="349" t="n"/>
      <c r="F308" s="349" t="n"/>
      <c r="G308" s="349" t="n"/>
      <c r="H308" s="349" t="n"/>
      <c r="I308" s="382" t="n"/>
      <c r="J308" s="383" t="n"/>
      <c r="K308" s="351" t="n"/>
      <c r="L308" s="296" t="n"/>
      <c r="M308" s="349" t="n"/>
      <c r="N308" s="349">
        <f>IF($A308="","",IF(OR(LOWER($D308&amp;"")="n/a",ISNUMBER(SEARCH("subscription",LOWER($A308&amp;" "&amp;$M308&amp;""))),ISNUMBER(SEARCH("membership",LOWER($A308&amp;" "&amp;$M308&amp;"")))),"",IF($G308="","",IF(ISNUMBER(SEARCH("non",LOWER($E308&amp;""))),$G308*0.85,$G308))))</f>
        <v/>
      </c>
      <c r="O308" s="349">
        <f>IF($A308="","",IF(OR(LOWER($D308&amp;"")="n/a",ISNUMBER(SEARCH("subscription",LOWER($A308&amp;" "&amp;$M308&amp;""))),ISNUMBER(SEARCH("membership",LOWER($A308&amp;" "&amp;$M308&amp;"")))),"",IF(OR($N308="",$I308="",$I308=0),"",$N308/$I308)))</f>
        <v/>
      </c>
      <c r="P308" s="349">
        <f>IF($A308="","",IF(OR(LOWER($D308&amp;"")="n/a",ISNUMBER(SEARCH("subscription",LOWER($A308&amp;" "&amp;$M308&amp;""))),ISNUMBER(SEARCH("membership",LOWER($A308&amp;" "&amp;$M308&amp;"")))),"",IF(LOWER($L308&amp;"")="yes",0,IF($K308&lt;&gt;"",$K308,IF($O308&lt;&gt;"",$O308,"")))))</f>
        <v/>
      </c>
      <c r="Q308" s="351">
        <f>IF($A308="","",IF($U308="Subscription","",IF($U308="Profit",$P308-$H308,0)))</f>
        <v/>
      </c>
      <c r="R308" s="349">
        <f>IF($A308="","",IF($U308="Subscription","",IF($U308="Draw",$H308,0)))</f>
        <v/>
      </c>
      <c r="S308" s="349">
        <f>IF($A308="","",IF($U308="Subscription","",IF($U308="Disqualified",$H308,0)))</f>
        <v/>
      </c>
      <c r="T308" s="380">
        <f>IF($A308="","",IF($U308="Subscription","",IF($H308=0,IF($U308="Profit","N/A",0),IF($U308="Profit",$Q308/$H308,IF($U308="Disqualified",-1,0)))))</f>
        <v/>
      </c>
      <c r="U308" s="351">
        <f>IF($A308="","",IF(OR(LOWER($D308&amp;"")="n/a",ISNUMBER(SEARCH("subscription",LOWER($A308&amp;" "&amp;$M308&amp;""))),ISNUMBER(SEARCH("membership",LOWER($A308&amp;" "&amp;$M308&amp;"")))),"Subscription",IF(LOWER($L308&amp;"")="yes","Disqualified",IF($P308&gt;$H308,"Profit","Draw"))))</f>
        <v/>
      </c>
      <c r="V308" s="383">
        <f>IF(OR($A308="",$B308="",$C308="",$U308="Subscription"),"",IFERROR(ROUNDUP((IF(ISNUMBER($C308),$C308,DATEVALUE($C308))-IF(ISNUMBER($B308),$B308,DATEVALUE($B308)))/7,0),""))</f>
        <v/>
      </c>
      <c r="W308" s="351">
        <f>IF($U308="Subscription","",$Q308-$S308)</f>
        <v/>
      </c>
      <c r="X308" s="384">
        <f>IF(OR($A308="",$U308="Subscription",$J308="",$I308="",$J308=0,$I308=0,$I308&gt;$J308),"",$J308-$I308)</f>
        <v/>
      </c>
      <c r="Y308" s="381">
        <f>IF(OR($A308="",$U308="Subscription",$J308="",$J308=0,$X308=""),"",$X308/$J308)</f>
        <v/>
      </c>
    </row>
    <row r="309" ht="21" customHeight="1" s="270">
      <c r="A309" s="297" t="n"/>
      <c r="B309" s="298" t="n"/>
      <c r="C309" s="298" t="n"/>
      <c r="D309" s="297" t="n"/>
      <c r="E309" s="349" t="n"/>
      <c r="F309" s="349" t="n"/>
      <c r="G309" s="349" t="n"/>
      <c r="H309" s="349" t="n"/>
      <c r="I309" s="382" t="n"/>
      <c r="J309" s="383" t="n"/>
      <c r="K309" s="351" t="n"/>
      <c r="L309" s="296" t="n"/>
      <c r="M309" s="349" t="n"/>
      <c r="N309" s="349">
        <f>IF($A309="","",IF(OR(LOWER($D309&amp;"")="n/a",ISNUMBER(SEARCH("subscription",LOWER($A309&amp;" "&amp;$M309&amp;""))),ISNUMBER(SEARCH("membership",LOWER($A309&amp;" "&amp;$M309&amp;"")))),"",IF($G309="","",IF(ISNUMBER(SEARCH("non",LOWER($E309&amp;""))),$G309*0.85,$G309))))</f>
        <v/>
      </c>
      <c r="O309" s="349">
        <f>IF($A309="","",IF(OR(LOWER($D309&amp;"")="n/a",ISNUMBER(SEARCH("subscription",LOWER($A309&amp;" "&amp;$M309&amp;""))),ISNUMBER(SEARCH("membership",LOWER($A309&amp;" "&amp;$M309&amp;"")))),"",IF(OR($N309="",$I309="",$I309=0),"",$N309/$I309)))</f>
        <v/>
      </c>
      <c r="P309" s="349">
        <f>IF($A309="","",IF(OR(LOWER($D309&amp;"")="n/a",ISNUMBER(SEARCH("subscription",LOWER($A309&amp;" "&amp;$M309&amp;""))),ISNUMBER(SEARCH("membership",LOWER($A309&amp;" "&amp;$M309&amp;"")))),"",IF(LOWER($L309&amp;"")="yes",0,IF($K309&lt;&gt;"",$K309,IF($O309&lt;&gt;"",$O309,"")))))</f>
        <v/>
      </c>
      <c r="Q309" s="351">
        <f>IF($A309="","",IF($U309="Subscription","",IF($U309="Profit",$P309-$H309,0)))</f>
        <v/>
      </c>
      <c r="R309" s="349">
        <f>IF($A309="","",IF($U309="Subscription","",IF($U309="Draw",$H309,0)))</f>
        <v/>
      </c>
      <c r="S309" s="349">
        <f>IF($A309="","",IF($U309="Subscription","",IF($U309="Disqualified",$H309,0)))</f>
        <v/>
      </c>
      <c r="T309" s="380">
        <f>IF($A309="","",IF($U309="Subscription","",IF($H309=0,IF($U309="Profit","N/A",0),IF($U309="Profit",$Q309/$H309,IF($U309="Disqualified",-1,0)))))</f>
        <v/>
      </c>
      <c r="U309" s="351">
        <f>IF($A309="","",IF(OR(LOWER($D309&amp;"")="n/a",ISNUMBER(SEARCH("subscription",LOWER($A309&amp;" "&amp;$M309&amp;""))),ISNUMBER(SEARCH("membership",LOWER($A309&amp;" "&amp;$M309&amp;"")))),"Subscription",IF(LOWER($L309&amp;"")="yes","Disqualified",IF($P309&gt;$H309,"Profit","Draw"))))</f>
        <v/>
      </c>
      <c r="V309" s="383">
        <f>IF(OR($A309="",$B309="",$C309="",$U309="Subscription"),"",IFERROR(ROUNDUP((IF(ISNUMBER($C309),$C309,DATEVALUE($C309))-IF(ISNUMBER($B309),$B309,DATEVALUE($B309)))/7,0),""))</f>
        <v/>
      </c>
      <c r="W309" s="351">
        <f>IF($U309="Subscription","",$Q309-$S309)</f>
        <v/>
      </c>
      <c r="X309" s="384">
        <f>IF(OR($A309="",$U309="Subscription",$J309="",$I309="",$J309=0,$I309=0,$I309&gt;$J309),"",$J309-$I309)</f>
        <v/>
      </c>
      <c r="Y309" s="381">
        <f>IF(OR($A309="",$U309="Subscription",$J309="",$J309=0,$X309=""),"",$X309/$J309)</f>
        <v/>
      </c>
    </row>
    <row r="310" ht="21" customHeight="1" s="270">
      <c r="A310" s="297" t="n"/>
      <c r="B310" s="298" t="n"/>
      <c r="C310" s="298" t="n"/>
      <c r="D310" s="297" t="n"/>
      <c r="E310" s="349" t="n"/>
      <c r="F310" s="349" t="n"/>
      <c r="G310" s="349" t="n"/>
      <c r="H310" s="349" t="n"/>
      <c r="I310" s="382" t="n"/>
      <c r="J310" s="383" t="n"/>
      <c r="K310" s="351" t="n"/>
      <c r="L310" s="296" t="n"/>
      <c r="M310" s="349" t="n"/>
      <c r="N310" s="349">
        <f>IF($A310="","",IF(OR(LOWER($D310&amp;"")="n/a",ISNUMBER(SEARCH("subscription",LOWER($A310&amp;" "&amp;$M310&amp;""))),ISNUMBER(SEARCH("membership",LOWER($A310&amp;" "&amp;$M310&amp;"")))),"",IF($G310="","",IF(ISNUMBER(SEARCH("non",LOWER($E310&amp;""))),$G310*0.85,$G310))))</f>
        <v/>
      </c>
      <c r="O310" s="349">
        <f>IF($A310="","",IF(OR(LOWER($D310&amp;"")="n/a",ISNUMBER(SEARCH("subscription",LOWER($A310&amp;" "&amp;$M310&amp;""))),ISNUMBER(SEARCH("membership",LOWER($A310&amp;" "&amp;$M310&amp;"")))),"",IF(OR($N310="",$I310="",$I310=0),"",$N310/$I310)))</f>
        <v/>
      </c>
      <c r="P310" s="349">
        <f>IF($A310="","",IF(OR(LOWER($D310&amp;"")="n/a",ISNUMBER(SEARCH("subscription",LOWER($A310&amp;" "&amp;$M310&amp;""))),ISNUMBER(SEARCH("membership",LOWER($A310&amp;" "&amp;$M310&amp;"")))),"",IF(LOWER($L310&amp;"")="yes",0,IF($K310&lt;&gt;"",$K310,IF($O310&lt;&gt;"",$O310,"")))))</f>
        <v/>
      </c>
      <c r="Q310" s="351">
        <f>IF($A310="","",IF($U310="Subscription","",IF($U310="Profit",$P310-$H310,0)))</f>
        <v/>
      </c>
      <c r="R310" s="349">
        <f>IF($A310="","",IF($U310="Subscription","",IF($U310="Draw",$H310,0)))</f>
        <v/>
      </c>
      <c r="S310" s="349">
        <f>IF($A310="","",IF($U310="Subscription","",IF($U310="Disqualified",$H310,0)))</f>
        <v/>
      </c>
      <c r="T310" s="380">
        <f>IF($A310="","",IF($U310="Subscription","",IF($H310=0,IF($U310="Profit","N/A",0),IF($U310="Profit",$Q310/$H310,IF($U310="Disqualified",-1,0)))))</f>
        <v/>
      </c>
      <c r="U310" s="351">
        <f>IF($A310="","",IF(OR(LOWER($D310&amp;"")="n/a",ISNUMBER(SEARCH("subscription",LOWER($A310&amp;" "&amp;$M310&amp;""))),ISNUMBER(SEARCH("membership",LOWER($A310&amp;" "&amp;$M310&amp;"")))),"Subscription",IF(LOWER($L310&amp;"")="yes","Disqualified",IF($P310&gt;$H310,"Profit","Draw"))))</f>
        <v/>
      </c>
      <c r="V310" s="383">
        <f>IF(OR($A310="",$B310="",$C310="",$U310="Subscription"),"",IFERROR(ROUNDUP((IF(ISNUMBER($C310),$C310,DATEVALUE($C310))-IF(ISNUMBER($B310),$B310,DATEVALUE($B310)))/7,0),""))</f>
        <v/>
      </c>
      <c r="W310" s="351">
        <f>IF($U310="Subscription","",$Q310-$S310)</f>
        <v/>
      </c>
      <c r="X310" s="384">
        <f>IF(OR($A310="",$U310="Subscription",$J310="",$I310="",$J310=0,$I310=0,$I310&gt;$J310),"",$J310-$I310)</f>
        <v/>
      </c>
      <c r="Y310" s="381">
        <f>IF(OR($A310="",$U310="Subscription",$J310="",$J310=0,$X310=""),"",$X310/$J310)</f>
        <v/>
      </c>
    </row>
    <row r="311" ht="21" customHeight="1" s="270">
      <c r="A311" s="297" t="n"/>
      <c r="B311" s="298" t="n"/>
      <c r="C311" s="298" t="n"/>
      <c r="D311" s="297" t="n"/>
      <c r="E311" s="349" t="n"/>
      <c r="F311" s="349" t="n"/>
      <c r="G311" s="349" t="n"/>
      <c r="H311" s="349" t="n"/>
      <c r="I311" s="382" t="n"/>
      <c r="J311" s="383" t="n"/>
      <c r="K311" s="351" t="n"/>
      <c r="L311" s="296" t="n"/>
      <c r="M311" s="349" t="n"/>
      <c r="N311" s="349">
        <f>IF($A311="","",IF(OR(LOWER($D311&amp;"")="n/a",ISNUMBER(SEARCH("subscription",LOWER($A311&amp;" "&amp;$M311&amp;""))),ISNUMBER(SEARCH("membership",LOWER($A311&amp;" "&amp;$M311&amp;"")))),"",IF($G311="","",IF(ISNUMBER(SEARCH("non",LOWER($E311&amp;""))),$G311*0.85,$G311))))</f>
        <v/>
      </c>
      <c r="O311" s="349">
        <f>IF($A311="","",IF(OR(LOWER($D311&amp;"")="n/a",ISNUMBER(SEARCH("subscription",LOWER($A311&amp;" "&amp;$M311&amp;""))),ISNUMBER(SEARCH("membership",LOWER($A311&amp;" "&amp;$M311&amp;"")))),"",IF(OR($N311="",$I311="",$I311=0),"",$N311/$I311)))</f>
        <v/>
      </c>
      <c r="P311" s="349">
        <f>IF($A311="","",IF(OR(LOWER($D311&amp;"")="n/a",ISNUMBER(SEARCH("subscription",LOWER($A311&amp;" "&amp;$M311&amp;""))),ISNUMBER(SEARCH("membership",LOWER($A311&amp;" "&amp;$M311&amp;"")))),"",IF(LOWER($L311&amp;"")="yes",0,IF($K311&lt;&gt;"",$K311,IF($O311&lt;&gt;"",$O311,"")))))</f>
        <v/>
      </c>
      <c r="Q311" s="351">
        <f>IF($A311="","",IF($U311="Subscription","",IF($U311="Profit",$P311-$H311,0)))</f>
        <v/>
      </c>
      <c r="R311" s="349">
        <f>IF($A311="","",IF($U311="Subscription","",IF($U311="Draw",$H311,0)))</f>
        <v/>
      </c>
      <c r="S311" s="349">
        <f>IF($A311="","",IF($U311="Subscription","",IF($U311="Disqualified",$H311,0)))</f>
        <v/>
      </c>
      <c r="T311" s="380">
        <f>IF($A311="","",IF($U311="Subscription","",IF($H311=0,IF($U311="Profit","N/A",0),IF($U311="Profit",$Q311/$H311,IF($U311="Disqualified",-1,0)))))</f>
        <v/>
      </c>
      <c r="U311" s="351">
        <f>IF($A311="","",IF(OR(LOWER($D311&amp;"")="n/a",ISNUMBER(SEARCH("subscription",LOWER($A311&amp;" "&amp;$M311&amp;""))),ISNUMBER(SEARCH("membership",LOWER($A311&amp;" "&amp;$M311&amp;"")))),"Subscription",IF(LOWER($L311&amp;"")="yes","Disqualified",IF($P311&gt;$H311,"Profit","Draw"))))</f>
        <v/>
      </c>
      <c r="V311" s="383">
        <f>IF(OR($A311="",$B311="",$C311="",$U311="Subscription"),"",IFERROR(ROUNDUP((IF(ISNUMBER($C311),$C311,DATEVALUE($C311))-IF(ISNUMBER($B311),$B311,DATEVALUE($B311)))/7,0),""))</f>
        <v/>
      </c>
      <c r="W311" s="351">
        <f>IF($U311="Subscription","",$Q311-$S311)</f>
        <v/>
      </c>
      <c r="X311" s="384">
        <f>IF(OR($A311="",$U311="Subscription",$J311="",$I311="",$J311=0,$I311=0,$I311&gt;$J311),"",$J311-$I311)</f>
        <v/>
      </c>
      <c r="Y311" s="381">
        <f>IF(OR($A311="",$U311="Subscription",$J311="",$J311=0,$X311=""),"",$X311/$J311)</f>
        <v/>
      </c>
    </row>
    <row r="312" ht="21" customHeight="1" s="270">
      <c r="A312" s="297" t="n"/>
      <c r="B312" s="298" t="n"/>
      <c r="C312" s="298" t="n"/>
      <c r="D312" s="297" t="n"/>
      <c r="E312" s="349" t="n"/>
      <c r="F312" s="349" t="n"/>
      <c r="G312" s="349" t="n"/>
      <c r="H312" s="349" t="n"/>
      <c r="I312" s="382" t="n"/>
      <c r="J312" s="383" t="n"/>
      <c r="K312" s="351" t="n"/>
      <c r="L312" s="296" t="n"/>
      <c r="M312" s="349" t="n"/>
      <c r="N312" s="349">
        <f>IF($A312="","",IF(OR(LOWER($D312&amp;"")="n/a",ISNUMBER(SEARCH("subscription",LOWER($A312&amp;" "&amp;$M312&amp;""))),ISNUMBER(SEARCH("membership",LOWER($A312&amp;" "&amp;$M312&amp;"")))),"",IF($G312="","",IF(ISNUMBER(SEARCH("non",LOWER($E312&amp;""))),$G312*0.85,$G312))))</f>
        <v/>
      </c>
      <c r="O312" s="349">
        <f>IF($A312="","",IF(OR(LOWER($D312&amp;"")="n/a",ISNUMBER(SEARCH("subscription",LOWER($A312&amp;" "&amp;$M312&amp;""))),ISNUMBER(SEARCH("membership",LOWER($A312&amp;" "&amp;$M312&amp;"")))),"",IF(OR($N312="",$I312="",$I312=0),"",$N312/$I312)))</f>
        <v/>
      </c>
      <c r="P312" s="349">
        <f>IF($A312="","",IF(OR(LOWER($D312&amp;"")="n/a",ISNUMBER(SEARCH("subscription",LOWER($A312&amp;" "&amp;$M312&amp;""))),ISNUMBER(SEARCH("membership",LOWER($A312&amp;" "&amp;$M312&amp;"")))),"",IF(LOWER($L312&amp;"")="yes",0,IF($K312&lt;&gt;"",$K312,IF($O312&lt;&gt;"",$O312,"")))))</f>
        <v/>
      </c>
      <c r="Q312" s="351">
        <f>IF($A312="","",IF($U312="Subscription","",IF($U312="Profit",$P312-$H312,0)))</f>
        <v/>
      </c>
      <c r="R312" s="349">
        <f>IF($A312="","",IF($U312="Subscription","",IF($U312="Draw",$H312,0)))</f>
        <v/>
      </c>
      <c r="S312" s="349">
        <f>IF($A312="","",IF($U312="Subscription","",IF($U312="Disqualified",$H312,0)))</f>
        <v/>
      </c>
      <c r="T312" s="380">
        <f>IF($A312="","",IF($U312="Subscription","",IF($H312=0,IF($U312="Profit","N/A",0),IF($U312="Profit",$Q312/$H312,IF($U312="Disqualified",-1,0)))))</f>
        <v/>
      </c>
      <c r="U312" s="351">
        <f>IF($A312="","",IF(OR(LOWER($D312&amp;"")="n/a",ISNUMBER(SEARCH("subscription",LOWER($A312&amp;" "&amp;$M312&amp;""))),ISNUMBER(SEARCH("membership",LOWER($A312&amp;" "&amp;$M312&amp;"")))),"Subscription",IF(LOWER($L312&amp;"")="yes","Disqualified",IF($P312&gt;$H312,"Profit","Draw"))))</f>
        <v/>
      </c>
      <c r="V312" s="383">
        <f>IF(OR($A312="",$B312="",$C312="",$U312="Subscription"),"",IFERROR(ROUNDUP((IF(ISNUMBER($C312),$C312,DATEVALUE($C312))-IF(ISNUMBER($B312),$B312,DATEVALUE($B312)))/7,0),""))</f>
        <v/>
      </c>
      <c r="W312" s="351">
        <f>IF($U312="Subscription","",$Q312-$S312)</f>
        <v/>
      </c>
      <c r="X312" s="384">
        <f>IF(OR($A312="",$U312="Subscription",$J312="",$I312="",$J312=0,$I312=0,$I312&gt;$J312),"",$J312-$I312)</f>
        <v/>
      </c>
      <c r="Y312" s="381">
        <f>IF(OR($A312="",$U312="Subscription",$J312="",$J312=0,$X312=""),"",$X312/$J312)</f>
        <v/>
      </c>
    </row>
    <row r="313" ht="21" customHeight="1" s="270">
      <c r="A313" s="297" t="n"/>
      <c r="B313" s="298" t="n"/>
      <c r="C313" s="298" t="n"/>
      <c r="D313" s="297" t="n"/>
      <c r="E313" s="349" t="n"/>
      <c r="F313" s="349" t="n"/>
      <c r="G313" s="349" t="n"/>
      <c r="H313" s="349" t="n"/>
      <c r="I313" s="382" t="n"/>
      <c r="J313" s="383" t="n"/>
      <c r="K313" s="351" t="n"/>
      <c r="L313" s="296" t="n"/>
      <c r="M313" s="349" t="n"/>
      <c r="N313" s="349">
        <f>IF($A313="","",IF(OR(LOWER($D313&amp;"")="n/a",ISNUMBER(SEARCH("subscription",LOWER($A313&amp;" "&amp;$M313&amp;""))),ISNUMBER(SEARCH("membership",LOWER($A313&amp;" "&amp;$M313&amp;"")))),"",IF($G313="","",IF(ISNUMBER(SEARCH("non",LOWER($E313&amp;""))),$G313*0.85,$G313))))</f>
        <v/>
      </c>
      <c r="O313" s="349">
        <f>IF($A313="","",IF(OR(LOWER($D313&amp;"")="n/a",ISNUMBER(SEARCH("subscription",LOWER($A313&amp;" "&amp;$M313&amp;""))),ISNUMBER(SEARCH("membership",LOWER($A313&amp;" "&amp;$M313&amp;"")))),"",IF(OR($N313="",$I313="",$I313=0),"",$N313/$I313)))</f>
        <v/>
      </c>
      <c r="P313" s="349">
        <f>IF($A313="","",IF(OR(LOWER($D313&amp;"")="n/a",ISNUMBER(SEARCH("subscription",LOWER($A313&amp;" "&amp;$M313&amp;""))),ISNUMBER(SEARCH("membership",LOWER($A313&amp;" "&amp;$M313&amp;"")))),"",IF(LOWER($L313&amp;"")="yes",0,IF($K313&lt;&gt;"",$K313,IF($O313&lt;&gt;"",$O313,"")))))</f>
        <v/>
      </c>
      <c r="Q313" s="351">
        <f>IF($A313="","",IF($U313="Subscription","",IF($U313="Profit",$P313-$H313,0)))</f>
        <v/>
      </c>
      <c r="R313" s="349">
        <f>IF($A313="","",IF($U313="Subscription","",IF($U313="Draw",$H313,0)))</f>
        <v/>
      </c>
      <c r="S313" s="349">
        <f>IF($A313="","",IF($U313="Subscription","",IF($U313="Disqualified",$H313,0)))</f>
        <v/>
      </c>
      <c r="T313" s="380">
        <f>IF($A313="","",IF($U313="Subscription","",IF($H313=0,IF($U313="Profit","N/A",0),IF($U313="Profit",$Q313/$H313,IF($U313="Disqualified",-1,0)))))</f>
        <v/>
      </c>
      <c r="U313" s="351">
        <f>IF($A313="","",IF(OR(LOWER($D313&amp;"")="n/a",ISNUMBER(SEARCH("subscription",LOWER($A313&amp;" "&amp;$M313&amp;""))),ISNUMBER(SEARCH("membership",LOWER($A313&amp;" "&amp;$M313&amp;"")))),"Subscription",IF(LOWER($L313&amp;"")="yes","Disqualified",IF($P313&gt;$H313,"Profit","Draw"))))</f>
        <v/>
      </c>
      <c r="V313" s="383">
        <f>IF(OR($A313="",$B313="",$C313="",$U313="Subscription"),"",IFERROR(ROUNDUP((IF(ISNUMBER($C313),$C313,DATEVALUE($C313))-IF(ISNUMBER($B313),$B313,DATEVALUE($B313)))/7,0),""))</f>
        <v/>
      </c>
      <c r="W313" s="351">
        <f>IF($U313="Subscription","",$Q313-$S313)</f>
        <v/>
      </c>
      <c r="X313" s="384">
        <f>IF(OR($A313="",$U313="Subscription",$J313="",$I313="",$J313=0,$I313=0,$I313&gt;$J313),"",$J313-$I313)</f>
        <v/>
      </c>
      <c r="Y313" s="381">
        <f>IF(OR($A313="",$U313="Subscription",$J313="",$J313=0,$X313=""),"",$X313/$J313)</f>
        <v/>
      </c>
    </row>
    <row r="314" ht="21" customHeight="1" s="270">
      <c r="A314" s="297" t="n"/>
      <c r="B314" s="298" t="n"/>
      <c r="C314" s="298" t="n"/>
      <c r="D314" s="297" t="n"/>
      <c r="E314" s="349" t="n"/>
      <c r="F314" s="349" t="n"/>
      <c r="G314" s="349" t="n"/>
      <c r="H314" s="349" t="n"/>
      <c r="I314" s="382" t="n"/>
      <c r="J314" s="383" t="n"/>
      <c r="K314" s="351" t="n"/>
      <c r="L314" s="296" t="n"/>
      <c r="M314" s="349" t="n"/>
      <c r="N314" s="349">
        <f>IF($A314="","",IF(OR(LOWER($D314&amp;"")="n/a",ISNUMBER(SEARCH("subscription",LOWER($A314&amp;" "&amp;$M314&amp;""))),ISNUMBER(SEARCH("membership",LOWER($A314&amp;" "&amp;$M314&amp;"")))),"",IF($G314="","",IF(ISNUMBER(SEARCH("non",LOWER($E314&amp;""))),$G314*0.85,$G314))))</f>
        <v/>
      </c>
      <c r="O314" s="349">
        <f>IF($A314="","",IF(OR(LOWER($D314&amp;"")="n/a",ISNUMBER(SEARCH("subscription",LOWER($A314&amp;" "&amp;$M314&amp;""))),ISNUMBER(SEARCH("membership",LOWER($A314&amp;" "&amp;$M314&amp;"")))),"",IF(OR($N314="",$I314="",$I314=0),"",$N314/$I314)))</f>
        <v/>
      </c>
      <c r="P314" s="349">
        <f>IF($A314="","",IF(OR(LOWER($D314&amp;"")="n/a",ISNUMBER(SEARCH("subscription",LOWER($A314&amp;" "&amp;$M314&amp;""))),ISNUMBER(SEARCH("membership",LOWER($A314&amp;" "&amp;$M314&amp;"")))),"",IF(LOWER($L314&amp;"")="yes",0,IF($K314&lt;&gt;"",$K314,IF($O314&lt;&gt;"",$O314,"")))))</f>
        <v/>
      </c>
      <c r="Q314" s="351">
        <f>IF($A314="","",IF($U314="Subscription","",IF($U314="Profit",$P314-$H314,0)))</f>
        <v/>
      </c>
      <c r="R314" s="349">
        <f>IF($A314="","",IF($U314="Subscription","",IF($U314="Draw",$H314,0)))</f>
        <v/>
      </c>
      <c r="S314" s="349">
        <f>IF($A314="","",IF($U314="Subscription","",IF($U314="Disqualified",$H314,0)))</f>
        <v/>
      </c>
      <c r="T314" s="380">
        <f>IF($A314="","",IF($U314="Subscription","",IF($H314=0,IF($U314="Profit","N/A",0),IF($U314="Profit",$Q314/$H314,IF($U314="Disqualified",-1,0)))))</f>
        <v/>
      </c>
      <c r="U314" s="351">
        <f>IF($A314="","",IF(OR(LOWER($D314&amp;"")="n/a",ISNUMBER(SEARCH("subscription",LOWER($A314&amp;" "&amp;$M314&amp;""))),ISNUMBER(SEARCH("membership",LOWER($A314&amp;" "&amp;$M314&amp;"")))),"Subscription",IF(LOWER($L314&amp;"")="yes","Disqualified",IF($P314&gt;$H314,"Profit","Draw"))))</f>
        <v/>
      </c>
      <c r="V314" s="383">
        <f>IF(OR($A314="",$B314="",$C314="",$U314="Subscription"),"",IFERROR(ROUNDUP((IF(ISNUMBER($C314),$C314,DATEVALUE($C314))-IF(ISNUMBER($B314),$B314,DATEVALUE($B314)))/7,0),""))</f>
        <v/>
      </c>
      <c r="W314" s="351">
        <f>IF($U314="Subscription","",$Q314-$S314)</f>
        <v/>
      </c>
      <c r="X314" s="384">
        <f>IF(OR($A314="",$U314="Subscription",$J314="",$I314="",$J314=0,$I314=0,$I314&gt;$J314),"",$J314-$I314)</f>
        <v/>
      </c>
      <c r="Y314" s="381">
        <f>IF(OR($A314="",$U314="Subscription",$J314="",$J314=0,$X314=""),"",$X314/$J314)</f>
        <v/>
      </c>
    </row>
    <row r="315" ht="21" customHeight="1" s="270">
      <c r="A315" s="297" t="n"/>
      <c r="B315" s="298" t="n"/>
      <c r="C315" s="298" t="n"/>
      <c r="D315" s="297" t="n"/>
      <c r="E315" s="349" t="n"/>
      <c r="F315" s="349" t="n"/>
      <c r="G315" s="349" t="n"/>
      <c r="H315" s="349" t="n"/>
      <c r="I315" s="382" t="n"/>
      <c r="J315" s="383" t="n"/>
      <c r="K315" s="351" t="n"/>
      <c r="L315" s="296" t="n"/>
      <c r="M315" s="349" t="n"/>
      <c r="N315" s="349">
        <f>IF($A315="","",IF(OR(LOWER($D315&amp;"")="n/a",ISNUMBER(SEARCH("subscription",LOWER($A315&amp;" "&amp;$M315&amp;""))),ISNUMBER(SEARCH("membership",LOWER($A315&amp;" "&amp;$M315&amp;"")))),"",IF($G315="","",IF(ISNUMBER(SEARCH("non",LOWER($E315&amp;""))),$G315*0.85,$G315))))</f>
        <v/>
      </c>
      <c r="O315" s="349">
        <f>IF($A315="","",IF(OR(LOWER($D315&amp;"")="n/a",ISNUMBER(SEARCH("subscription",LOWER($A315&amp;" "&amp;$M315&amp;""))),ISNUMBER(SEARCH("membership",LOWER($A315&amp;" "&amp;$M315&amp;"")))),"",IF(OR($N315="",$I315="",$I315=0),"",$N315/$I315)))</f>
        <v/>
      </c>
      <c r="P315" s="349">
        <f>IF($A315="","",IF(OR(LOWER($D315&amp;"")="n/a",ISNUMBER(SEARCH("subscription",LOWER($A315&amp;" "&amp;$M315&amp;""))),ISNUMBER(SEARCH("membership",LOWER($A315&amp;" "&amp;$M315&amp;"")))),"",IF(LOWER($L315&amp;"")="yes",0,IF($K315&lt;&gt;"",$K315,IF($O315&lt;&gt;"",$O315,"")))))</f>
        <v/>
      </c>
      <c r="Q315" s="351">
        <f>IF($A315="","",IF($U315="Subscription","",IF($U315="Profit",$P315-$H315,0)))</f>
        <v/>
      </c>
      <c r="R315" s="349">
        <f>IF($A315="","",IF($U315="Subscription","",IF($U315="Draw",$H315,0)))</f>
        <v/>
      </c>
      <c r="S315" s="349">
        <f>IF($A315="","",IF($U315="Subscription","",IF($U315="Disqualified",$H315,0)))</f>
        <v/>
      </c>
      <c r="T315" s="380">
        <f>IF($A315="","",IF($U315="Subscription","",IF($H315=0,IF($U315="Profit","N/A",0),IF($U315="Profit",$Q315/$H315,IF($U315="Disqualified",-1,0)))))</f>
        <v/>
      </c>
      <c r="U315" s="351">
        <f>IF($A315="","",IF(OR(LOWER($D315&amp;"")="n/a",ISNUMBER(SEARCH("subscription",LOWER($A315&amp;" "&amp;$M315&amp;""))),ISNUMBER(SEARCH("membership",LOWER($A315&amp;" "&amp;$M315&amp;"")))),"Subscription",IF(LOWER($L315&amp;"")="yes","Disqualified",IF($P315&gt;$H315,"Profit","Draw"))))</f>
        <v/>
      </c>
      <c r="V315" s="383">
        <f>IF(OR($A315="",$B315="",$C315="",$U315="Subscription"),"",IFERROR(ROUNDUP((IF(ISNUMBER($C315),$C315,DATEVALUE($C315))-IF(ISNUMBER($B315),$B315,DATEVALUE($B315)))/7,0),""))</f>
        <v/>
      </c>
      <c r="W315" s="351">
        <f>IF($U315="Subscription","",$Q315-$S315)</f>
        <v/>
      </c>
      <c r="X315" s="384">
        <f>IF(OR($A315="",$U315="Subscription",$J315="",$I315="",$J315=0,$I315=0,$I315&gt;$J315),"",$J315-$I315)</f>
        <v/>
      </c>
      <c r="Y315" s="381">
        <f>IF(OR($A315="",$U315="Subscription",$J315="",$J315=0,$X315=""),"",$X315/$J315)</f>
        <v/>
      </c>
    </row>
    <row r="316" ht="21" customHeight="1" s="270">
      <c r="A316" s="297" t="n"/>
      <c r="B316" s="298" t="n"/>
      <c r="C316" s="298" t="n"/>
      <c r="D316" s="297" t="n"/>
      <c r="E316" s="349" t="n"/>
      <c r="F316" s="349" t="n"/>
      <c r="G316" s="349" t="n"/>
      <c r="H316" s="349" t="n"/>
      <c r="I316" s="382" t="n"/>
      <c r="J316" s="383" t="n"/>
      <c r="K316" s="351" t="n"/>
      <c r="L316" s="296" t="n"/>
      <c r="M316" s="349" t="n"/>
      <c r="N316" s="349">
        <f>IF($A316="","",IF(OR(LOWER($D316&amp;"")="n/a",ISNUMBER(SEARCH("subscription",LOWER($A316&amp;" "&amp;$M316&amp;""))),ISNUMBER(SEARCH("membership",LOWER($A316&amp;" "&amp;$M316&amp;"")))),"",IF($G316="","",IF(ISNUMBER(SEARCH("non",LOWER($E316&amp;""))),$G316*0.85,$G316))))</f>
        <v/>
      </c>
      <c r="O316" s="349">
        <f>IF($A316="","",IF(OR(LOWER($D316&amp;"")="n/a",ISNUMBER(SEARCH("subscription",LOWER($A316&amp;" "&amp;$M316&amp;""))),ISNUMBER(SEARCH("membership",LOWER($A316&amp;" "&amp;$M316&amp;"")))),"",IF(OR($N316="",$I316="",$I316=0),"",$N316/$I316)))</f>
        <v/>
      </c>
      <c r="P316" s="349">
        <f>IF($A316="","",IF(OR(LOWER($D316&amp;"")="n/a",ISNUMBER(SEARCH("subscription",LOWER($A316&amp;" "&amp;$M316&amp;""))),ISNUMBER(SEARCH("membership",LOWER($A316&amp;" "&amp;$M316&amp;"")))),"",IF(LOWER($L316&amp;"")="yes",0,IF($K316&lt;&gt;"",$K316,IF($O316&lt;&gt;"",$O316,"")))))</f>
        <v/>
      </c>
      <c r="Q316" s="351">
        <f>IF($A316="","",IF($U316="Subscription","",IF($U316="Profit",$P316-$H316,0)))</f>
        <v/>
      </c>
      <c r="R316" s="349">
        <f>IF($A316="","",IF($U316="Subscription","",IF($U316="Draw",$H316,0)))</f>
        <v/>
      </c>
      <c r="S316" s="349">
        <f>IF($A316="","",IF($U316="Subscription","",IF($U316="Disqualified",$H316,0)))</f>
        <v/>
      </c>
      <c r="T316" s="380">
        <f>IF($A316="","",IF($U316="Subscription","",IF($H316=0,IF($U316="Profit","N/A",0),IF($U316="Profit",$Q316/$H316,IF($U316="Disqualified",-1,0)))))</f>
        <v/>
      </c>
      <c r="U316" s="351">
        <f>IF($A316="","",IF(OR(LOWER($D316&amp;"")="n/a",ISNUMBER(SEARCH("subscription",LOWER($A316&amp;" "&amp;$M316&amp;""))),ISNUMBER(SEARCH("membership",LOWER($A316&amp;" "&amp;$M316&amp;"")))),"Subscription",IF(LOWER($L316&amp;"")="yes","Disqualified",IF($P316&gt;$H316,"Profit","Draw"))))</f>
        <v/>
      </c>
      <c r="V316" s="383">
        <f>IF(OR($A316="",$B316="",$C316="",$U316="Subscription"),"",IFERROR(ROUNDUP((IF(ISNUMBER($C316),$C316,DATEVALUE($C316))-IF(ISNUMBER($B316),$B316,DATEVALUE($B316)))/7,0),""))</f>
        <v/>
      </c>
      <c r="W316" s="351">
        <f>IF($U316="Subscription","",$Q316-$S316)</f>
        <v/>
      </c>
      <c r="X316" s="384">
        <f>IF(OR($A316="",$U316="Subscription",$J316="",$I316="",$J316=0,$I316=0,$I316&gt;$J316),"",$J316-$I316)</f>
        <v/>
      </c>
      <c r="Y316" s="381">
        <f>IF(OR($A316="",$U316="Subscription",$J316="",$J316=0,$X316=""),"",$X316/$J316)</f>
        <v/>
      </c>
    </row>
    <row r="317" ht="21" customHeight="1" s="270">
      <c r="A317" s="297" t="n"/>
      <c r="B317" s="298" t="n"/>
      <c r="C317" s="298" t="n"/>
      <c r="D317" s="297" t="n"/>
      <c r="E317" s="349" t="n"/>
      <c r="F317" s="349" t="n"/>
      <c r="G317" s="349" t="n"/>
      <c r="H317" s="349" t="n"/>
      <c r="I317" s="382" t="n"/>
      <c r="J317" s="383" t="n"/>
      <c r="K317" s="351" t="n"/>
      <c r="L317" s="296" t="n"/>
      <c r="M317" s="349" t="n"/>
      <c r="N317" s="349">
        <f>IF($A317="","",IF(OR(LOWER($D317&amp;"")="n/a",ISNUMBER(SEARCH("subscription",LOWER($A317&amp;" "&amp;$M317&amp;""))),ISNUMBER(SEARCH("membership",LOWER($A317&amp;" "&amp;$M317&amp;"")))),"",IF($G317="","",IF(ISNUMBER(SEARCH("non",LOWER($E317&amp;""))),$G317*0.85,$G317))))</f>
        <v/>
      </c>
      <c r="O317" s="349">
        <f>IF($A317="","",IF(OR(LOWER($D317&amp;"")="n/a",ISNUMBER(SEARCH("subscription",LOWER($A317&amp;" "&amp;$M317&amp;""))),ISNUMBER(SEARCH("membership",LOWER($A317&amp;" "&amp;$M317&amp;"")))),"",IF(OR($N317="",$I317="",$I317=0),"",$N317/$I317)))</f>
        <v/>
      </c>
      <c r="P317" s="349">
        <f>IF($A317="","",IF(OR(LOWER($D317&amp;"")="n/a",ISNUMBER(SEARCH("subscription",LOWER($A317&amp;" "&amp;$M317&amp;""))),ISNUMBER(SEARCH("membership",LOWER($A317&amp;" "&amp;$M317&amp;"")))),"",IF(LOWER($L317&amp;"")="yes",0,IF($K317&lt;&gt;"",$K317,IF($O317&lt;&gt;"",$O317,"")))))</f>
        <v/>
      </c>
      <c r="Q317" s="351">
        <f>IF($A317="","",IF($U317="Subscription","",IF($U317="Profit",$P317-$H317,0)))</f>
        <v/>
      </c>
      <c r="R317" s="349">
        <f>IF($A317="","",IF($U317="Subscription","",IF($U317="Draw",$H317,0)))</f>
        <v/>
      </c>
      <c r="S317" s="349">
        <f>IF($A317="","",IF($U317="Subscription","",IF($U317="Disqualified",$H317,0)))</f>
        <v/>
      </c>
      <c r="T317" s="380">
        <f>IF($A317="","",IF($U317="Subscription","",IF($H317=0,IF($U317="Profit","N/A",0),IF($U317="Profit",$Q317/$H317,IF($U317="Disqualified",-1,0)))))</f>
        <v/>
      </c>
      <c r="U317" s="351">
        <f>IF($A317="","",IF(OR(LOWER($D317&amp;"")="n/a",ISNUMBER(SEARCH("subscription",LOWER($A317&amp;" "&amp;$M317&amp;""))),ISNUMBER(SEARCH("membership",LOWER($A317&amp;" "&amp;$M317&amp;"")))),"Subscription",IF(LOWER($L317&amp;"")="yes","Disqualified",IF($P317&gt;$H317,"Profit","Draw"))))</f>
        <v/>
      </c>
      <c r="V317" s="383">
        <f>IF(OR($A317="",$B317="",$C317="",$U317="Subscription"),"",IFERROR(ROUNDUP((IF(ISNUMBER($C317),$C317,DATEVALUE($C317))-IF(ISNUMBER($B317),$B317,DATEVALUE($B317)))/7,0),""))</f>
        <v/>
      </c>
      <c r="W317" s="351">
        <f>IF($U317="Subscription","",$Q317-$S317)</f>
        <v/>
      </c>
      <c r="X317" s="384">
        <f>IF(OR($A317="",$U317="Subscription",$J317="",$I317="",$J317=0,$I317=0,$I317&gt;$J317),"",$J317-$I317)</f>
        <v/>
      </c>
      <c r="Y317" s="381">
        <f>IF(OR($A317="",$U317="Subscription",$J317="",$J317=0,$X317=""),"",$X317/$J317)</f>
        <v/>
      </c>
    </row>
    <row r="318" ht="21" customHeight="1" s="270">
      <c r="A318" s="297" t="n"/>
      <c r="B318" s="298" t="n"/>
      <c r="C318" s="298" t="n"/>
      <c r="D318" s="297" t="n"/>
      <c r="E318" s="349" t="n"/>
      <c r="F318" s="349" t="n"/>
      <c r="G318" s="349" t="n"/>
      <c r="H318" s="349" t="n"/>
      <c r="I318" s="382" t="n"/>
      <c r="J318" s="383" t="n"/>
      <c r="K318" s="351" t="n"/>
      <c r="L318" s="296" t="n"/>
      <c r="M318" s="349" t="n"/>
      <c r="N318" s="349">
        <f>IF($A318="","",IF(OR(LOWER($D318&amp;"")="n/a",ISNUMBER(SEARCH("subscription",LOWER($A318&amp;" "&amp;$M318&amp;""))),ISNUMBER(SEARCH("membership",LOWER($A318&amp;" "&amp;$M318&amp;"")))),"",IF($G318="","",IF(ISNUMBER(SEARCH("non",LOWER($E318&amp;""))),$G318*0.85,$G318))))</f>
        <v/>
      </c>
      <c r="O318" s="349">
        <f>IF($A318="","",IF(OR(LOWER($D318&amp;"")="n/a",ISNUMBER(SEARCH("subscription",LOWER($A318&amp;" "&amp;$M318&amp;""))),ISNUMBER(SEARCH("membership",LOWER($A318&amp;" "&amp;$M318&amp;"")))),"",IF(OR($N318="",$I318="",$I318=0),"",$N318/$I318)))</f>
        <v/>
      </c>
      <c r="P318" s="349">
        <f>IF($A318="","",IF(OR(LOWER($D318&amp;"")="n/a",ISNUMBER(SEARCH("subscription",LOWER($A318&amp;" "&amp;$M318&amp;""))),ISNUMBER(SEARCH("membership",LOWER($A318&amp;" "&amp;$M318&amp;"")))),"",IF(LOWER($L318&amp;"")="yes",0,IF($K318&lt;&gt;"",$K318,IF($O318&lt;&gt;"",$O318,"")))))</f>
        <v/>
      </c>
      <c r="Q318" s="351">
        <f>IF($A318="","",IF($U318="Subscription","",IF($U318="Profit",$P318-$H318,0)))</f>
        <v/>
      </c>
      <c r="R318" s="349">
        <f>IF($A318="","",IF($U318="Subscription","",IF($U318="Draw",$H318,0)))</f>
        <v/>
      </c>
      <c r="S318" s="349">
        <f>IF($A318="","",IF($U318="Subscription","",IF($U318="Disqualified",$H318,0)))</f>
        <v/>
      </c>
      <c r="T318" s="380">
        <f>IF($A318="","",IF($U318="Subscription","",IF($H318=0,IF($U318="Profit","N/A",0),IF($U318="Profit",$Q318/$H318,IF($U318="Disqualified",-1,0)))))</f>
        <v/>
      </c>
      <c r="U318" s="351">
        <f>IF($A318="","",IF(OR(LOWER($D318&amp;"")="n/a",ISNUMBER(SEARCH("subscription",LOWER($A318&amp;" "&amp;$M318&amp;""))),ISNUMBER(SEARCH("membership",LOWER($A318&amp;" "&amp;$M318&amp;"")))),"Subscription",IF(LOWER($L318&amp;"")="yes","Disqualified",IF($P318&gt;$H318,"Profit","Draw"))))</f>
        <v/>
      </c>
      <c r="V318" s="383">
        <f>IF(OR($A318="",$B318="",$C318="",$U318="Subscription"),"",IFERROR(ROUNDUP((IF(ISNUMBER($C318),$C318,DATEVALUE($C318))-IF(ISNUMBER($B318),$B318,DATEVALUE($B318)))/7,0),""))</f>
        <v/>
      </c>
      <c r="W318" s="351">
        <f>IF($U318="Subscription","",$Q318-$S318)</f>
        <v/>
      </c>
      <c r="X318" s="384">
        <f>IF(OR($A318="",$U318="Subscription",$J318="",$I318="",$J318=0,$I318=0,$I318&gt;$J318),"",$J318-$I318)</f>
        <v/>
      </c>
      <c r="Y318" s="381">
        <f>IF(OR($A318="",$U318="Subscription",$J318="",$J318=0,$X318=""),"",$X318/$J318)</f>
        <v/>
      </c>
    </row>
    <row r="319" ht="21" customHeight="1" s="270">
      <c r="A319" s="297" t="n"/>
      <c r="B319" s="298" t="n"/>
      <c r="C319" s="298" t="n"/>
      <c r="D319" s="297" t="n"/>
      <c r="E319" s="349" t="n"/>
      <c r="F319" s="349" t="n"/>
      <c r="G319" s="349" t="n"/>
      <c r="H319" s="349" t="n"/>
      <c r="I319" s="382" t="n"/>
      <c r="J319" s="383" t="n"/>
      <c r="K319" s="351" t="n"/>
      <c r="L319" s="296" t="n"/>
      <c r="M319" s="349" t="n"/>
      <c r="N319" s="349">
        <f>IF($A319="","",IF(OR(LOWER($D319&amp;"")="n/a",ISNUMBER(SEARCH("subscription",LOWER($A319&amp;" "&amp;$M319&amp;""))),ISNUMBER(SEARCH("membership",LOWER($A319&amp;" "&amp;$M319&amp;"")))),"",IF($G319="","",IF(ISNUMBER(SEARCH("non",LOWER($E319&amp;""))),$G319*0.85,$G319))))</f>
        <v/>
      </c>
      <c r="O319" s="349">
        <f>IF($A319="","",IF(OR(LOWER($D319&amp;"")="n/a",ISNUMBER(SEARCH("subscription",LOWER($A319&amp;" "&amp;$M319&amp;""))),ISNUMBER(SEARCH("membership",LOWER($A319&amp;" "&amp;$M319&amp;"")))),"",IF(OR($N319="",$I319="",$I319=0),"",$N319/$I319)))</f>
        <v/>
      </c>
      <c r="P319" s="349">
        <f>IF($A319="","",IF(OR(LOWER($D319&amp;"")="n/a",ISNUMBER(SEARCH("subscription",LOWER($A319&amp;" "&amp;$M319&amp;""))),ISNUMBER(SEARCH("membership",LOWER($A319&amp;" "&amp;$M319&amp;"")))),"",IF(LOWER($L319&amp;"")="yes",0,IF($K319&lt;&gt;"",$K319,IF($O319&lt;&gt;"",$O319,"")))))</f>
        <v/>
      </c>
      <c r="Q319" s="351">
        <f>IF($A319="","",IF($U319="Subscription","",IF($U319="Profit",$P319-$H319,0)))</f>
        <v/>
      </c>
      <c r="R319" s="349">
        <f>IF($A319="","",IF($U319="Subscription","",IF($U319="Draw",$H319,0)))</f>
        <v/>
      </c>
      <c r="S319" s="349">
        <f>IF($A319="","",IF($U319="Subscription","",IF($U319="Disqualified",$H319,0)))</f>
        <v/>
      </c>
      <c r="T319" s="380">
        <f>IF($A319="","",IF($U319="Subscription","",IF($H319=0,IF($U319="Profit","N/A",0),IF($U319="Profit",$Q319/$H319,IF($U319="Disqualified",-1,0)))))</f>
        <v/>
      </c>
      <c r="U319" s="351">
        <f>IF($A319="","",IF(OR(LOWER($D319&amp;"")="n/a",ISNUMBER(SEARCH("subscription",LOWER($A319&amp;" "&amp;$M319&amp;""))),ISNUMBER(SEARCH("membership",LOWER($A319&amp;" "&amp;$M319&amp;"")))),"Subscription",IF(LOWER($L319&amp;"")="yes","Disqualified",IF($P319&gt;$H319,"Profit","Draw"))))</f>
        <v/>
      </c>
      <c r="V319" s="383">
        <f>IF(OR($A319="",$B319="",$C319="",$U319="Subscription"),"",IFERROR(ROUNDUP((IF(ISNUMBER($C319),$C319,DATEVALUE($C319))-IF(ISNUMBER($B319),$B319,DATEVALUE($B319)))/7,0),""))</f>
        <v/>
      </c>
      <c r="W319" s="351">
        <f>IF($U319="Subscription","",$Q319-$S319)</f>
        <v/>
      </c>
      <c r="X319" s="384">
        <f>IF(OR($A319="",$U319="Subscription",$J319="",$I319="",$J319=0,$I319=0,$I319&gt;$J319),"",$J319-$I319)</f>
        <v/>
      </c>
      <c r="Y319" s="381">
        <f>IF(OR($A319="",$U319="Subscription",$J319="",$J319=0,$X319=""),"",$X319/$J319)</f>
        <v/>
      </c>
    </row>
    <row r="320" ht="21" customHeight="1" s="270">
      <c r="A320" s="297" t="n"/>
      <c r="B320" s="298" t="n"/>
      <c r="C320" s="298" t="n"/>
      <c r="D320" s="297" t="n"/>
      <c r="E320" s="349" t="n"/>
      <c r="F320" s="349" t="n"/>
      <c r="G320" s="349" t="n"/>
      <c r="H320" s="349" t="n"/>
      <c r="I320" s="382" t="n"/>
      <c r="J320" s="383" t="n"/>
      <c r="K320" s="351" t="n"/>
      <c r="L320" s="296" t="n"/>
      <c r="M320" s="349" t="n"/>
      <c r="N320" s="349">
        <f>IF($A320="","",IF(OR(LOWER($D320&amp;"")="n/a",ISNUMBER(SEARCH("subscription",LOWER($A320&amp;" "&amp;$M320&amp;""))),ISNUMBER(SEARCH("membership",LOWER($A320&amp;" "&amp;$M320&amp;"")))),"",IF($G320="","",IF(ISNUMBER(SEARCH("non",LOWER($E320&amp;""))),$G320*0.85,$G320))))</f>
        <v/>
      </c>
      <c r="O320" s="349">
        <f>IF($A320="","",IF(OR(LOWER($D320&amp;"")="n/a",ISNUMBER(SEARCH("subscription",LOWER($A320&amp;" "&amp;$M320&amp;""))),ISNUMBER(SEARCH("membership",LOWER($A320&amp;" "&amp;$M320&amp;"")))),"",IF(OR($N320="",$I320="",$I320=0),"",$N320/$I320)))</f>
        <v/>
      </c>
      <c r="P320" s="349">
        <f>IF($A320="","",IF(OR(LOWER($D320&amp;"")="n/a",ISNUMBER(SEARCH("subscription",LOWER($A320&amp;" "&amp;$M320&amp;""))),ISNUMBER(SEARCH("membership",LOWER($A320&amp;" "&amp;$M320&amp;"")))),"",IF(LOWER($L320&amp;"")="yes",0,IF($K320&lt;&gt;"",$K320,IF($O320&lt;&gt;"",$O320,"")))))</f>
        <v/>
      </c>
      <c r="Q320" s="351">
        <f>IF($A320="","",IF($U320="Subscription","",IF($U320="Profit",$P320-$H320,0)))</f>
        <v/>
      </c>
      <c r="R320" s="349">
        <f>IF($A320="","",IF($U320="Subscription","",IF($U320="Draw",$H320,0)))</f>
        <v/>
      </c>
      <c r="S320" s="349">
        <f>IF($A320="","",IF($U320="Subscription","",IF($U320="Disqualified",$H320,0)))</f>
        <v/>
      </c>
      <c r="T320" s="380">
        <f>IF($A320="","",IF($U320="Subscription","",IF($H320=0,IF($U320="Profit","N/A",0),IF($U320="Profit",$Q320/$H320,IF($U320="Disqualified",-1,0)))))</f>
        <v/>
      </c>
      <c r="U320" s="351">
        <f>IF($A320="","",IF(OR(LOWER($D320&amp;"")="n/a",ISNUMBER(SEARCH("subscription",LOWER($A320&amp;" "&amp;$M320&amp;""))),ISNUMBER(SEARCH("membership",LOWER($A320&amp;" "&amp;$M320&amp;"")))),"Subscription",IF(LOWER($L320&amp;"")="yes","Disqualified",IF($P320&gt;$H320,"Profit","Draw"))))</f>
        <v/>
      </c>
      <c r="V320" s="383">
        <f>IF(OR($A320="",$B320="",$C320="",$U320="Subscription"),"",IFERROR(ROUNDUP((IF(ISNUMBER($C320),$C320,DATEVALUE($C320))-IF(ISNUMBER($B320),$B320,DATEVALUE($B320)))/7,0),""))</f>
        <v/>
      </c>
      <c r="W320" s="351">
        <f>IF($U320="Subscription","",$Q320-$S320)</f>
        <v/>
      </c>
      <c r="X320" s="384">
        <f>IF(OR($A320="",$U320="Subscription",$J320="",$I320="",$J320=0,$I320=0,$I320&gt;$J320),"",$J320-$I320)</f>
        <v/>
      </c>
      <c r="Y320" s="381">
        <f>IF(OR($A320="",$U320="Subscription",$J320="",$J320=0,$X320=""),"",$X320/$J320)</f>
        <v/>
      </c>
    </row>
    <row r="321" ht="21" customHeight="1" s="270">
      <c r="A321" s="297" t="n"/>
      <c r="B321" s="298" t="n"/>
      <c r="C321" s="298" t="n"/>
      <c r="D321" s="297" t="n"/>
      <c r="E321" s="349" t="n"/>
      <c r="F321" s="349" t="n"/>
      <c r="G321" s="349" t="n"/>
      <c r="H321" s="349" t="n"/>
      <c r="I321" s="382" t="n"/>
      <c r="J321" s="383" t="n"/>
      <c r="K321" s="351" t="n"/>
      <c r="L321" s="296" t="n"/>
      <c r="M321" s="349" t="n"/>
      <c r="N321" s="349">
        <f>IF($A321="","",IF(OR(LOWER($D321&amp;"")="n/a",ISNUMBER(SEARCH("subscription",LOWER($A321&amp;" "&amp;$M321&amp;""))),ISNUMBER(SEARCH("membership",LOWER($A321&amp;" "&amp;$M321&amp;"")))),"",IF($G321="","",IF(ISNUMBER(SEARCH("non",LOWER($E321&amp;""))),$G321*0.85,$G321))))</f>
        <v/>
      </c>
      <c r="O321" s="349">
        <f>IF($A321="","",IF(OR(LOWER($D321&amp;"")="n/a",ISNUMBER(SEARCH("subscription",LOWER($A321&amp;" "&amp;$M321&amp;""))),ISNUMBER(SEARCH("membership",LOWER($A321&amp;" "&amp;$M321&amp;"")))),"",IF(OR($N321="",$I321="",$I321=0),"",$N321/$I321)))</f>
        <v/>
      </c>
      <c r="P321" s="349">
        <f>IF($A321="","",IF(OR(LOWER($D321&amp;"")="n/a",ISNUMBER(SEARCH("subscription",LOWER($A321&amp;" "&amp;$M321&amp;""))),ISNUMBER(SEARCH("membership",LOWER($A321&amp;" "&amp;$M321&amp;"")))),"",IF(LOWER($L321&amp;"")="yes",0,IF($K321&lt;&gt;"",$K321,IF($O321&lt;&gt;"",$O321,"")))))</f>
        <v/>
      </c>
      <c r="Q321" s="351">
        <f>IF($A321="","",IF($U321="Subscription","",IF($U321="Profit",$P321-$H321,0)))</f>
        <v/>
      </c>
      <c r="R321" s="349">
        <f>IF($A321="","",IF($U321="Subscription","",IF($U321="Draw",$H321,0)))</f>
        <v/>
      </c>
      <c r="S321" s="349">
        <f>IF($A321="","",IF($U321="Subscription","",IF($U321="Disqualified",$H321,0)))</f>
        <v/>
      </c>
      <c r="T321" s="380">
        <f>IF($A321="","",IF($U321="Subscription","",IF($H321=0,IF($U321="Profit","N/A",0),IF($U321="Profit",$Q321/$H321,IF($U321="Disqualified",-1,0)))))</f>
        <v/>
      </c>
      <c r="U321" s="351">
        <f>IF($A321="","",IF(OR(LOWER($D321&amp;"")="n/a",ISNUMBER(SEARCH("subscription",LOWER($A321&amp;" "&amp;$M321&amp;""))),ISNUMBER(SEARCH("membership",LOWER($A321&amp;" "&amp;$M321&amp;"")))),"Subscription",IF(LOWER($L321&amp;"")="yes","Disqualified",IF($P321&gt;$H321,"Profit","Draw"))))</f>
        <v/>
      </c>
      <c r="V321" s="383">
        <f>IF(OR($A321="",$B321="",$C321="",$U321="Subscription"),"",IFERROR(ROUNDUP((IF(ISNUMBER($C321),$C321,DATEVALUE($C321))-IF(ISNUMBER($B321),$B321,DATEVALUE($B321)))/7,0),""))</f>
        <v/>
      </c>
      <c r="W321" s="351">
        <f>IF($U321="Subscription","",$Q321-$S321)</f>
        <v/>
      </c>
      <c r="X321" s="384">
        <f>IF(OR($A321="",$U321="Subscription",$J321="",$I321="",$J321=0,$I321=0,$I321&gt;$J321),"",$J321-$I321)</f>
        <v/>
      </c>
      <c r="Y321" s="381">
        <f>IF(OR($A321="",$U321="Subscription",$J321="",$J321=0,$X321=""),"",$X321/$J321)</f>
        <v/>
      </c>
    </row>
    <row r="322" ht="21" customHeight="1" s="270">
      <c r="A322" s="297" t="n"/>
      <c r="B322" s="298" t="n"/>
      <c r="C322" s="298" t="n"/>
      <c r="D322" s="297" t="n"/>
      <c r="E322" s="349" t="n"/>
      <c r="F322" s="349" t="n"/>
      <c r="G322" s="349" t="n"/>
      <c r="H322" s="349" t="n"/>
      <c r="I322" s="382" t="n"/>
      <c r="J322" s="383" t="n"/>
      <c r="K322" s="351" t="n"/>
      <c r="L322" s="296" t="n"/>
      <c r="M322" s="349" t="n"/>
      <c r="N322" s="349">
        <f>IF($A322="","",IF(OR(LOWER($D322&amp;"")="n/a",ISNUMBER(SEARCH("subscription",LOWER($A322&amp;" "&amp;$M322&amp;""))),ISNUMBER(SEARCH("membership",LOWER($A322&amp;" "&amp;$M322&amp;"")))),"",IF($G322="","",IF(ISNUMBER(SEARCH("non",LOWER($E322&amp;""))),$G322*0.85,$G322))))</f>
        <v/>
      </c>
      <c r="O322" s="349">
        <f>IF($A322="","",IF(OR(LOWER($D322&amp;"")="n/a",ISNUMBER(SEARCH("subscription",LOWER($A322&amp;" "&amp;$M322&amp;""))),ISNUMBER(SEARCH("membership",LOWER($A322&amp;" "&amp;$M322&amp;"")))),"",IF(OR($N322="",$I322="",$I322=0),"",$N322/$I322)))</f>
        <v/>
      </c>
      <c r="P322" s="349">
        <f>IF($A322="","",IF(OR(LOWER($D322&amp;"")="n/a",ISNUMBER(SEARCH("subscription",LOWER($A322&amp;" "&amp;$M322&amp;""))),ISNUMBER(SEARCH("membership",LOWER($A322&amp;" "&amp;$M322&amp;"")))),"",IF(LOWER($L322&amp;"")="yes",0,IF($K322&lt;&gt;"",$K322,IF($O322&lt;&gt;"",$O322,"")))))</f>
        <v/>
      </c>
      <c r="Q322" s="351">
        <f>IF($A322="","",IF($U322="Subscription","",IF($U322="Profit",$P322-$H322,0)))</f>
        <v/>
      </c>
      <c r="R322" s="349">
        <f>IF($A322="","",IF($U322="Subscription","",IF($U322="Draw",$H322,0)))</f>
        <v/>
      </c>
      <c r="S322" s="349">
        <f>IF($A322="","",IF($U322="Subscription","",IF($U322="Disqualified",$H322,0)))</f>
        <v/>
      </c>
      <c r="T322" s="380">
        <f>IF($A322="","",IF($U322="Subscription","",IF($H322=0,IF($U322="Profit","N/A",0),IF($U322="Profit",$Q322/$H322,IF($U322="Disqualified",-1,0)))))</f>
        <v/>
      </c>
      <c r="U322" s="351">
        <f>IF($A322="","",IF(OR(LOWER($D322&amp;"")="n/a",ISNUMBER(SEARCH("subscription",LOWER($A322&amp;" "&amp;$M322&amp;""))),ISNUMBER(SEARCH("membership",LOWER($A322&amp;" "&amp;$M322&amp;"")))),"Subscription",IF(LOWER($L322&amp;"")="yes","Disqualified",IF($P322&gt;$H322,"Profit","Draw"))))</f>
        <v/>
      </c>
      <c r="V322" s="383">
        <f>IF(OR($A322="",$B322="",$C322="",$U322="Subscription"),"",IFERROR(ROUNDUP((IF(ISNUMBER($C322),$C322,DATEVALUE($C322))-IF(ISNUMBER($B322),$B322,DATEVALUE($B322)))/7,0),""))</f>
        <v/>
      </c>
      <c r="W322" s="351">
        <f>IF($U322="Subscription","",$Q322-$S322)</f>
        <v/>
      </c>
      <c r="X322" s="384">
        <f>IF(OR($A322="",$U322="Subscription",$J322="",$I322="",$J322=0,$I322=0,$I322&gt;$J322),"",$J322-$I322)</f>
        <v/>
      </c>
      <c r="Y322" s="381">
        <f>IF(OR($A322="",$U322="Subscription",$J322="",$J322=0,$X322=""),"",$X322/$J322)</f>
        <v/>
      </c>
    </row>
    <row r="323" ht="21" customHeight="1" s="270">
      <c r="A323" s="297" t="n"/>
      <c r="B323" s="298" t="n"/>
      <c r="C323" s="298" t="n"/>
      <c r="D323" s="297" t="n"/>
      <c r="E323" s="349" t="n"/>
      <c r="F323" s="349" t="n"/>
      <c r="G323" s="349" t="n"/>
      <c r="H323" s="349" t="n"/>
      <c r="I323" s="382" t="n"/>
      <c r="J323" s="383" t="n"/>
      <c r="K323" s="351" t="n"/>
      <c r="L323" s="296" t="n"/>
      <c r="M323" s="349" t="n"/>
      <c r="N323" s="349">
        <f>IF($A323="","",IF(OR(LOWER($D323&amp;"")="n/a",ISNUMBER(SEARCH("subscription",LOWER($A323&amp;" "&amp;$M323&amp;""))),ISNUMBER(SEARCH("membership",LOWER($A323&amp;" "&amp;$M323&amp;"")))),"",IF($G323="","",IF(ISNUMBER(SEARCH("non",LOWER($E323&amp;""))),$G323*0.85,$G323))))</f>
        <v/>
      </c>
      <c r="O323" s="349">
        <f>IF($A323="","",IF(OR(LOWER($D323&amp;"")="n/a",ISNUMBER(SEARCH("subscription",LOWER($A323&amp;" "&amp;$M323&amp;""))),ISNUMBER(SEARCH("membership",LOWER($A323&amp;" "&amp;$M323&amp;"")))),"",IF(OR($N323="",$I323="",$I323=0),"",$N323/$I323)))</f>
        <v/>
      </c>
      <c r="P323" s="349">
        <f>IF($A323="","",IF(OR(LOWER($D323&amp;"")="n/a",ISNUMBER(SEARCH("subscription",LOWER($A323&amp;" "&amp;$M323&amp;""))),ISNUMBER(SEARCH("membership",LOWER($A323&amp;" "&amp;$M323&amp;"")))),"",IF(LOWER($L323&amp;"")="yes",0,IF($K323&lt;&gt;"",$K323,IF($O323&lt;&gt;"",$O323,"")))))</f>
        <v/>
      </c>
      <c r="Q323" s="351">
        <f>IF($A323="","",IF($U323="Subscription","",IF($U323="Profit",$P323-$H323,0)))</f>
        <v/>
      </c>
      <c r="R323" s="349">
        <f>IF($A323="","",IF($U323="Subscription","",IF($U323="Draw",$H323,0)))</f>
        <v/>
      </c>
      <c r="S323" s="349">
        <f>IF($A323="","",IF($U323="Subscription","",IF($U323="Disqualified",$H323,0)))</f>
        <v/>
      </c>
      <c r="T323" s="380">
        <f>IF($A323="","",IF($U323="Subscription","",IF($H323=0,IF($U323="Profit","N/A",0),IF($U323="Profit",$Q323/$H323,IF($U323="Disqualified",-1,0)))))</f>
        <v/>
      </c>
      <c r="U323" s="351">
        <f>IF($A323="","",IF(OR(LOWER($D323&amp;"")="n/a",ISNUMBER(SEARCH("subscription",LOWER($A323&amp;" "&amp;$M323&amp;""))),ISNUMBER(SEARCH("membership",LOWER($A323&amp;" "&amp;$M323&amp;"")))),"Subscription",IF(LOWER($L323&amp;"")="yes","Disqualified",IF($P323&gt;$H323,"Profit","Draw"))))</f>
        <v/>
      </c>
      <c r="V323" s="383">
        <f>IF(OR($A323="",$B323="",$C323="",$U323="Subscription"),"",IFERROR(ROUNDUP((IF(ISNUMBER($C323),$C323,DATEVALUE($C323))-IF(ISNUMBER($B323),$B323,DATEVALUE($B323)))/7,0),""))</f>
        <v/>
      </c>
      <c r="W323" s="351">
        <f>IF($U323="Subscription","",$Q323-$S323)</f>
        <v/>
      </c>
      <c r="X323" s="384">
        <f>IF(OR($A323="",$U323="Subscription",$J323="",$I323="",$J323=0,$I323=0,$I323&gt;$J323),"",$J323-$I323)</f>
        <v/>
      </c>
      <c r="Y323" s="381">
        <f>IF(OR($A323="",$U323="Subscription",$J323="",$J323=0,$X323=""),"",$X323/$J323)</f>
        <v/>
      </c>
    </row>
    <row r="324" ht="21" customHeight="1" s="270">
      <c r="A324" s="297" t="n"/>
      <c r="B324" s="298" t="n"/>
      <c r="C324" s="298" t="n"/>
      <c r="D324" s="297" t="n"/>
      <c r="E324" s="349" t="n"/>
      <c r="F324" s="349" t="n"/>
      <c r="G324" s="349" t="n"/>
      <c r="H324" s="349" t="n"/>
      <c r="I324" s="382" t="n"/>
      <c r="J324" s="383" t="n"/>
      <c r="K324" s="351" t="n"/>
      <c r="L324" s="296" t="n"/>
      <c r="M324" s="349" t="n"/>
      <c r="N324" s="349">
        <f>IF($A324="","",IF(OR(LOWER($D324&amp;"")="n/a",ISNUMBER(SEARCH("subscription",LOWER($A324&amp;" "&amp;$M324&amp;""))),ISNUMBER(SEARCH("membership",LOWER($A324&amp;" "&amp;$M324&amp;"")))),"",IF($G324="","",IF(ISNUMBER(SEARCH("non",LOWER($E324&amp;""))),$G324*0.85,$G324))))</f>
        <v/>
      </c>
      <c r="O324" s="349">
        <f>IF($A324="","",IF(OR(LOWER($D324&amp;"")="n/a",ISNUMBER(SEARCH("subscription",LOWER($A324&amp;" "&amp;$M324&amp;""))),ISNUMBER(SEARCH("membership",LOWER($A324&amp;" "&amp;$M324&amp;"")))),"",IF(OR($N324="",$I324="",$I324=0),"",$N324/$I324)))</f>
        <v/>
      </c>
      <c r="P324" s="349">
        <f>IF($A324="","",IF(OR(LOWER($D324&amp;"")="n/a",ISNUMBER(SEARCH("subscription",LOWER($A324&amp;" "&amp;$M324&amp;""))),ISNUMBER(SEARCH("membership",LOWER($A324&amp;" "&amp;$M324&amp;"")))),"",IF(LOWER($L324&amp;"")="yes",0,IF($K324&lt;&gt;"",$K324,IF($O324&lt;&gt;"",$O324,"")))))</f>
        <v/>
      </c>
      <c r="Q324" s="351">
        <f>IF($A324="","",IF($U324="Subscription","",IF($U324="Profit",$P324-$H324,0)))</f>
        <v/>
      </c>
      <c r="R324" s="349">
        <f>IF($A324="","",IF($U324="Subscription","",IF($U324="Draw",$H324,0)))</f>
        <v/>
      </c>
      <c r="S324" s="349">
        <f>IF($A324="","",IF($U324="Subscription","",IF($U324="Disqualified",$H324,0)))</f>
        <v/>
      </c>
      <c r="T324" s="380">
        <f>IF($A324="","",IF($U324="Subscription","",IF($H324=0,IF($U324="Profit","N/A",0),IF($U324="Profit",$Q324/$H324,IF($U324="Disqualified",-1,0)))))</f>
        <v/>
      </c>
      <c r="U324" s="351">
        <f>IF($A324="","",IF(OR(LOWER($D324&amp;"")="n/a",ISNUMBER(SEARCH("subscription",LOWER($A324&amp;" "&amp;$M324&amp;""))),ISNUMBER(SEARCH("membership",LOWER($A324&amp;" "&amp;$M324&amp;"")))),"Subscription",IF(LOWER($L324&amp;"")="yes","Disqualified",IF($P324&gt;$H324,"Profit","Draw"))))</f>
        <v/>
      </c>
      <c r="V324" s="383">
        <f>IF(OR($A324="",$B324="",$C324="",$U324="Subscription"),"",IFERROR(ROUNDUP((IF(ISNUMBER($C324),$C324,DATEVALUE($C324))-IF(ISNUMBER($B324),$B324,DATEVALUE($B324)))/7,0),""))</f>
        <v/>
      </c>
      <c r="W324" s="351">
        <f>IF($U324="Subscription","",$Q324-$S324)</f>
        <v/>
      </c>
      <c r="X324" s="384">
        <f>IF(OR($A324="",$U324="Subscription",$J324="",$I324="",$J324=0,$I324=0,$I324&gt;$J324),"",$J324-$I324)</f>
        <v/>
      </c>
      <c r="Y324" s="381">
        <f>IF(OR($A324="",$U324="Subscription",$J324="",$J324=0,$X324=""),"",$X324/$J324)</f>
        <v/>
      </c>
    </row>
    <row r="325" ht="21" customHeight="1" s="270">
      <c r="A325" s="297" t="n"/>
      <c r="B325" s="298" t="n"/>
      <c r="C325" s="298" t="n"/>
      <c r="D325" s="297" t="n"/>
      <c r="E325" s="349" t="n"/>
      <c r="F325" s="349" t="n"/>
      <c r="G325" s="349" t="n"/>
      <c r="H325" s="349" t="n"/>
      <c r="I325" s="382" t="n"/>
      <c r="J325" s="383" t="n"/>
      <c r="K325" s="351" t="n"/>
      <c r="L325" s="296" t="n"/>
      <c r="M325" s="349" t="n"/>
      <c r="N325" s="349">
        <f>IF($A325="","",IF(OR(LOWER($D325&amp;"")="n/a",ISNUMBER(SEARCH("subscription",LOWER($A325&amp;" "&amp;$M325&amp;""))),ISNUMBER(SEARCH("membership",LOWER($A325&amp;" "&amp;$M325&amp;"")))),"",IF($G325="","",IF(ISNUMBER(SEARCH("non",LOWER($E325&amp;""))),$G325*0.85,$G325))))</f>
        <v/>
      </c>
      <c r="O325" s="349">
        <f>IF($A325="","",IF(OR(LOWER($D325&amp;"")="n/a",ISNUMBER(SEARCH("subscription",LOWER($A325&amp;" "&amp;$M325&amp;""))),ISNUMBER(SEARCH("membership",LOWER($A325&amp;" "&amp;$M325&amp;"")))),"",IF(OR($N325="",$I325="",$I325=0),"",$N325/$I325)))</f>
        <v/>
      </c>
      <c r="P325" s="349">
        <f>IF($A325="","",IF(OR(LOWER($D325&amp;"")="n/a",ISNUMBER(SEARCH("subscription",LOWER($A325&amp;" "&amp;$M325&amp;""))),ISNUMBER(SEARCH("membership",LOWER($A325&amp;" "&amp;$M325&amp;"")))),"",IF(LOWER($L325&amp;"")="yes",0,IF($K325&lt;&gt;"",$K325,IF($O325&lt;&gt;"",$O325,"")))))</f>
        <v/>
      </c>
      <c r="Q325" s="351">
        <f>IF($A325="","",IF($U325="Subscription","",IF($U325="Profit",$P325-$H325,0)))</f>
        <v/>
      </c>
      <c r="R325" s="349">
        <f>IF($A325="","",IF($U325="Subscription","",IF($U325="Draw",$H325,0)))</f>
        <v/>
      </c>
      <c r="S325" s="349">
        <f>IF($A325="","",IF($U325="Subscription","",IF($U325="Disqualified",$H325,0)))</f>
        <v/>
      </c>
      <c r="T325" s="380">
        <f>IF($A325="","",IF($U325="Subscription","",IF($H325=0,IF($U325="Profit","N/A",0),IF($U325="Profit",$Q325/$H325,IF($U325="Disqualified",-1,0)))))</f>
        <v/>
      </c>
      <c r="U325" s="351">
        <f>IF($A325="","",IF(OR(LOWER($D325&amp;"")="n/a",ISNUMBER(SEARCH("subscription",LOWER($A325&amp;" "&amp;$M325&amp;""))),ISNUMBER(SEARCH("membership",LOWER($A325&amp;" "&amp;$M325&amp;"")))),"Subscription",IF(LOWER($L325&amp;"")="yes","Disqualified",IF($P325&gt;$H325,"Profit","Draw"))))</f>
        <v/>
      </c>
      <c r="V325" s="383">
        <f>IF(OR($A325="",$B325="",$C325="",$U325="Subscription"),"",IFERROR(ROUNDUP((IF(ISNUMBER($C325),$C325,DATEVALUE($C325))-IF(ISNUMBER($B325),$B325,DATEVALUE($B325)))/7,0),""))</f>
        <v/>
      </c>
      <c r="W325" s="351">
        <f>IF($U325="Subscription","",$Q325-$S325)</f>
        <v/>
      </c>
      <c r="X325" s="384">
        <f>IF(OR($A325="",$U325="Subscription",$J325="",$I325="",$J325=0,$I325=0,$I325&gt;$J325),"",$J325-$I325)</f>
        <v/>
      </c>
      <c r="Y325" s="381">
        <f>IF(OR($A325="",$U325="Subscription",$J325="",$J325=0,$X325=""),"",$X325/$J325)</f>
        <v/>
      </c>
    </row>
    <row r="326" ht="21" customHeight="1" s="270">
      <c r="A326" s="297" t="n"/>
      <c r="B326" s="298" t="n"/>
      <c r="C326" s="298" t="n"/>
      <c r="D326" s="297" t="n"/>
      <c r="E326" s="349" t="n"/>
      <c r="F326" s="349" t="n"/>
      <c r="G326" s="349" t="n"/>
      <c r="H326" s="349" t="n"/>
      <c r="I326" s="382" t="n"/>
      <c r="J326" s="383" t="n"/>
      <c r="K326" s="351" t="n"/>
      <c r="L326" s="296" t="n"/>
      <c r="M326" s="349" t="n"/>
      <c r="N326" s="349">
        <f>IF($A326="","",IF(OR(LOWER($D326&amp;"")="n/a",ISNUMBER(SEARCH("subscription",LOWER($A326&amp;" "&amp;$M326&amp;""))),ISNUMBER(SEARCH("membership",LOWER($A326&amp;" "&amp;$M326&amp;"")))),"",IF($G326="","",IF(ISNUMBER(SEARCH("non",LOWER($E326&amp;""))),$G326*0.85,$G326))))</f>
        <v/>
      </c>
      <c r="O326" s="349">
        <f>IF($A326="","",IF(OR(LOWER($D326&amp;"")="n/a",ISNUMBER(SEARCH("subscription",LOWER($A326&amp;" "&amp;$M326&amp;""))),ISNUMBER(SEARCH("membership",LOWER($A326&amp;" "&amp;$M326&amp;"")))),"",IF(OR($N326="",$I326="",$I326=0),"",$N326/$I326)))</f>
        <v/>
      </c>
      <c r="P326" s="349">
        <f>IF($A326="","",IF(OR(LOWER($D326&amp;"")="n/a",ISNUMBER(SEARCH("subscription",LOWER($A326&amp;" "&amp;$M326&amp;""))),ISNUMBER(SEARCH("membership",LOWER($A326&amp;" "&amp;$M326&amp;"")))),"",IF(LOWER($L326&amp;"")="yes",0,IF($K326&lt;&gt;"",$K326,IF($O326&lt;&gt;"",$O326,"")))))</f>
        <v/>
      </c>
      <c r="Q326" s="351">
        <f>IF($A326="","",IF($U326="Subscription","",IF($U326="Profit",$P326-$H326,0)))</f>
        <v/>
      </c>
      <c r="R326" s="349">
        <f>IF($A326="","",IF($U326="Subscription","",IF($U326="Draw",$H326,0)))</f>
        <v/>
      </c>
      <c r="S326" s="349">
        <f>IF($A326="","",IF($U326="Subscription","",IF($U326="Disqualified",$H326,0)))</f>
        <v/>
      </c>
      <c r="T326" s="380">
        <f>IF($A326="","",IF($U326="Subscription","",IF($H326=0,IF($U326="Profit","N/A",0),IF($U326="Profit",$Q326/$H326,IF($U326="Disqualified",-1,0)))))</f>
        <v/>
      </c>
      <c r="U326" s="351">
        <f>IF($A326="","",IF(OR(LOWER($D326&amp;"")="n/a",ISNUMBER(SEARCH("subscription",LOWER($A326&amp;" "&amp;$M326&amp;""))),ISNUMBER(SEARCH("membership",LOWER($A326&amp;" "&amp;$M326&amp;"")))),"Subscription",IF(LOWER($L326&amp;"")="yes","Disqualified",IF($P326&gt;$H326,"Profit","Draw"))))</f>
        <v/>
      </c>
      <c r="V326" s="383">
        <f>IF(OR($A326="",$B326="",$C326="",$U326="Subscription"),"",IFERROR(ROUNDUP((IF(ISNUMBER($C326),$C326,DATEVALUE($C326))-IF(ISNUMBER($B326),$B326,DATEVALUE($B326)))/7,0),""))</f>
        <v/>
      </c>
      <c r="W326" s="351">
        <f>IF($U326="Subscription","",$Q326-$S326)</f>
        <v/>
      </c>
      <c r="X326" s="384">
        <f>IF(OR($A326="",$U326="Subscription",$J326="",$I326="",$J326=0,$I326=0,$I326&gt;$J326),"",$J326-$I326)</f>
        <v/>
      </c>
      <c r="Y326" s="381">
        <f>IF(OR($A326="",$U326="Subscription",$J326="",$J326=0,$X326=""),"",$X326/$J326)</f>
        <v/>
      </c>
    </row>
    <row r="327" ht="21" customHeight="1" s="270">
      <c r="A327" s="297" t="n"/>
      <c r="B327" s="298" t="n"/>
      <c r="C327" s="298" t="n"/>
      <c r="D327" s="297" t="n"/>
      <c r="E327" s="349" t="n"/>
      <c r="F327" s="349" t="n"/>
      <c r="G327" s="349" t="n"/>
      <c r="H327" s="349" t="n"/>
      <c r="I327" s="382" t="n"/>
      <c r="J327" s="383" t="n"/>
      <c r="K327" s="351" t="n"/>
      <c r="L327" s="296" t="n"/>
      <c r="M327" s="349" t="n"/>
      <c r="N327" s="349">
        <f>IF($A327="","",IF(OR(LOWER($D327&amp;"")="n/a",ISNUMBER(SEARCH("subscription",LOWER($A327&amp;" "&amp;$M327&amp;""))),ISNUMBER(SEARCH("membership",LOWER($A327&amp;" "&amp;$M327&amp;"")))),"",IF($G327="","",IF(ISNUMBER(SEARCH("non",LOWER($E327&amp;""))),$G327*0.85,$G327))))</f>
        <v/>
      </c>
      <c r="O327" s="349">
        <f>IF($A327="","",IF(OR(LOWER($D327&amp;"")="n/a",ISNUMBER(SEARCH("subscription",LOWER($A327&amp;" "&amp;$M327&amp;""))),ISNUMBER(SEARCH("membership",LOWER($A327&amp;" "&amp;$M327&amp;"")))),"",IF(OR($N327="",$I327="",$I327=0),"",$N327/$I327)))</f>
        <v/>
      </c>
      <c r="P327" s="349">
        <f>IF($A327="","",IF(OR(LOWER($D327&amp;"")="n/a",ISNUMBER(SEARCH("subscription",LOWER($A327&amp;" "&amp;$M327&amp;""))),ISNUMBER(SEARCH("membership",LOWER($A327&amp;" "&amp;$M327&amp;"")))),"",IF(LOWER($L327&amp;"")="yes",0,IF($K327&lt;&gt;"",$K327,IF($O327&lt;&gt;"",$O327,"")))))</f>
        <v/>
      </c>
      <c r="Q327" s="351">
        <f>IF($A327="","",IF($U327="Subscription","",IF($U327="Profit",$P327-$H327,0)))</f>
        <v/>
      </c>
      <c r="R327" s="349">
        <f>IF($A327="","",IF($U327="Subscription","",IF($U327="Draw",$H327,0)))</f>
        <v/>
      </c>
      <c r="S327" s="349">
        <f>IF($A327="","",IF($U327="Subscription","",IF($U327="Disqualified",$H327,0)))</f>
        <v/>
      </c>
      <c r="T327" s="380">
        <f>IF($A327="","",IF($U327="Subscription","",IF($H327=0,IF($U327="Profit","N/A",0),IF($U327="Profit",$Q327/$H327,IF($U327="Disqualified",-1,0)))))</f>
        <v/>
      </c>
      <c r="U327" s="351">
        <f>IF($A327="","",IF(OR(LOWER($D327&amp;"")="n/a",ISNUMBER(SEARCH("subscription",LOWER($A327&amp;" "&amp;$M327&amp;""))),ISNUMBER(SEARCH("membership",LOWER($A327&amp;" "&amp;$M327&amp;"")))),"Subscription",IF(LOWER($L327&amp;"")="yes","Disqualified",IF($P327&gt;$H327,"Profit","Draw"))))</f>
        <v/>
      </c>
      <c r="V327" s="383">
        <f>IF(OR($A327="",$B327="",$C327="",$U327="Subscription"),"",IFERROR(ROUNDUP((IF(ISNUMBER($C327),$C327,DATEVALUE($C327))-IF(ISNUMBER($B327),$B327,DATEVALUE($B327)))/7,0),""))</f>
        <v/>
      </c>
      <c r="W327" s="351">
        <f>IF($U327="Subscription","",$Q327-$S327)</f>
        <v/>
      </c>
      <c r="X327" s="384">
        <f>IF(OR($A327="",$U327="Subscription",$J327="",$I327="",$J327=0,$I327=0,$I327&gt;$J327),"",$J327-$I327)</f>
        <v/>
      </c>
      <c r="Y327" s="381">
        <f>IF(OR($A327="",$U327="Subscription",$J327="",$J327=0,$X327=""),"",$X327/$J327)</f>
        <v/>
      </c>
    </row>
    <row r="328" ht="21" customHeight="1" s="270">
      <c r="A328" s="297" t="n"/>
      <c r="B328" s="298" t="n"/>
      <c r="C328" s="298" t="n"/>
      <c r="D328" s="297" t="n"/>
      <c r="E328" s="349" t="n"/>
      <c r="F328" s="349" t="n"/>
      <c r="G328" s="349" t="n"/>
      <c r="H328" s="349" t="n"/>
      <c r="I328" s="382" t="n"/>
      <c r="J328" s="383" t="n"/>
      <c r="K328" s="351" t="n"/>
      <c r="L328" s="296" t="n"/>
      <c r="M328" s="349" t="n"/>
      <c r="N328" s="349">
        <f>IF($A328="","",IF(OR(LOWER($D328&amp;"")="n/a",ISNUMBER(SEARCH("subscription",LOWER($A328&amp;" "&amp;$M328&amp;""))),ISNUMBER(SEARCH("membership",LOWER($A328&amp;" "&amp;$M328&amp;"")))),"",IF($G328="","",IF(ISNUMBER(SEARCH("non",LOWER($E328&amp;""))),$G328*0.85,$G328))))</f>
        <v/>
      </c>
      <c r="O328" s="349">
        <f>IF($A328="","",IF(OR(LOWER($D328&amp;"")="n/a",ISNUMBER(SEARCH("subscription",LOWER($A328&amp;" "&amp;$M328&amp;""))),ISNUMBER(SEARCH("membership",LOWER($A328&amp;" "&amp;$M328&amp;"")))),"",IF(OR($N328="",$I328="",$I328=0),"",$N328/$I328)))</f>
        <v/>
      </c>
      <c r="P328" s="349">
        <f>IF($A328="","",IF(OR(LOWER($D328&amp;"")="n/a",ISNUMBER(SEARCH("subscription",LOWER($A328&amp;" "&amp;$M328&amp;""))),ISNUMBER(SEARCH("membership",LOWER($A328&amp;" "&amp;$M328&amp;"")))),"",IF(LOWER($L328&amp;"")="yes",0,IF($K328&lt;&gt;"",$K328,IF($O328&lt;&gt;"",$O328,"")))))</f>
        <v/>
      </c>
      <c r="Q328" s="351">
        <f>IF($A328="","",IF($U328="Subscription","",IF($U328="Profit",$P328-$H328,0)))</f>
        <v/>
      </c>
      <c r="R328" s="349">
        <f>IF($A328="","",IF($U328="Subscription","",IF($U328="Draw",$H328,0)))</f>
        <v/>
      </c>
      <c r="S328" s="349">
        <f>IF($A328="","",IF($U328="Subscription","",IF($U328="Disqualified",$H328,0)))</f>
        <v/>
      </c>
      <c r="T328" s="380">
        <f>IF($A328="","",IF($U328="Subscription","",IF($H328=0,IF($U328="Profit","N/A",0),IF($U328="Profit",$Q328/$H328,IF($U328="Disqualified",-1,0)))))</f>
        <v/>
      </c>
      <c r="U328" s="351">
        <f>IF($A328="","",IF(OR(LOWER($D328&amp;"")="n/a",ISNUMBER(SEARCH("subscription",LOWER($A328&amp;" "&amp;$M328&amp;""))),ISNUMBER(SEARCH("membership",LOWER($A328&amp;" "&amp;$M328&amp;"")))),"Subscription",IF(LOWER($L328&amp;"")="yes","Disqualified",IF($P328&gt;$H328,"Profit","Draw"))))</f>
        <v/>
      </c>
      <c r="V328" s="383">
        <f>IF(OR($A328="",$B328="",$C328="",$U328="Subscription"),"",IFERROR(ROUNDUP((IF(ISNUMBER($C328),$C328,DATEVALUE($C328))-IF(ISNUMBER($B328),$B328,DATEVALUE($B328)))/7,0),""))</f>
        <v/>
      </c>
      <c r="W328" s="351">
        <f>IF($U328="Subscription","",$Q328-$S328)</f>
        <v/>
      </c>
      <c r="X328" s="384">
        <f>IF(OR($A328="",$U328="Subscription",$J328="",$I328="",$J328=0,$I328=0,$I328&gt;$J328),"",$J328-$I328)</f>
        <v/>
      </c>
      <c r="Y328" s="381">
        <f>IF(OR($A328="",$U328="Subscription",$J328="",$J328=0,$X328=""),"",$X328/$J328)</f>
        <v/>
      </c>
    </row>
    <row r="329" ht="21" customHeight="1" s="270">
      <c r="A329" s="297" t="n"/>
      <c r="B329" s="298" t="n"/>
      <c r="C329" s="298" t="n"/>
      <c r="D329" s="297" t="n"/>
      <c r="E329" s="349" t="n"/>
      <c r="F329" s="349" t="n"/>
      <c r="G329" s="349" t="n"/>
      <c r="H329" s="349" t="n"/>
      <c r="I329" s="382" t="n"/>
      <c r="J329" s="383" t="n"/>
      <c r="K329" s="351" t="n"/>
      <c r="L329" s="296" t="n"/>
      <c r="M329" s="349" t="n"/>
      <c r="N329" s="349">
        <f>IF($A329="","",IF(OR(LOWER($D329&amp;"")="n/a",ISNUMBER(SEARCH("subscription",LOWER($A329&amp;" "&amp;$M329&amp;""))),ISNUMBER(SEARCH("membership",LOWER($A329&amp;" "&amp;$M329&amp;"")))),"",IF($G329="","",IF(ISNUMBER(SEARCH("non",LOWER($E329&amp;""))),$G329*0.85,$G329))))</f>
        <v/>
      </c>
      <c r="O329" s="349">
        <f>IF($A329="","",IF(OR(LOWER($D329&amp;"")="n/a",ISNUMBER(SEARCH("subscription",LOWER($A329&amp;" "&amp;$M329&amp;""))),ISNUMBER(SEARCH("membership",LOWER($A329&amp;" "&amp;$M329&amp;"")))),"",IF(OR($N329="",$I329="",$I329=0),"",$N329/$I329)))</f>
        <v/>
      </c>
      <c r="P329" s="349">
        <f>IF($A329="","",IF(OR(LOWER($D329&amp;"")="n/a",ISNUMBER(SEARCH("subscription",LOWER($A329&amp;" "&amp;$M329&amp;""))),ISNUMBER(SEARCH("membership",LOWER($A329&amp;" "&amp;$M329&amp;"")))),"",IF(LOWER($L329&amp;"")="yes",0,IF($K329&lt;&gt;"",$K329,IF($O329&lt;&gt;"",$O329,"")))))</f>
        <v/>
      </c>
      <c r="Q329" s="351">
        <f>IF($A329="","",IF($U329="Subscription","",IF($U329="Profit",$P329-$H329,0)))</f>
        <v/>
      </c>
      <c r="R329" s="349">
        <f>IF($A329="","",IF($U329="Subscription","",IF($U329="Draw",$H329,0)))</f>
        <v/>
      </c>
      <c r="S329" s="349">
        <f>IF($A329="","",IF($U329="Subscription","",IF($U329="Disqualified",$H329,0)))</f>
        <v/>
      </c>
      <c r="T329" s="380">
        <f>IF($A329="","",IF($U329="Subscription","",IF($H329=0,IF($U329="Profit","N/A",0),IF($U329="Profit",$Q329/$H329,IF($U329="Disqualified",-1,0)))))</f>
        <v/>
      </c>
      <c r="U329" s="351">
        <f>IF($A329="","",IF(OR(LOWER($D329&amp;"")="n/a",ISNUMBER(SEARCH("subscription",LOWER($A329&amp;" "&amp;$M329&amp;""))),ISNUMBER(SEARCH("membership",LOWER($A329&amp;" "&amp;$M329&amp;"")))),"Subscription",IF(LOWER($L329&amp;"")="yes","Disqualified",IF($P329&gt;$H329,"Profit","Draw"))))</f>
        <v/>
      </c>
      <c r="V329" s="383">
        <f>IF(OR($A329="",$B329="",$C329="",$U329="Subscription"),"",IFERROR(ROUNDUP((IF(ISNUMBER($C329),$C329,DATEVALUE($C329))-IF(ISNUMBER($B329),$B329,DATEVALUE($B329)))/7,0),""))</f>
        <v/>
      </c>
      <c r="W329" s="351">
        <f>IF($U329="Subscription","",$Q329-$S329)</f>
        <v/>
      </c>
      <c r="X329" s="384">
        <f>IF(OR($A329="",$U329="Subscription",$J329="",$I329="",$J329=0,$I329=0,$I329&gt;$J329),"",$J329-$I329)</f>
        <v/>
      </c>
      <c r="Y329" s="381">
        <f>IF(OR($A329="",$U329="Subscription",$J329="",$J329=0,$X329=""),"",$X329/$J329)</f>
        <v/>
      </c>
    </row>
    <row r="330" ht="21" customHeight="1" s="270">
      <c r="A330" s="297" t="n"/>
      <c r="B330" s="298" t="n"/>
      <c r="C330" s="298" t="n"/>
      <c r="D330" s="297" t="n"/>
      <c r="E330" s="349" t="n"/>
      <c r="F330" s="349" t="n"/>
      <c r="G330" s="349" t="n"/>
      <c r="H330" s="349" t="n"/>
      <c r="I330" s="382" t="n"/>
      <c r="J330" s="383" t="n"/>
      <c r="K330" s="351" t="n"/>
      <c r="L330" s="296" t="n"/>
      <c r="M330" s="349" t="n"/>
      <c r="N330" s="349">
        <f>IF($A330="","",IF(OR(LOWER($D330&amp;"")="n/a",ISNUMBER(SEARCH("subscription",LOWER($A330&amp;" "&amp;$M330&amp;""))),ISNUMBER(SEARCH("membership",LOWER($A330&amp;" "&amp;$M330&amp;"")))),"",IF($G330="","",IF(ISNUMBER(SEARCH("non",LOWER($E330&amp;""))),$G330*0.85,$G330))))</f>
        <v/>
      </c>
      <c r="O330" s="349">
        <f>IF($A330="","",IF(OR(LOWER($D330&amp;"")="n/a",ISNUMBER(SEARCH("subscription",LOWER($A330&amp;" "&amp;$M330&amp;""))),ISNUMBER(SEARCH("membership",LOWER($A330&amp;" "&amp;$M330&amp;"")))),"",IF(OR($N330="",$I330="",$I330=0),"",$N330/$I330)))</f>
        <v/>
      </c>
      <c r="P330" s="349">
        <f>IF($A330="","",IF(OR(LOWER($D330&amp;"")="n/a",ISNUMBER(SEARCH("subscription",LOWER($A330&amp;" "&amp;$M330&amp;""))),ISNUMBER(SEARCH("membership",LOWER($A330&amp;" "&amp;$M330&amp;"")))),"",IF(LOWER($L330&amp;"")="yes",0,IF($K330&lt;&gt;"",$K330,IF($O330&lt;&gt;"",$O330,"")))))</f>
        <v/>
      </c>
      <c r="Q330" s="351">
        <f>IF($A330="","",IF($U330="Subscription","",IF($U330="Profit",$P330-$H330,0)))</f>
        <v/>
      </c>
      <c r="R330" s="349">
        <f>IF($A330="","",IF($U330="Subscription","",IF($U330="Draw",$H330,0)))</f>
        <v/>
      </c>
      <c r="S330" s="349">
        <f>IF($A330="","",IF($U330="Subscription","",IF($U330="Disqualified",$H330,0)))</f>
        <v/>
      </c>
      <c r="T330" s="380">
        <f>IF($A330="","",IF($U330="Subscription","",IF($H330=0,IF($U330="Profit","N/A",0),IF($U330="Profit",$Q330/$H330,IF($U330="Disqualified",-1,0)))))</f>
        <v/>
      </c>
      <c r="U330" s="351">
        <f>IF($A330="","",IF(OR(LOWER($D330&amp;"")="n/a",ISNUMBER(SEARCH("subscription",LOWER($A330&amp;" "&amp;$M330&amp;""))),ISNUMBER(SEARCH("membership",LOWER($A330&amp;" "&amp;$M330&amp;"")))),"Subscription",IF(LOWER($L330&amp;"")="yes","Disqualified",IF($P330&gt;$H330,"Profit","Draw"))))</f>
        <v/>
      </c>
      <c r="V330" s="383">
        <f>IF(OR($A330="",$B330="",$C330="",$U330="Subscription"),"",IFERROR(ROUNDUP((IF(ISNUMBER($C330),$C330,DATEVALUE($C330))-IF(ISNUMBER($B330),$B330,DATEVALUE($B330)))/7,0),""))</f>
        <v/>
      </c>
      <c r="W330" s="351">
        <f>IF($U330="Subscription","",$Q330-$S330)</f>
        <v/>
      </c>
      <c r="X330" s="384">
        <f>IF(OR($A330="",$U330="Subscription",$J330="",$I330="",$J330=0,$I330=0,$I330&gt;$J330),"",$J330-$I330)</f>
        <v/>
      </c>
      <c r="Y330" s="381">
        <f>IF(OR($A330="",$U330="Subscription",$J330="",$J330=0,$X330=""),"",$X330/$J330)</f>
        <v/>
      </c>
    </row>
    <row r="331" ht="21" customHeight="1" s="270">
      <c r="A331" s="297" t="n"/>
      <c r="B331" s="298" t="n"/>
      <c r="C331" s="298" t="n"/>
      <c r="D331" s="297" t="n"/>
      <c r="E331" s="349" t="n"/>
      <c r="F331" s="349" t="n"/>
      <c r="G331" s="349" t="n"/>
      <c r="H331" s="349" t="n"/>
      <c r="I331" s="382" t="n"/>
      <c r="J331" s="383" t="n"/>
      <c r="K331" s="351" t="n"/>
      <c r="L331" s="296" t="n"/>
      <c r="M331" s="349" t="n"/>
      <c r="N331" s="349">
        <f>IF($A331="","",IF(OR(LOWER($D331&amp;"")="n/a",ISNUMBER(SEARCH("subscription",LOWER($A331&amp;" "&amp;$M331&amp;""))),ISNUMBER(SEARCH("membership",LOWER($A331&amp;" "&amp;$M331&amp;"")))),"",IF($G331="","",IF(ISNUMBER(SEARCH("non",LOWER($E331&amp;""))),$G331*0.85,$G331))))</f>
        <v/>
      </c>
      <c r="O331" s="349">
        <f>IF($A331="","",IF(OR(LOWER($D331&amp;"")="n/a",ISNUMBER(SEARCH("subscription",LOWER($A331&amp;" "&amp;$M331&amp;""))),ISNUMBER(SEARCH("membership",LOWER($A331&amp;" "&amp;$M331&amp;"")))),"",IF(OR($N331="",$I331="",$I331=0),"",$N331/$I331)))</f>
        <v/>
      </c>
      <c r="P331" s="349">
        <f>IF($A331="","",IF(OR(LOWER($D331&amp;"")="n/a",ISNUMBER(SEARCH("subscription",LOWER($A331&amp;" "&amp;$M331&amp;""))),ISNUMBER(SEARCH("membership",LOWER($A331&amp;" "&amp;$M331&amp;"")))),"",IF(LOWER($L331&amp;"")="yes",0,IF($K331&lt;&gt;"",$K331,IF($O331&lt;&gt;"",$O331,"")))))</f>
        <v/>
      </c>
      <c r="Q331" s="351">
        <f>IF($A331="","",IF($U331="Subscription","",IF($U331="Profit",$P331-$H331,0)))</f>
        <v/>
      </c>
      <c r="R331" s="349">
        <f>IF($A331="","",IF($U331="Subscription","",IF($U331="Draw",$H331,0)))</f>
        <v/>
      </c>
      <c r="S331" s="349">
        <f>IF($A331="","",IF($U331="Subscription","",IF($U331="Disqualified",$H331,0)))</f>
        <v/>
      </c>
      <c r="T331" s="380">
        <f>IF($A331="","",IF($U331="Subscription","",IF($H331=0,IF($U331="Profit","N/A",0),IF($U331="Profit",$Q331/$H331,IF($U331="Disqualified",-1,0)))))</f>
        <v/>
      </c>
      <c r="U331" s="351">
        <f>IF($A331="","",IF(OR(LOWER($D331&amp;"")="n/a",ISNUMBER(SEARCH("subscription",LOWER($A331&amp;" "&amp;$M331&amp;""))),ISNUMBER(SEARCH("membership",LOWER($A331&amp;" "&amp;$M331&amp;"")))),"Subscription",IF(LOWER($L331&amp;"")="yes","Disqualified",IF($P331&gt;$H331,"Profit","Draw"))))</f>
        <v/>
      </c>
      <c r="V331" s="383">
        <f>IF(OR($A331="",$B331="",$C331="",$U331="Subscription"),"",IFERROR(ROUNDUP((IF(ISNUMBER($C331),$C331,DATEVALUE($C331))-IF(ISNUMBER($B331),$B331,DATEVALUE($B331)))/7,0),""))</f>
        <v/>
      </c>
      <c r="W331" s="351">
        <f>IF($U331="Subscription","",$Q331-$S331)</f>
        <v/>
      </c>
      <c r="X331" s="384">
        <f>IF(OR($A331="",$U331="Subscription",$J331="",$I331="",$J331=0,$I331=0,$I331&gt;$J331),"",$J331-$I331)</f>
        <v/>
      </c>
      <c r="Y331" s="381">
        <f>IF(OR($A331="",$U331="Subscription",$J331="",$J331=0,$X331=""),"",$X331/$J331)</f>
        <v/>
      </c>
    </row>
    <row r="332" ht="21" customHeight="1" s="270">
      <c r="A332" s="297" t="n"/>
      <c r="B332" s="298" t="n"/>
      <c r="C332" s="298" t="n"/>
      <c r="D332" s="297" t="n"/>
      <c r="E332" s="349" t="n"/>
      <c r="F332" s="349" t="n"/>
      <c r="G332" s="349" t="n"/>
      <c r="H332" s="349" t="n"/>
      <c r="I332" s="382" t="n"/>
      <c r="J332" s="383" t="n"/>
      <c r="K332" s="351" t="n"/>
      <c r="L332" s="296" t="n"/>
      <c r="M332" s="349" t="n"/>
      <c r="N332" s="349">
        <f>IF($A332="","",IF(OR(LOWER($D332&amp;"")="n/a",ISNUMBER(SEARCH("subscription",LOWER($A332&amp;" "&amp;$M332&amp;""))),ISNUMBER(SEARCH("membership",LOWER($A332&amp;" "&amp;$M332&amp;"")))),"",IF($G332="","",IF(ISNUMBER(SEARCH("non",LOWER($E332&amp;""))),$G332*0.85,$G332))))</f>
        <v/>
      </c>
      <c r="O332" s="349">
        <f>IF($A332="","",IF(OR(LOWER($D332&amp;"")="n/a",ISNUMBER(SEARCH("subscription",LOWER($A332&amp;" "&amp;$M332&amp;""))),ISNUMBER(SEARCH("membership",LOWER($A332&amp;" "&amp;$M332&amp;"")))),"",IF(OR($N332="",$I332="",$I332=0),"",$N332/$I332)))</f>
        <v/>
      </c>
      <c r="P332" s="349">
        <f>IF($A332="","",IF(OR(LOWER($D332&amp;"")="n/a",ISNUMBER(SEARCH("subscription",LOWER($A332&amp;" "&amp;$M332&amp;""))),ISNUMBER(SEARCH("membership",LOWER($A332&amp;" "&amp;$M332&amp;"")))),"",IF(LOWER($L332&amp;"")="yes",0,IF($K332&lt;&gt;"",$K332,IF($O332&lt;&gt;"",$O332,"")))))</f>
        <v/>
      </c>
      <c r="Q332" s="351">
        <f>IF($A332="","",IF($U332="Subscription","",IF($U332="Profit",$P332-$H332,0)))</f>
        <v/>
      </c>
      <c r="R332" s="349">
        <f>IF($A332="","",IF($U332="Subscription","",IF($U332="Draw",$H332,0)))</f>
        <v/>
      </c>
      <c r="S332" s="349">
        <f>IF($A332="","",IF($U332="Subscription","",IF($U332="Disqualified",$H332,0)))</f>
        <v/>
      </c>
      <c r="T332" s="380">
        <f>IF($A332="","",IF($U332="Subscription","",IF($H332=0,IF($U332="Profit","N/A",0),IF($U332="Profit",$Q332/$H332,IF($U332="Disqualified",-1,0)))))</f>
        <v/>
      </c>
      <c r="U332" s="351">
        <f>IF($A332="","",IF(OR(LOWER($D332&amp;"")="n/a",ISNUMBER(SEARCH("subscription",LOWER($A332&amp;" "&amp;$M332&amp;""))),ISNUMBER(SEARCH("membership",LOWER($A332&amp;" "&amp;$M332&amp;"")))),"Subscription",IF(LOWER($L332&amp;"")="yes","Disqualified",IF($P332&gt;$H332,"Profit","Draw"))))</f>
        <v/>
      </c>
      <c r="V332" s="383">
        <f>IF(OR($A332="",$B332="",$C332="",$U332="Subscription"),"",IFERROR(ROUNDUP((IF(ISNUMBER($C332),$C332,DATEVALUE($C332))-IF(ISNUMBER($B332),$B332,DATEVALUE($B332)))/7,0),""))</f>
        <v/>
      </c>
      <c r="W332" s="351">
        <f>IF($U332="Subscription","",$Q332-$S332)</f>
        <v/>
      </c>
      <c r="X332" s="384">
        <f>IF(OR($A332="",$U332="Subscription",$J332="",$I332="",$J332=0,$I332=0,$I332&gt;$J332),"",$J332-$I332)</f>
        <v/>
      </c>
      <c r="Y332" s="381">
        <f>IF(OR($A332="",$U332="Subscription",$J332="",$J332=0,$X332=""),"",$X332/$J332)</f>
        <v/>
      </c>
    </row>
    <row r="333" ht="21" customHeight="1" s="270">
      <c r="A333" s="297" t="n"/>
      <c r="B333" s="298" t="n"/>
      <c r="C333" s="298" t="n"/>
      <c r="D333" s="297" t="n"/>
      <c r="E333" s="349" t="n"/>
      <c r="F333" s="349" t="n"/>
      <c r="G333" s="349" t="n"/>
      <c r="H333" s="349" t="n"/>
      <c r="I333" s="382" t="n"/>
      <c r="J333" s="383" t="n"/>
      <c r="K333" s="351" t="n"/>
      <c r="L333" s="296" t="n"/>
      <c r="M333" s="349" t="n"/>
      <c r="N333" s="349">
        <f>IF($A333="","",IF(OR(LOWER($D333&amp;"")="n/a",ISNUMBER(SEARCH("subscription",LOWER($A333&amp;" "&amp;$M333&amp;""))),ISNUMBER(SEARCH("membership",LOWER($A333&amp;" "&amp;$M333&amp;"")))),"",IF($G333="","",IF(ISNUMBER(SEARCH("non",LOWER($E333&amp;""))),$G333*0.85,$G333))))</f>
        <v/>
      </c>
      <c r="O333" s="349">
        <f>IF($A333="","",IF(OR(LOWER($D333&amp;"")="n/a",ISNUMBER(SEARCH("subscription",LOWER($A333&amp;" "&amp;$M333&amp;""))),ISNUMBER(SEARCH("membership",LOWER($A333&amp;" "&amp;$M333&amp;"")))),"",IF(OR($N333="",$I333="",$I333=0),"",$N333/$I333)))</f>
        <v/>
      </c>
      <c r="P333" s="349">
        <f>IF($A333="","",IF(OR(LOWER($D333&amp;"")="n/a",ISNUMBER(SEARCH("subscription",LOWER($A333&amp;" "&amp;$M333&amp;""))),ISNUMBER(SEARCH("membership",LOWER($A333&amp;" "&amp;$M333&amp;"")))),"",IF(LOWER($L333&amp;"")="yes",0,IF($K333&lt;&gt;"",$K333,IF($O333&lt;&gt;"",$O333,"")))))</f>
        <v/>
      </c>
      <c r="Q333" s="351">
        <f>IF($A333="","",IF($U333="Subscription","",IF($U333="Profit",$P333-$H333,0)))</f>
        <v/>
      </c>
      <c r="R333" s="349">
        <f>IF($A333="","",IF($U333="Subscription","",IF($U333="Draw",$H333,0)))</f>
        <v/>
      </c>
      <c r="S333" s="349">
        <f>IF($A333="","",IF($U333="Subscription","",IF($U333="Disqualified",$H333,0)))</f>
        <v/>
      </c>
      <c r="T333" s="380">
        <f>IF($A333="","",IF($U333="Subscription","",IF($H333=0,IF($U333="Profit","N/A",0),IF($U333="Profit",$Q333/$H333,IF($U333="Disqualified",-1,0)))))</f>
        <v/>
      </c>
      <c r="U333" s="351">
        <f>IF($A333="","",IF(OR(LOWER($D333&amp;"")="n/a",ISNUMBER(SEARCH("subscription",LOWER($A333&amp;" "&amp;$M333&amp;""))),ISNUMBER(SEARCH("membership",LOWER($A333&amp;" "&amp;$M333&amp;"")))),"Subscription",IF(LOWER($L333&amp;"")="yes","Disqualified",IF($P333&gt;$H333,"Profit","Draw"))))</f>
        <v/>
      </c>
      <c r="V333" s="383">
        <f>IF(OR($A333="",$B333="",$C333="",$U333="Subscription"),"",IFERROR(ROUNDUP((IF(ISNUMBER($C333),$C333,DATEVALUE($C333))-IF(ISNUMBER($B333),$B333,DATEVALUE($B333)))/7,0),""))</f>
        <v/>
      </c>
      <c r="W333" s="351">
        <f>IF($U333="Subscription","",$Q333-$S333)</f>
        <v/>
      </c>
      <c r="X333" s="384">
        <f>IF(OR($A333="",$U333="Subscription",$J333="",$I333="",$J333=0,$I333=0,$I333&gt;$J333),"",$J333-$I333)</f>
        <v/>
      </c>
      <c r="Y333" s="381">
        <f>IF(OR($A333="",$U333="Subscription",$J333="",$J333=0,$X333=""),"",$X333/$J333)</f>
        <v/>
      </c>
    </row>
    <row r="334" ht="21" customHeight="1" s="270">
      <c r="A334" s="297" t="n"/>
      <c r="B334" s="298" t="n"/>
      <c r="C334" s="298" t="n"/>
      <c r="D334" s="297" t="n"/>
      <c r="E334" s="349" t="n"/>
      <c r="F334" s="349" t="n"/>
      <c r="G334" s="349" t="n"/>
      <c r="H334" s="349" t="n"/>
      <c r="I334" s="382" t="n"/>
      <c r="J334" s="383" t="n"/>
      <c r="K334" s="351" t="n"/>
      <c r="L334" s="296" t="n"/>
      <c r="M334" s="349" t="n"/>
      <c r="N334" s="349">
        <f>IF($A334="","",IF(OR(LOWER($D334&amp;"")="n/a",ISNUMBER(SEARCH("subscription",LOWER($A334&amp;" "&amp;$M334&amp;""))),ISNUMBER(SEARCH("membership",LOWER($A334&amp;" "&amp;$M334&amp;"")))),"",IF($G334="","",IF(ISNUMBER(SEARCH("non",LOWER($E334&amp;""))),$G334*0.85,$G334))))</f>
        <v/>
      </c>
      <c r="O334" s="349">
        <f>IF($A334="","",IF(OR(LOWER($D334&amp;"")="n/a",ISNUMBER(SEARCH("subscription",LOWER($A334&amp;" "&amp;$M334&amp;""))),ISNUMBER(SEARCH("membership",LOWER($A334&amp;" "&amp;$M334&amp;"")))),"",IF(OR($N334="",$I334="",$I334=0),"",$N334/$I334)))</f>
        <v/>
      </c>
      <c r="P334" s="349">
        <f>IF($A334="","",IF(OR(LOWER($D334&amp;"")="n/a",ISNUMBER(SEARCH("subscription",LOWER($A334&amp;" "&amp;$M334&amp;""))),ISNUMBER(SEARCH("membership",LOWER($A334&amp;" "&amp;$M334&amp;"")))),"",IF(LOWER($L334&amp;"")="yes",0,IF($K334&lt;&gt;"",$K334,IF($O334&lt;&gt;"",$O334,"")))))</f>
        <v/>
      </c>
      <c r="Q334" s="351">
        <f>IF($A334="","",IF($U334="Subscription","",IF($U334="Profit",$P334-$H334,0)))</f>
        <v/>
      </c>
      <c r="R334" s="349">
        <f>IF($A334="","",IF($U334="Subscription","",IF($U334="Draw",$H334,0)))</f>
        <v/>
      </c>
      <c r="S334" s="349">
        <f>IF($A334="","",IF($U334="Subscription","",IF($U334="Disqualified",$H334,0)))</f>
        <v/>
      </c>
      <c r="T334" s="380">
        <f>IF($A334="","",IF($U334="Subscription","",IF($H334=0,IF($U334="Profit","N/A",0),IF($U334="Profit",$Q334/$H334,IF($U334="Disqualified",-1,0)))))</f>
        <v/>
      </c>
      <c r="U334" s="351">
        <f>IF($A334="","",IF(OR(LOWER($D334&amp;"")="n/a",ISNUMBER(SEARCH("subscription",LOWER($A334&amp;" "&amp;$M334&amp;""))),ISNUMBER(SEARCH("membership",LOWER($A334&amp;" "&amp;$M334&amp;"")))),"Subscription",IF(LOWER($L334&amp;"")="yes","Disqualified",IF($P334&gt;$H334,"Profit","Draw"))))</f>
        <v/>
      </c>
      <c r="V334" s="383">
        <f>IF(OR($A334="",$B334="",$C334="",$U334="Subscription"),"",IFERROR(ROUNDUP((IF(ISNUMBER($C334),$C334,DATEVALUE($C334))-IF(ISNUMBER($B334),$B334,DATEVALUE($B334)))/7,0),""))</f>
        <v/>
      </c>
      <c r="W334" s="351">
        <f>IF($U334="Subscription","",$Q334-$S334)</f>
        <v/>
      </c>
      <c r="X334" s="384">
        <f>IF(OR($A334="",$U334="Subscription",$J334="",$I334="",$J334=0,$I334=0,$I334&gt;$J334),"",$J334-$I334)</f>
        <v/>
      </c>
      <c r="Y334" s="381">
        <f>IF(OR($A334="",$U334="Subscription",$J334="",$J334=0,$X334=""),"",$X334/$J334)</f>
        <v/>
      </c>
    </row>
    <row r="335" ht="21" customHeight="1" s="270">
      <c r="A335" s="297" t="n"/>
      <c r="B335" s="298" t="n"/>
      <c r="C335" s="298" t="n"/>
      <c r="D335" s="297" t="n"/>
      <c r="E335" s="349" t="n"/>
      <c r="F335" s="349" t="n"/>
      <c r="G335" s="349" t="n"/>
      <c r="H335" s="349" t="n"/>
      <c r="I335" s="382" t="n"/>
      <c r="J335" s="383" t="n"/>
      <c r="K335" s="351" t="n"/>
      <c r="L335" s="296" t="n"/>
      <c r="M335" s="349" t="n"/>
      <c r="N335" s="349">
        <f>IF($A335="","",IF(OR(LOWER($D335&amp;"")="n/a",ISNUMBER(SEARCH("subscription",LOWER($A335&amp;" "&amp;$M335&amp;""))),ISNUMBER(SEARCH("membership",LOWER($A335&amp;" "&amp;$M335&amp;"")))),"",IF($G335="","",IF(ISNUMBER(SEARCH("non",LOWER($E335&amp;""))),$G335*0.85,$G335))))</f>
        <v/>
      </c>
      <c r="O335" s="349">
        <f>IF($A335="","",IF(OR(LOWER($D335&amp;"")="n/a",ISNUMBER(SEARCH("subscription",LOWER($A335&amp;" "&amp;$M335&amp;""))),ISNUMBER(SEARCH("membership",LOWER($A335&amp;" "&amp;$M335&amp;"")))),"",IF(OR($N335="",$I335="",$I335=0),"",$N335/$I335)))</f>
        <v/>
      </c>
      <c r="P335" s="349">
        <f>IF($A335="","",IF(OR(LOWER($D335&amp;"")="n/a",ISNUMBER(SEARCH("subscription",LOWER($A335&amp;" "&amp;$M335&amp;""))),ISNUMBER(SEARCH("membership",LOWER($A335&amp;" "&amp;$M335&amp;"")))),"",IF(LOWER($L335&amp;"")="yes",0,IF($K335&lt;&gt;"",$K335,IF($O335&lt;&gt;"",$O335,"")))))</f>
        <v/>
      </c>
      <c r="Q335" s="351">
        <f>IF($A335="","",IF($U335="Subscription","",IF($U335="Profit",$P335-$H335,0)))</f>
        <v/>
      </c>
      <c r="R335" s="349">
        <f>IF($A335="","",IF($U335="Subscription","",IF($U335="Draw",$H335,0)))</f>
        <v/>
      </c>
      <c r="S335" s="349">
        <f>IF($A335="","",IF($U335="Subscription","",IF($U335="Disqualified",$H335,0)))</f>
        <v/>
      </c>
      <c r="T335" s="380">
        <f>IF($A335="","",IF($U335="Subscription","",IF($H335=0,IF($U335="Profit","N/A",0),IF($U335="Profit",$Q335/$H335,IF($U335="Disqualified",-1,0)))))</f>
        <v/>
      </c>
      <c r="U335" s="351">
        <f>IF($A335="","",IF(OR(LOWER($D335&amp;"")="n/a",ISNUMBER(SEARCH("subscription",LOWER($A335&amp;" "&amp;$M335&amp;""))),ISNUMBER(SEARCH("membership",LOWER($A335&amp;" "&amp;$M335&amp;"")))),"Subscription",IF(LOWER($L335&amp;"")="yes","Disqualified",IF($P335&gt;$H335,"Profit","Draw"))))</f>
        <v/>
      </c>
      <c r="V335" s="383">
        <f>IF(OR($A335="",$B335="",$C335="",$U335="Subscription"),"",IFERROR(ROUNDUP((IF(ISNUMBER($C335),$C335,DATEVALUE($C335))-IF(ISNUMBER($B335),$B335,DATEVALUE($B335)))/7,0),""))</f>
        <v/>
      </c>
      <c r="W335" s="351">
        <f>IF($U335="Subscription","",$Q335-$S335)</f>
        <v/>
      </c>
      <c r="X335" s="384">
        <f>IF(OR($A335="",$U335="Subscription",$J335="",$I335="",$J335=0,$I335=0,$I335&gt;$J335),"",$J335-$I335)</f>
        <v/>
      </c>
      <c r="Y335" s="381">
        <f>IF(OR($A335="",$U335="Subscription",$J335="",$J335=0,$X335=""),"",$X335/$J335)</f>
        <v/>
      </c>
    </row>
    <row r="336" ht="21" customHeight="1" s="270">
      <c r="A336" s="297" t="n"/>
      <c r="B336" s="298" t="n"/>
      <c r="C336" s="298" t="n"/>
      <c r="D336" s="297" t="n"/>
      <c r="E336" s="349" t="n"/>
      <c r="F336" s="349" t="n"/>
      <c r="G336" s="349" t="n"/>
      <c r="H336" s="349" t="n"/>
      <c r="I336" s="382" t="n"/>
      <c r="J336" s="383" t="n"/>
      <c r="K336" s="351" t="n"/>
      <c r="L336" s="296" t="n"/>
      <c r="M336" s="349" t="n"/>
      <c r="N336" s="349">
        <f>IF($A336="","",IF(OR(LOWER($D336&amp;"")="n/a",ISNUMBER(SEARCH("subscription",LOWER($A336&amp;" "&amp;$M336&amp;""))),ISNUMBER(SEARCH("membership",LOWER($A336&amp;" "&amp;$M336&amp;"")))),"",IF($G336="","",IF(ISNUMBER(SEARCH("non",LOWER($E336&amp;""))),$G336*0.85,$G336))))</f>
        <v/>
      </c>
      <c r="O336" s="349">
        <f>IF($A336="","",IF(OR(LOWER($D336&amp;"")="n/a",ISNUMBER(SEARCH("subscription",LOWER($A336&amp;" "&amp;$M336&amp;""))),ISNUMBER(SEARCH("membership",LOWER($A336&amp;" "&amp;$M336&amp;"")))),"",IF(OR($N336="",$I336="",$I336=0),"",$N336/$I336)))</f>
        <v/>
      </c>
      <c r="P336" s="349">
        <f>IF($A336="","",IF(OR(LOWER($D336&amp;"")="n/a",ISNUMBER(SEARCH("subscription",LOWER($A336&amp;" "&amp;$M336&amp;""))),ISNUMBER(SEARCH("membership",LOWER($A336&amp;" "&amp;$M336&amp;"")))),"",IF(LOWER($L336&amp;"")="yes",0,IF($K336&lt;&gt;"",$K336,IF($O336&lt;&gt;"",$O336,"")))))</f>
        <v/>
      </c>
      <c r="Q336" s="351">
        <f>IF($A336="","",IF($U336="Subscription","",IF($U336="Profit",$P336-$H336,0)))</f>
        <v/>
      </c>
      <c r="R336" s="349">
        <f>IF($A336="","",IF($U336="Subscription","",IF($U336="Draw",$H336,0)))</f>
        <v/>
      </c>
      <c r="S336" s="349">
        <f>IF($A336="","",IF($U336="Subscription","",IF($U336="Disqualified",$H336,0)))</f>
        <v/>
      </c>
      <c r="T336" s="380">
        <f>IF($A336="","",IF($U336="Subscription","",IF($H336=0,IF($U336="Profit","N/A",0),IF($U336="Profit",$Q336/$H336,IF($U336="Disqualified",-1,0)))))</f>
        <v/>
      </c>
      <c r="U336" s="351">
        <f>IF($A336="","",IF(OR(LOWER($D336&amp;"")="n/a",ISNUMBER(SEARCH("subscription",LOWER($A336&amp;" "&amp;$M336&amp;""))),ISNUMBER(SEARCH("membership",LOWER($A336&amp;" "&amp;$M336&amp;"")))),"Subscription",IF(LOWER($L336&amp;"")="yes","Disqualified",IF($P336&gt;$H336,"Profit","Draw"))))</f>
        <v/>
      </c>
      <c r="V336" s="383">
        <f>IF(OR($A336="",$B336="",$C336="",$U336="Subscription"),"",IFERROR(ROUNDUP((IF(ISNUMBER($C336),$C336,DATEVALUE($C336))-IF(ISNUMBER($B336),$B336,DATEVALUE($B336)))/7,0),""))</f>
        <v/>
      </c>
      <c r="W336" s="351">
        <f>IF($U336="Subscription","",$Q336-$S336)</f>
        <v/>
      </c>
      <c r="X336" s="384">
        <f>IF(OR($A336="",$U336="Subscription",$J336="",$I336="",$J336=0,$I336=0,$I336&gt;$J336),"",$J336-$I336)</f>
        <v/>
      </c>
      <c r="Y336" s="381">
        <f>IF(OR($A336="",$U336="Subscription",$J336="",$J336=0,$X336=""),"",$X336/$J336)</f>
        <v/>
      </c>
    </row>
    <row r="337" ht="21" customHeight="1" s="270">
      <c r="A337" s="297" t="n"/>
      <c r="B337" s="298" t="n"/>
      <c r="C337" s="298" t="n"/>
      <c r="D337" s="297" t="n"/>
      <c r="E337" s="349" t="n"/>
      <c r="F337" s="349" t="n"/>
      <c r="G337" s="349" t="n"/>
      <c r="H337" s="349" t="n"/>
      <c r="I337" s="382" t="n"/>
      <c r="J337" s="383" t="n"/>
      <c r="K337" s="351" t="n"/>
      <c r="L337" s="296" t="n"/>
      <c r="M337" s="349" t="n"/>
      <c r="N337" s="349">
        <f>IF($A337="","",IF(OR(LOWER($D337&amp;"")="n/a",ISNUMBER(SEARCH("subscription",LOWER($A337&amp;" "&amp;$M337&amp;""))),ISNUMBER(SEARCH("membership",LOWER($A337&amp;" "&amp;$M337&amp;"")))),"",IF($G337="","",IF(ISNUMBER(SEARCH("non",LOWER($E337&amp;""))),$G337*0.85,$G337))))</f>
        <v/>
      </c>
      <c r="O337" s="349">
        <f>IF($A337="","",IF(OR(LOWER($D337&amp;"")="n/a",ISNUMBER(SEARCH("subscription",LOWER($A337&amp;" "&amp;$M337&amp;""))),ISNUMBER(SEARCH("membership",LOWER($A337&amp;" "&amp;$M337&amp;"")))),"",IF(OR($N337="",$I337="",$I337=0),"",$N337/$I337)))</f>
        <v/>
      </c>
      <c r="P337" s="349">
        <f>IF($A337="","",IF(OR(LOWER($D337&amp;"")="n/a",ISNUMBER(SEARCH("subscription",LOWER($A337&amp;" "&amp;$M337&amp;""))),ISNUMBER(SEARCH("membership",LOWER($A337&amp;" "&amp;$M337&amp;"")))),"",IF(LOWER($L337&amp;"")="yes",0,IF($K337&lt;&gt;"",$K337,IF($O337&lt;&gt;"",$O337,"")))))</f>
        <v/>
      </c>
      <c r="Q337" s="351">
        <f>IF($A337="","",IF($U337="Subscription","",IF($U337="Profit",$P337-$H337,0)))</f>
        <v/>
      </c>
      <c r="R337" s="349">
        <f>IF($A337="","",IF($U337="Subscription","",IF($U337="Draw",$H337,0)))</f>
        <v/>
      </c>
      <c r="S337" s="349">
        <f>IF($A337="","",IF($U337="Subscription","",IF($U337="Disqualified",$H337,0)))</f>
        <v/>
      </c>
      <c r="T337" s="380">
        <f>IF($A337="","",IF($U337="Subscription","",IF($H337=0,IF($U337="Profit","N/A",0),IF($U337="Profit",$Q337/$H337,IF($U337="Disqualified",-1,0)))))</f>
        <v/>
      </c>
      <c r="U337" s="351">
        <f>IF($A337="","",IF(OR(LOWER($D337&amp;"")="n/a",ISNUMBER(SEARCH("subscription",LOWER($A337&amp;" "&amp;$M337&amp;""))),ISNUMBER(SEARCH("membership",LOWER($A337&amp;" "&amp;$M337&amp;"")))),"Subscription",IF(LOWER($L337&amp;"")="yes","Disqualified",IF($P337&gt;$H337,"Profit","Draw"))))</f>
        <v/>
      </c>
      <c r="V337" s="383">
        <f>IF(OR($A337="",$B337="",$C337="",$U337="Subscription"),"",IFERROR(ROUNDUP((IF(ISNUMBER($C337),$C337,DATEVALUE($C337))-IF(ISNUMBER($B337),$B337,DATEVALUE($B337)))/7,0),""))</f>
        <v/>
      </c>
      <c r="W337" s="351">
        <f>IF($U337="Subscription","",$Q337-$S337)</f>
        <v/>
      </c>
      <c r="X337" s="384">
        <f>IF(OR($A337="",$U337="Subscription",$J337="",$I337="",$J337=0,$I337=0,$I337&gt;$J337),"",$J337-$I337)</f>
        <v/>
      </c>
      <c r="Y337" s="381">
        <f>IF(OR($A337="",$U337="Subscription",$J337="",$J337=0,$X337=""),"",$X337/$J337)</f>
        <v/>
      </c>
    </row>
    <row r="338" ht="21" customHeight="1" s="270">
      <c r="A338" s="297" t="n"/>
      <c r="B338" s="298" t="n"/>
      <c r="C338" s="298" t="n"/>
      <c r="D338" s="297" t="n"/>
      <c r="E338" s="349" t="n"/>
      <c r="F338" s="349" t="n"/>
      <c r="G338" s="349" t="n"/>
      <c r="H338" s="349" t="n"/>
      <c r="I338" s="382" t="n"/>
      <c r="J338" s="383" t="n"/>
      <c r="K338" s="351" t="n"/>
      <c r="L338" s="296" t="n"/>
      <c r="M338" s="349" t="n"/>
      <c r="N338" s="349">
        <f>IF($A338="","",IF(OR(LOWER($D338&amp;"")="n/a",ISNUMBER(SEARCH("subscription",LOWER($A338&amp;" "&amp;$M338&amp;""))),ISNUMBER(SEARCH("membership",LOWER($A338&amp;" "&amp;$M338&amp;"")))),"",IF($G338="","",IF(ISNUMBER(SEARCH("non",LOWER($E338&amp;""))),$G338*0.85,$G338))))</f>
        <v/>
      </c>
      <c r="O338" s="349">
        <f>IF($A338="","",IF(OR(LOWER($D338&amp;"")="n/a",ISNUMBER(SEARCH("subscription",LOWER($A338&amp;" "&amp;$M338&amp;""))),ISNUMBER(SEARCH("membership",LOWER($A338&amp;" "&amp;$M338&amp;"")))),"",IF(OR($N338="",$I338="",$I338=0),"",$N338/$I338)))</f>
        <v/>
      </c>
      <c r="P338" s="349">
        <f>IF($A338="","",IF(OR(LOWER($D338&amp;"")="n/a",ISNUMBER(SEARCH("subscription",LOWER($A338&amp;" "&amp;$M338&amp;""))),ISNUMBER(SEARCH("membership",LOWER($A338&amp;" "&amp;$M338&amp;"")))),"",IF(LOWER($L338&amp;"")="yes",0,IF($K338&lt;&gt;"",$K338,IF($O338&lt;&gt;"",$O338,"")))))</f>
        <v/>
      </c>
      <c r="Q338" s="351">
        <f>IF($A338="","",IF($U338="Subscription","",IF($U338="Profit",$P338-$H338,0)))</f>
        <v/>
      </c>
      <c r="R338" s="349">
        <f>IF($A338="","",IF($U338="Subscription","",IF($U338="Draw",$H338,0)))</f>
        <v/>
      </c>
      <c r="S338" s="349">
        <f>IF($A338="","",IF($U338="Subscription","",IF($U338="Disqualified",$H338,0)))</f>
        <v/>
      </c>
      <c r="T338" s="380">
        <f>IF($A338="","",IF($U338="Subscription","",IF($H338=0,IF($U338="Profit","N/A",0),IF($U338="Profit",$Q338/$H338,IF($U338="Disqualified",-1,0)))))</f>
        <v/>
      </c>
      <c r="U338" s="351">
        <f>IF($A338="","",IF(OR(LOWER($D338&amp;"")="n/a",ISNUMBER(SEARCH("subscription",LOWER($A338&amp;" "&amp;$M338&amp;""))),ISNUMBER(SEARCH("membership",LOWER($A338&amp;" "&amp;$M338&amp;"")))),"Subscription",IF(LOWER($L338&amp;"")="yes","Disqualified",IF($P338&gt;$H338,"Profit","Draw"))))</f>
        <v/>
      </c>
      <c r="V338" s="383">
        <f>IF(OR($A338="",$B338="",$C338="",$U338="Subscription"),"",IFERROR(ROUNDUP((IF(ISNUMBER($C338),$C338,DATEVALUE($C338))-IF(ISNUMBER($B338),$B338,DATEVALUE($B338)))/7,0),""))</f>
        <v/>
      </c>
      <c r="W338" s="351">
        <f>IF($U338="Subscription","",$Q338-$S338)</f>
        <v/>
      </c>
      <c r="X338" s="384">
        <f>IF(OR($A338="",$U338="Subscription",$J338="",$I338="",$J338=0,$I338=0,$I338&gt;$J338),"",$J338-$I338)</f>
        <v/>
      </c>
      <c r="Y338" s="381">
        <f>IF(OR($A338="",$U338="Subscription",$J338="",$J338=0,$X338=""),"",$X338/$J338)</f>
        <v/>
      </c>
    </row>
    <row r="339" ht="21" customHeight="1" s="270">
      <c r="A339" s="297" t="n"/>
      <c r="B339" s="298" t="n"/>
      <c r="C339" s="298" t="n"/>
      <c r="D339" s="297" t="n"/>
      <c r="E339" s="349" t="n"/>
      <c r="F339" s="349" t="n"/>
      <c r="G339" s="349" t="n"/>
      <c r="H339" s="349" t="n"/>
      <c r="I339" s="382" t="n"/>
      <c r="J339" s="383" t="n"/>
      <c r="K339" s="351" t="n"/>
      <c r="L339" s="296" t="n"/>
      <c r="M339" s="349" t="n"/>
      <c r="N339" s="349">
        <f>IF($A339="","",IF(OR(LOWER($D339&amp;"")="n/a",ISNUMBER(SEARCH("subscription",LOWER($A339&amp;" "&amp;$M339&amp;""))),ISNUMBER(SEARCH("membership",LOWER($A339&amp;" "&amp;$M339&amp;"")))),"",IF($G339="","",IF(ISNUMBER(SEARCH("non",LOWER($E339&amp;""))),$G339*0.85,$G339))))</f>
        <v/>
      </c>
      <c r="O339" s="349">
        <f>IF($A339="","",IF(OR(LOWER($D339&amp;"")="n/a",ISNUMBER(SEARCH("subscription",LOWER($A339&amp;" "&amp;$M339&amp;""))),ISNUMBER(SEARCH("membership",LOWER($A339&amp;" "&amp;$M339&amp;"")))),"",IF(OR($N339="",$I339="",$I339=0),"",$N339/$I339)))</f>
        <v/>
      </c>
      <c r="P339" s="349">
        <f>IF($A339="","",IF(OR(LOWER($D339&amp;"")="n/a",ISNUMBER(SEARCH("subscription",LOWER($A339&amp;" "&amp;$M339&amp;""))),ISNUMBER(SEARCH("membership",LOWER($A339&amp;" "&amp;$M339&amp;"")))),"",IF(LOWER($L339&amp;"")="yes",0,IF($K339&lt;&gt;"",$K339,IF($O339&lt;&gt;"",$O339,"")))))</f>
        <v/>
      </c>
      <c r="Q339" s="351">
        <f>IF($A339="","",IF($U339="Subscription","",IF($U339="Profit",$P339-$H339,0)))</f>
        <v/>
      </c>
      <c r="R339" s="349">
        <f>IF($A339="","",IF($U339="Subscription","",IF($U339="Draw",$H339,0)))</f>
        <v/>
      </c>
      <c r="S339" s="349">
        <f>IF($A339="","",IF($U339="Subscription","",IF($U339="Disqualified",$H339,0)))</f>
        <v/>
      </c>
      <c r="T339" s="380">
        <f>IF($A339="","",IF($U339="Subscription","",IF($H339=0,IF($U339="Profit","N/A",0),IF($U339="Profit",$Q339/$H339,IF($U339="Disqualified",-1,0)))))</f>
        <v/>
      </c>
      <c r="U339" s="351">
        <f>IF($A339="","",IF(OR(LOWER($D339&amp;"")="n/a",ISNUMBER(SEARCH("subscription",LOWER($A339&amp;" "&amp;$M339&amp;""))),ISNUMBER(SEARCH("membership",LOWER($A339&amp;" "&amp;$M339&amp;"")))),"Subscription",IF(LOWER($L339&amp;"")="yes","Disqualified",IF($P339&gt;$H339,"Profit","Draw"))))</f>
        <v/>
      </c>
      <c r="V339" s="383">
        <f>IF(OR($A339="",$B339="",$C339="",$U339="Subscription"),"",IFERROR(ROUNDUP((IF(ISNUMBER($C339),$C339,DATEVALUE($C339))-IF(ISNUMBER($B339),$B339,DATEVALUE($B339)))/7,0),""))</f>
        <v/>
      </c>
      <c r="W339" s="351">
        <f>IF($U339="Subscription","",$Q339-$S339)</f>
        <v/>
      </c>
      <c r="X339" s="384">
        <f>IF(OR($A339="",$U339="Subscription",$J339="",$I339="",$J339=0,$I339=0,$I339&gt;$J339),"",$J339-$I339)</f>
        <v/>
      </c>
      <c r="Y339" s="381">
        <f>IF(OR($A339="",$U339="Subscription",$J339="",$J339=0,$X339=""),"",$X339/$J339)</f>
        <v/>
      </c>
    </row>
    <row r="340" ht="21" customHeight="1" s="270">
      <c r="A340" s="297" t="n"/>
      <c r="B340" s="298" t="n"/>
      <c r="C340" s="298" t="n"/>
      <c r="D340" s="297" t="n"/>
      <c r="E340" s="349" t="n"/>
      <c r="F340" s="349" t="n"/>
      <c r="G340" s="349" t="n"/>
      <c r="H340" s="349" t="n"/>
      <c r="I340" s="382" t="n"/>
      <c r="J340" s="383" t="n"/>
      <c r="K340" s="351" t="n"/>
      <c r="L340" s="296" t="n"/>
      <c r="M340" s="349" t="n"/>
      <c r="N340" s="349">
        <f>IF($A340="","",IF(OR(LOWER($D340&amp;"")="n/a",ISNUMBER(SEARCH("subscription",LOWER($A340&amp;" "&amp;$M340&amp;""))),ISNUMBER(SEARCH("membership",LOWER($A340&amp;" "&amp;$M340&amp;"")))),"",IF($G340="","",IF(ISNUMBER(SEARCH("non",LOWER($E340&amp;""))),$G340*0.85,$G340))))</f>
        <v/>
      </c>
      <c r="O340" s="349">
        <f>IF($A340="","",IF(OR(LOWER($D340&amp;"")="n/a",ISNUMBER(SEARCH("subscription",LOWER($A340&amp;" "&amp;$M340&amp;""))),ISNUMBER(SEARCH("membership",LOWER($A340&amp;" "&amp;$M340&amp;"")))),"",IF(OR($N340="",$I340="",$I340=0),"",$N340/$I340)))</f>
        <v/>
      </c>
      <c r="P340" s="349">
        <f>IF($A340="","",IF(OR(LOWER($D340&amp;"")="n/a",ISNUMBER(SEARCH("subscription",LOWER($A340&amp;" "&amp;$M340&amp;""))),ISNUMBER(SEARCH("membership",LOWER($A340&amp;" "&amp;$M340&amp;"")))),"",IF(LOWER($L340&amp;"")="yes",0,IF($K340&lt;&gt;"",$K340,IF($O340&lt;&gt;"",$O340,"")))))</f>
        <v/>
      </c>
      <c r="Q340" s="351">
        <f>IF($A340="","",IF($U340="Subscription","",IF($U340="Profit",$P340-$H340,0)))</f>
        <v/>
      </c>
      <c r="R340" s="349">
        <f>IF($A340="","",IF($U340="Subscription","",IF($U340="Draw",$H340,0)))</f>
        <v/>
      </c>
      <c r="S340" s="349">
        <f>IF($A340="","",IF($U340="Subscription","",IF($U340="Disqualified",$H340,0)))</f>
        <v/>
      </c>
      <c r="T340" s="380">
        <f>IF($A340="","",IF($U340="Subscription","",IF($H340=0,IF($U340="Profit","N/A",0),IF($U340="Profit",$Q340/$H340,IF($U340="Disqualified",-1,0)))))</f>
        <v/>
      </c>
      <c r="U340" s="351">
        <f>IF($A340="","",IF(OR(LOWER($D340&amp;"")="n/a",ISNUMBER(SEARCH("subscription",LOWER($A340&amp;" "&amp;$M340&amp;""))),ISNUMBER(SEARCH("membership",LOWER($A340&amp;" "&amp;$M340&amp;"")))),"Subscription",IF(LOWER($L340&amp;"")="yes","Disqualified",IF($P340&gt;$H340,"Profit","Draw"))))</f>
        <v/>
      </c>
      <c r="V340" s="383">
        <f>IF(OR($A340="",$B340="",$C340="",$U340="Subscription"),"",IFERROR(ROUNDUP((IF(ISNUMBER($C340),$C340,DATEVALUE($C340))-IF(ISNUMBER($B340),$B340,DATEVALUE($B340)))/7,0),""))</f>
        <v/>
      </c>
      <c r="W340" s="351">
        <f>IF($U340="Subscription","",$Q340-$S340)</f>
        <v/>
      </c>
      <c r="X340" s="384">
        <f>IF(OR($A340="",$U340="Subscription",$J340="",$I340="",$J340=0,$I340=0,$I340&gt;$J340),"",$J340-$I340)</f>
        <v/>
      </c>
      <c r="Y340" s="381">
        <f>IF(OR($A340="",$U340="Subscription",$J340="",$J340=0,$X340=""),"",$X340/$J340)</f>
        <v/>
      </c>
    </row>
    <row r="341" ht="21" customHeight="1" s="270">
      <c r="A341" s="297" t="n"/>
      <c r="B341" s="298" t="n"/>
      <c r="C341" s="298" t="n"/>
      <c r="D341" s="297" t="n"/>
      <c r="E341" s="349" t="n"/>
      <c r="F341" s="349" t="n"/>
      <c r="G341" s="349" t="n"/>
      <c r="H341" s="349" t="n"/>
      <c r="I341" s="382" t="n"/>
      <c r="J341" s="383" t="n"/>
      <c r="K341" s="351" t="n"/>
      <c r="L341" s="296" t="n"/>
      <c r="M341" s="349" t="n"/>
      <c r="N341" s="349">
        <f>IF($A341="","",IF(OR(LOWER($D341&amp;"")="n/a",ISNUMBER(SEARCH("subscription",LOWER($A341&amp;" "&amp;$M341&amp;""))),ISNUMBER(SEARCH("membership",LOWER($A341&amp;" "&amp;$M341&amp;"")))),"",IF($G341="","",IF(ISNUMBER(SEARCH("non",LOWER($E341&amp;""))),$G341*0.85,$G341))))</f>
        <v/>
      </c>
      <c r="O341" s="349">
        <f>IF($A341="","",IF(OR(LOWER($D341&amp;"")="n/a",ISNUMBER(SEARCH("subscription",LOWER($A341&amp;" "&amp;$M341&amp;""))),ISNUMBER(SEARCH("membership",LOWER($A341&amp;" "&amp;$M341&amp;"")))),"",IF(OR($N341="",$I341="",$I341=0),"",$N341/$I341)))</f>
        <v/>
      </c>
      <c r="P341" s="349">
        <f>IF($A341="","",IF(OR(LOWER($D341&amp;"")="n/a",ISNUMBER(SEARCH("subscription",LOWER($A341&amp;" "&amp;$M341&amp;""))),ISNUMBER(SEARCH("membership",LOWER($A341&amp;" "&amp;$M341&amp;"")))),"",IF(LOWER($L341&amp;"")="yes",0,IF($K341&lt;&gt;"",$K341,IF($O341&lt;&gt;"",$O341,"")))))</f>
        <v/>
      </c>
      <c r="Q341" s="351">
        <f>IF($A341="","",IF($U341="Subscription","",IF($U341="Profit",$P341-$H341,0)))</f>
        <v/>
      </c>
      <c r="R341" s="349">
        <f>IF($A341="","",IF($U341="Subscription","",IF($U341="Draw",$H341,0)))</f>
        <v/>
      </c>
      <c r="S341" s="349">
        <f>IF($A341="","",IF($U341="Subscription","",IF($U341="Disqualified",$H341,0)))</f>
        <v/>
      </c>
      <c r="T341" s="380">
        <f>IF($A341="","",IF($U341="Subscription","",IF($H341=0,IF($U341="Profit","N/A",0),IF($U341="Profit",$Q341/$H341,IF($U341="Disqualified",-1,0)))))</f>
        <v/>
      </c>
      <c r="U341" s="351">
        <f>IF($A341="","",IF(OR(LOWER($D341&amp;"")="n/a",ISNUMBER(SEARCH("subscription",LOWER($A341&amp;" "&amp;$M341&amp;""))),ISNUMBER(SEARCH("membership",LOWER($A341&amp;" "&amp;$M341&amp;"")))),"Subscription",IF(LOWER($L341&amp;"")="yes","Disqualified",IF($P341&gt;$H341,"Profit","Draw"))))</f>
        <v/>
      </c>
      <c r="V341" s="383">
        <f>IF(OR($A341="",$B341="",$C341="",$U341="Subscription"),"",IFERROR(ROUNDUP((IF(ISNUMBER($C341),$C341,DATEVALUE($C341))-IF(ISNUMBER($B341),$B341,DATEVALUE($B341)))/7,0),""))</f>
        <v/>
      </c>
      <c r="W341" s="351">
        <f>IF($U341="Subscription","",$Q341-$S341)</f>
        <v/>
      </c>
      <c r="X341" s="384">
        <f>IF(OR($A341="",$U341="Subscription",$J341="",$I341="",$J341=0,$I341=0,$I341&gt;$J341),"",$J341-$I341)</f>
        <v/>
      </c>
      <c r="Y341" s="381">
        <f>IF(OR($A341="",$U341="Subscription",$J341="",$J341=0,$X341=""),"",$X341/$J341)</f>
        <v/>
      </c>
    </row>
    <row r="342" ht="21" customHeight="1" s="270">
      <c r="A342" s="297" t="n"/>
      <c r="B342" s="298" t="n"/>
      <c r="C342" s="298" t="n"/>
      <c r="D342" s="297" t="n"/>
      <c r="E342" s="349" t="n"/>
      <c r="F342" s="349" t="n"/>
      <c r="G342" s="349" t="n"/>
      <c r="H342" s="349" t="n"/>
      <c r="I342" s="382" t="n"/>
      <c r="J342" s="383" t="n"/>
      <c r="K342" s="351" t="n"/>
      <c r="L342" s="296" t="n"/>
      <c r="M342" s="349" t="n"/>
      <c r="N342" s="349">
        <f>IF($A342="","",IF(OR(LOWER($D342&amp;"")="n/a",ISNUMBER(SEARCH("subscription",LOWER($A342&amp;" "&amp;$M342&amp;""))),ISNUMBER(SEARCH("membership",LOWER($A342&amp;" "&amp;$M342&amp;"")))),"",IF($G342="","",IF(ISNUMBER(SEARCH("non",LOWER($E342&amp;""))),$G342*0.85,$G342))))</f>
        <v/>
      </c>
      <c r="O342" s="349">
        <f>IF($A342="","",IF(OR(LOWER($D342&amp;"")="n/a",ISNUMBER(SEARCH("subscription",LOWER($A342&amp;" "&amp;$M342&amp;""))),ISNUMBER(SEARCH("membership",LOWER($A342&amp;" "&amp;$M342&amp;"")))),"",IF(OR($N342="",$I342="",$I342=0),"",$N342/$I342)))</f>
        <v/>
      </c>
      <c r="P342" s="349">
        <f>IF($A342="","",IF(OR(LOWER($D342&amp;"")="n/a",ISNUMBER(SEARCH("subscription",LOWER($A342&amp;" "&amp;$M342&amp;""))),ISNUMBER(SEARCH("membership",LOWER($A342&amp;" "&amp;$M342&amp;"")))),"",IF(LOWER($L342&amp;"")="yes",0,IF($K342&lt;&gt;"",$K342,IF($O342&lt;&gt;"",$O342,"")))))</f>
        <v/>
      </c>
      <c r="Q342" s="351">
        <f>IF($A342="","",IF($U342="Subscription","",IF($U342="Profit",$P342-$H342,0)))</f>
        <v/>
      </c>
      <c r="R342" s="349">
        <f>IF($A342="","",IF($U342="Subscription","",IF($U342="Draw",$H342,0)))</f>
        <v/>
      </c>
      <c r="S342" s="349">
        <f>IF($A342="","",IF($U342="Subscription","",IF($U342="Disqualified",$H342,0)))</f>
        <v/>
      </c>
      <c r="T342" s="380">
        <f>IF($A342="","",IF($U342="Subscription","",IF($H342=0,IF($U342="Profit","N/A",0),IF($U342="Profit",$Q342/$H342,IF($U342="Disqualified",-1,0)))))</f>
        <v/>
      </c>
      <c r="U342" s="351">
        <f>IF($A342="","",IF(OR(LOWER($D342&amp;"")="n/a",ISNUMBER(SEARCH("subscription",LOWER($A342&amp;" "&amp;$M342&amp;""))),ISNUMBER(SEARCH("membership",LOWER($A342&amp;" "&amp;$M342&amp;"")))),"Subscription",IF(LOWER($L342&amp;"")="yes","Disqualified",IF($P342&gt;$H342,"Profit","Draw"))))</f>
        <v/>
      </c>
      <c r="V342" s="383">
        <f>IF(OR($A342="",$B342="",$C342="",$U342="Subscription"),"",IFERROR(ROUNDUP((IF(ISNUMBER($C342),$C342,DATEVALUE($C342))-IF(ISNUMBER($B342),$B342,DATEVALUE($B342)))/7,0),""))</f>
        <v/>
      </c>
      <c r="W342" s="351">
        <f>IF($U342="Subscription","",$Q342-$S342)</f>
        <v/>
      </c>
      <c r="X342" s="384">
        <f>IF(OR($A342="",$U342="Subscription",$J342="",$I342="",$J342=0,$I342=0,$I342&gt;$J342),"",$J342-$I342)</f>
        <v/>
      </c>
      <c r="Y342" s="381">
        <f>IF(OR($A342="",$U342="Subscription",$J342="",$J342=0,$X342=""),"",$X342/$J342)</f>
        <v/>
      </c>
    </row>
    <row r="343" ht="21" customHeight="1" s="270">
      <c r="A343" s="297" t="n"/>
      <c r="B343" s="298" t="n"/>
      <c r="C343" s="298" t="n"/>
      <c r="D343" s="297" t="n"/>
      <c r="E343" s="349" t="n"/>
      <c r="F343" s="349" t="n"/>
      <c r="G343" s="349" t="n"/>
      <c r="H343" s="349" t="n"/>
      <c r="I343" s="382" t="n"/>
      <c r="J343" s="383" t="n"/>
      <c r="K343" s="351" t="n"/>
      <c r="L343" s="296" t="n"/>
      <c r="M343" s="349" t="n"/>
      <c r="N343" s="349">
        <f>IF($A343="","",IF(OR(LOWER($D343&amp;"")="n/a",ISNUMBER(SEARCH("subscription",LOWER($A343&amp;" "&amp;$M343&amp;""))),ISNUMBER(SEARCH("membership",LOWER($A343&amp;" "&amp;$M343&amp;"")))),"",IF($G343="","",IF(ISNUMBER(SEARCH("non",LOWER($E343&amp;""))),$G343*0.85,$G343))))</f>
        <v/>
      </c>
      <c r="O343" s="349">
        <f>IF($A343="","",IF(OR(LOWER($D343&amp;"")="n/a",ISNUMBER(SEARCH("subscription",LOWER($A343&amp;" "&amp;$M343&amp;""))),ISNUMBER(SEARCH("membership",LOWER($A343&amp;" "&amp;$M343&amp;"")))),"",IF(OR($N343="",$I343="",$I343=0),"",$N343/$I343)))</f>
        <v/>
      </c>
      <c r="P343" s="349">
        <f>IF($A343="","",IF(OR(LOWER($D343&amp;"")="n/a",ISNUMBER(SEARCH("subscription",LOWER($A343&amp;" "&amp;$M343&amp;""))),ISNUMBER(SEARCH("membership",LOWER($A343&amp;" "&amp;$M343&amp;"")))),"",IF(LOWER($L343&amp;"")="yes",0,IF($K343&lt;&gt;"",$K343,IF($O343&lt;&gt;"",$O343,"")))))</f>
        <v/>
      </c>
      <c r="Q343" s="351">
        <f>IF($A343="","",IF($U343="Subscription","",IF($U343="Profit",$P343-$H343,0)))</f>
        <v/>
      </c>
      <c r="R343" s="349">
        <f>IF($A343="","",IF($U343="Subscription","",IF($U343="Draw",$H343,0)))</f>
        <v/>
      </c>
      <c r="S343" s="349">
        <f>IF($A343="","",IF($U343="Subscription","",IF($U343="Disqualified",$H343,0)))</f>
        <v/>
      </c>
      <c r="T343" s="380">
        <f>IF($A343="","",IF($U343="Subscription","",IF($H343=0,IF($U343="Profit","N/A",0),IF($U343="Profit",$Q343/$H343,IF($U343="Disqualified",-1,0)))))</f>
        <v/>
      </c>
      <c r="U343" s="351">
        <f>IF($A343="","",IF(OR(LOWER($D343&amp;"")="n/a",ISNUMBER(SEARCH("subscription",LOWER($A343&amp;" "&amp;$M343&amp;""))),ISNUMBER(SEARCH("membership",LOWER($A343&amp;" "&amp;$M343&amp;"")))),"Subscription",IF(LOWER($L343&amp;"")="yes","Disqualified",IF($P343&gt;$H343,"Profit","Draw"))))</f>
        <v/>
      </c>
      <c r="V343" s="383">
        <f>IF(OR($A343="",$B343="",$C343="",$U343="Subscription"),"",IFERROR(ROUNDUP((IF(ISNUMBER($C343),$C343,DATEVALUE($C343))-IF(ISNUMBER($B343),$B343,DATEVALUE($B343)))/7,0),""))</f>
        <v/>
      </c>
      <c r="W343" s="351">
        <f>IF($U343="Subscription","",$Q343-$S343)</f>
        <v/>
      </c>
      <c r="X343" s="384">
        <f>IF(OR($A343="",$U343="Subscription",$J343="",$I343="",$J343=0,$I343=0,$I343&gt;$J343),"",$J343-$I343)</f>
        <v/>
      </c>
      <c r="Y343" s="381">
        <f>IF(OR($A343="",$U343="Subscription",$J343="",$J343=0,$X343=""),"",$X343/$J343)</f>
        <v/>
      </c>
    </row>
    <row r="344" ht="21" customHeight="1" s="270">
      <c r="A344" s="297" t="n"/>
      <c r="B344" s="298" t="n"/>
      <c r="C344" s="298" t="n"/>
      <c r="D344" s="297" t="n"/>
      <c r="E344" s="349" t="n"/>
      <c r="F344" s="349" t="n"/>
      <c r="G344" s="349" t="n"/>
      <c r="H344" s="349" t="n"/>
      <c r="I344" s="382" t="n"/>
      <c r="J344" s="383" t="n"/>
      <c r="K344" s="351" t="n"/>
      <c r="L344" s="296" t="n"/>
      <c r="M344" s="349" t="n"/>
      <c r="N344" s="349">
        <f>IF($A344="","",IF(OR(LOWER($D344&amp;"")="n/a",ISNUMBER(SEARCH("subscription",LOWER($A344&amp;" "&amp;$M344&amp;""))),ISNUMBER(SEARCH("membership",LOWER($A344&amp;" "&amp;$M344&amp;"")))),"",IF($G344="","",IF(ISNUMBER(SEARCH("non",LOWER($E344&amp;""))),$G344*0.85,$G344))))</f>
        <v/>
      </c>
      <c r="O344" s="349">
        <f>IF($A344="","",IF(OR(LOWER($D344&amp;"")="n/a",ISNUMBER(SEARCH("subscription",LOWER($A344&amp;" "&amp;$M344&amp;""))),ISNUMBER(SEARCH("membership",LOWER($A344&amp;" "&amp;$M344&amp;"")))),"",IF(OR($N344="",$I344="",$I344=0),"",$N344/$I344)))</f>
        <v/>
      </c>
      <c r="P344" s="349">
        <f>IF($A344="","",IF(OR(LOWER($D344&amp;"")="n/a",ISNUMBER(SEARCH("subscription",LOWER($A344&amp;" "&amp;$M344&amp;""))),ISNUMBER(SEARCH("membership",LOWER($A344&amp;" "&amp;$M344&amp;"")))),"",IF(LOWER($L344&amp;"")="yes",0,IF($K344&lt;&gt;"",$K344,IF($O344&lt;&gt;"",$O344,"")))))</f>
        <v/>
      </c>
      <c r="Q344" s="351">
        <f>IF($A344="","",IF($U344="Subscription","",IF($U344="Profit",$P344-$H344,0)))</f>
        <v/>
      </c>
      <c r="R344" s="349">
        <f>IF($A344="","",IF($U344="Subscription","",IF($U344="Draw",$H344,0)))</f>
        <v/>
      </c>
      <c r="S344" s="349">
        <f>IF($A344="","",IF($U344="Subscription","",IF($U344="Disqualified",$H344,0)))</f>
        <v/>
      </c>
      <c r="T344" s="380">
        <f>IF($A344="","",IF($U344="Subscription","",IF($H344=0,IF($U344="Profit","N/A",0),IF($U344="Profit",$Q344/$H344,IF($U344="Disqualified",-1,0)))))</f>
        <v/>
      </c>
      <c r="U344" s="351">
        <f>IF($A344="","",IF(OR(LOWER($D344&amp;"")="n/a",ISNUMBER(SEARCH("subscription",LOWER($A344&amp;" "&amp;$M344&amp;""))),ISNUMBER(SEARCH("membership",LOWER($A344&amp;" "&amp;$M344&amp;"")))),"Subscription",IF(LOWER($L344&amp;"")="yes","Disqualified",IF($P344&gt;$H344,"Profit","Draw"))))</f>
        <v/>
      </c>
      <c r="V344" s="383">
        <f>IF(OR($A344="",$B344="",$C344="",$U344="Subscription"),"",IFERROR(ROUNDUP((IF(ISNUMBER($C344),$C344,DATEVALUE($C344))-IF(ISNUMBER($B344),$B344,DATEVALUE($B344)))/7,0),""))</f>
        <v/>
      </c>
      <c r="W344" s="351">
        <f>IF($U344="Subscription","",$Q344-$S344)</f>
        <v/>
      </c>
      <c r="X344" s="384">
        <f>IF(OR($A344="",$U344="Subscription",$J344="",$I344="",$J344=0,$I344=0,$I344&gt;$J344),"",$J344-$I344)</f>
        <v/>
      </c>
      <c r="Y344" s="381">
        <f>IF(OR($A344="",$U344="Subscription",$J344="",$J344=0,$X344=""),"",$X344/$J344)</f>
        <v/>
      </c>
    </row>
    <row r="345" ht="21" customHeight="1" s="270">
      <c r="A345" s="297" t="n"/>
      <c r="B345" s="298" t="n"/>
      <c r="C345" s="298" t="n"/>
      <c r="D345" s="297" t="n"/>
      <c r="E345" s="349" t="n"/>
      <c r="F345" s="349" t="n"/>
      <c r="G345" s="349" t="n"/>
      <c r="H345" s="349" t="n"/>
      <c r="I345" s="382" t="n"/>
      <c r="J345" s="383" t="n"/>
      <c r="K345" s="351" t="n"/>
      <c r="L345" s="296" t="n"/>
      <c r="M345" s="349" t="n"/>
      <c r="N345" s="349">
        <f>IF($A345="","",IF(OR(LOWER($D345&amp;"")="n/a",ISNUMBER(SEARCH("subscription",LOWER($A345&amp;" "&amp;$M345&amp;""))),ISNUMBER(SEARCH("membership",LOWER($A345&amp;" "&amp;$M345&amp;"")))),"",IF($G345="","",IF(ISNUMBER(SEARCH("non",LOWER($E345&amp;""))),$G345*0.85,$G345))))</f>
        <v/>
      </c>
      <c r="O345" s="349">
        <f>IF($A345="","",IF(OR(LOWER($D345&amp;"")="n/a",ISNUMBER(SEARCH("subscription",LOWER($A345&amp;" "&amp;$M345&amp;""))),ISNUMBER(SEARCH("membership",LOWER($A345&amp;" "&amp;$M345&amp;"")))),"",IF(OR($N345="",$I345="",$I345=0),"",$N345/$I345)))</f>
        <v/>
      </c>
      <c r="P345" s="349">
        <f>IF($A345="","",IF(OR(LOWER($D345&amp;"")="n/a",ISNUMBER(SEARCH("subscription",LOWER($A345&amp;" "&amp;$M345&amp;""))),ISNUMBER(SEARCH("membership",LOWER($A345&amp;" "&amp;$M345&amp;"")))),"",IF(LOWER($L345&amp;"")="yes",0,IF($K345&lt;&gt;"",$K345,IF($O345&lt;&gt;"",$O345,"")))))</f>
        <v/>
      </c>
      <c r="Q345" s="351">
        <f>IF($A345="","",IF($U345="Subscription","",IF($U345="Profit",$P345-$H345,0)))</f>
        <v/>
      </c>
      <c r="R345" s="349">
        <f>IF($A345="","",IF($U345="Subscription","",IF($U345="Draw",$H345,0)))</f>
        <v/>
      </c>
      <c r="S345" s="349">
        <f>IF($A345="","",IF($U345="Subscription","",IF($U345="Disqualified",$H345,0)))</f>
        <v/>
      </c>
      <c r="T345" s="380">
        <f>IF($A345="","",IF($U345="Subscription","",IF($H345=0,IF($U345="Profit","N/A",0),IF($U345="Profit",$Q345/$H345,IF($U345="Disqualified",-1,0)))))</f>
        <v/>
      </c>
      <c r="U345" s="351">
        <f>IF($A345="","",IF(OR(LOWER($D345&amp;"")="n/a",ISNUMBER(SEARCH("subscription",LOWER($A345&amp;" "&amp;$M345&amp;""))),ISNUMBER(SEARCH("membership",LOWER($A345&amp;" "&amp;$M345&amp;"")))),"Subscription",IF(LOWER($L345&amp;"")="yes","Disqualified",IF($P345&gt;$H345,"Profit","Draw"))))</f>
        <v/>
      </c>
      <c r="V345" s="383">
        <f>IF(OR($A345="",$B345="",$C345="",$U345="Subscription"),"",IFERROR(ROUNDUP((IF(ISNUMBER($C345),$C345,DATEVALUE($C345))-IF(ISNUMBER($B345),$B345,DATEVALUE($B345)))/7,0),""))</f>
        <v/>
      </c>
      <c r="W345" s="351">
        <f>IF($U345="Subscription","",$Q345-$S345)</f>
        <v/>
      </c>
      <c r="X345" s="384">
        <f>IF(OR($A345="",$U345="Subscription",$J345="",$I345="",$J345=0,$I345=0,$I345&gt;$J345),"",$J345-$I345)</f>
        <v/>
      </c>
      <c r="Y345" s="381">
        <f>IF(OR($A345="",$U345="Subscription",$J345="",$J345=0,$X345=""),"",$X345/$J345)</f>
        <v/>
      </c>
    </row>
    <row r="346" ht="21" customHeight="1" s="270">
      <c r="A346" s="297" t="n"/>
      <c r="B346" s="298" t="n"/>
      <c r="C346" s="298" t="n"/>
      <c r="D346" s="297" t="n"/>
      <c r="E346" s="349" t="n"/>
      <c r="F346" s="349" t="n"/>
      <c r="G346" s="349" t="n"/>
      <c r="H346" s="349" t="n"/>
      <c r="I346" s="382" t="n"/>
      <c r="J346" s="383" t="n"/>
      <c r="K346" s="351" t="n"/>
      <c r="L346" s="296" t="n"/>
      <c r="M346" s="349" t="n"/>
      <c r="N346" s="349">
        <f>IF($A346="","",IF(OR(LOWER($D346&amp;"")="n/a",ISNUMBER(SEARCH("subscription",LOWER($A346&amp;" "&amp;$M346&amp;""))),ISNUMBER(SEARCH("membership",LOWER($A346&amp;" "&amp;$M346&amp;"")))),"",IF($G346="","",IF(ISNUMBER(SEARCH("non",LOWER($E346&amp;""))),$G346*0.85,$G346))))</f>
        <v/>
      </c>
      <c r="O346" s="349">
        <f>IF($A346="","",IF(OR(LOWER($D346&amp;"")="n/a",ISNUMBER(SEARCH("subscription",LOWER($A346&amp;" "&amp;$M346&amp;""))),ISNUMBER(SEARCH("membership",LOWER($A346&amp;" "&amp;$M346&amp;"")))),"",IF(OR($N346="",$I346="",$I346=0),"",$N346/$I346)))</f>
        <v/>
      </c>
      <c r="P346" s="349">
        <f>IF($A346="","",IF(OR(LOWER($D346&amp;"")="n/a",ISNUMBER(SEARCH("subscription",LOWER($A346&amp;" "&amp;$M346&amp;""))),ISNUMBER(SEARCH("membership",LOWER($A346&amp;" "&amp;$M346&amp;"")))),"",IF(LOWER($L346&amp;"")="yes",0,IF($K346&lt;&gt;"",$K346,IF($O346&lt;&gt;"",$O346,"")))))</f>
        <v/>
      </c>
      <c r="Q346" s="351">
        <f>IF($A346="","",IF($U346="Subscription","",IF($U346="Profit",$P346-$H346,0)))</f>
        <v/>
      </c>
      <c r="R346" s="349">
        <f>IF($A346="","",IF($U346="Subscription","",IF($U346="Draw",$H346,0)))</f>
        <v/>
      </c>
      <c r="S346" s="349">
        <f>IF($A346="","",IF($U346="Subscription","",IF($U346="Disqualified",$H346,0)))</f>
        <v/>
      </c>
      <c r="T346" s="380">
        <f>IF($A346="","",IF($U346="Subscription","",IF($H346=0,IF($U346="Profit","N/A",0),IF($U346="Profit",$Q346/$H346,IF($U346="Disqualified",-1,0)))))</f>
        <v/>
      </c>
      <c r="U346" s="351">
        <f>IF($A346="","",IF(OR(LOWER($D346&amp;"")="n/a",ISNUMBER(SEARCH("subscription",LOWER($A346&amp;" "&amp;$M346&amp;""))),ISNUMBER(SEARCH("membership",LOWER($A346&amp;" "&amp;$M346&amp;"")))),"Subscription",IF(LOWER($L346&amp;"")="yes","Disqualified",IF($P346&gt;$H346,"Profit","Draw"))))</f>
        <v/>
      </c>
      <c r="V346" s="383">
        <f>IF(OR($A346="",$B346="",$C346="",$U346="Subscription"),"",IFERROR(ROUNDUP((IF(ISNUMBER($C346),$C346,DATEVALUE($C346))-IF(ISNUMBER($B346),$B346,DATEVALUE($B346)))/7,0),""))</f>
        <v/>
      </c>
      <c r="W346" s="351">
        <f>IF($U346="Subscription","",$Q346-$S346)</f>
        <v/>
      </c>
      <c r="X346" s="384">
        <f>IF(OR($A346="",$U346="Subscription",$J346="",$I346="",$J346=0,$I346=0,$I346&gt;$J346),"",$J346-$I346)</f>
        <v/>
      </c>
      <c r="Y346" s="381">
        <f>IF(OR($A346="",$U346="Subscription",$J346="",$J346=0,$X346=""),"",$X346/$J346)</f>
        <v/>
      </c>
    </row>
    <row r="347" ht="21" customHeight="1" s="270">
      <c r="A347" s="297" t="n"/>
      <c r="B347" s="298" t="n"/>
      <c r="C347" s="298" t="n"/>
      <c r="D347" s="297" t="n"/>
      <c r="E347" s="349" t="n"/>
      <c r="F347" s="349" t="n"/>
      <c r="G347" s="349" t="n"/>
      <c r="H347" s="349" t="n"/>
      <c r="I347" s="382" t="n"/>
      <c r="J347" s="383" t="n"/>
      <c r="K347" s="351" t="n"/>
      <c r="L347" s="296" t="n"/>
      <c r="M347" s="349" t="n"/>
      <c r="N347" s="349">
        <f>IF($A347="","",IF(OR(LOWER($D347&amp;"")="n/a",ISNUMBER(SEARCH("subscription",LOWER($A347&amp;" "&amp;$M347&amp;""))),ISNUMBER(SEARCH("membership",LOWER($A347&amp;" "&amp;$M347&amp;"")))),"",IF($G347="","",IF(ISNUMBER(SEARCH("non",LOWER($E347&amp;""))),$G347*0.85,$G347))))</f>
        <v/>
      </c>
      <c r="O347" s="349">
        <f>IF($A347="","",IF(OR(LOWER($D347&amp;"")="n/a",ISNUMBER(SEARCH("subscription",LOWER($A347&amp;" "&amp;$M347&amp;""))),ISNUMBER(SEARCH("membership",LOWER($A347&amp;" "&amp;$M347&amp;"")))),"",IF(OR($N347="",$I347="",$I347=0),"",$N347/$I347)))</f>
        <v/>
      </c>
      <c r="P347" s="349">
        <f>IF($A347="","",IF(OR(LOWER($D347&amp;"")="n/a",ISNUMBER(SEARCH("subscription",LOWER($A347&amp;" "&amp;$M347&amp;""))),ISNUMBER(SEARCH("membership",LOWER($A347&amp;" "&amp;$M347&amp;"")))),"",IF(LOWER($L347&amp;"")="yes",0,IF($K347&lt;&gt;"",$K347,IF($O347&lt;&gt;"",$O347,"")))))</f>
        <v/>
      </c>
      <c r="Q347" s="351">
        <f>IF($A347="","",IF($U347="Subscription","",IF($U347="Profit",$P347-$H347,0)))</f>
        <v/>
      </c>
      <c r="R347" s="349">
        <f>IF($A347="","",IF($U347="Subscription","",IF($U347="Draw",$H347,0)))</f>
        <v/>
      </c>
      <c r="S347" s="349">
        <f>IF($A347="","",IF($U347="Subscription","",IF($U347="Disqualified",$H347,0)))</f>
        <v/>
      </c>
      <c r="T347" s="380">
        <f>IF($A347="","",IF($U347="Subscription","",IF($H347=0,IF($U347="Profit","N/A",0),IF($U347="Profit",$Q347/$H347,IF($U347="Disqualified",-1,0)))))</f>
        <v/>
      </c>
      <c r="U347" s="351">
        <f>IF($A347="","",IF(OR(LOWER($D347&amp;"")="n/a",ISNUMBER(SEARCH("subscription",LOWER($A347&amp;" "&amp;$M347&amp;""))),ISNUMBER(SEARCH("membership",LOWER($A347&amp;" "&amp;$M347&amp;"")))),"Subscription",IF(LOWER($L347&amp;"")="yes","Disqualified",IF($P347&gt;$H347,"Profit","Draw"))))</f>
        <v/>
      </c>
      <c r="V347" s="383">
        <f>IF(OR($A347="",$B347="",$C347="",$U347="Subscription"),"",IFERROR(ROUNDUP((IF(ISNUMBER($C347),$C347,DATEVALUE($C347))-IF(ISNUMBER($B347),$B347,DATEVALUE($B347)))/7,0),""))</f>
        <v/>
      </c>
      <c r="W347" s="351">
        <f>IF($U347="Subscription","",$Q347-$S347)</f>
        <v/>
      </c>
      <c r="X347" s="384">
        <f>IF(OR($A347="",$U347="Subscription",$J347="",$I347="",$J347=0,$I347=0,$I347&gt;$J347),"",$J347-$I347)</f>
        <v/>
      </c>
      <c r="Y347" s="381">
        <f>IF(OR($A347="",$U347="Subscription",$J347="",$J347=0,$X347=""),"",$X347/$J347)</f>
        <v/>
      </c>
    </row>
    <row r="348" ht="21" customHeight="1" s="270">
      <c r="A348" s="297" t="n"/>
      <c r="B348" s="298" t="n"/>
      <c r="C348" s="298" t="n"/>
      <c r="D348" s="297" t="n"/>
      <c r="E348" s="349" t="n"/>
      <c r="F348" s="349" t="n"/>
      <c r="G348" s="349" t="n"/>
      <c r="H348" s="349" t="n"/>
      <c r="I348" s="382" t="n"/>
      <c r="J348" s="383" t="n"/>
      <c r="K348" s="351" t="n"/>
      <c r="L348" s="296" t="n"/>
      <c r="M348" s="349" t="n"/>
      <c r="N348" s="349">
        <f>IF($A348="","",IF(OR(LOWER($D348&amp;"")="n/a",ISNUMBER(SEARCH("subscription",LOWER($A348&amp;" "&amp;$M348&amp;""))),ISNUMBER(SEARCH("membership",LOWER($A348&amp;" "&amp;$M348&amp;"")))),"",IF($G348="","",IF(ISNUMBER(SEARCH("non",LOWER($E348&amp;""))),$G348*0.85,$G348))))</f>
        <v/>
      </c>
      <c r="O348" s="349">
        <f>IF($A348="","",IF(OR(LOWER($D348&amp;"")="n/a",ISNUMBER(SEARCH("subscription",LOWER($A348&amp;" "&amp;$M348&amp;""))),ISNUMBER(SEARCH("membership",LOWER($A348&amp;" "&amp;$M348&amp;"")))),"",IF(OR($N348="",$I348="",$I348=0),"",$N348/$I348)))</f>
        <v/>
      </c>
      <c r="P348" s="349">
        <f>IF($A348="","",IF(OR(LOWER($D348&amp;"")="n/a",ISNUMBER(SEARCH("subscription",LOWER($A348&amp;" "&amp;$M348&amp;""))),ISNUMBER(SEARCH("membership",LOWER($A348&amp;" "&amp;$M348&amp;"")))),"",IF(LOWER($L348&amp;"")="yes",0,IF($K348&lt;&gt;"",$K348,IF($O348&lt;&gt;"",$O348,"")))))</f>
        <v/>
      </c>
      <c r="Q348" s="351">
        <f>IF($A348="","",IF($U348="Subscription","",IF($U348="Profit",$P348-$H348,0)))</f>
        <v/>
      </c>
      <c r="R348" s="349">
        <f>IF($A348="","",IF($U348="Subscription","",IF($U348="Draw",$H348,0)))</f>
        <v/>
      </c>
      <c r="S348" s="349">
        <f>IF($A348="","",IF($U348="Subscription","",IF($U348="Disqualified",$H348,0)))</f>
        <v/>
      </c>
      <c r="T348" s="380">
        <f>IF($A348="","",IF($U348="Subscription","",IF($H348=0,IF($U348="Profit","N/A",0),IF($U348="Profit",$Q348/$H348,IF($U348="Disqualified",-1,0)))))</f>
        <v/>
      </c>
      <c r="U348" s="351">
        <f>IF($A348="","",IF(OR(LOWER($D348&amp;"")="n/a",ISNUMBER(SEARCH("subscription",LOWER($A348&amp;" "&amp;$M348&amp;""))),ISNUMBER(SEARCH("membership",LOWER($A348&amp;" "&amp;$M348&amp;"")))),"Subscription",IF(LOWER($L348&amp;"")="yes","Disqualified",IF($P348&gt;$H348,"Profit","Draw"))))</f>
        <v/>
      </c>
      <c r="V348" s="383">
        <f>IF(OR($A348="",$B348="",$C348="",$U348="Subscription"),"",IFERROR(ROUNDUP((IF(ISNUMBER($C348),$C348,DATEVALUE($C348))-IF(ISNUMBER($B348),$B348,DATEVALUE($B348)))/7,0),""))</f>
        <v/>
      </c>
      <c r="W348" s="351">
        <f>IF($U348="Subscription","",$Q348-$S348)</f>
        <v/>
      </c>
      <c r="X348" s="384">
        <f>IF(OR($A348="",$U348="Subscription",$J348="",$I348="",$J348=0,$I348=0,$I348&gt;$J348),"",$J348-$I348)</f>
        <v/>
      </c>
      <c r="Y348" s="381">
        <f>IF(OR($A348="",$U348="Subscription",$J348="",$J348=0,$X348=""),"",$X348/$J348)</f>
        <v/>
      </c>
    </row>
    <row r="349" ht="21" customHeight="1" s="270">
      <c r="A349" s="297" t="n"/>
      <c r="B349" s="298" t="n"/>
      <c r="C349" s="298" t="n"/>
      <c r="D349" s="297" t="n"/>
      <c r="E349" s="349" t="n"/>
      <c r="F349" s="349" t="n"/>
      <c r="G349" s="349" t="n"/>
      <c r="H349" s="349" t="n"/>
      <c r="I349" s="382" t="n"/>
      <c r="J349" s="383" t="n"/>
      <c r="K349" s="351" t="n"/>
      <c r="L349" s="296" t="n"/>
      <c r="M349" s="349" t="n"/>
      <c r="N349" s="349">
        <f>IF($A349="","",IF(OR(LOWER($D349&amp;"")="n/a",ISNUMBER(SEARCH("subscription",LOWER($A349&amp;" "&amp;$M349&amp;""))),ISNUMBER(SEARCH("membership",LOWER($A349&amp;" "&amp;$M349&amp;"")))),"",IF($G349="","",IF(ISNUMBER(SEARCH("non",LOWER($E349&amp;""))),$G349*0.85,$G349))))</f>
        <v/>
      </c>
      <c r="O349" s="349">
        <f>IF($A349="","",IF(OR(LOWER($D349&amp;"")="n/a",ISNUMBER(SEARCH("subscription",LOWER($A349&amp;" "&amp;$M349&amp;""))),ISNUMBER(SEARCH("membership",LOWER($A349&amp;" "&amp;$M349&amp;"")))),"",IF(OR($N349="",$I349="",$I349=0),"",$N349/$I349)))</f>
        <v/>
      </c>
      <c r="P349" s="349">
        <f>IF($A349="","",IF(OR(LOWER($D349&amp;"")="n/a",ISNUMBER(SEARCH("subscription",LOWER($A349&amp;" "&amp;$M349&amp;""))),ISNUMBER(SEARCH("membership",LOWER($A349&amp;" "&amp;$M349&amp;"")))),"",IF(LOWER($L349&amp;"")="yes",0,IF($K349&lt;&gt;"",$K349,IF($O349&lt;&gt;"",$O349,"")))))</f>
        <v/>
      </c>
      <c r="Q349" s="351">
        <f>IF($A349="","",IF($U349="Subscription","",IF($U349="Profit",$P349-$H349,0)))</f>
        <v/>
      </c>
      <c r="R349" s="349">
        <f>IF($A349="","",IF($U349="Subscription","",IF($U349="Draw",$H349,0)))</f>
        <v/>
      </c>
      <c r="S349" s="349">
        <f>IF($A349="","",IF($U349="Subscription","",IF($U349="Disqualified",$H349,0)))</f>
        <v/>
      </c>
      <c r="T349" s="380">
        <f>IF($A349="","",IF($U349="Subscription","",IF($H349=0,IF($U349="Profit","N/A",0),IF($U349="Profit",$Q349/$H349,IF($U349="Disqualified",-1,0)))))</f>
        <v/>
      </c>
      <c r="U349" s="351">
        <f>IF($A349="","",IF(OR(LOWER($D349&amp;"")="n/a",ISNUMBER(SEARCH("subscription",LOWER($A349&amp;" "&amp;$M349&amp;""))),ISNUMBER(SEARCH("membership",LOWER($A349&amp;" "&amp;$M349&amp;"")))),"Subscription",IF(LOWER($L349&amp;"")="yes","Disqualified",IF($P349&gt;$H349,"Profit","Draw"))))</f>
        <v/>
      </c>
      <c r="V349" s="383">
        <f>IF(OR($A349="",$B349="",$C349="",$U349="Subscription"),"",IFERROR(ROUNDUP((IF(ISNUMBER($C349),$C349,DATEVALUE($C349))-IF(ISNUMBER($B349),$B349,DATEVALUE($B349)))/7,0),""))</f>
        <v/>
      </c>
      <c r="W349" s="351">
        <f>IF($U349="Subscription","",$Q349-$S349)</f>
        <v/>
      </c>
      <c r="X349" s="384">
        <f>IF(OR($A349="",$U349="Subscription",$J349="",$I349="",$J349=0,$I349=0,$I349&gt;$J349),"",$J349-$I349)</f>
        <v/>
      </c>
      <c r="Y349" s="381">
        <f>IF(OR($A349="",$U349="Subscription",$J349="",$J349=0,$X349=""),"",$X349/$J349)</f>
        <v/>
      </c>
    </row>
    <row r="350" ht="21" customHeight="1" s="270">
      <c r="A350" s="297" t="n"/>
      <c r="B350" s="298" t="n"/>
      <c r="C350" s="298" t="n"/>
      <c r="D350" s="297" t="n"/>
      <c r="E350" s="349" t="n"/>
      <c r="F350" s="349" t="n"/>
      <c r="G350" s="349" t="n"/>
      <c r="H350" s="349" t="n"/>
      <c r="I350" s="382" t="n"/>
      <c r="J350" s="383" t="n"/>
      <c r="K350" s="351" t="n"/>
      <c r="L350" s="296" t="n"/>
      <c r="M350" s="349" t="n"/>
      <c r="N350" s="349">
        <f>IF($A350="","",IF(OR(LOWER($D350&amp;"")="n/a",ISNUMBER(SEARCH("subscription",LOWER($A350&amp;" "&amp;$M350&amp;""))),ISNUMBER(SEARCH("membership",LOWER($A350&amp;" "&amp;$M350&amp;"")))),"",IF($G350="","",IF(ISNUMBER(SEARCH("non",LOWER($E350&amp;""))),$G350*0.85,$G350))))</f>
        <v/>
      </c>
      <c r="O350" s="349">
        <f>IF($A350="","",IF(OR(LOWER($D350&amp;"")="n/a",ISNUMBER(SEARCH("subscription",LOWER($A350&amp;" "&amp;$M350&amp;""))),ISNUMBER(SEARCH("membership",LOWER($A350&amp;" "&amp;$M350&amp;"")))),"",IF(OR($N350="",$I350="",$I350=0),"",$N350/$I350)))</f>
        <v/>
      </c>
      <c r="P350" s="349">
        <f>IF($A350="","",IF(OR(LOWER($D350&amp;"")="n/a",ISNUMBER(SEARCH("subscription",LOWER($A350&amp;" "&amp;$M350&amp;""))),ISNUMBER(SEARCH("membership",LOWER($A350&amp;" "&amp;$M350&amp;"")))),"",IF(LOWER($L350&amp;"")="yes",0,IF($K350&lt;&gt;"",$K350,IF($O350&lt;&gt;"",$O350,"")))))</f>
        <v/>
      </c>
      <c r="Q350" s="351">
        <f>IF($A350="","",IF($U350="Subscription","",IF($U350="Profit",$P350-$H350,0)))</f>
        <v/>
      </c>
      <c r="R350" s="349">
        <f>IF($A350="","",IF($U350="Subscription","",IF($U350="Draw",$H350,0)))</f>
        <v/>
      </c>
      <c r="S350" s="349">
        <f>IF($A350="","",IF($U350="Subscription","",IF($U350="Disqualified",$H350,0)))</f>
        <v/>
      </c>
      <c r="T350" s="380">
        <f>IF($A350="","",IF($U350="Subscription","",IF($H350=0,IF($U350="Profit","N/A",0),IF($U350="Profit",$Q350/$H350,IF($U350="Disqualified",-1,0)))))</f>
        <v/>
      </c>
      <c r="U350" s="351">
        <f>IF($A350="","",IF(OR(LOWER($D350&amp;"")="n/a",ISNUMBER(SEARCH("subscription",LOWER($A350&amp;" "&amp;$M350&amp;""))),ISNUMBER(SEARCH("membership",LOWER($A350&amp;" "&amp;$M350&amp;"")))),"Subscription",IF(LOWER($L350&amp;"")="yes","Disqualified",IF($P350&gt;$H350,"Profit","Draw"))))</f>
        <v/>
      </c>
      <c r="V350" s="383">
        <f>IF(OR($A350="",$B350="",$C350="",$U350="Subscription"),"",IFERROR(ROUNDUP((IF(ISNUMBER($C350),$C350,DATEVALUE($C350))-IF(ISNUMBER($B350),$B350,DATEVALUE($B350)))/7,0),""))</f>
        <v/>
      </c>
      <c r="W350" s="351">
        <f>IF($U350="Subscription","",$Q350-$S350)</f>
        <v/>
      </c>
      <c r="X350" s="384">
        <f>IF(OR($A350="",$U350="Subscription",$J350="",$I350="",$J350=0,$I350=0,$I350&gt;$J350),"",$J350-$I350)</f>
        <v/>
      </c>
      <c r="Y350" s="381">
        <f>IF(OR($A350="",$U350="Subscription",$J350="",$J350=0,$X350=""),"",$X350/$J350)</f>
        <v/>
      </c>
    </row>
    <row r="351" ht="21" customHeight="1" s="270">
      <c r="A351" s="297" t="n"/>
      <c r="B351" s="298" t="n"/>
      <c r="C351" s="298" t="n"/>
      <c r="D351" s="297" t="n"/>
      <c r="E351" s="349" t="n"/>
      <c r="F351" s="349" t="n"/>
      <c r="G351" s="349" t="n"/>
      <c r="H351" s="349" t="n"/>
      <c r="I351" s="382" t="n"/>
      <c r="J351" s="383" t="n"/>
      <c r="K351" s="351" t="n"/>
      <c r="L351" s="296" t="n"/>
      <c r="M351" s="349" t="n"/>
      <c r="N351" s="349">
        <f>IF($A351="","",IF(OR(LOWER($D351&amp;"")="n/a",ISNUMBER(SEARCH("subscription",LOWER($A351&amp;" "&amp;$M351&amp;""))),ISNUMBER(SEARCH("membership",LOWER($A351&amp;" "&amp;$M351&amp;"")))),"",IF($G351="","",IF(ISNUMBER(SEARCH("non",LOWER($E351&amp;""))),$G351*0.85,$G351))))</f>
        <v/>
      </c>
      <c r="O351" s="349">
        <f>IF($A351="","",IF(OR(LOWER($D351&amp;"")="n/a",ISNUMBER(SEARCH("subscription",LOWER($A351&amp;" "&amp;$M351&amp;""))),ISNUMBER(SEARCH("membership",LOWER($A351&amp;" "&amp;$M351&amp;"")))),"",IF(OR($N351="",$I351="",$I351=0),"",$N351/$I351)))</f>
        <v/>
      </c>
      <c r="P351" s="349">
        <f>IF($A351="","",IF(OR(LOWER($D351&amp;"")="n/a",ISNUMBER(SEARCH("subscription",LOWER($A351&amp;" "&amp;$M351&amp;""))),ISNUMBER(SEARCH("membership",LOWER($A351&amp;" "&amp;$M351&amp;"")))),"",IF(LOWER($L351&amp;"")="yes",0,IF($K351&lt;&gt;"",$K351,IF($O351&lt;&gt;"",$O351,"")))))</f>
        <v/>
      </c>
      <c r="Q351" s="351">
        <f>IF($A351="","",IF($U351="Subscription","",IF($U351="Profit",$P351-$H351,0)))</f>
        <v/>
      </c>
      <c r="R351" s="349">
        <f>IF($A351="","",IF($U351="Subscription","",IF($U351="Draw",$H351,0)))</f>
        <v/>
      </c>
      <c r="S351" s="349">
        <f>IF($A351="","",IF($U351="Subscription","",IF($U351="Disqualified",$H351,0)))</f>
        <v/>
      </c>
      <c r="T351" s="380">
        <f>IF($A351="","",IF($U351="Subscription","",IF($H351=0,IF($U351="Profit","N/A",0),IF($U351="Profit",$Q351/$H351,IF($U351="Disqualified",-1,0)))))</f>
        <v/>
      </c>
      <c r="U351" s="351">
        <f>IF($A351="","",IF(OR(LOWER($D351&amp;"")="n/a",ISNUMBER(SEARCH("subscription",LOWER($A351&amp;" "&amp;$M351&amp;""))),ISNUMBER(SEARCH("membership",LOWER($A351&amp;" "&amp;$M351&amp;"")))),"Subscription",IF(LOWER($L351&amp;"")="yes","Disqualified",IF($P351&gt;$H351,"Profit","Draw"))))</f>
        <v/>
      </c>
      <c r="V351" s="383">
        <f>IF(OR($A351="",$B351="",$C351="",$U351="Subscription"),"",IFERROR(ROUNDUP((IF(ISNUMBER($C351),$C351,DATEVALUE($C351))-IF(ISNUMBER($B351),$B351,DATEVALUE($B351)))/7,0),""))</f>
        <v/>
      </c>
      <c r="W351" s="351">
        <f>IF($U351="Subscription","",$Q351-$S351)</f>
        <v/>
      </c>
      <c r="X351" s="384">
        <f>IF(OR($A351="",$U351="Subscription",$J351="",$I351="",$J351=0,$I351=0,$I351&gt;$J351),"",$J351-$I351)</f>
        <v/>
      </c>
      <c r="Y351" s="381">
        <f>IF(OR($A351="",$U351="Subscription",$J351="",$J351=0,$X351=""),"",$X351/$J351)</f>
        <v/>
      </c>
    </row>
    <row r="352" ht="21" customHeight="1" s="270">
      <c r="A352" s="297" t="n"/>
      <c r="B352" s="298" t="n"/>
      <c r="C352" s="298" t="n"/>
      <c r="D352" s="297" t="n"/>
      <c r="E352" s="349" t="n"/>
      <c r="F352" s="349" t="n"/>
      <c r="G352" s="349" t="n"/>
      <c r="H352" s="349" t="n"/>
      <c r="I352" s="382" t="n"/>
      <c r="J352" s="383" t="n"/>
      <c r="K352" s="351" t="n"/>
      <c r="L352" s="296" t="n"/>
      <c r="M352" s="349" t="n"/>
      <c r="N352" s="349">
        <f>IF($A352="","",IF(OR(LOWER($D352&amp;"")="n/a",ISNUMBER(SEARCH("subscription",LOWER($A352&amp;" "&amp;$M352&amp;""))),ISNUMBER(SEARCH("membership",LOWER($A352&amp;" "&amp;$M352&amp;"")))),"",IF($G352="","",IF(ISNUMBER(SEARCH("non",LOWER($E352&amp;""))),$G352*0.85,$G352))))</f>
        <v/>
      </c>
      <c r="O352" s="349">
        <f>IF($A352="","",IF(OR(LOWER($D352&amp;"")="n/a",ISNUMBER(SEARCH("subscription",LOWER($A352&amp;" "&amp;$M352&amp;""))),ISNUMBER(SEARCH("membership",LOWER($A352&amp;" "&amp;$M352&amp;"")))),"",IF(OR($N352="",$I352="",$I352=0),"",$N352/$I352)))</f>
        <v/>
      </c>
      <c r="P352" s="349">
        <f>IF($A352="","",IF(OR(LOWER($D352&amp;"")="n/a",ISNUMBER(SEARCH("subscription",LOWER($A352&amp;" "&amp;$M352&amp;""))),ISNUMBER(SEARCH("membership",LOWER($A352&amp;" "&amp;$M352&amp;"")))),"",IF(LOWER($L352&amp;"")="yes",0,IF($K352&lt;&gt;"",$K352,IF($O352&lt;&gt;"",$O352,"")))))</f>
        <v/>
      </c>
      <c r="Q352" s="351">
        <f>IF($A352="","",IF($U352="Subscription","",IF($U352="Profit",$P352-$H352,0)))</f>
        <v/>
      </c>
      <c r="R352" s="349">
        <f>IF($A352="","",IF($U352="Subscription","",IF($U352="Draw",$H352,0)))</f>
        <v/>
      </c>
      <c r="S352" s="349">
        <f>IF($A352="","",IF($U352="Subscription","",IF($U352="Disqualified",$H352,0)))</f>
        <v/>
      </c>
      <c r="T352" s="380">
        <f>IF($A352="","",IF($U352="Subscription","",IF($H352=0,IF($U352="Profit","N/A",0),IF($U352="Profit",$Q352/$H352,IF($U352="Disqualified",-1,0)))))</f>
        <v/>
      </c>
      <c r="U352" s="351">
        <f>IF($A352="","",IF(OR(LOWER($D352&amp;"")="n/a",ISNUMBER(SEARCH("subscription",LOWER($A352&amp;" "&amp;$M352&amp;""))),ISNUMBER(SEARCH("membership",LOWER($A352&amp;" "&amp;$M352&amp;"")))),"Subscription",IF(LOWER($L352&amp;"")="yes","Disqualified",IF($P352&gt;$H352,"Profit","Draw"))))</f>
        <v/>
      </c>
      <c r="V352" s="383">
        <f>IF(OR($A352="",$B352="",$C352="",$U352="Subscription"),"",IFERROR(ROUNDUP((IF(ISNUMBER($C352),$C352,DATEVALUE($C352))-IF(ISNUMBER($B352),$B352,DATEVALUE($B352)))/7,0),""))</f>
        <v/>
      </c>
      <c r="W352" s="351">
        <f>IF($U352="Subscription","",$Q352-$S352)</f>
        <v/>
      </c>
      <c r="X352" s="384">
        <f>IF(OR($A352="",$U352="Subscription",$J352="",$I352="",$J352=0,$I352=0,$I352&gt;$J352),"",$J352-$I352)</f>
        <v/>
      </c>
      <c r="Y352" s="381">
        <f>IF(OR($A352="",$U352="Subscription",$J352="",$J352=0,$X352=""),"",$X352/$J352)</f>
        <v/>
      </c>
    </row>
    <row r="353" ht="21" customHeight="1" s="270">
      <c r="A353" s="297" t="n"/>
      <c r="B353" s="298" t="n"/>
      <c r="C353" s="298" t="n"/>
      <c r="D353" s="297" t="n"/>
      <c r="E353" s="349" t="n"/>
      <c r="F353" s="349" t="n"/>
      <c r="G353" s="349" t="n"/>
      <c r="H353" s="349" t="n"/>
      <c r="I353" s="382" t="n"/>
      <c r="J353" s="383" t="n"/>
      <c r="K353" s="351" t="n"/>
      <c r="L353" s="296" t="n"/>
      <c r="M353" s="349" t="n"/>
      <c r="N353" s="349">
        <f>IF($A353="","",IF(OR(LOWER($D353&amp;"")="n/a",ISNUMBER(SEARCH("subscription",LOWER($A353&amp;" "&amp;$M353&amp;""))),ISNUMBER(SEARCH("membership",LOWER($A353&amp;" "&amp;$M353&amp;"")))),"",IF($G353="","",IF(ISNUMBER(SEARCH("non",LOWER($E353&amp;""))),$G353*0.85,$G353))))</f>
        <v/>
      </c>
      <c r="O353" s="349">
        <f>IF($A353="","",IF(OR(LOWER($D353&amp;"")="n/a",ISNUMBER(SEARCH("subscription",LOWER($A353&amp;" "&amp;$M353&amp;""))),ISNUMBER(SEARCH("membership",LOWER($A353&amp;" "&amp;$M353&amp;"")))),"",IF(OR($N353="",$I353="",$I353=0),"",$N353/$I353)))</f>
        <v/>
      </c>
      <c r="P353" s="349">
        <f>IF($A353="","",IF(OR(LOWER($D353&amp;"")="n/a",ISNUMBER(SEARCH("subscription",LOWER($A353&amp;" "&amp;$M353&amp;""))),ISNUMBER(SEARCH("membership",LOWER($A353&amp;" "&amp;$M353&amp;"")))),"",IF(LOWER($L353&amp;"")="yes",0,IF($K353&lt;&gt;"",$K353,IF($O353&lt;&gt;"",$O353,"")))))</f>
        <v/>
      </c>
      <c r="Q353" s="351">
        <f>IF($A353="","",IF($U353="Subscription","",IF($U353="Profit",$P353-$H353,0)))</f>
        <v/>
      </c>
      <c r="R353" s="349">
        <f>IF($A353="","",IF($U353="Subscription","",IF($U353="Draw",$H353,0)))</f>
        <v/>
      </c>
      <c r="S353" s="349">
        <f>IF($A353="","",IF($U353="Subscription","",IF($U353="Disqualified",$H353,0)))</f>
        <v/>
      </c>
      <c r="T353" s="380">
        <f>IF($A353="","",IF($U353="Subscription","",IF($H353=0,IF($U353="Profit","N/A",0),IF($U353="Profit",$Q353/$H353,IF($U353="Disqualified",-1,0)))))</f>
        <v/>
      </c>
      <c r="U353" s="351">
        <f>IF($A353="","",IF(OR(LOWER($D353&amp;"")="n/a",ISNUMBER(SEARCH("subscription",LOWER($A353&amp;" "&amp;$M353&amp;""))),ISNUMBER(SEARCH("membership",LOWER($A353&amp;" "&amp;$M353&amp;"")))),"Subscription",IF(LOWER($L353&amp;"")="yes","Disqualified",IF($P353&gt;$H353,"Profit","Draw"))))</f>
        <v/>
      </c>
      <c r="V353" s="383">
        <f>IF(OR($A353="",$B353="",$C353="",$U353="Subscription"),"",IFERROR(ROUNDUP((IF(ISNUMBER($C353),$C353,DATEVALUE($C353))-IF(ISNUMBER($B353),$B353,DATEVALUE($B353)))/7,0),""))</f>
        <v/>
      </c>
      <c r="W353" s="351">
        <f>IF($U353="Subscription","",$Q353-$S353)</f>
        <v/>
      </c>
      <c r="X353" s="384">
        <f>IF(OR($A353="",$U353="Subscription",$J353="",$I353="",$J353=0,$I353=0,$I353&gt;$J353),"",$J353-$I353)</f>
        <v/>
      </c>
      <c r="Y353" s="381">
        <f>IF(OR($A353="",$U353="Subscription",$J353="",$J353=0,$X353=""),"",$X353/$J353)</f>
        <v/>
      </c>
    </row>
    <row r="354" ht="21" customHeight="1" s="270">
      <c r="A354" s="297" t="n"/>
      <c r="B354" s="298" t="n"/>
      <c r="C354" s="298" t="n"/>
      <c r="D354" s="297" t="n"/>
      <c r="E354" s="349" t="n"/>
      <c r="F354" s="349" t="n"/>
      <c r="G354" s="349" t="n"/>
      <c r="H354" s="349" t="n"/>
      <c r="I354" s="382" t="n"/>
      <c r="J354" s="383" t="n"/>
      <c r="K354" s="351" t="n"/>
      <c r="L354" s="296" t="n"/>
      <c r="M354" s="349" t="n"/>
      <c r="N354" s="349">
        <f>IF($A354="","",IF(OR(LOWER($D354&amp;"")="n/a",ISNUMBER(SEARCH("subscription",LOWER($A354&amp;" "&amp;$M354&amp;""))),ISNUMBER(SEARCH("membership",LOWER($A354&amp;" "&amp;$M354&amp;"")))),"",IF($G354="","",IF(ISNUMBER(SEARCH("non",LOWER($E354&amp;""))),$G354*0.85,$G354))))</f>
        <v/>
      </c>
      <c r="O354" s="349">
        <f>IF($A354="","",IF(OR(LOWER($D354&amp;"")="n/a",ISNUMBER(SEARCH("subscription",LOWER($A354&amp;" "&amp;$M354&amp;""))),ISNUMBER(SEARCH("membership",LOWER($A354&amp;" "&amp;$M354&amp;"")))),"",IF(OR($N354="",$I354="",$I354=0),"",$N354/$I354)))</f>
        <v/>
      </c>
      <c r="P354" s="349">
        <f>IF($A354="","",IF(OR(LOWER($D354&amp;"")="n/a",ISNUMBER(SEARCH("subscription",LOWER($A354&amp;" "&amp;$M354&amp;""))),ISNUMBER(SEARCH("membership",LOWER($A354&amp;" "&amp;$M354&amp;"")))),"",IF(LOWER($L354&amp;"")="yes",0,IF($K354&lt;&gt;"",$K354,IF($O354&lt;&gt;"",$O354,"")))))</f>
        <v/>
      </c>
      <c r="Q354" s="351">
        <f>IF($A354="","",IF($U354="Subscription","",IF($U354="Profit",$P354-$H354,0)))</f>
        <v/>
      </c>
      <c r="R354" s="349">
        <f>IF($A354="","",IF($U354="Subscription","",IF($U354="Draw",$H354,0)))</f>
        <v/>
      </c>
      <c r="S354" s="349">
        <f>IF($A354="","",IF($U354="Subscription","",IF($U354="Disqualified",$H354,0)))</f>
        <v/>
      </c>
      <c r="T354" s="380">
        <f>IF($A354="","",IF($U354="Subscription","",IF($H354=0,IF($U354="Profit","N/A",0),IF($U354="Profit",$Q354/$H354,IF($U354="Disqualified",-1,0)))))</f>
        <v/>
      </c>
      <c r="U354" s="351">
        <f>IF($A354="","",IF(OR(LOWER($D354&amp;"")="n/a",ISNUMBER(SEARCH("subscription",LOWER($A354&amp;" "&amp;$M354&amp;""))),ISNUMBER(SEARCH("membership",LOWER($A354&amp;" "&amp;$M354&amp;"")))),"Subscription",IF(LOWER($L354&amp;"")="yes","Disqualified",IF($P354&gt;$H354,"Profit","Draw"))))</f>
        <v/>
      </c>
      <c r="V354" s="383">
        <f>IF(OR($A354="",$B354="",$C354="",$U354="Subscription"),"",IFERROR(ROUNDUP((IF(ISNUMBER($C354),$C354,DATEVALUE($C354))-IF(ISNUMBER($B354),$B354,DATEVALUE($B354)))/7,0),""))</f>
        <v/>
      </c>
      <c r="W354" s="351">
        <f>IF($U354="Subscription","",$Q354-$S354)</f>
        <v/>
      </c>
      <c r="X354" s="384">
        <f>IF(OR($A354="",$U354="Subscription",$J354="",$I354="",$J354=0,$I354=0,$I354&gt;$J354),"",$J354-$I354)</f>
        <v/>
      </c>
      <c r="Y354" s="381">
        <f>IF(OR($A354="",$U354="Subscription",$J354="",$J354=0,$X354=""),"",$X354/$J354)</f>
        <v/>
      </c>
    </row>
    <row r="355" ht="21" customHeight="1" s="270">
      <c r="A355" s="297" t="n"/>
      <c r="B355" s="298" t="n"/>
      <c r="C355" s="298" t="n"/>
      <c r="D355" s="297" t="n"/>
      <c r="E355" s="349" t="n"/>
      <c r="F355" s="349" t="n"/>
      <c r="G355" s="349" t="n"/>
      <c r="H355" s="349" t="n"/>
      <c r="I355" s="382" t="n"/>
      <c r="J355" s="383" t="n"/>
      <c r="K355" s="351" t="n"/>
      <c r="L355" s="296" t="n"/>
      <c r="M355" s="349" t="n"/>
      <c r="N355" s="349">
        <f>IF($A355="","",IF(OR(LOWER($D355&amp;"")="n/a",ISNUMBER(SEARCH("subscription",LOWER($A355&amp;" "&amp;$M355&amp;""))),ISNUMBER(SEARCH("membership",LOWER($A355&amp;" "&amp;$M355&amp;"")))),"",IF($G355="","",IF(ISNUMBER(SEARCH("non",LOWER($E355&amp;""))),$G355*0.85,$G355))))</f>
        <v/>
      </c>
      <c r="O355" s="349">
        <f>IF($A355="","",IF(OR(LOWER($D355&amp;"")="n/a",ISNUMBER(SEARCH("subscription",LOWER($A355&amp;" "&amp;$M355&amp;""))),ISNUMBER(SEARCH("membership",LOWER($A355&amp;" "&amp;$M355&amp;"")))),"",IF(OR($N355="",$I355="",$I355=0),"",$N355/$I355)))</f>
        <v/>
      </c>
      <c r="P355" s="349">
        <f>IF($A355="","",IF(OR(LOWER($D355&amp;"")="n/a",ISNUMBER(SEARCH("subscription",LOWER($A355&amp;" "&amp;$M355&amp;""))),ISNUMBER(SEARCH("membership",LOWER($A355&amp;" "&amp;$M355&amp;"")))),"",IF(LOWER($L355&amp;"")="yes",0,IF($K355&lt;&gt;"",$K355,IF($O355&lt;&gt;"",$O355,"")))))</f>
        <v/>
      </c>
      <c r="Q355" s="351">
        <f>IF($A355="","",IF($U355="Subscription","",IF($U355="Profit",$P355-$H355,0)))</f>
        <v/>
      </c>
      <c r="R355" s="349">
        <f>IF($A355="","",IF($U355="Subscription","",IF($U355="Draw",$H355,0)))</f>
        <v/>
      </c>
      <c r="S355" s="349">
        <f>IF($A355="","",IF($U355="Subscription","",IF($U355="Disqualified",$H355,0)))</f>
        <v/>
      </c>
      <c r="T355" s="380">
        <f>IF($A355="","",IF($U355="Subscription","",IF($H355=0,IF($U355="Profit","N/A",0),IF($U355="Profit",$Q355/$H355,IF($U355="Disqualified",-1,0)))))</f>
        <v/>
      </c>
      <c r="U355" s="351">
        <f>IF($A355="","",IF(OR(LOWER($D355&amp;"")="n/a",ISNUMBER(SEARCH("subscription",LOWER($A355&amp;" "&amp;$M355&amp;""))),ISNUMBER(SEARCH("membership",LOWER($A355&amp;" "&amp;$M355&amp;"")))),"Subscription",IF(LOWER($L355&amp;"")="yes","Disqualified",IF($P355&gt;$H355,"Profit","Draw"))))</f>
        <v/>
      </c>
      <c r="V355" s="383">
        <f>IF(OR($A355="",$B355="",$C355="",$U355="Subscription"),"",IFERROR(ROUNDUP((IF(ISNUMBER($C355),$C355,DATEVALUE($C355))-IF(ISNUMBER($B355),$B355,DATEVALUE($B355)))/7,0),""))</f>
        <v/>
      </c>
      <c r="W355" s="351">
        <f>IF($U355="Subscription","",$Q355-$S355)</f>
        <v/>
      </c>
      <c r="X355" s="384">
        <f>IF(OR($A355="",$U355="Subscription",$J355="",$I355="",$J355=0,$I355=0,$I355&gt;$J355),"",$J355-$I355)</f>
        <v/>
      </c>
      <c r="Y355" s="381">
        <f>IF(OR($A355="",$U355="Subscription",$J355="",$J355=0,$X355=""),"",$X355/$J355)</f>
        <v/>
      </c>
    </row>
    <row r="356" ht="21" customHeight="1" s="270">
      <c r="A356" s="297" t="n"/>
      <c r="B356" s="298" t="n"/>
      <c r="C356" s="298" t="n"/>
      <c r="D356" s="297" t="n"/>
      <c r="E356" s="349" t="n"/>
      <c r="F356" s="349" t="n"/>
      <c r="G356" s="349" t="n"/>
      <c r="H356" s="349" t="n"/>
      <c r="I356" s="382" t="n"/>
      <c r="J356" s="383" t="n"/>
      <c r="K356" s="351" t="n"/>
      <c r="L356" s="296" t="n"/>
      <c r="M356" s="349" t="n"/>
      <c r="N356" s="349">
        <f>IF($A356="","",IF(OR(LOWER($D356&amp;"")="n/a",ISNUMBER(SEARCH("subscription",LOWER($A356&amp;" "&amp;$M356&amp;""))),ISNUMBER(SEARCH("membership",LOWER($A356&amp;" "&amp;$M356&amp;"")))),"",IF($G356="","",IF(ISNUMBER(SEARCH("non",LOWER($E356&amp;""))),$G356*0.85,$G356))))</f>
        <v/>
      </c>
      <c r="O356" s="349">
        <f>IF($A356="","",IF(OR(LOWER($D356&amp;"")="n/a",ISNUMBER(SEARCH("subscription",LOWER($A356&amp;" "&amp;$M356&amp;""))),ISNUMBER(SEARCH("membership",LOWER($A356&amp;" "&amp;$M356&amp;"")))),"",IF(OR($N356="",$I356="",$I356=0),"",$N356/$I356)))</f>
        <v/>
      </c>
      <c r="P356" s="349">
        <f>IF($A356="","",IF(OR(LOWER($D356&amp;"")="n/a",ISNUMBER(SEARCH("subscription",LOWER($A356&amp;" "&amp;$M356&amp;""))),ISNUMBER(SEARCH("membership",LOWER($A356&amp;" "&amp;$M356&amp;"")))),"",IF(LOWER($L356&amp;"")="yes",0,IF($K356&lt;&gt;"",$K356,IF($O356&lt;&gt;"",$O356,"")))))</f>
        <v/>
      </c>
      <c r="Q356" s="351">
        <f>IF($A356="","",IF($U356="Subscription","",IF($U356="Profit",$P356-$H356,0)))</f>
        <v/>
      </c>
      <c r="R356" s="349">
        <f>IF($A356="","",IF($U356="Subscription","",IF($U356="Draw",$H356,0)))</f>
        <v/>
      </c>
      <c r="S356" s="349">
        <f>IF($A356="","",IF($U356="Subscription","",IF($U356="Disqualified",$H356,0)))</f>
        <v/>
      </c>
      <c r="T356" s="380">
        <f>IF($A356="","",IF($U356="Subscription","",IF($H356=0,IF($U356="Profit","N/A",0),IF($U356="Profit",$Q356/$H356,IF($U356="Disqualified",-1,0)))))</f>
        <v/>
      </c>
      <c r="U356" s="351">
        <f>IF($A356="","",IF(OR(LOWER($D356&amp;"")="n/a",ISNUMBER(SEARCH("subscription",LOWER($A356&amp;" "&amp;$M356&amp;""))),ISNUMBER(SEARCH("membership",LOWER($A356&amp;" "&amp;$M356&amp;"")))),"Subscription",IF(LOWER($L356&amp;"")="yes","Disqualified",IF($P356&gt;$H356,"Profit","Draw"))))</f>
        <v/>
      </c>
      <c r="V356" s="383">
        <f>IF(OR($A356="",$B356="",$C356="",$U356="Subscription"),"",IFERROR(ROUNDUP((IF(ISNUMBER($C356),$C356,DATEVALUE($C356))-IF(ISNUMBER($B356),$B356,DATEVALUE($B356)))/7,0),""))</f>
        <v/>
      </c>
      <c r="W356" s="351">
        <f>IF($U356="Subscription","",$Q356-$S356)</f>
        <v/>
      </c>
      <c r="X356" s="384">
        <f>IF(OR($A356="",$U356="Subscription",$J356="",$I356="",$J356=0,$I356=0,$I356&gt;$J356),"",$J356-$I356)</f>
        <v/>
      </c>
      <c r="Y356" s="381">
        <f>IF(OR($A356="",$U356="Subscription",$J356="",$J356=0,$X356=""),"",$X356/$J356)</f>
        <v/>
      </c>
    </row>
    <row r="357" ht="21" customHeight="1" s="270">
      <c r="A357" s="297" t="n"/>
      <c r="B357" s="298" t="n"/>
      <c r="C357" s="298" t="n"/>
      <c r="D357" s="297" t="n"/>
      <c r="E357" s="349" t="n"/>
      <c r="F357" s="349" t="n"/>
      <c r="G357" s="349" t="n"/>
      <c r="H357" s="349" t="n"/>
      <c r="I357" s="382" t="n"/>
      <c r="J357" s="383" t="n"/>
      <c r="K357" s="351" t="n"/>
      <c r="L357" s="296" t="n"/>
      <c r="M357" s="349" t="n"/>
      <c r="N357" s="349">
        <f>IF($A357="","",IF(OR(LOWER($D357&amp;"")="n/a",ISNUMBER(SEARCH("subscription",LOWER($A357&amp;" "&amp;$M357&amp;""))),ISNUMBER(SEARCH("membership",LOWER($A357&amp;" "&amp;$M357&amp;"")))),"",IF($G357="","",IF(ISNUMBER(SEARCH("non",LOWER($E357&amp;""))),$G357*0.85,$G357))))</f>
        <v/>
      </c>
      <c r="O357" s="349">
        <f>IF($A357="","",IF(OR(LOWER($D357&amp;"")="n/a",ISNUMBER(SEARCH("subscription",LOWER($A357&amp;" "&amp;$M357&amp;""))),ISNUMBER(SEARCH("membership",LOWER($A357&amp;" "&amp;$M357&amp;"")))),"",IF(OR($N357="",$I357="",$I357=0),"",$N357/$I357)))</f>
        <v/>
      </c>
      <c r="P357" s="349">
        <f>IF($A357="","",IF(OR(LOWER($D357&amp;"")="n/a",ISNUMBER(SEARCH("subscription",LOWER($A357&amp;" "&amp;$M357&amp;""))),ISNUMBER(SEARCH("membership",LOWER($A357&amp;" "&amp;$M357&amp;"")))),"",IF(LOWER($L357&amp;"")="yes",0,IF($K357&lt;&gt;"",$K357,IF($O357&lt;&gt;"",$O357,"")))))</f>
        <v/>
      </c>
      <c r="Q357" s="351">
        <f>IF($A357="","",IF($U357="Subscription","",IF($U357="Profit",$P357-$H357,0)))</f>
        <v/>
      </c>
      <c r="R357" s="349">
        <f>IF($A357="","",IF($U357="Subscription","",IF($U357="Draw",$H357,0)))</f>
        <v/>
      </c>
      <c r="S357" s="349">
        <f>IF($A357="","",IF($U357="Subscription","",IF($U357="Disqualified",$H357,0)))</f>
        <v/>
      </c>
      <c r="T357" s="380">
        <f>IF($A357="","",IF($U357="Subscription","",IF($H357=0,IF($U357="Profit","N/A",0),IF($U357="Profit",$Q357/$H357,IF($U357="Disqualified",-1,0)))))</f>
        <v/>
      </c>
      <c r="U357" s="351">
        <f>IF($A357="","",IF(OR(LOWER($D357&amp;"")="n/a",ISNUMBER(SEARCH("subscription",LOWER($A357&amp;" "&amp;$M357&amp;""))),ISNUMBER(SEARCH("membership",LOWER($A357&amp;" "&amp;$M357&amp;"")))),"Subscription",IF(LOWER($L357&amp;"")="yes","Disqualified",IF($P357&gt;$H357,"Profit","Draw"))))</f>
        <v/>
      </c>
      <c r="V357" s="383">
        <f>IF(OR($A357="",$B357="",$C357="",$U357="Subscription"),"",IFERROR(ROUNDUP((IF(ISNUMBER($C357),$C357,DATEVALUE($C357))-IF(ISNUMBER($B357),$B357,DATEVALUE($B357)))/7,0),""))</f>
        <v/>
      </c>
      <c r="W357" s="351">
        <f>IF($U357="Subscription","",$Q357-$S357)</f>
        <v/>
      </c>
      <c r="X357" s="384">
        <f>IF(OR($A357="",$U357="Subscription",$J357="",$I357="",$J357=0,$I357=0,$I357&gt;$J357),"",$J357-$I357)</f>
        <v/>
      </c>
      <c r="Y357" s="381">
        <f>IF(OR($A357="",$U357="Subscription",$J357="",$J357=0,$X357=""),"",$X357/$J357)</f>
        <v/>
      </c>
    </row>
    <row r="358" ht="21" customHeight="1" s="270">
      <c r="A358" s="297" t="n"/>
      <c r="B358" s="298" t="n"/>
      <c r="C358" s="298" t="n"/>
      <c r="D358" s="297" t="n"/>
      <c r="E358" s="349" t="n"/>
      <c r="F358" s="349" t="n"/>
      <c r="G358" s="349" t="n"/>
      <c r="H358" s="349" t="n"/>
      <c r="I358" s="382" t="n"/>
      <c r="J358" s="383" t="n"/>
      <c r="K358" s="351" t="n"/>
      <c r="L358" s="296" t="n"/>
      <c r="M358" s="349" t="n"/>
      <c r="N358" s="349">
        <f>IF($A358="","",IF(OR(LOWER($D358&amp;"")="n/a",ISNUMBER(SEARCH("subscription",LOWER($A358&amp;" "&amp;$M358&amp;""))),ISNUMBER(SEARCH("membership",LOWER($A358&amp;" "&amp;$M358&amp;"")))),"",IF($G358="","",IF(ISNUMBER(SEARCH("non",LOWER($E358&amp;""))),$G358*0.85,$G358))))</f>
        <v/>
      </c>
      <c r="O358" s="349">
        <f>IF($A358="","",IF(OR(LOWER($D358&amp;"")="n/a",ISNUMBER(SEARCH("subscription",LOWER($A358&amp;" "&amp;$M358&amp;""))),ISNUMBER(SEARCH("membership",LOWER($A358&amp;" "&amp;$M358&amp;"")))),"",IF(OR($N358="",$I358="",$I358=0),"",$N358/$I358)))</f>
        <v/>
      </c>
      <c r="P358" s="349">
        <f>IF($A358="","",IF(OR(LOWER($D358&amp;"")="n/a",ISNUMBER(SEARCH("subscription",LOWER($A358&amp;" "&amp;$M358&amp;""))),ISNUMBER(SEARCH("membership",LOWER($A358&amp;" "&amp;$M358&amp;"")))),"",IF(LOWER($L358&amp;"")="yes",0,IF($K358&lt;&gt;"",$K358,IF($O358&lt;&gt;"",$O358,"")))))</f>
        <v/>
      </c>
      <c r="Q358" s="351">
        <f>IF($A358="","",IF($U358="Subscription","",IF($U358="Profit",$P358-$H358,0)))</f>
        <v/>
      </c>
      <c r="R358" s="349">
        <f>IF($A358="","",IF($U358="Subscription","",IF($U358="Draw",$H358,0)))</f>
        <v/>
      </c>
      <c r="S358" s="349">
        <f>IF($A358="","",IF($U358="Subscription","",IF($U358="Disqualified",$H358,0)))</f>
        <v/>
      </c>
      <c r="T358" s="380">
        <f>IF($A358="","",IF($U358="Subscription","",IF($H358=0,IF($U358="Profit","N/A",0),IF($U358="Profit",$Q358/$H358,IF($U358="Disqualified",-1,0)))))</f>
        <v/>
      </c>
      <c r="U358" s="351">
        <f>IF($A358="","",IF(OR(LOWER($D358&amp;"")="n/a",ISNUMBER(SEARCH("subscription",LOWER($A358&amp;" "&amp;$M358&amp;""))),ISNUMBER(SEARCH("membership",LOWER($A358&amp;" "&amp;$M358&amp;"")))),"Subscription",IF(LOWER($L358&amp;"")="yes","Disqualified",IF($P358&gt;$H358,"Profit","Draw"))))</f>
        <v/>
      </c>
      <c r="V358" s="383">
        <f>IF(OR($A358="",$B358="",$C358="",$U358="Subscription"),"",IFERROR(ROUNDUP((IF(ISNUMBER($C358),$C358,DATEVALUE($C358))-IF(ISNUMBER($B358),$B358,DATEVALUE($B358)))/7,0),""))</f>
        <v/>
      </c>
      <c r="W358" s="351">
        <f>IF($U358="Subscription","",$Q358-$S358)</f>
        <v/>
      </c>
      <c r="X358" s="384">
        <f>IF(OR($A358="",$U358="Subscription",$J358="",$I358="",$J358=0,$I358=0,$I358&gt;$J358),"",$J358-$I358)</f>
        <v/>
      </c>
      <c r="Y358" s="381">
        <f>IF(OR($A358="",$U358="Subscription",$J358="",$J358=0,$X358=""),"",$X358/$J358)</f>
        <v/>
      </c>
    </row>
    <row r="359" ht="21" customHeight="1" s="270">
      <c r="A359" s="297" t="n"/>
      <c r="B359" s="298" t="n"/>
      <c r="C359" s="298" t="n"/>
      <c r="D359" s="297" t="n"/>
      <c r="E359" s="349" t="n"/>
      <c r="F359" s="349" t="n"/>
      <c r="G359" s="349" t="n"/>
      <c r="H359" s="349" t="n"/>
      <c r="I359" s="382" t="n"/>
      <c r="J359" s="383" t="n"/>
      <c r="K359" s="351" t="n"/>
      <c r="L359" s="296" t="n"/>
      <c r="M359" s="349" t="n"/>
      <c r="N359" s="349">
        <f>IF($A359="","",IF(OR(LOWER($D359&amp;"")="n/a",ISNUMBER(SEARCH("subscription",LOWER($A359&amp;" "&amp;$M359&amp;""))),ISNUMBER(SEARCH("membership",LOWER($A359&amp;" "&amp;$M359&amp;"")))),"",IF($G359="","",IF(ISNUMBER(SEARCH("non",LOWER($E359&amp;""))),$G359*0.85,$G359))))</f>
        <v/>
      </c>
      <c r="O359" s="349">
        <f>IF($A359="","",IF(OR(LOWER($D359&amp;"")="n/a",ISNUMBER(SEARCH("subscription",LOWER($A359&amp;" "&amp;$M359&amp;""))),ISNUMBER(SEARCH("membership",LOWER($A359&amp;" "&amp;$M359&amp;"")))),"",IF(OR($N359="",$I359="",$I359=0),"",$N359/$I359)))</f>
        <v/>
      </c>
      <c r="P359" s="349">
        <f>IF($A359="","",IF(OR(LOWER($D359&amp;"")="n/a",ISNUMBER(SEARCH("subscription",LOWER($A359&amp;" "&amp;$M359&amp;""))),ISNUMBER(SEARCH("membership",LOWER($A359&amp;" "&amp;$M359&amp;"")))),"",IF(LOWER($L359&amp;"")="yes",0,IF($K359&lt;&gt;"",$K359,IF($O359&lt;&gt;"",$O359,"")))))</f>
        <v/>
      </c>
      <c r="Q359" s="351">
        <f>IF($A359="","",IF($U359="Subscription","",IF($U359="Profit",$P359-$H359,0)))</f>
        <v/>
      </c>
      <c r="R359" s="349">
        <f>IF($A359="","",IF($U359="Subscription","",IF($U359="Draw",$H359,0)))</f>
        <v/>
      </c>
      <c r="S359" s="349">
        <f>IF($A359="","",IF($U359="Subscription","",IF($U359="Disqualified",$H359,0)))</f>
        <v/>
      </c>
      <c r="T359" s="380">
        <f>IF($A359="","",IF($U359="Subscription","",IF($H359=0,IF($U359="Profit","N/A",0),IF($U359="Profit",$Q359/$H359,IF($U359="Disqualified",-1,0)))))</f>
        <v/>
      </c>
      <c r="U359" s="351">
        <f>IF($A359="","",IF(OR(LOWER($D359&amp;"")="n/a",ISNUMBER(SEARCH("subscription",LOWER($A359&amp;" "&amp;$M359&amp;""))),ISNUMBER(SEARCH("membership",LOWER($A359&amp;" "&amp;$M359&amp;"")))),"Subscription",IF(LOWER($L359&amp;"")="yes","Disqualified",IF($P359&gt;$H359,"Profit","Draw"))))</f>
        <v/>
      </c>
      <c r="V359" s="383">
        <f>IF(OR($A359="",$B359="",$C359="",$U359="Subscription"),"",IFERROR(ROUNDUP((IF(ISNUMBER($C359),$C359,DATEVALUE($C359))-IF(ISNUMBER($B359),$B359,DATEVALUE($B359)))/7,0),""))</f>
        <v/>
      </c>
      <c r="W359" s="351">
        <f>IF($U359="Subscription","",$Q359-$S359)</f>
        <v/>
      </c>
      <c r="X359" s="384">
        <f>IF(OR($A359="",$U359="Subscription",$J359="",$I359="",$J359=0,$I359=0,$I359&gt;$J359),"",$J359-$I359)</f>
        <v/>
      </c>
      <c r="Y359" s="381">
        <f>IF(OR($A359="",$U359="Subscription",$J359="",$J359=0,$X359=""),"",$X359/$J359)</f>
        <v/>
      </c>
    </row>
    <row r="360" ht="21" customHeight="1" s="270">
      <c r="A360" s="297" t="n"/>
      <c r="B360" s="298" t="n"/>
      <c r="C360" s="298" t="n"/>
      <c r="D360" s="297" t="n"/>
      <c r="E360" s="349" t="n"/>
      <c r="F360" s="349" t="n"/>
      <c r="G360" s="349" t="n"/>
      <c r="H360" s="349" t="n"/>
      <c r="I360" s="382" t="n"/>
      <c r="J360" s="383" t="n"/>
      <c r="K360" s="351" t="n"/>
      <c r="L360" s="296" t="n"/>
      <c r="M360" s="349" t="n"/>
      <c r="N360" s="349">
        <f>IF($A360="","",IF(OR(LOWER($D360&amp;"")="n/a",ISNUMBER(SEARCH("subscription",LOWER($A360&amp;" "&amp;$M360&amp;""))),ISNUMBER(SEARCH("membership",LOWER($A360&amp;" "&amp;$M360&amp;"")))),"",IF($G360="","",IF(ISNUMBER(SEARCH("non",LOWER($E360&amp;""))),$G360*0.85,$G360))))</f>
        <v/>
      </c>
      <c r="O360" s="349">
        <f>IF($A360="","",IF(OR(LOWER($D360&amp;"")="n/a",ISNUMBER(SEARCH("subscription",LOWER($A360&amp;" "&amp;$M360&amp;""))),ISNUMBER(SEARCH("membership",LOWER($A360&amp;" "&amp;$M360&amp;"")))),"",IF(OR($N360="",$I360="",$I360=0),"",$N360/$I360)))</f>
        <v/>
      </c>
      <c r="P360" s="349">
        <f>IF($A360="","",IF(OR(LOWER($D360&amp;"")="n/a",ISNUMBER(SEARCH("subscription",LOWER($A360&amp;" "&amp;$M360&amp;""))),ISNUMBER(SEARCH("membership",LOWER($A360&amp;" "&amp;$M360&amp;"")))),"",IF(LOWER($L360&amp;"")="yes",0,IF($K360&lt;&gt;"",$K360,IF($O360&lt;&gt;"",$O360,"")))))</f>
        <v/>
      </c>
      <c r="Q360" s="351">
        <f>IF($A360="","",IF($U360="Subscription","",IF($U360="Profit",$P360-$H360,0)))</f>
        <v/>
      </c>
      <c r="R360" s="349">
        <f>IF($A360="","",IF($U360="Subscription","",IF($U360="Draw",$H360,0)))</f>
        <v/>
      </c>
      <c r="S360" s="349">
        <f>IF($A360="","",IF($U360="Subscription","",IF($U360="Disqualified",$H360,0)))</f>
        <v/>
      </c>
      <c r="T360" s="380">
        <f>IF($A360="","",IF($U360="Subscription","",IF($H360=0,IF($U360="Profit","N/A",0),IF($U360="Profit",$Q360/$H360,IF($U360="Disqualified",-1,0)))))</f>
        <v/>
      </c>
      <c r="U360" s="351">
        <f>IF($A360="","",IF(OR(LOWER($D360&amp;"")="n/a",ISNUMBER(SEARCH("subscription",LOWER($A360&amp;" "&amp;$M360&amp;""))),ISNUMBER(SEARCH("membership",LOWER($A360&amp;" "&amp;$M360&amp;"")))),"Subscription",IF(LOWER($L360&amp;"")="yes","Disqualified",IF($P360&gt;$H360,"Profit","Draw"))))</f>
        <v/>
      </c>
      <c r="V360" s="383">
        <f>IF(OR($A360="",$B360="",$C360="",$U360="Subscription"),"",IFERROR(ROUNDUP((IF(ISNUMBER($C360),$C360,DATEVALUE($C360))-IF(ISNUMBER($B360),$B360,DATEVALUE($B360)))/7,0),""))</f>
        <v/>
      </c>
      <c r="W360" s="351">
        <f>IF($U360="Subscription","",$Q360-$S360)</f>
        <v/>
      </c>
      <c r="X360" s="384">
        <f>IF(OR($A360="",$U360="Subscription",$J360="",$I360="",$J360=0,$I360=0,$I360&gt;$J360),"",$J360-$I360)</f>
        <v/>
      </c>
      <c r="Y360" s="381">
        <f>IF(OR($A360="",$U360="Subscription",$J360="",$J360=0,$X360=""),"",$X360/$J360)</f>
        <v/>
      </c>
    </row>
    <row r="361" ht="21" customHeight="1" s="270">
      <c r="A361" s="297" t="n"/>
      <c r="B361" s="298" t="n"/>
      <c r="C361" s="298" t="n"/>
      <c r="D361" s="297" t="n"/>
      <c r="E361" s="349" t="n"/>
      <c r="F361" s="349" t="n"/>
      <c r="G361" s="349" t="n"/>
      <c r="H361" s="349" t="n"/>
      <c r="I361" s="382" t="n"/>
      <c r="J361" s="383" t="n"/>
      <c r="K361" s="351" t="n"/>
      <c r="L361" s="296" t="n"/>
      <c r="M361" s="349" t="n"/>
      <c r="N361" s="349">
        <f>IF($A361="","",IF(OR(LOWER($D361&amp;"")="n/a",ISNUMBER(SEARCH("subscription",LOWER($A361&amp;" "&amp;$M361&amp;""))),ISNUMBER(SEARCH("membership",LOWER($A361&amp;" "&amp;$M361&amp;"")))),"",IF($G361="","",IF(ISNUMBER(SEARCH("non",LOWER($E361&amp;""))),$G361*0.85,$G361))))</f>
        <v/>
      </c>
      <c r="O361" s="349">
        <f>IF($A361="","",IF(OR(LOWER($D361&amp;"")="n/a",ISNUMBER(SEARCH("subscription",LOWER($A361&amp;" "&amp;$M361&amp;""))),ISNUMBER(SEARCH("membership",LOWER($A361&amp;" "&amp;$M361&amp;"")))),"",IF(OR($N361="",$I361="",$I361=0),"",$N361/$I361)))</f>
        <v/>
      </c>
      <c r="P361" s="349">
        <f>IF($A361="","",IF(OR(LOWER($D361&amp;"")="n/a",ISNUMBER(SEARCH("subscription",LOWER($A361&amp;" "&amp;$M361&amp;""))),ISNUMBER(SEARCH("membership",LOWER($A361&amp;" "&amp;$M361&amp;"")))),"",IF(LOWER($L361&amp;"")="yes",0,IF($K361&lt;&gt;"",$K361,IF($O361&lt;&gt;"",$O361,"")))))</f>
        <v/>
      </c>
      <c r="Q361" s="351">
        <f>IF($A361="","",IF($U361="Subscription","",IF($U361="Profit",$P361-$H361,0)))</f>
        <v/>
      </c>
      <c r="R361" s="349">
        <f>IF($A361="","",IF($U361="Subscription","",IF($U361="Draw",$H361,0)))</f>
        <v/>
      </c>
      <c r="S361" s="349">
        <f>IF($A361="","",IF($U361="Subscription","",IF($U361="Disqualified",$H361,0)))</f>
        <v/>
      </c>
      <c r="T361" s="380">
        <f>IF($A361="","",IF($U361="Subscription","",IF($H361=0,IF($U361="Profit","N/A",0),IF($U361="Profit",$Q361/$H361,IF($U361="Disqualified",-1,0)))))</f>
        <v/>
      </c>
      <c r="U361" s="351">
        <f>IF($A361="","",IF(OR(LOWER($D361&amp;"")="n/a",ISNUMBER(SEARCH("subscription",LOWER($A361&amp;" "&amp;$M361&amp;""))),ISNUMBER(SEARCH("membership",LOWER($A361&amp;" "&amp;$M361&amp;"")))),"Subscription",IF(LOWER($L361&amp;"")="yes","Disqualified",IF($P361&gt;$H361,"Profit","Draw"))))</f>
        <v/>
      </c>
      <c r="V361" s="383">
        <f>IF(OR($A361="",$B361="",$C361="",$U361="Subscription"),"",IFERROR(ROUNDUP((IF(ISNUMBER($C361),$C361,DATEVALUE($C361))-IF(ISNUMBER($B361),$B361,DATEVALUE($B361)))/7,0),""))</f>
        <v/>
      </c>
      <c r="W361" s="351">
        <f>IF($U361="Subscription","",$Q361-$S361)</f>
        <v/>
      </c>
      <c r="X361" s="384">
        <f>IF(OR($A361="",$U361="Subscription",$J361="",$I361="",$J361=0,$I361=0,$I361&gt;$J361),"",$J361-$I361)</f>
        <v/>
      </c>
      <c r="Y361" s="381">
        <f>IF(OR($A361="",$U361="Subscription",$J361="",$J361=0,$X361=""),"",$X361/$J361)</f>
        <v/>
      </c>
    </row>
    <row r="362" ht="21" customHeight="1" s="270">
      <c r="A362" s="297" t="n"/>
      <c r="B362" s="298" t="n"/>
      <c r="C362" s="298" t="n"/>
      <c r="D362" s="297" t="n"/>
      <c r="E362" s="349" t="n"/>
      <c r="F362" s="349" t="n"/>
      <c r="G362" s="349" t="n"/>
      <c r="H362" s="349" t="n"/>
      <c r="I362" s="382" t="n"/>
      <c r="J362" s="383" t="n"/>
      <c r="K362" s="351" t="n"/>
      <c r="L362" s="296" t="n"/>
      <c r="M362" s="349" t="n"/>
      <c r="N362" s="349">
        <f>IF($A362="","",IF(OR(LOWER($D362&amp;"")="n/a",ISNUMBER(SEARCH("subscription",LOWER($A362&amp;" "&amp;$M362&amp;""))),ISNUMBER(SEARCH("membership",LOWER($A362&amp;" "&amp;$M362&amp;"")))),"",IF($G362="","",IF(ISNUMBER(SEARCH("non",LOWER($E362&amp;""))),$G362*0.85,$G362))))</f>
        <v/>
      </c>
      <c r="O362" s="349">
        <f>IF($A362="","",IF(OR(LOWER($D362&amp;"")="n/a",ISNUMBER(SEARCH("subscription",LOWER($A362&amp;" "&amp;$M362&amp;""))),ISNUMBER(SEARCH("membership",LOWER($A362&amp;" "&amp;$M362&amp;"")))),"",IF(OR($N362="",$I362="",$I362=0),"",$N362/$I362)))</f>
        <v/>
      </c>
      <c r="P362" s="349">
        <f>IF($A362="","",IF(OR(LOWER($D362&amp;"")="n/a",ISNUMBER(SEARCH("subscription",LOWER($A362&amp;" "&amp;$M362&amp;""))),ISNUMBER(SEARCH("membership",LOWER($A362&amp;" "&amp;$M362&amp;"")))),"",IF(LOWER($L362&amp;"")="yes",0,IF($K362&lt;&gt;"",$K362,IF($O362&lt;&gt;"",$O362,"")))))</f>
        <v/>
      </c>
      <c r="Q362" s="351">
        <f>IF($A362="","",IF($U362="Subscription","",IF($U362="Profit",$P362-$H362,0)))</f>
        <v/>
      </c>
      <c r="R362" s="349">
        <f>IF($A362="","",IF($U362="Subscription","",IF($U362="Draw",$H362,0)))</f>
        <v/>
      </c>
      <c r="S362" s="349">
        <f>IF($A362="","",IF($U362="Subscription","",IF($U362="Disqualified",$H362,0)))</f>
        <v/>
      </c>
      <c r="T362" s="380">
        <f>IF($A362="","",IF($U362="Subscription","",IF($H362=0,IF($U362="Profit","N/A",0),IF($U362="Profit",$Q362/$H362,IF($U362="Disqualified",-1,0)))))</f>
        <v/>
      </c>
      <c r="U362" s="351">
        <f>IF($A362="","",IF(OR(LOWER($D362&amp;"")="n/a",ISNUMBER(SEARCH("subscription",LOWER($A362&amp;" "&amp;$M362&amp;""))),ISNUMBER(SEARCH("membership",LOWER($A362&amp;" "&amp;$M362&amp;"")))),"Subscription",IF(LOWER($L362&amp;"")="yes","Disqualified",IF($P362&gt;$H362,"Profit","Draw"))))</f>
        <v/>
      </c>
      <c r="V362" s="383">
        <f>IF(OR($A362="",$B362="",$C362="",$U362="Subscription"),"",IFERROR(ROUNDUP((IF(ISNUMBER($C362),$C362,DATEVALUE($C362))-IF(ISNUMBER($B362),$B362,DATEVALUE($B362)))/7,0),""))</f>
        <v/>
      </c>
      <c r="W362" s="351">
        <f>IF($U362="Subscription","",$Q362-$S362)</f>
        <v/>
      </c>
      <c r="X362" s="384">
        <f>IF(OR($A362="",$U362="Subscription",$J362="",$I362="",$J362=0,$I362=0,$I362&gt;$J362),"",$J362-$I362)</f>
        <v/>
      </c>
      <c r="Y362" s="381">
        <f>IF(OR($A362="",$U362="Subscription",$J362="",$J362=0,$X362=""),"",$X362/$J362)</f>
        <v/>
      </c>
    </row>
    <row r="363" ht="21" customHeight="1" s="270">
      <c r="A363" s="297" t="n"/>
      <c r="B363" s="298" t="n"/>
      <c r="C363" s="298" t="n"/>
      <c r="D363" s="297" t="n"/>
      <c r="E363" s="349" t="n"/>
      <c r="F363" s="349" t="n"/>
      <c r="G363" s="349" t="n"/>
      <c r="H363" s="349" t="n"/>
      <c r="I363" s="382" t="n"/>
      <c r="J363" s="383" t="n"/>
      <c r="K363" s="351" t="n"/>
      <c r="L363" s="296" t="n"/>
      <c r="M363" s="349" t="n"/>
      <c r="N363" s="349">
        <f>IF($A363="","",IF(OR(LOWER($D363&amp;"")="n/a",ISNUMBER(SEARCH("subscription",LOWER($A363&amp;" "&amp;$M363&amp;""))),ISNUMBER(SEARCH("membership",LOWER($A363&amp;" "&amp;$M363&amp;"")))),"",IF($G363="","",IF(ISNUMBER(SEARCH("non",LOWER($E363&amp;""))),$G363*0.85,$G363))))</f>
        <v/>
      </c>
      <c r="O363" s="349">
        <f>IF($A363="","",IF(OR(LOWER($D363&amp;"")="n/a",ISNUMBER(SEARCH("subscription",LOWER($A363&amp;" "&amp;$M363&amp;""))),ISNUMBER(SEARCH("membership",LOWER($A363&amp;" "&amp;$M363&amp;"")))),"",IF(OR($N363="",$I363="",$I363=0),"",$N363/$I363)))</f>
        <v/>
      </c>
      <c r="P363" s="349">
        <f>IF($A363="","",IF(OR(LOWER($D363&amp;"")="n/a",ISNUMBER(SEARCH("subscription",LOWER($A363&amp;" "&amp;$M363&amp;""))),ISNUMBER(SEARCH("membership",LOWER($A363&amp;" "&amp;$M363&amp;"")))),"",IF(LOWER($L363&amp;"")="yes",0,IF($K363&lt;&gt;"",$K363,IF($O363&lt;&gt;"",$O363,"")))))</f>
        <v/>
      </c>
      <c r="Q363" s="351">
        <f>IF($A363="","",IF($U363="Subscription","",IF($U363="Profit",$P363-$H363,0)))</f>
        <v/>
      </c>
      <c r="R363" s="349">
        <f>IF($A363="","",IF($U363="Subscription","",IF($U363="Draw",$H363,0)))</f>
        <v/>
      </c>
      <c r="S363" s="349">
        <f>IF($A363="","",IF($U363="Subscription","",IF($U363="Disqualified",$H363,0)))</f>
        <v/>
      </c>
      <c r="T363" s="380">
        <f>IF($A363="","",IF($U363="Subscription","",IF($H363=0,IF($U363="Profit","N/A",0),IF($U363="Profit",$Q363/$H363,IF($U363="Disqualified",-1,0)))))</f>
        <v/>
      </c>
      <c r="U363" s="351">
        <f>IF($A363="","",IF(OR(LOWER($D363&amp;"")="n/a",ISNUMBER(SEARCH("subscription",LOWER($A363&amp;" "&amp;$M363&amp;""))),ISNUMBER(SEARCH("membership",LOWER($A363&amp;" "&amp;$M363&amp;"")))),"Subscription",IF(LOWER($L363&amp;"")="yes","Disqualified",IF($P363&gt;$H363,"Profit","Draw"))))</f>
        <v/>
      </c>
      <c r="V363" s="383">
        <f>IF(OR($A363="",$B363="",$C363="",$U363="Subscription"),"",IFERROR(ROUNDUP((IF(ISNUMBER($C363),$C363,DATEVALUE($C363))-IF(ISNUMBER($B363),$B363,DATEVALUE($B363)))/7,0),""))</f>
        <v/>
      </c>
      <c r="W363" s="351">
        <f>IF($U363="Subscription","",$Q363-$S363)</f>
        <v/>
      </c>
      <c r="X363" s="384">
        <f>IF(OR($A363="",$U363="Subscription",$J363="",$I363="",$J363=0,$I363=0,$I363&gt;$J363),"",$J363-$I363)</f>
        <v/>
      </c>
      <c r="Y363" s="381">
        <f>IF(OR($A363="",$U363="Subscription",$J363="",$J363=0,$X363=""),"",$X363/$J363)</f>
        <v/>
      </c>
    </row>
    <row r="364" ht="21" customHeight="1" s="270">
      <c r="A364" s="297" t="n"/>
      <c r="B364" s="298" t="n"/>
      <c r="C364" s="298" t="n"/>
      <c r="D364" s="297" t="n"/>
      <c r="E364" s="349" t="n"/>
      <c r="F364" s="349" t="n"/>
      <c r="G364" s="349" t="n"/>
      <c r="H364" s="349" t="n"/>
      <c r="I364" s="382" t="n"/>
      <c r="J364" s="383" t="n"/>
      <c r="K364" s="351" t="n"/>
      <c r="L364" s="296" t="n"/>
      <c r="M364" s="349" t="n"/>
      <c r="N364" s="349">
        <f>IF($A364="","",IF(OR(LOWER($D364&amp;"")="n/a",ISNUMBER(SEARCH("subscription",LOWER($A364&amp;" "&amp;$M364&amp;""))),ISNUMBER(SEARCH("membership",LOWER($A364&amp;" "&amp;$M364&amp;"")))),"",IF($G364="","",IF(ISNUMBER(SEARCH("non",LOWER($E364&amp;""))),$G364*0.85,$G364))))</f>
        <v/>
      </c>
      <c r="O364" s="349">
        <f>IF($A364="","",IF(OR(LOWER($D364&amp;"")="n/a",ISNUMBER(SEARCH("subscription",LOWER($A364&amp;" "&amp;$M364&amp;""))),ISNUMBER(SEARCH("membership",LOWER($A364&amp;" "&amp;$M364&amp;"")))),"",IF(OR($N364="",$I364="",$I364=0),"",$N364/$I364)))</f>
        <v/>
      </c>
      <c r="P364" s="349">
        <f>IF($A364="","",IF(OR(LOWER($D364&amp;"")="n/a",ISNUMBER(SEARCH("subscription",LOWER($A364&amp;" "&amp;$M364&amp;""))),ISNUMBER(SEARCH("membership",LOWER($A364&amp;" "&amp;$M364&amp;"")))),"",IF(LOWER($L364&amp;"")="yes",0,IF($K364&lt;&gt;"",$K364,IF($O364&lt;&gt;"",$O364,"")))))</f>
        <v/>
      </c>
      <c r="Q364" s="351">
        <f>IF($A364="","",IF($U364="Subscription","",IF($U364="Profit",$P364-$H364,0)))</f>
        <v/>
      </c>
      <c r="R364" s="349">
        <f>IF($A364="","",IF($U364="Subscription","",IF($U364="Draw",$H364,0)))</f>
        <v/>
      </c>
      <c r="S364" s="349">
        <f>IF($A364="","",IF($U364="Subscription","",IF($U364="Disqualified",$H364,0)))</f>
        <v/>
      </c>
      <c r="T364" s="380">
        <f>IF($A364="","",IF($U364="Subscription","",IF($H364=0,IF($U364="Profit","N/A",0),IF($U364="Profit",$Q364/$H364,IF($U364="Disqualified",-1,0)))))</f>
        <v/>
      </c>
      <c r="U364" s="351">
        <f>IF($A364="","",IF(OR(LOWER($D364&amp;"")="n/a",ISNUMBER(SEARCH("subscription",LOWER($A364&amp;" "&amp;$M364&amp;""))),ISNUMBER(SEARCH("membership",LOWER($A364&amp;" "&amp;$M364&amp;"")))),"Subscription",IF(LOWER($L364&amp;"")="yes","Disqualified",IF($P364&gt;$H364,"Profit","Draw"))))</f>
        <v/>
      </c>
      <c r="V364" s="383">
        <f>IF(OR($A364="",$B364="",$C364="",$U364="Subscription"),"",IFERROR(ROUNDUP((IF(ISNUMBER($C364),$C364,DATEVALUE($C364))-IF(ISNUMBER($B364),$B364,DATEVALUE($B364)))/7,0),""))</f>
        <v/>
      </c>
      <c r="W364" s="351">
        <f>IF($U364="Subscription","",$Q364-$S364)</f>
        <v/>
      </c>
      <c r="X364" s="384">
        <f>IF(OR($A364="",$U364="Subscription",$J364="",$I364="",$J364=0,$I364=0,$I364&gt;$J364),"",$J364-$I364)</f>
        <v/>
      </c>
      <c r="Y364" s="381">
        <f>IF(OR($A364="",$U364="Subscription",$J364="",$J364=0,$X364=""),"",$X364/$J364)</f>
        <v/>
      </c>
    </row>
    <row r="365" ht="21" customHeight="1" s="270">
      <c r="A365" s="297" t="n"/>
      <c r="B365" s="298" t="n"/>
      <c r="C365" s="298" t="n"/>
      <c r="D365" s="297" t="n"/>
      <c r="E365" s="349" t="n"/>
      <c r="F365" s="349" t="n"/>
      <c r="G365" s="349" t="n"/>
      <c r="H365" s="349" t="n"/>
      <c r="I365" s="382" t="n"/>
      <c r="J365" s="383" t="n"/>
      <c r="K365" s="351" t="n"/>
      <c r="L365" s="296" t="n"/>
      <c r="M365" s="349" t="n"/>
      <c r="N365" s="349">
        <f>IF($A365="","",IF(OR(LOWER($D365&amp;"")="n/a",ISNUMBER(SEARCH("subscription",LOWER($A365&amp;" "&amp;$M365&amp;""))),ISNUMBER(SEARCH("membership",LOWER($A365&amp;" "&amp;$M365&amp;"")))),"",IF($G365="","",IF(ISNUMBER(SEARCH("non",LOWER($E365&amp;""))),$G365*0.85,$G365))))</f>
        <v/>
      </c>
      <c r="O365" s="349">
        <f>IF($A365="","",IF(OR(LOWER($D365&amp;"")="n/a",ISNUMBER(SEARCH("subscription",LOWER($A365&amp;" "&amp;$M365&amp;""))),ISNUMBER(SEARCH("membership",LOWER($A365&amp;" "&amp;$M365&amp;"")))),"",IF(OR($N365="",$I365="",$I365=0),"",$N365/$I365)))</f>
        <v/>
      </c>
      <c r="P365" s="349">
        <f>IF($A365="","",IF(OR(LOWER($D365&amp;"")="n/a",ISNUMBER(SEARCH("subscription",LOWER($A365&amp;" "&amp;$M365&amp;""))),ISNUMBER(SEARCH("membership",LOWER($A365&amp;" "&amp;$M365&amp;"")))),"",IF(LOWER($L365&amp;"")="yes",0,IF($K365&lt;&gt;"",$K365,IF($O365&lt;&gt;"",$O365,"")))))</f>
        <v/>
      </c>
      <c r="Q365" s="351">
        <f>IF($A365="","",IF($U365="Subscription","",IF($U365="Profit",$P365-$H365,0)))</f>
        <v/>
      </c>
      <c r="R365" s="349">
        <f>IF($A365="","",IF($U365="Subscription","",IF($U365="Draw",$H365,0)))</f>
        <v/>
      </c>
      <c r="S365" s="349">
        <f>IF($A365="","",IF($U365="Subscription","",IF($U365="Disqualified",$H365,0)))</f>
        <v/>
      </c>
      <c r="T365" s="380">
        <f>IF($A365="","",IF($U365="Subscription","",IF($H365=0,IF($U365="Profit","N/A",0),IF($U365="Profit",$Q365/$H365,IF($U365="Disqualified",-1,0)))))</f>
        <v/>
      </c>
      <c r="U365" s="351">
        <f>IF($A365="","",IF(OR(LOWER($D365&amp;"")="n/a",ISNUMBER(SEARCH("subscription",LOWER($A365&amp;" "&amp;$M365&amp;""))),ISNUMBER(SEARCH("membership",LOWER($A365&amp;" "&amp;$M365&amp;"")))),"Subscription",IF(LOWER($L365&amp;"")="yes","Disqualified",IF($P365&gt;$H365,"Profit","Draw"))))</f>
        <v/>
      </c>
      <c r="V365" s="383">
        <f>IF(OR($A365="",$B365="",$C365="",$U365="Subscription"),"",IFERROR(ROUNDUP((IF(ISNUMBER($C365),$C365,DATEVALUE($C365))-IF(ISNUMBER($B365),$B365,DATEVALUE($B365)))/7,0),""))</f>
        <v/>
      </c>
      <c r="W365" s="351">
        <f>IF($U365="Subscription","",$Q365-$S365)</f>
        <v/>
      </c>
      <c r="X365" s="384">
        <f>IF(OR($A365="",$U365="Subscription",$J365="",$I365="",$J365=0,$I365=0,$I365&gt;$J365),"",$J365-$I365)</f>
        <v/>
      </c>
      <c r="Y365" s="381">
        <f>IF(OR($A365="",$U365="Subscription",$J365="",$J365=0,$X365=""),"",$X365/$J365)</f>
        <v/>
      </c>
    </row>
    <row r="366" ht="21" customHeight="1" s="270">
      <c r="A366" s="297" t="n"/>
      <c r="B366" s="298" t="n"/>
      <c r="C366" s="298" t="n"/>
      <c r="D366" s="297" t="n"/>
      <c r="E366" s="349" t="n"/>
      <c r="F366" s="349" t="n"/>
      <c r="G366" s="349" t="n"/>
      <c r="H366" s="349" t="n"/>
      <c r="I366" s="382" t="n"/>
      <c r="J366" s="383" t="n"/>
      <c r="K366" s="351" t="n"/>
      <c r="L366" s="296" t="n"/>
      <c r="M366" s="349" t="n"/>
      <c r="N366" s="349">
        <f>IF($A366="","",IF(OR(LOWER($D366&amp;"")="n/a",ISNUMBER(SEARCH("subscription",LOWER($A366&amp;" "&amp;$M366&amp;""))),ISNUMBER(SEARCH("membership",LOWER($A366&amp;" "&amp;$M366&amp;"")))),"",IF($G366="","",IF(ISNUMBER(SEARCH("non",LOWER($E366&amp;""))),$G366*0.85,$G366))))</f>
        <v/>
      </c>
      <c r="O366" s="349">
        <f>IF($A366="","",IF(OR(LOWER($D366&amp;"")="n/a",ISNUMBER(SEARCH("subscription",LOWER($A366&amp;" "&amp;$M366&amp;""))),ISNUMBER(SEARCH("membership",LOWER($A366&amp;" "&amp;$M366&amp;"")))),"",IF(OR($N366="",$I366="",$I366=0),"",$N366/$I366)))</f>
        <v/>
      </c>
      <c r="P366" s="349">
        <f>IF($A366="","",IF(OR(LOWER($D366&amp;"")="n/a",ISNUMBER(SEARCH("subscription",LOWER($A366&amp;" "&amp;$M366&amp;""))),ISNUMBER(SEARCH("membership",LOWER($A366&amp;" "&amp;$M366&amp;"")))),"",IF(LOWER($L366&amp;"")="yes",0,IF($K366&lt;&gt;"",$K366,IF($O366&lt;&gt;"",$O366,"")))))</f>
        <v/>
      </c>
      <c r="Q366" s="351">
        <f>IF($A366="","",IF($U366="Subscription","",IF($U366="Profit",$P366-$H366,0)))</f>
        <v/>
      </c>
      <c r="R366" s="349">
        <f>IF($A366="","",IF($U366="Subscription","",IF($U366="Draw",$H366,0)))</f>
        <v/>
      </c>
      <c r="S366" s="349">
        <f>IF($A366="","",IF($U366="Subscription","",IF($U366="Disqualified",$H366,0)))</f>
        <v/>
      </c>
      <c r="T366" s="380">
        <f>IF($A366="","",IF($U366="Subscription","",IF($H366=0,IF($U366="Profit","N/A",0),IF($U366="Profit",$Q366/$H366,IF($U366="Disqualified",-1,0)))))</f>
        <v/>
      </c>
      <c r="U366" s="351">
        <f>IF($A366="","",IF(OR(LOWER($D366&amp;"")="n/a",ISNUMBER(SEARCH("subscription",LOWER($A366&amp;" "&amp;$M366&amp;""))),ISNUMBER(SEARCH("membership",LOWER($A366&amp;" "&amp;$M366&amp;"")))),"Subscription",IF(LOWER($L366&amp;"")="yes","Disqualified",IF($P366&gt;$H366,"Profit","Draw"))))</f>
        <v/>
      </c>
      <c r="V366" s="383">
        <f>IF(OR($A366="",$B366="",$C366="",$U366="Subscription"),"",IFERROR(ROUNDUP((IF(ISNUMBER($C366),$C366,DATEVALUE($C366))-IF(ISNUMBER($B366),$B366,DATEVALUE($B366)))/7,0),""))</f>
        <v/>
      </c>
      <c r="W366" s="351">
        <f>IF($U366="Subscription","",$Q366-$S366)</f>
        <v/>
      </c>
      <c r="X366" s="384">
        <f>IF(OR($A366="",$U366="Subscription",$J366="",$I366="",$J366=0,$I366=0,$I366&gt;$J366),"",$J366-$I366)</f>
        <v/>
      </c>
      <c r="Y366" s="381">
        <f>IF(OR($A366="",$U366="Subscription",$J366="",$J366=0,$X366=""),"",$X366/$J366)</f>
        <v/>
      </c>
    </row>
    <row r="367" ht="21" customHeight="1" s="270">
      <c r="A367" s="297" t="n"/>
      <c r="B367" s="298" t="n"/>
      <c r="C367" s="298" t="n"/>
      <c r="D367" s="297" t="n"/>
      <c r="E367" s="349" t="n"/>
      <c r="F367" s="349" t="n"/>
      <c r="G367" s="349" t="n"/>
      <c r="H367" s="349" t="n"/>
      <c r="I367" s="382" t="n"/>
      <c r="J367" s="383" t="n"/>
      <c r="K367" s="351" t="n"/>
      <c r="L367" s="296" t="n"/>
      <c r="M367" s="349" t="n"/>
      <c r="N367" s="349">
        <f>IF($A367="","",IF(OR(LOWER($D367&amp;"")="n/a",ISNUMBER(SEARCH("subscription",LOWER($A367&amp;" "&amp;$M367&amp;""))),ISNUMBER(SEARCH("membership",LOWER($A367&amp;" "&amp;$M367&amp;"")))),"",IF($G367="","",IF(ISNUMBER(SEARCH("non",LOWER($E367&amp;""))),$G367*0.85,$G367))))</f>
        <v/>
      </c>
      <c r="O367" s="349">
        <f>IF($A367="","",IF(OR(LOWER($D367&amp;"")="n/a",ISNUMBER(SEARCH("subscription",LOWER($A367&amp;" "&amp;$M367&amp;""))),ISNUMBER(SEARCH("membership",LOWER($A367&amp;" "&amp;$M367&amp;"")))),"",IF(OR($N367="",$I367="",$I367=0),"",$N367/$I367)))</f>
        <v/>
      </c>
      <c r="P367" s="349">
        <f>IF($A367="","",IF(OR(LOWER($D367&amp;"")="n/a",ISNUMBER(SEARCH("subscription",LOWER($A367&amp;" "&amp;$M367&amp;""))),ISNUMBER(SEARCH("membership",LOWER($A367&amp;" "&amp;$M367&amp;"")))),"",IF(LOWER($L367&amp;"")="yes",0,IF($K367&lt;&gt;"",$K367,IF($O367&lt;&gt;"",$O367,"")))))</f>
        <v/>
      </c>
      <c r="Q367" s="351">
        <f>IF($A367="","",IF($U367="Subscription","",IF($U367="Profit",$P367-$H367,0)))</f>
        <v/>
      </c>
      <c r="R367" s="349">
        <f>IF($A367="","",IF($U367="Subscription","",IF($U367="Draw",$H367,0)))</f>
        <v/>
      </c>
      <c r="S367" s="349">
        <f>IF($A367="","",IF($U367="Subscription","",IF($U367="Disqualified",$H367,0)))</f>
        <v/>
      </c>
      <c r="T367" s="380">
        <f>IF($A367="","",IF($U367="Subscription","",IF($H367=0,IF($U367="Profit","N/A",0),IF($U367="Profit",$Q367/$H367,IF($U367="Disqualified",-1,0)))))</f>
        <v/>
      </c>
      <c r="U367" s="351">
        <f>IF($A367="","",IF(OR(LOWER($D367&amp;"")="n/a",ISNUMBER(SEARCH("subscription",LOWER($A367&amp;" "&amp;$M367&amp;""))),ISNUMBER(SEARCH("membership",LOWER($A367&amp;" "&amp;$M367&amp;"")))),"Subscription",IF(LOWER($L367&amp;"")="yes","Disqualified",IF($P367&gt;$H367,"Profit","Draw"))))</f>
        <v/>
      </c>
      <c r="V367" s="383">
        <f>IF(OR($A367="",$B367="",$C367="",$U367="Subscription"),"",IFERROR(ROUNDUP((IF(ISNUMBER($C367),$C367,DATEVALUE($C367))-IF(ISNUMBER($B367),$B367,DATEVALUE($B367)))/7,0),""))</f>
        <v/>
      </c>
      <c r="W367" s="351">
        <f>IF($U367="Subscription","",$Q367-$S367)</f>
        <v/>
      </c>
      <c r="X367" s="384">
        <f>IF(OR($A367="",$U367="Subscription",$J367="",$I367="",$J367=0,$I367=0,$I367&gt;$J367),"",$J367-$I367)</f>
        <v/>
      </c>
      <c r="Y367" s="381">
        <f>IF(OR($A367="",$U367="Subscription",$J367="",$J367=0,$X367=""),"",$X367/$J367)</f>
        <v/>
      </c>
    </row>
    <row r="368" ht="21" customHeight="1" s="270">
      <c r="A368" s="297" t="n"/>
      <c r="B368" s="298" t="n"/>
      <c r="C368" s="298" t="n"/>
      <c r="D368" s="297" t="n"/>
      <c r="E368" s="349" t="n"/>
      <c r="F368" s="349" t="n"/>
      <c r="G368" s="349" t="n"/>
      <c r="H368" s="349" t="n"/>
      <c r="I368" s="382" t="n"/>
      <c r="J368" s="383" t="n"/>
      <c r="K368" s="351" t="n"/>
      <c r="L368" s="296" t="n"/>
      <c r="M368" s="349" t="n"/>
      <c r="N368" s="349">
        <f>IF($A368="","",IF(OR(LOWER($D368&amp;"")="n/a",ISNUMBER(SEARCH("subscription",LOWER($A368&amp;" "&amp;$M368&amp;""))),ISNUMBER(SEARCH("membership",LOWER($A368&amp;" "&amp;$M368&amp;"")))),"",IF($G368="","",IF(ISNUMBER(SEARCH("non",LOWER($E368&amp;""))),$G368*0.85,$G368))))</f>
        <v/>
      </c>
      <c r="O368" s="349">
        <f>IF($A368="","",IF(OR(LOWER($D368&amp;"")="n/a",ISNUMBER(SEARCH("subscription",LOWER($A368&amp;" "&amp;$M368&amp;""))),ISNUMBER(SEARCH("membership",LOWER($A368&amp;" "&amp;$M368&amp;"")))),"",IF(OR($N368="",$I368="",$I368=0),"",$N368/$I368)))</f>
        <v/>
      </c>
      <c r="P368" s="349">
        <f>IF($A368="","",IF(OR(LOWER($D368&amp;"")="n/a",ISNUMBER(SEARCH("subscription",LOWER($A368&amp;" "&amp;$M368&amp;""))),ISNUMBER(SEARCH("membership",LOWER($A368&amp;" "&amp;$M368&amp;"")))),"",IF(LOWER($L368&amp;"")="yes",0,IF($K368&lt;&gt;"",$K368,IF($O368&lt;&gt;"",$O368,"")))))</f>
        <v/>
      </c>
      <c r="Q368" s="351">
        <f>IF($A368="","",IF($U368="Subscription","",IF($U368="Profit",$P368-$H368,0)))</f>
        <v/>
      </c>
      <c r="R368" s="349">
        <f>IF($A368="","",IF($U368="Subscription","",IF($U368="Draw",$H368,0)))</f>
        <v/>
      </c>
      <c r="S368" s="349">
        <f>IF($A368="","",IF($U368="Subscription","",IF($U368="Disqualified",$H368,0)))</f>
        <v/>
      </c>
      <c r="T368" s="380">
        <f>IF($A368="","",IF($U368="Subscription","",IF($H368=0,IF($U368="Profit","N/A",0),IF($U368="Profit",$Q368/$H368,IF($U368="Disqualified",-1,0)))))</f>
        <v/>
      </c>
      <c r="U368" s="351">
        <f>IF($A368="","",IF(OR(LOWER($D368&amp;"")="n/a",ISNUMBER(SEARCH("subscription",LOWER($A368&amp;" "&amp;$M368&amp;""))),ISNUMBER(SEARCH("membership",LOWER($A368&amp;" "&amp;$M368&amp;"")))),"Subscription",IF(LOWER($L368&amp;"")="yes","Disqualified",IF($P368&gt;$H368,"Profit","Draw"))))</f>
        <v/>
      </c>
      <c r="V368" s="383">
        <f>IF(OR($A368="",$B368="",$C368="",$U368="Subscription"),"",IFERROR(ROUNDUP((IF(ISNUMBER($C368),$C368,DATEVALUE($C368))-IF(ISNUMBER($B368),$B368,DATEVALUE($B368)))/7,0),""))</f>
        <v/>
      </c>
      <c r="W368" s="351">
        <f>IF($U368="Subscription","",$Q368-$S368)</f>
        <v/>
      </c>
      <c r="X368" s="384">
        <f>IF(OR($A368="",$U368="Subscription",$J368="",$I368="",$J368=0,$I368=0,$I368&gt;$J368),"",$J368-$I368)</f>
        <v/>
      </c>
      <c r="Y368" s="381">
        <f>IF(OR($A368="",$U368="Subscription",$J368="",$J368=0,$X368=""),"",$X368/$J368)</f>
        <v/>
      </c>
    </row>
    <row r="369" ht="21" customHeight="1" s="270">
      <c r="A369" s="297" t="n"/>
      <c r="B369" s="298" t="n"/>
      <c r="C369" s="298" t="n"/>
      <c r="D369" s="297" t="n"/>
      <c r="E369" s="349" t="n"/>
      <c r="F369" s="349" t="n"/>
      <c r="G369" s="349" t="n"/>
      <c r="H369" s="349" t="n"/>
      <c r="I369" s="382" t="n"/>
      <c r="J369" s="383" t="n"/>
      <c r="K369" s="351" t="n"/>
      <c r="L369" s="296" t="n"/>
      <c r="M369" s="349" t="n"/>
      <c r="N369" s="349">
        <f>IF($A369="","",IF(OR(LOWER($D369&amp;"")="n/a",ISNUMBER(SEARCH("subscription",LOWER($A369&amp;" "&amp;$M369&amp;""))),ISNUMBER(SEARCH("membership",LOWER($A369&amp;" "&amp;$M369&amp;"")))),"",IF($G369="","",IF(ISNUMBER(SEARCH("non",LOWER($E369&amp;""))),$G369*0.85,$G369))))</f>
        <v/>
      </c>
      <c r="O369" s="349">
        <f>IF($A369="","",IF(OR(LOWER($D369&amp;"")="n/a",ISNUMBER(SEARCH("subscription",LOWER($A369&amp;" "&amp;$M369&amp;""))),ISNUMBER(SEARCH("membership",LOWER($A369&amp;" "&amp;$M369&amp;"")))),"",IF(OR($N369="",$I369="",$I369=0),"",$N369/$I369)))</f>
        <v/>
      </c>
      <c r="P369" s="349">
        <f>IF($A369="","",IF(OR(LOWER($D369&amp;"")="n/a",ISNUMBER(SEARCH("subscription",LOWER($A369&amp;" "&amp;$M369&amp;""))),ISNUMBER(SEARCH("membership",LOWER($A369&amp;" "&amp;$M369&amp;"")))),"",IF(LOWER($L369&amp;"")="yes",0,IF($K369&lt;&gt;"",$K369,IF($O369&lt;&gt;"",$O369,"")))))</f>
        <v/>
      </c>
      <c r="Q369" s="351">
        <f>IF($A369="","",IF($U369="Subscription","",IF($U369="Profit",$P369-$H369,0)))</f>
        <v/>
      </c>
      <c r="R369" s="349">
        <f>IF($A369="","",IF($U369="Subscription","",IF($U369="Draw",$H369,0)))</f>
        <v/>
      </c>
      <c r="S369" s="349">
        <f>IF($A369="","",IF($U369="Subscription","",IF($U369="Disqualified",$H369,0)))</f>
        <v/>
      </c>
      <c r="T369" s="380">
        <f>IF($A369="","",IF($U369="Subscription","",IF($H369=0,IF($U369="Profit","N/A",0),IF($U369="Profit",$Q369/$H369,IF($U369="Disqualified",-1,0)))))</f>
        <v/>
      </c>
      <c r="U369" s="351">
        <f>IF($A369="","",IF(OR(LOWER($D369&amp;"")="n/a",ISNUMBER(SEARCH("subscription",LOWER($A369&amp;" "&amp;$M369&amp;""))),ISNUMBER(SEARCH("membership",LOWER($A369&amp;" "&amp;$M369&amp;"")))),"Subscription",IF(LOWER($L369&amp;"")="yes","Disqualified",IF($P369&gt;$H369,"Profit","Draw"))))</f>
        <v/>
      </c>
      <c r="V369" s="383">
        <f>IF(OR($A369="",$B369="",$C369="",$U369="Subscription"),"",IFERROR(ROUNDUP((IF(ISNUMBER($C369),$C369,DATEVALUE($C369))-IF(ISNUMBER($B369),$B369,DATEVALUE($B369)))/7,0),""))</f>
        <v/>
      </c>
      <c r="W369" s="351">
        <f>IF($U369="Subscription","",$Q369-$S369)</f>
        <v/>
      </c>
      <c r="X369" s="384">
        <f>IF(OR($A369="",$U369="Subscription",$J369="",$I369="",$J369=0,$I369=0,$I369&gt;$J369),"",$J369-$I369)</f>
        <v/>
      </c>
      <c r="Y369" s="381">
        <f>IF(OR($A369="",$U369="Subscription",$J369="",$J369=0,$X369=""),"",$X369/$J369)</f>
        <v/>
      </c>
    </row>
    <row r="370" ht="21" customHeight="1" s="270">
      <c r="A370" s="297" t="n"/>
      <c r="B370" s="298" t="n"/>
      <c r="C370" s="298" t="n"/>
      <c r="D370" s="297" t="n"/>
      <c r="E370" s="349" t="n"/>
      <c r="F370" s="349" t="n"/>
      <c r="G370" s="349" t="n"/>
      <c r="H370" s="349" t="n"/>
      <c r="I370" s="382" t="n"/>
      <c r="J370" s="383" t="n"/>
      <c r="K370" s="351" t="n"/>
      <c r="L370" s="296" t="n"/>
      <c r="M370" s="349" t="n"/>
      <c r="N370" s="349">
        <f>IF($A370="","",IF(OR(LOWER($D370&amp;"")="n/a",ISNUMBER(SEARCH("subscription",LOWER($A370&amp;" "&amp;$M370&amp;""))),ISNUMBER(SEARCH("membership",LOWER($A370&amp;" "&amp;$M370&amp;"")))),"",IF($G370="","",IF(ISNUMBER(SEARCH("non",LOWER($E370&amp;""))),$G370*0.85,$G370))))</f>
        <v/>
      </c>
      <c r="O370" s="349">
        <f>IF($A370="","",IF(OR(LOWER($D370&amp;"")="n/a",ISNUMBER(SEARCH("subscription",LOWER($A370&amp;" "&amp;$M370&amp;""))),ISNUMBER(SEARCH("membership",LOWER($A370&amp;" "&amp;$M370&amp;"")))),"",IF(OR($N370="",$I370="",$I370=0),"",$N370/$I370)))</f>
        <v/>
      </c>
      <c r="P370" s="349">
        <f>IF($A370="","",IF(OR(LOWER($D370&amp;"")="n/a",ISNUMBER(SEARCH("subscription",LOWER($A370&amp;" "&amp;$M370&amp;""))),ISNUMBER(SEARCH("membership",LOWER($A370&amp;" "&amp;$M370&amp;"")))),"",IF(LOWER($L370&amp;"")="yes",0,IF($K370&lt;&gt;"",$K370,IF($O370&lt;&gt;"",$O370,"")))))</f>
        <v/>
      </c>
      <c r="Q370" s="351">
        <f>IF($A370="","",IF($U370="Subscription","",IF($U370="Profit",$P370-$H370,0)))</f>
        <v/>
      </c>
      <c r="R370" s="349">
        <f>IF($A370="","",IF($U370="Subscription","",IF($U370="Draw",$H370,0)))</f>
        <v/>
      </c>
      <c r="S370" s="349">
        <f>IF($A370="","",IF($U370="Subscription","",IF($U370="Disqualified",$H370,0)))</f>
        <v/>
      </c>
      <c r="T370" s="380">
        <f>IF($A370="","",IF($U370="Subscription","",IF($H370=0,IF($U370="Profit","N/A",0),IF($U370="Profit",$Q370/$H370,IF($U370="Disqualified",-1,0)))))</f>
        <v/>
      </c>
      <c r="U370" s="351">
        <f>IF($A370="","",IF(OR(LOWER($D370&amp;"")="n/a",ISNUMBER(SEARCH("subscription",LOWER($A370&amp;" "&amp;$M370&amp;""))),ISNUMBER(SEARCH("membership",LOWER($A370&amp;" "&amp;$M370&amp;"")))),"Subscription",IF(LOWER($L370&amp;"")="yes","Disqualified",IF($P370&gt;$H370,"Profit","Draw"))))</f>
        <v/>
      </c>
      <c r="V370" s="383">
        <f>IF(OR($A370="",$B370="",$C370="",$U370="Subscription"),"",IFERROR(ROUNDUP((IF(ISNUMBER($C370),$C370,DATEVALUE($C370))-IF(ISNUMBER($B370),$B370,DATEVALUE($B370)))/7,0),""))</f>
        <v/>
      </c>
      <c r="W370" s="351">
        <f>IF($U370="Subscription","",$Q370-$S370)</f>
        <v/>
      </c>
      <c r="X370" s="384">
        <f>IF(OR($A370="",$U370="Subscription",$J370="",$I370="",$J370=0,$I370=0,$I370&gt;$J370),"",$J370-$I370)</f>
        <v/>
      </c>
      <c r="Y370" s="381">
        <f>IF(OR($A370="",$U370="Subscription",$J370="",$J370=0,$X370=""),"",$X370/$J370)</f>
        <v/>
      </c>
    </row>
    <row r="371" ht="21" customHeight="1" s="270">
      <c r="A371" s="297" t="n"/>
      <c r="B371" s="298" t="n"/>
      <c r="C371" s="298" t="n"/>
      <c r="D371" s="297" t="n"/>
      <c r="E371" s="349" t="n"/>
      <c r="F371" s="349" t="n"/>
      <c r="G371" s="349" t="n"/>
      <c r="H371" s="349" t="n"/>
      <c r="I371" s="382" t="n"/>
      <c r="J371" s="383" t="n"/>
      <c r="K371" s="351" t="n"/>
      <c r="L371" s="296" t="n"/>
      <c r="M371" s="349" t="n"/>
      <c r="N371" s="349">
        <f>IF($A371="","",IF(OR(LOWER($D371&amp;"")="n/a",ISNUMBER(SEARCH("subscription",LOWER($A371&amp;" "&amp;$M371&amp;""))),ISNUMBER(SEARCH("membership",LOWER($A371&amp;" "&amp;$M371&amp;"")))),"",IF($G371="","",IF(ISNUMBER(SEARCH("non",LOWER($E371&amp;""))),$G371*0.85,$G371))))</f>
        <v/>
      </c>
      <c r="O371" s="349">
        <f>IF($A371="","",IF(OR(LOWER($D371&amp;"")="n/a",ISNUMBER(SEARCH("subscription",LOWER($A371&amp;" "&amp;$M371&amp;""))),ISNUMBER(SEARCH("membership",LOWER($A371&amp;" "&amp;$M371&amp;"")))),"",IF(OR($N371="",$I371="",$I371=0),"",$N371/$I371)))</f>
        <v/>
      </c>
      <c r="P371" s="349">
        <f>IF($A371="","",IF(OR(LOWER($D371&amp;"")="n/a",ISNUMBER(SEARCH("subscription",LOWER($A371&amp;" "&amp;$M371&amp;""))),ISNUMBER(SEARCH("membership",LOWER($A371&amp;" "&amp;$M371&amp;"")))),"",IF(LOWER($L371&amp;"")="yes",0,IF($K371&lt;&gt;"",$K371,IF($O371&lt;&gt;"",$O371,"")))))</f>
        <v/>
      </c>
      <c r="Q371" s="351">
        <f>IF($A371="","",IF($U371="Subscription","",IF($U371="Profit",$P371-$H371,0)))</f>
        <v/>
      </c>
      <c r="R371" s="349">
        <f>IF($A371="","",IF($U371="Subscription","",IF($U371="Draw",$H371,0)))</f>
        <v/>
      </c>
      <c r="S371" s="349">
        <f>IF($A371="","",IF($U371="Subscription","",IF($U371="Disqualified",$H371,0)))</f>
        <v/>
      </c>
      <c r="T371" s="380">
        <f>IF($A371="","",IF($U371="Subscription","",IF($H371=0,IF($U371="Profit","N/A",0),IF($U371="Profit",$Q371/$H371,IF($U371="Disqualified",-1,0)))))</f>
        <v/>
      </c>
      <c r="U371" s="351">
        <f>IF($A371="","",IF(OR(LOWER($D371&amp;"")="n/a",ISNUMBER(SEARCH("subscription",LOWER($A371&amp;" "&amp;$M371&amp;""))),ISNUMBER(SEARCH("membership",LOWER($A371&amp;" "&amp;$M371&amp;"")))),"Subscription",IF(LOWER($L371&amp;"")="yes","Disqualified",IF($P371&gt;$H371,"Profit","Draw"))))</f>
        <v/>
      </c>
      <c r="V371" s="383">
        <f>IF(OR($A371="",$B371="",$C371="",$U371="Subscription"),"",IFERROR(ROUNDUP((IF(ISNUMBER($C371),$C371,DATEVALUE($C371))-IF(ISNUMBER($B371),$B371,DATEVALUE($B371)))/7,0),""))</f>
        <v/>
      </c>
      <c r="W371" s="351">
        <f>IF($U371="Subscription","",$Q371-$S371)</f>
        <v/>
      </c>
      <c r="X371" s="384">
        <f>IF(OR($A371="",$U371="Subscription",$J371="",$I371="",$J371=0,$I371=0,$I371&gt;$J371),"",$J371-$I371)</f>
        <v/>
      </c>
      <c r="Y371" s="381">
        <f>IF(OR($A371="",$U371="Subscription",$J371="",$J371=0,$X371=""),"",$X371/$J371)</f>
        <v/>
      </c>
    </row>
    <row r="372" ht="21" customHeight="1" s="270">
      <c r="A372" s="297" t="n"/>
      <c r="B372" s="298" t="n"/>
      <c r="C372" s="298" t="n"/>
      <c r="D372" s="297" t="n"/>
      <c r="E372" s="349" t="n"/>
      <c r="F372" s="349" t="n"/>
      <c r="G372" s="349" t="n"/>
      <c r="H372" s="349" t="n"/>
      <c r="I372" s="382" t="n"/>
      <c r="J372" s="383" t="n"/>
      <c r="K372" s="351" t="n"/>
      <c r="L372" s="296" t="n"/>
      <c r="M372" s="349" t="n"/>
      <c r="N372" s="349">
        <f>IF($A372="","",IF(OR(LOWER($D372&amp;"")="n/a",ISNUMBER(SEARCH("subscription",LOWER($A372&amp;" "&amp;$M372&amp;""))),ISNUMBER(SEARCH("membership",LOWER($A372&amp;" "&amp;$M372&amp;"")))),"",IF($G372="","",IF(ISNUMBER(SEARCH("non",LOWER($E372&amp;""))),$G372*0.85,$G372))))</f>
        <v/>
      </c>
      <c r="O372" s="349">
        <f>IF($A372="","",IF(OR(LOWER($D372&amp;"")="n/a",ISNUMBER(SEARCH("subscription",LOWER($A372&amp;" "&amp;$M372&amp;""))),ISNUMBER(SEARCH("membership",LOWER($A372&amp;" "&amp;$M372&amp;"")))),"",IF(OR($N372="",$I372="",$I372=0),"",$N372/$I372)))</f>
        <v/>
      </c>
      <c r="P372" s="349">
        <f>IF($A372="","",IF(OR(LOWER($D372&amp;"")="n/a",ISNUMBER(SEARCH("subscription",LOWER($A372&amp;" "&amp;$M372&amp;""))),ISNUMBER(SEARCH("membership",LOWER($A372&amp;" "&amp;$M372&amp;"")))),"",IF(LOWER($L372&amp;"")="yes",0,IF($K372&lt;&gt;"",$K372,IF($O372&lt;&gt;"",$O372,"")))))</f>
        <v/>
      </c>
      <c r="Q372" s="351">
        <f>IF($A372="","",IF($U372="Subscription","",IF($U372="Profit",$P372-$H372,0)))</f>
        <v/>
      </c>
      <c r="R372" s="349">
        <f>IF($A372="","",IF($U372="Subscription","",IF($U372="Draw",$H372,0)))</f>
        <v/>
      </c>
      <c r="S372" s="349">
        <f>IF($A372="","",IF($U372="Subscription","",IF($U372="Disqualified",$H372,0)))</f>
        <v/>
      </c>
      <c r="T372" s="380">
        <f>IF($A372="","",IF($U372="Subscription","",IF($H372=0,IF($U372="Profit","N/A",0),IF($U372="Profit",$Q372/$H372,IF($U372="Disqualified",-1,0)))))</f>
        <v/>
      </c>
      <c r="U372" s="351">
        <f>IF($A372="","",IF(OR(LOWER($D372&amp;"")="n/a",ISNUMBER(SEARCH("subscription",LOWER($A372&amp;" "&amp;$M372&amp;""))),ISNUMBER(SEARCH("membership",LOWER($A372&amp;" "&amp;$M372&amp;"")))),"Subscription",IF(LOWER($L372&amp;"")="yes","Disqualified",IF($P372&gt;$H372,"Profit","Draw"))))</f>
        <v/>
      </c>
      <c r="V372" s="383">
        <f>IF(OR($A372="",$B372="",$C372="",$U372="Subscription"),"",IFERROR(ROUNDUP((IF(ISNUMBER($C372),$C372,DATEVALUE($C372))-IF(ISNUMBER($B372),$B372,DATEVALUE($B372)))/7,0),""))</f>
        <v/>
      </c>
      <c r="W372" s="351">
        <f>IF($U372="Subscription","",$Q372-$S372)</f>
        <v/>
      </c>
      <c r="X372" s="384">
        <f>IF(OR($A372="",$U372="Subscription",$J372="",$I372="",$J372=0,$I372=0,$I372&gt;$J372),"",$J372-$I372)</f>
        <v/>
      </c>
      <c r="Y372" s="381">
        <f>IF(OR($A372="",$U372="Subscription",$J372="",$J372=0,$X372=""),"",$X372/$J372)</f>
        <v/>
      </c>
    </row>
    <row r="373" ht="21" customHeight="1" s="270">
      <c r="A373" s="297" t="n"/>
      <c r="B373" s="298" t="n"/>
      <c r="C373" s="298" t="n"/>
      <c r="D373" s="297" t="n"/>
      <c r="E373" s="349" t="n"/>
      <c r="F373" s="349" t="n"/>
      <c r="G373" s="349" t="n"/>
      <c r="H373" s="349" t="n"/>
      <c r="I373" s="382" t="n"/>
      <c r="J373" s="383" t="n"/>
      <c r="K373" s="351" t="n"/>
      <c r="L373" s="296" t="n"/>
      <c r="M373" s="349" t="n"/>
      <c r="N373" s="349">
        <f>IF($A373="","",IF(OR(LOWER($D373&amp;"")="n/a",ISNUMBER(SEARCH("subscription",LOWER($A373&amp;" "&amp;$M373&amp;""))),ISNUMBER(SEARCH("membership",LOWER($A373&amp;" "&amp;$M373&amp;"")))),"",IF($G373="","",IF(ISNUMBER(SEARCH("non",LOWER($E373&amp;""))),$G373*0.85,$G373))))</f>
        <v/>
      </c>
      <c r="O373" s="349">
        <f>IF($A373="","",IF(OR(LOWER($D373&amp;"")="n/a",ISNUMBER(SEARCH("subscription",LOWER($A373&amp;" "&amp;$M373&amp;""))),ISNUMBER(SEARCH("membership",LOWER($A373&amp;" "&amp;$M373&amp;"")))),"",IF(OR($N373="",$I373="",$I373=0),"",$N373/$I373)))</f>
        <v/>
      </c>
      <c r="P373" s="349">
        <f>IF($A373="","",IF(OR(LOWER($D373&amp;"")="n/a",ISNUMBER(SEARCH("subscription",LOWER($A373&amp;" "&amp;$M373&amp;""))),ISNUMBER(SEARCH("membership",LOWER($A373&amp;" "&amp;$M373&amp;"")))),"",IF(LOWER($L373&amp;"")="yes",0,IF($K373&lt;&gt;"",$K373,IF($O373&lt;&gt;"",$O373,"")))))</f>
        <v/>
      </c>
      <c r="Q373" s="351">
        <f>IF($A373="","",IF($U373="Subscription","",IF($U373="Profit",$P373-$H373,0)))</f>
        <v/>
      </c>
      <c r="R373" s="349">
        <f>IF($A373="","",IF($U373="Subscription","",IF($U373="Draw",$H373,0)))</f>
        <v/>
      </c>
      <c r="S373" s="349">
        <f>IF($A373="","",IF($U373="Subscription","",IF($U373="Disqualified",$H373,0)))</f>
        <v/>
      </c>
      <c r="T373" s="380">
        <f>IF($A373="","",IF($U373="Subscription","",IF($H373=0,IF($U373="Profit","N/A",0),IF($U373="Profit",$Q373/$H373,IF($U373="Disqualified",-1,0)))))</f>
        <v/>
      </c>
      <c r="U373" s="351">
        <f>IF($A373="","",IF(OR(LOWER($D373&amp;"")="n/a",ISNUMBER(SEARCH("subscription",LOWER($A373&amp;" "&amp;$M373&amp;""))),ISNUMBER(SEARCH("membership",LOWER($A373&amp;" "&amp;$M373&amp;"")))),"Subscription",IF(LOWER($L373&amp;"")="yes","Disqualified",IF($P373&gt;$H373,"Profit","Draw"))))</f>
        <v/>
      </c>
      <c r="V373" s="383">
        <f>IF(OR($A373="",$B373="",$C373="",$U373="Subscription"),"",IFERROR(ROUNDUP((IF(ISNUMBER($C373),$C373,DATEVALUE($C373))-IF(ISNUMBER($B373),$B373,DATEVALUE($B373)))/7,0),""))</f>
        <v/>
      </c>
      <c r="W373" s="351">
        <f>IF($U373="Subscription","",$Q373-$S373)</f>
        <v/>
      </c>
      <c r="X373" s="384">
        <f>IF(OR($A373="",$U373="Subscription",$J373="",$I373="",$J373=0,$I373=0,$I373&gt;$J373),"",$J373-$I373)</f>
        <v/>
      </c>
      <c r="Y373" s="381">
        <f>IF(OR($A373="",$U373="Subscription",$J373="",$J373=0,$X373=""),"",$X373/$J373)</f>
        <v/>
      </c>
    </row>
    <row r="374" ht="21" customHeight="1" s="270">
      <c r="A374" s="297" t="n"/>
      <c r="B374" s="298" t="n"/>
      <c r="C374" s="298" t="n"/>
      <c r="D374" s="297" t="n"/>
      <c r="E374" s="349" t="n"/>
      <c r="F374" s="349" t="n"/>
      <c r="G374" s="349" t="n"/>
      <c r="H374" s="349" t="n"/>
      <c r="I374" s="382" t="n"/>
      <c r="J374" s="383" t="n"/>
      <c r="K374" s="351" t="n"/>
      <c r="L374" s="296" t="n"/>
      <c r="M374" s="349" t="n"/>
      <c r="N374" s="349">
        <f>IF($A374="","",IF(OR(LOWER($D374&amp;"")="n/a",ISNUMBER(SEARCH("subscription",LOWER($A374&amp;" "&amp;$M374&amp;""))),ISNUMBER(SEARCH("membership",LOWER($A374&amp;" "&amp;$M374&amp;"")))),"",IF($G374="","",IF(ISNUMBER(SEARCH("non",LOWER($E374&amp;""))),$G374*0.85,$G374))))</f>
        <v/>
      </c>
      <c r="O374" s="349">
        <f>IF($A374="","",IF(OR(LOWER($D374&amp;"")="n/a",ISNUMBER(SEARCH("subscription",LOWER($A374&amp;" "&amp;$M374&amp;""))),ISNUMBER(SEARCH("membership",LOWER($A374&amp;" "&amp;$M374&amp;"")))),"",IF(OR($N374="",$I374="",$I374=0),"",$N374/$I374)))</f>
        <v/>
      </c>
      <c r="P374" s="349">
        <f>IF($A374="","",IF(OR(LOWER($D374&amp;"")="n/a",ISNUMBER(SEARCH("subscription",LOWER($A374&amp;" "&amp;$M374&amp;""))),ISNUMBER(SEARCH("membership",LOWER($A374&amp;" "&amp;$M374&amp;"")))),"",IF(LOWER($L374&amp;"")="yes",0,IF($K374&lt;&gt;"",$K374,IF($O374&lt;&gt;"",$O374,"")))))</f>
        <v/>
      </c>
      <c r="Q374" s="351">
        <f>IF($A374="","",IF($U374="Subscription","",IF($U374="Profit",$P374-$H374,0)))</f>
        <v/>
      </c>
      <c r="R374" s="349">
        <f>IF($A374="","",IF($U374="Subscription","",IF($U374="Draw",$H374,0)))</f>
        <v/>
      </c>
      <c r="S374" s="349">
        <f>IF($A374="","",IF($U374="Subscription","",IF($U374="Disqualified",$H374,0)))</f>
        <v/>
      </c>
      <c r="T374" s="380">
        <f>IF($A374="","",IF($U374="Subscription","",IF($H374=0,IF($U374="Profit","N/A",0),IF($U374="Profit",$Q374/$H374,IF($U374="Disqualified",-1,0)))))</f>
        <v/>
      </c>
      <c r="U374" s="351">
        <f>IF($A374="","",IF(OR(LOWER($D374&amp;"")="n/a",ISNUMBER(SEARCH("subscription",LOWER($A374&amp;" "&amp;$M374&amp;""))),ISNUMBER(SEARCH("membership",LOWER($A374&amp;" "&amp;$M374&amp;"")))),"Subscription",IF(LOWER($L374&amp;"")="yes","Disqualified",IF($P374&gt;$H374,"Profit","Draw"))))</f>
        <v/>
      </c>
      <c r="V374" s="383">
        <f>IF(OR($A374="",$B374="",$C374="",$U374="Subscription"),"",IFERROR(ROUNDUP((IF(ISNUMBER($C374),$C374,DATEVALUE($C374))-IF(ISNUMBER($B374),$B374,DATEVALUE($B374)))/7,0),""))</f>
        <v/>
      </c>
      <c r="W374" s="351">
        <f>IF($U374="Subscription","",$Q374-$S374)</f>
        <v/>
      </c>
      <c r="X374" s="384">
        <f>IF(OR($A374="",$U374="Subscription",$J374="",$I374="",$J374=0,$I374=0,$I374&gt;$J374),"",$J374-$I374)</f>
        <v/>
      </c>
      <c r="Y374" s="381">
        <f>IF(OR($A374="",$U374="Subscription",$J374="",$J374=0,$X374=""),"",$X374/$J374)</f>
        <v/>
      </c>
    </row>
    <row r="375" ht="21" customHeight="1" s="270">
      <c r="A375" s="297" t="n"/>
      <c r="B375" s="298" t="n"/>
      <c r="C375" s="298" t="n"/>
      <c r="D375" s="297" t="n"/>
      <c r="E375" s="349" t="n"/>
      <c r="F375" s="349" t="n"/>
      <c r="G375" s="349" t="n"/>
      <c r="H375" s="349" t="n"/>
      <c r="I375" s="382" t="n"/>
      <c r="J375" s="383" t="n"/>
      <c r="K375" s="351" t="n"/>
      <c r="L375" s="296" t="n"/>
      <c r="M375" s="349" t="n"/>
      <c r="N375" s="349">
        <f>IF($A375="","",IF(OR(LOWER($D375&amp;"")="n/a",ISNUMBER(SEARCH("subscription",LOWER($A375&amp;" "&amp;$M375&amp;""))),ISNUMBER(SEARCH("membership",LOWER($A375&amp;" "&amp;$M375&amp;"")))),"",IF($G375="","",IF(ISNUMBER(SEARCH("non",LOWER($E375&amp;""))),$G375*0.85,$G375))))</f>
        <v/>
      </c>
      <c r="O375" s="349">
        <f>IF($A375="","",IF(OR(LOWER($D375&amp;"")="n/a",ISNUMBER(SEARCH("subscription",LOWER($A375&amp;" "&amp;$M375&amp;""))),ISNUMBER(SEARCH("membership",LOWER($A375&amp;" "&amp;$M375&amp;"")))),"",IF(OR($N375="",$I375="",$I375=0),"",$N375/$I375)))</f>
        <v/>
      </c>
      <c r="P375" s="349">
        <f>IF($A375="","",IF(OR(LOWER($D375&amp;"")="n/a",ISNUMBER(SEARCH("subscription",LOWER($A375&amp;" "&amp;$M375&amp;""))),ISNUMBER(SEARCH("membership",LOWER($A375&amp;" "&amp;$M375&amp;"")))),"",IF(LOWER($L375&amp;"")="yes",0,IF($K375&lt;&gt;"",$K375,IF($O375&lt;&gt;"",$O375,"")))))</f>
        <v/>
      </c>
      <c r="Q375" s="351">
        <f>IF($A375="","",IF($U375="Subscription","",IF($U375="Profit",$P375-$H375,0)))</f>
        <v/>
      </c>
      <c r="R375" s="349">
        <f>IF($A375="","",IF($U375="Subscription","",IF($U375="Draw",$H375,0)))</f>
        <v/>
      </c>
      <c r="S375" s="349">
        <f>IF($A375="","",IF($U375="Subscription","",IF($U375="Disqualified",$H375,0)))</f>
        <v/>
      </c>
      <c r="T375" s="380">
        <f>IF($A375="","",IF($U375="Subscription","",IF($H375=0,IF($U375="Profit","N/A",0),IF($U375="Profit",$Q375/$H375,IF($U375="Disqualified",-1,0)))))</f>
        <v/>
      </c>
      <c r="U375" s="351">
        <f>IF($A375="","",IF(OR(LOWER($D375&amp;"")="n/a",ISNUMBER(SEARCH("subscription",LOWER($A375&amp;" "&amp;$M375&amp;""))),ISNUMBER(SEARCH("membership",LOWER($A375&amp;" "&amp;$M375&amp;"")))),"Subscription",IF(LOWER($L375&amp;"")="yes","Disqualified",IF($P375&gt;$H375,"Profit","Draw"))))</f>
        <v/>
      </c>
      <c r="V375" s="383">
        <f>IF(OR($A375="",$B375="",$C375="",$U375="Subscription"),"",IFERROR(ROUNDUP((IF(ISNUMBER($C375),$C375,DATEVALUE($C375))-IF(ISNUMBER($B375),$B375,DATEVALUE($B375)))/7,0),""))</f>
        <v/>
      </c>
      <c r="W375" s="351">
        <f>IF($U375="Subscription","",$Q375-$S375)</f>
        <v/>
      </c>
      <c r="X375" s="384">
        <f>IF(OR($A375="",$U375="Subscription",$J375="",$I375="",$J375=0,$I375=0,$I375&gt;$J375),"",$J375-$I375)</f>
        <v/>
      </c>
      <c r="Y375" s="381">
        <f>IF(OR($A375="",$U375="Subscription",$J375="",$J375=0,$X375=""),"",$X375/$J375)</f>
        <v/>
      </c>
    </row>
    <row r="376" ht="21" customHeight="1" s="270">
      <c r="A376" s="297" t="n"/>
      <c r="B376" s="298" t="n"/>
      <c r="C376" s="298" t="n"/>
      <c r="D376" s="297" t="n"/>
      <c r="E376" s="349" t="n"/>
      <c r="F376" s="349" t="n"/>
      <c r="G376" s="349" t="n"/>
      <c r="H376" s="349" t="n"/>
      <c r="I376" s="382" t="n"/>
      <c r="J376" s="383" t="n"/>
      <c r="K376" s="351" t="n"/>
      <c r="L376" s="296" t="n"/>
      <c r="M376" s="349" t="n"/>
      <c r="N376" s="349">
        <f>IF($A376="","",IF(OR(LOWER($D376&amp;"")="n/a",ISNUMBER(SEARCH("subscription",LOWER($A376&amp;" "&amp;$M376&amp;""))),ISNUMBER(SEARCH("membership",LOWER($A376&amp;" "&amp;$M376&amp;"")))),"",IF($G376="","",IF(ISNUMBER(SEARCH("non",LOWER($E376&amp;""))),$G376*0.85,$G376))))</f>
        <v/>
      </c>
      <c r="O376" s="349">
        <f>IF($A376="","",IF(OR(LOWER($D376&amp;"")="n/a",ISNUMBER(SEARCH("subscription",LOWER($A376&amp;" "&amp;$M376&amp;""))),ISNUMBER(SEARCH("membership",LOWER($A376&amp;" "&amp;$M376&amp;"")))),"",IF(OR($N376="",$I376="",$I376=0),"",$N376/$I376)))</f>
        <v/>
      </c>
      <c r="P376" s="349">
        <f>IF($A376="","",IF(OR(LOWER($D376&amp;"")="n/a",ISNUMBER(SEARCH("subscription",LOWER($A376&amp;" "&amp;$M376&amp;""))),ISNUMBER(SEARCH("membership",LOWER($A376&amp;" "&amp;$M376&amp;"")))),"",IF(LOWER($L376&amp;"")="yes",0,IF($K376&lt;&gt;"",$K376,IF($O376&lt;&gt;"",$O376,"")))))</f>
        <v/>
      </c>
      <c r="Q376" s="351">
        <f>IF($A376="","",IF($U376="Subscription","",IF($U376="Profit",$P376-$H376,0)))</f>
        <v/>
      </c>
      <c r="R376" s="349">
        <f>IF($A376="","",IF($U376="Subscription","",IF($U376="Draw",$H376,0)))</f>
        <v/>
      </c>
      <c r="S376" s="349">
        <f>IF($A376="","",IF($U376="Subscription","",IF($U376="Disqualified",$H376,0)))</f>
        <v/>
      </c>
      <c r="T376" s="380">
        <f>IF($A376="","",IF($U376="Subscription","",IF($H376=0,IF($U376="Profit","N/A",0),IF($U376="Profit",$Q376/$H376,IF($U376="Disqualified",-1,0)))))</f>
        <v/>
      </c>
      <c r="U376" s="351">
        <f>IF($A376="","",IF(OR(LOWER($D376&amp;"")="n/a",ISNUMBER(SEARCH("subscription",LOWER($A376&amp;" "&amp;$M376&amp;""))),ISNUMBER(SEARCH("membership",LOWER($A376&amp;" "&amp;$M376&amp;"")))),"Subscription",IF(LOWER($L376&amp;"")="yes","Disqualified",IF($P376&gt;$H376,"Profit","Draw"))))</f>
        <v/>
      </c>
      <c r="V376" s="383">
        <f>IF(OR($A376="",$B376="",$C376="",$U376="Subscription"),"",IFERROR(ROUNDUP((IF(ISNUMBER($C376),$C376,DATEVALUE($C376))-IF(ISNUMBER($B376),$B376,DATEVALUE($B376)))/7,0),""))</f>
        <v/>
      </c>
      <c r="W376" s="351">
        <f>IF($U376="Subscription","",$Q376-$S376)</f>
        <v/>
      </c>
      <c r="X376" s="384">
        <f>IF(OR($A376="",$U376="Subscription",$J376="",$I376="",$J376=0,$I376=0,$I376&gt;$J376),"",$J376-$I376)</f>
        <v/>
      </c>
      <c r="Y376" s="381">
        <f>IF(OR($A376="",$U376="Subscription",$J376="",$J376=0,$X376=""),"",$X376/$J376)</f>
        <v/>
      </c>
    </row>
    <row r="377" ht="21" customHeight="1" s="270">
      <c r="A377" s="297" t="n"/>
      <c r="B377" s="298" t="n"/>
      <c r="C377" s="298" t="n"/>
      <c r="D377" s="297" t="n"/>
      <c r="E377" s="349" t="n"/>
      <c r="F377" s="349" t="n"/>
      <c r="G377" s="349" t="n"/>
      <c r="H377" s="349" t="n"/>
      <c r="I377" s="382" t="n"/>
      <c r="J377" s="383" t="n"/>
      <c r="K377" s="351" t="n"/>
      <c r="L377" s="296" t="n"/>
      <c r="M377" s="349" t="n"/>
      <c r="N377" s="349">
        <f>IF($A377="","",IF(OR(LOWER($D377&amp;"")="n/a",ISNUMBER(SEARCH("subscription",LOWER($A377&amp;" "&amp;$M377&amp;""))),ISNUMBER(SEARCH("membership",LOWER($A377&amp;" "&amp;$M377&amp;"")))),"",IF($G377="","",IF(ISNUMBER(SEARCH("non",LOWER($E377&amp;""))),$G377*0.85,$G377))))</f>
        <v/>
      </c>
      <c r="O377" s="349">
        <f>IF($A377="","",IF(OR(LOWER($D377&amp;"")="n/a",ISNUMBER(SEARCH("subscription",LOWER($A377&amp;" "&amp;$M377&amp;""))),ISNUMBER(SEARCH("membership",LOWER($A377&amp;" "&amp;$M377&amp;"")))),"",IF(OR($N377="",$I377="",$I377=0),"",$N377/$I377)))</f>
        <v/>
      </c>
      <c r="P377" s="349">
        <f>IF($A377="","",IF(OR(LOWER($D377&amp;"")="n/a",ISNUMBER(SEARCH("subscription",LOWER($A377&amp;" "&amp;$M377&amp;""))),ISNUMBER(SEARCH("membership",LOWER($A377&amp;" "&amp;$M377&amp;"")))),"",IF(LOWER($L377&amp;"")="yes",0,IF($K377&lt;&gt;"",$K377,IF($O377&lt;&gt;"",$O377,"")))))</f>
        <v/>
      </c>
      <c r="Q377" s="351">
        <f>IF($A377="","",IF($U377="Subscription","",IF($U377="Profit",$P377-$H377,0)))</f>
        <v/>
      </c>
      <c r="R377" s="349">
        <f>IF($A377="","",IF($U377="Subscription","",IF($U377="Draw",$H377,0)))</f>
        <v/>
      </c>
      <c r="S377" s="349">
        <f>IF($A377="","",IF($U377="Subscription","",IF($U377="Disqualified",$H377,0)))</f>
        <v/>
      </c>
      <c r="T377" s="380">
        <f>IF($A377="","",IF($U377="Subscription","",IF($H377=0,IF($U377="Profit","N/A",0),IF($U377="Profit",$Q377/$H377,IF($U377="Disqualified",-1,0)))))</f>
        <v/>
      </c>
      <c r="U377" s="351">
        <f>IF($A377="","",IF(OR(LOWER($D377&amp;"")="n/a",ISNUMBER(SEARCH("subscription",LOWER($A377&amp;" "&amp;$M377&amp;""))),ISNUMBER(SEARCH("membership",LOWER($A377&amp;" "&amp;$M377&amp;"")))),"Subscription",IF(LOWER($L377&amp;"")="yes","Disqualified",IF($P377&gt;$H377,"Profit","Draw"))))</f>
        <v/>
      </c>
      <c r="V377" s="383">
        <f>IF(OR($A377="",$B377="",$C377="",$U377="Subscription"),"",IFERROR(ROUNDUP((IF(ISNUMBER($C377),$C377,DATEVALUE($C377))-IF(ISNUMBER($B377),$B377,DATEVALUE($B377)))/7,0),""))</f>
        <v/>
      </c>
      <c r="W377" s="351">
        <f>IF($U377="Subscription","",$Q377-$S377)</f>
        <v/>
      </c>
      <c r="X377" s="384">
        <f>IF(OR($A377="",$U377="Subscription",$J377="",$I377="",$J377=0,$I377=0,$I377&gt;$J377),"",$J377-$I377)</f>
        <v/>
      </c>
      <c r="Y377" s="381">
        <f>IF(OR($A377="",$U377="Subscription",$J377="",$J377=0,$X377=""),"",$X377/$J377)</f>
        <v/>
      </c>
    </row>
    <row r="378" ht="21" customHeight="1" s="270">
      <c r="A378" s="297" t="n"/>
      <c r="B378" s="298" t="n"/>
      <c r="C378" s="298" t="n"/>
      <c r="D378" s="297" t="n"/>
      <c r="E378" s="349" t="n"/>
      <c r="F378" s="349" t="n"/>
      <c r="G378" s="349" t="n"/>
      <c r="H378" s="349" t="n"/>
      <c r="I378" s="382" t="n"/>
      <c r="J378" s="383" t="n"/>
      <c r="K378" s="351" t="n"/>
      <c r="L378" s="296" t="n"/>
      <c r="M378" s="349" t="n"/>
      <c r="N378" s="349">
        <f>IF($A378="","",IF(OR(LOWER($D378&amp;"")="n/a",ISNUMBER(SEARCH("subscription",LOWER($A378&amp;" "&amp;$M378&amp;""))),ISNUMBER(SEARCH("membership",LOWER($A378&amp;" "&amp;$M378&amp;"")))),"",IF($G378="","",IF(ISNUMBER(SEARCH("non",LOWER($E378&amp;""))),$G378*0.85,$G378))))</f>
        <v/>
      </c>
      <c r="O378" s="349">
        <f>IF($A378="","",IF(OR(LOWER($D378&amp;"")="n/a",ISNUMBER(SEARCH("subscription",LOWER($A378&amp;" "&amp;$M378&amp;""))),ISNUMBER(SEARCH("membership",LOWER($A378&amp;" "&amp;$M378&amp;"")))),"",IF(OR($N378="",$I378="",$I378=0),"",$N378/$I378)))</f>
        <v/>
      </c>
      <c r="P378" s="349">
        <f>IF($A378="","",IF(OR(LOWER($D378&amp;"")="n/a",ISNUMBER(SEARCH("subscription",LOWER($A378&amp;" "&amp;$M378&amp;""))),ISNUMBER(SEARCH("membership",LOWER($A378&amp;" "&amp;$M378&amp;"")))),"",IF(LOWER($L378&amp;"")="yes",0,IF($K378&lt;&gt;"",$K378,IF($O378&lt;&gt;"",$O378,"")))))</f>
        <v/>
      </c>
      <c r="Q378" s="351">
        <f>IF($A378="","",IF($U378="Subscription","",IF($U378="Profit",$P378-$H378,0)))</f>
        <v/>
      </c>
      <c r="R378" s="349">
        <f>IF($A378="","",IF($U378="Subscription","",IF($U378="Draw",$H378,0)))</f>
        <v/>
      </c>
      <c r="S378" s="349">
        <f>IF($A378="","",IF($U378="Subscription","",IF($U378="Disqualified",$H378,0)))</f>
        <v/>
      </c>
      <c r="T378" s="380">
        <f>IF($A378="","",IF($U378="Subscription","",IF($H378=0,IF($U378="Profit","N/A",0),IF($U378="Profit",$Q378/$H378,IF($U378="Disqualified",-1,0)))))</f>
        <v/>
      </c>
      <c r="U378" s="351">
        <f>IF($A378="","",IF(OR(LOWER($D378&amp;"")="n/a",ISNUMBER(SEARCH("subscription",LOWER($A378&amp;" "&amp;$M378&amp;""))),ISNUMBER(SEARCH("membership",LOWER($A378&amp;" "&amp;$M378&amp;"")))),"Subscription",IF(LOWER($L378&amp;"")="yes","Disqualified",IF($P378&gt;$H378,"Profit","Draw"))))</f>
        <v/>
      </c>
      <c r="V378" s="383">
        <f>IF(OR($A378="",$B378="",$C378="",$U378="Subscription"),"",IFERROR(ROUNDUP((IF(ISNUMBER($C378),$C378,DATEVALUE($C378))-IF(ISNUMBER($B378),$B378,DATEVALUE($B378)))/7,0),""))</f>
        <v/>
      </c>
      <c r="W378" s="351">
        <f>IF($U378="Subscription","",$Q378-$S378)</f>
        <v/>
      </c>
      <c r="X378" s="384">
        <f>IF(OR($A378="",$U378="Subscription",$J378="",$I378="",$J378=0,$I378=0,$I378&gt;$J378),"",$J378-$I378)</f>
        <v/>
      </c>
      <c r="Y378" s="381">
        <f>IF(OR($A378="",$U378="Subscription",$J378="",$J378=0,$X378=""),"",$X378/$J378)</f>
        <v/>
      </c>
    </row>
    <row r="379" ht="21" customHeight="1" s="270">
      <c r="A379" s="297" t="n"/>
      <c r="B379" s="298" t="n"/>
      <c r="C379" s="298" t="n"/>
      <c r="D379" s="297" t="n"/>
      <c r="E379" s="349" t="n"/>
      <c r="F379" s="349" t="n"/>
      <c r="G379" s="349" t="n"/>
      <c r="H379" s="349" t="n"/>
      <c r="I379" s="382" t="n"/>
      <c r="J379" s="383" t="n"/>
      <c r="K379" s="351" t="n"/>
      <c r="L379" s="296" t="n"/>
      <c r="M379" s="349" t="n"/>
      <c r="N379" s="349">
        <f>IF($A379="","",IF(OR(LOWER($D379&amp;"")="n/a",ISNUMBER(SEARCH("subscription",LOWER($A379&amp;" "&amp;$M379&amp;""))),ISNUMBER(SEARCH("membership",LOWER($A379&amp;" "&amp;$M379&amp;"")))),"",IF($G379="","",IF(ISNUMBER(SEARCH("non",LOWER($E379&amp;""))),$G379*0.85,$G379))))</f>
        <v/>
      </c>
      <c r="O379" s="349">
        <f>IF($A379="","",IF(OR(LOWER($D379&amp;"")="n/a",ISNUMBER(SEARCH("subscription",LOWER($A379&amp;" "&amp;$M379&amp;""))),ISNUMBER(SEARCH("membership",LOWER($A379&amp;" "&amp;$M379&amp;"")))),"",IF(OR($N379="",$I379="",$I379=0),"",$N379/$I379)))</f>
        <v/>
      </c>
      <c r="P379" s="349">
        <f>IF($A379="","",IF(OR(LOWER($D379&amp;"")="n/a",ISNUMBER(SEARCH("subscription",LOWER($A379&amp;" "&amp;$M379&amp;""))),ISNUMBER(SEARCH("membership",LOWER($A379&amp;" "&amp;$M379&amp;"")))),"",IF(LOWER($L379&amp;"")="yes",0,IF($K379&lt;&gt;"",$K379,IF($O379&lt;&gt;"",$O379,"")))))</f>
        <v/>
      </c>
      <c r="Q379" s="351">
        <f>IF($A379="","",IF($U379="Subscription","",IF($U379="Profit",$P379-$H379,0)))</f>
        <v/>
      </c>
      <c r="R379" s="349">
        <f>IF($A379="","",IF($U379="Subscription","",IF($U379="Draw",$H379,0)))</f>
        <v/>
      </c>
      <c r="S379" s="349">
        <f>IF($A379="","",IF($U379="Subscription","",IF($U379="Disqualified",$H379,0)))</f>
        <v/>
      </c>
      <c r="T379" s="380">
        <f>IF($A379="","",IF($U379="Subscription","",IF($H379=0,IF($U379="Profit","N/A",0),IF($U379="Profit",$Q379/$H379,IF($U379="Disqualified",-1,0)))))</f>
        <v/>
      </c>
      <c r="U379" s="351">
        <f>IF($A379="","",IF(OR(LOWER($D379&amp;"")="n/a",ISNUMBER(SEARCH("subscription",LOWER($A379&amp;" "&amp;$M379&amp;""))),ISNUMBER(SEARCH("membership",LOWER($A379&amp;" "&amp;$M379&amp;"")))),"Subscription",IF(LOWER($L379&amp;"")="yes","Disqualified",IF($P379&gt;$H379,"Profit","Draw"))))</f>
        <v/>
      </c>
      <c r="V379" s="383">
        <f>IF(OR($A379="",$B379="",$C379="",$U379="Subscription"),"",IFERROR(ROUNDUP((IF(ISNUMBER($C379),$C379,DATEVALUE($C379))-IF(ISNUMBER($B379),$B379,DATEVALUE($B379)))/7,0),""))</f>
        <v/>
      </c>
      <c r="W379" s="351">
        <f>IF($U379="Subscription","",$Q379-$S379)</f>
        <v/>
      </c>
      <c r="X379" s="384">
        <f>IF(OR($A379="",$U379="Subscription",$J379="",$I379="",$J379=0,$I379=0,$I379&gt;$J379),"",$J379-$I379)</f>
        <v/>
      </c>
      <c r="Y379" s="381">
        <f>IF(OR($A379="",$U379="Subscription",$J379="",$J379=0,$X379=""),"",$X379/$J379)</f>
        <v/>
      </c>
    </row>
    <row r="380" ht="21" customHeight="1" s="270">
      <c r="A380" s="297" t="n"/>
      <c r="B380" s="298" t="n"/>
      <c r="C380" s="298" t="n"/>
      <c r="D380" s="297" t="n"/>
      <c r="E380" s="349" t="n"/>
      <c r="F380" s="349" t="n"/>
      <c r="G380" s="349" t="n"/>
      <c r="H380" s="349" t="n"/>
      <c r="I380" s="382" t="n"/>
      <c r="J380" s="383" t="n"/>
      <c r="K380" s="351" t="n"/>
      <c r="L380" s="296" t="n"/>
      <c r="M380" s="349" t="n"/>
      <c r="N380" s="349">
        <f>IF($A380="","",IF(OR(LOWER($D380&amp;"")="n/a",ISNUMBER(SEARCH("subscription",LOWER($A380&amp;" "&amp;$M380&amp;""))),ISNUMBER(SEARCH("membership",LOWER($A380&amp;" "&amp;$M380&amp;"")))),"",IF($G380="","",IF(ISNUMBER(SEARCH("non",LOWER($E380&amp;""))),$G380*0.85,$G380))))</f>
        <v/>
      </c>
      <c r="O380" s="349">
        <f>IF($A380="","",IF(OR(LOWER($D380&amp;"")="n/a",ISNUMBER(SEARCH("subscription",LOWER($A380&amp;" "&amp;$M380&amp;""))),ISNUMBER(SEARCH("membership",LOWER($A380&amp;" "&amp;$M380&amp;"")))),"",IF(OR($N380="",$I380="",$I380=0),"",$N380/$I380)))</f>
        <v/>
      </c>
      <c r="P380" s="349">
        <f>IF($A380="","",IF(OR(LOWER($D380&amp;"")="n/a",ISNUMBER(SEARCH("subscription",LOWER($A380&amp;" "&amp;$M380&amp;""))),ISNUMBER(SEARCH("membership",LOWER($A380&amp;" "&amp;$M380&amp;"")))),"",IF(LOWER($L380&amp;"")="yes",0,IF($K380&lt;&gt;"",$K380,IF($O380&lt;&gt;"",$O380,"")))))</f>
        <v/>
      </c>
      <c r="Q380" s="351">
        <f>IF($A380="","",IF($U380="Subscription","",IF($U380="Profit",$P380-$H380,0)))</f>
        <v/>
      </c>
      <c r="R380" s="349">
        <f>IF($A380="","",IF($U380="Subscription","",IF($U380="Draw",$H380,0)))</f>
        <v/>
      </c>
      <c r="S380" s="349">
        <f>IF($A380="","",IF($U380="Subscription","",IF($U380="Disqualified",$H380,0)))</f>
        <v/>
      </c>
      <c r="T380" s="380">
        <f>IF($A380="","",IF($U380="Subscription","",IF($H380=0,IF($U380="Profit","N/A",0),IF($U380="Profit",$Q380/$H380,IF($U380="Disqualified",-1,0)))))</f>
        <v/>
      </c>
      <c r="U380" s="351">
        <f>IF($A380="","",IF(OR(LOWER($D380&amp;"")="n/a",ISNUMBER(SEARCH("subscription",LOWER($A380&amp;" "&amp;$M380&amp;""))),ISNUMBER(SEARCH("membership",LOWER($A380&amp;" "&amp;$M380&amp;"")))),"Subscription",IF(LOWER($L380&amp;"")="yes","Disqualified",IF($P380&gt;$H380,"Profit","Draw"))))</f>
        <v/>
      </c>
      <c r="V380" s="383">
        <f>IF(OR($A380="",$B380="",$C380="",$U380="Subscription"),"",IFERROR(ROUNDUP((IF(ISNUMBER($C380),$C380,DATEVALUE($C380))-IF(ISNUMBER($B380),$B380,DATEVALUE($B380)))/7,0),""))</f>
        <v/>
      </c>
      <c r="W380" s="351">
        <f>IF($U380="Subscription","",$Q380-$S380)</f>
        <v/>
      </c>
      <c r="X380" s="384">
        <f>IF(OR($A380="",$U380="Subscription",$J380="",$I380="",$J380=0,$I380=0,$I380&gt;$J380),"",$J380-$I380)</f>
        <v/>
      </c>
      <c r="Y380" s="381">
        <f>IF(OR($A380="",$U380="Subscription",$J380="",$J380=0,$X380=""),"",$X380/$J380)</f>
        <v/>
      </c>
    </row>
    <row r="381" ht="21" customHeight="1" s="270">
      <c r="A381" s="297" t="n"/>
      <c r="B381" s="298" t="n"/>
      <c r="C381" s="298" t="n"/>
      <c r="D381" s="297" t="n"/>
      <c r="E381" s="349" t="n"/>
      <c r="F381" s="349" t="n"/>
      <c r="G381" s="349" t="n"/>
      <c r="H381" s="349" t="n"/>
      <c r="I381" s="382" t="n"/>
      <c r="J381" s="383" t="n"/>
      <c r="K381" s="351" t="n"/>
      <c r="L381" s="296" t="n"/>
      <c r="M381" s="349" t="n"/>
      <c r="N381" s="349">
        <f>IF($A381="","",IF(OR(LOWER($D381&amp;"")="n/a",ISNUMBER(SEARCH("subscription",LOWER($A381&amp;" "&amp;$M381&amp;""))),ISNUMBER(SEARCH("membership",LOWER($A381&amp;" "&amp;$M381&amp;"")))),"",IF($G381="","",IF(ISNUMBER(SEARCH("non",LOWER($E381&amp;""))),$G381*0.85,$G381))))</f>
        <v/>
      </c>
      <c r="O381" s="349">
        <f>IF($A381="","",IF(OR(LOWER($D381&amp;"")="n/a",ISNUMBER(SEARCH("subscription",LOWER($A381&amp;" "&amp;$M381&amp;""))),ISNUMBER(SEARCH("membership",LOWER($A381&amp;" "&amp;$M381&amp;"")))),"",IF(OR($N381="",$I381="",$I381=0),"",$N381/$I381)))</f>
        <v/>
      </c>
      <c r="P381" s="349">
        <f>IF($A381="","",IF(OR(LOWER($D381&amp;"")="n/a",ISNUMBER(SEARCH("subscription",LOWER($A381&amp;" "&amp;$M381&amp;""))),ISNUMBER(SEARCH("membership",LOWER($A381&amp;" "&amp;$M381&amp;"")))),"",IF(LOWER($L381&amp;"")="yes",0,IF($K381&lt;&gt;"",$K381,IF($O381&lt;&gt;"",$O381,"")))))</f>
        <v/>
      </c>
      <c r="Q381" s="351">
        <f>IF($A381="","",IF($U381="Subscription","",IF($U381="Profit",$P381-$H381,0)))</f>
        <v/>
      </c>
      <c r="R381" s="349">
        <f>IF($A381="","",IF($U381="Subscription","",IF($U381="Draw",$H381,0)))</f>
        <v/>
      </c>
      <c r="S381" s="349">
        <f>IF($A381="","",IF($U381="Subscription","",IF($U381="Disqualified",$H381,0)))</f>
        <v/>
      </c>
      <c r="T381" s="380">
        <f>IF($A381="","",IF($U381="Subscription","",IF($H381=0,IF($U381="Profit","N/A",0),IF($U381="Profit",$Q381/$H381,IF($U381="Disqualified",-1,0)))))</f>
        <v/>
      </c>
      <c r="U381" s="351">
        <f>IF($A381="","",IF(OR(LOWER($D381&amp;"")="n/a",ISNUMBER(SEARCH("subscription",LOWER($A381&amp;" "&amp;$M381&amp;""))),ISNUMBER(SEARCH("membership",LOWER($A381&amp;" "&amp;$M381&amp;"")))),"Subscription",IF(LOWER($L381&amp;"")="yes","Disqualified",IF($P381&gt;$H381,"Profit","Draw"))))</f>
        <v/>
      </c>
      <c r="V381" s="383">
        <f>IF(OR($A381="",$B381="",$C381="",$U381="Subscription"),"",IFERROR(ROUNDUP((IF(ISNUMBER($C381),$C381,DATEVALUE($C381))-IF(ISNUMBER($B381),$B381,DATEVALUE($B381)))/7,0),""))</f>
        <v/>
      </c>
      <c r="W381" s="351">
        <f>IF($U381="Subscription","",$Q381-$S381)</f>
        <v/>
      </c>
      <c r="X381" s="384">
        <f>IF(OR($A381="",$U381="Subscription",$J381="",$I381="",$J381=0,$I381=0,$I381&gt;$J381),"",$J381-$I381)</f>
        <v/>
      </c>
      <c r="Y381" s="381">
        <f>IF(OR($A381="",$U381="Subscription",$J381="",$J381=0,$X381=""),"",$X381/$J381)</f>
        <v/>
      </c>
    </row>
    <row r="382" ht="21" customHeight="1" s="270">
      <c r="A382" s="297" t="n"/>
      <c r="B382" s="298" t="n"/>
      <c r="C382" s="298" t="n"/>
      <c r="D382" s="297" t="n"/>
      <c r="E382" s="349" t="n"/>
      <c r="F382" s="349" t="n"/>
      <c r="G382" s="349" t="n"/>
      <c r="H382" s="349" t="n"/>
      <c r="I382" s="382" t="n"/>
      <c r="J382" s="383" t="n"/>
      <c r="K382" s="351" t="n"/>
      <c r="L382" s="296" t="n"/>
      <c r="M382" s="349" t="n"/>
      <c r="N382" s="349">
        <f>IF($A382="","",IF(OR(LOWER($D382&amp;"")="n/a",ISNUMBER(SEARCH("subscription",LOWER($A382&amp;" "&amp;$M382&amp;""))),ISNUMBER(SEARCH("membership",LOWER($A382&amp;" "&amp;$M382&amp;"")))),"",IF($G382="","",IF(ISNUMBER(SEARCH("non",LOWER($E382&amp;""))),$G382*0.85,$G382))))</f>
        <v/>
      </c>
      <c r="O382" s="349">
        <f>IF($A382="","",IF(OR(LOWER($D382&amp;"")="n/a",ISNUMBER(SEARCH("subscription",LOWER($A382&amp;" "&amp;$M382&amp;""))),ISNUMBER(SEARCH("membership",LOWER($A382&amp;" "&amp;$M382&amp;"")))),"",IF(OR($N382="",$I382="",$I382=0),"",$N382/$I382)))</f>
        <v/>
      </c>
      <c r="P382" s="349">
        <f>IF($A382="","",IF(OR(LOWER($D382&amp;"")="n/a",ISNUMBER(SEARCH("subscription",LOWER($A382&amp;" "&amp;$M382&amp;""))),ISNUMBER(SEARCH("membership",LOWER($A382&amp;" "&amp;$M382&amp;"")))),"",IF(LOWER($L382&amp;"")="yes",0,IF($K382&lt;&gt;"",$K382,IF($O382&lt;&gt;"",$O382,"")))))</f>
        <v/>
      </c>
      <c r="Q382" s="351">
        <f>IF($A382="","",IF($U382="Subscription","",IF($U382="Profit",$P382-$H382,0)))</f>
        <v/>
      </c>
      <c r="R382" s="349">
        <f>IF($A382="","",IF($U382="Subscription","",IF($U382="Draw",$H382,0)))</f>
        <v/>
      </c>
      <c r="S382" s="349">
        <f>IF($A382="","",IF($U382="Subscription","",IF($U382="Disqualified",$H382,0)))</f>
        <v/>
      </c>
      <c r="T382" s="380">
        <f>IF($A382="","",IF($U382="Subscription","",IF($H382=0,IF($U382="Profit","N/A",0),IF($U382="Profit",$Q382/$H382,IF($U382="Disqualified",-1,0)))))</f>
        <v/>
      </c>
      <c r="U382" s="351">
        <f>IF($A382="","",IF(OR(LOWER($D382&amp;"")="n/a",ISNUMBER(SEARCH("subscription",LOWER($A382&amp;" "&amp;$M382&amp;""))),ISNUMBER(SEARCH("membership",LOWER($A382&amp;" "&amp;$M382&amp;"")))),"Subscription",IF(LOWER($L382&amp;"")="yes","Disqualified",IF($P382&gt;$H382,"Profit","Draw"))))</f>
        <v/>
      </c>
      <c r="V382" s="383">
        <f>IF(OR($A382="",$B382="",$C382="",$U382="Subscription"),"",IFERROR(ROUNDUP((IF(ISNUMBER($C382),$C382,DATEVALUE($C382))-IF(ISNUMBER($B382),$B382,DATEVALUE($B382)))/7,0),""))</f>
        <v/>
      </c>
      <c r="W382" s="351">
        <f>IF($U382="Subscription","",$Q382-$S382)</f>
        <v/>
      </c>
      <c r="X382" s="384">
        <f>IF(OR($A382="",$U382="Subscription",$J382="",$I382="",$J382=0,$I382=0,$I382&gt;$J382),"",$J382-$I382)</f>
        <v/>
      </c>
      <c r="Y382" s="381">
        <f>IF(OR($A382="",$U382="Subscription",$J382="",$J382=0,$X382=""),"",$X382/$J382)</f>
        <v/>
      </c>
    </row>
    <row r="383" ht="21" customHeight="1" s="270">
      <c r="A383" s="297" t="n"/>
      <c r="B383" s="298" t="n"/>
      <c r="C383" s="298" t="n"/>
      <c r="D383" s="297" t="n"/>
      <c r="E383" s="349" t="n"/>
      <c r="F383" s="349" t="n"/>
      <c r="G383" s="349" t="n"/>
      <c r="H383" s="349" t="n"/>
      <c r="I383" s="382" t="n"/>
      <c r="J383" s="383" t="n"/>
      <c r="K383" s="351" t="n"/>
      <c r="L383" s="296" t="n"/>
      <c r="M383" s="349" t="n"/>
      <c r="N383" s="349">
        <f>IF($A383="","",IF(OR(LOWER($D383&amp;"")="n/a",ISNUMBER(SEARCH("subscription",LOWER($A383&amp;" "&amp;$M383&amp;""))),ISNUMBER(SEARCH("membership",LOWER($A383&amp;" "&amp;$M383&amp;"")))),"",IF($G383="","",IF(ISNUMBER(SEARCH("non",LOWER($E383&amp;""))),$G383*0.85,$G383))))</f>
        <v/>
      </c>
      <c r="O383" s="349">
        <f>IF($A383="","",IF(OR(LOWER($D383&amp;"")="n/a",ISNUMBER(SEARCH("subscription",LOWER($A383&amp;" "&amp;$M383&amp;""))),ISNUMBER(SEARCH("membership",LOWER($A383&amp;" "&amp;$M383&amp;"")))),"",IF(OR($N383="",$I383="",$I383=0),"",$N383/$I383)))</f>
        <v/>
      </c>
      <c r="P383" s="349">
        <f>IF($A383="","",IF(OR(LOWER($D383&amp;"")="n/a",ISNUMBER(SEARCH("subscription",LOWER($A383&amp;" "&amp;$M383&amp;""))),ISNUMBER(SEARCH("membership",LOWER($A383&amp;" "&amp;$M383&amp;"")))),"",IF(LOWER($L383&amp;"")="yes",0,IF($K383&lt;&gt;"",$K383,IF($O383&lt;&gt;"",$O383,"")))))</f>
        <v/>
      </c>
      <c r="Q383" s="351">
        <f>IF($A383="","",IF($U383="Subscription","",IF($U383="Profit",$P383-$H383,0)))</f>
        <v/>
      </c>
      <c r="R383" s="349">
        <f>IF($A383="","",IF($U383="Subscription","",IF($U383="Draw",$H383,0)))</f>
        <v/>
      </c>
      <c r="S383" s="349">
        <f>IF($A383="","",IF($U383="Subscription","",IF($U383="Disqualified",$H383,0)))</f>
        <v/>
      </c>
      <c r="T383" s="380">
        <f>IF($A383="","",IF($U383="Subscription","",IF($H383=0,IF($U383="Profit","N/A",0),IF($U383="Profit",$Q383/$H383,IF($U383="Disqualified",-1,0)))))</f>
        <v/>
      </c>
      <c r="U383" s="351">
        <f>IF($A383="","",IF(OR(LOWER($D383&amp;"")="n/a",ISNUMBER(SEARCH("subscription",LOWER($A383&amp;" "&amp;$M383&amp;""))),ISNUMBER(SEARCH("membership",LOWER($A383&amp;" "&amp;$M383&amp;"")))),"Subscription",IF(LOWER($L383&amp;"")="yes","Disqualified",IF($P383&gt;$H383,"Profit","Draw"))))</f>
        <v/>
      </c>
      <c r="V383" s="383">
        <f>IF(OR($A383="",$B383="",$C383="",$U383="Subscription"),"",IFERROR(ROUNDUP((IF(ISNUMBER($C383),$C383,DATEVALUE($C383))-IF(ISNUMBER($B383),$B383,DATEVALUE($B383)))/7,0),""))</f>
        <v/>
      </c>
      <c r="W383" s="351">
        <f>IF($U383="Subscription","",$Q383-$S383)</f>
        <v/>
      </c>
      <c r="X383" s="384">
        <f>IF(OR($A383="",$U383="Subscription",$J383="",$I383="",$J383=0,$I383=0,$I383&gt;$J383),"",$J383-$I383)</f>
        <v/>
      </c>
      <c r="Y383" s="381">
        <f>IF(OR($A383="",$U383="Subscription",$J383="",$J383=0,$X383=""),"",$X383/$J383)</f>
        <v/>
      </c>
    </row>
    <row r="384" ht="21" customHeight="1" s="270">
      <c r="A384" s="297" t="n"/>
      <c r="B384" s="298" t="n"/>
      <c r="C384" s="298" t="n"/>
      <c r="D384" s="297" t="n"/>
      <c r="E384" s="349" t="n"/>
      <c r="F384" s="349" t="n"/>
      <c r="G384" s="349" t="n"/>
      <c r="H384" s="349" t="n"/>
      <c r="I384" s="382" t="n"/>
      <c r="J384" s="383" t="n"/>
      <c r="K384" s="351" t="n"/>
      <c r="L384" s="296" t="n"/>
      <c r="M384" s="349" t="n"/>
      <c r="N384" s="349">
        <f>IF($A384="","",IF(OR(LOWER($D384&amp;"")="n/a",ISNUMBER(SEARCH("subscription",LOWER($A384&amp;" "&amp;$M384&amp;""))),ISNUMBER(SEARCH("membership",LOWER($A384&amp;" "&amp;$M384&amp;"")))),"",IF($G384="","",IF(ISNUMBER(SEARCH("non",LOWER($E384&amp;""))),$G384*0.85,$G384))))</f>
        <v/>
      </c>
      <c r="O384" s="349">
        <f>IF($A384="","",IF(OR(LOWER($D384&amp;"")="n/a",ISNUMBER(SEARCH("subscription",LOWER($A384&amp;" "&amp;$M384&amp;""))),ISNUMBER(SEARCH("membership",LOWER($A384&amp;" "&amp;$M384&amp;"")))),"",IF(OR($N384="",$I384="",$I384=0),"",$N384/$I384)))</f>
        <v/>
      </c>
      <c r="P384" s="349">
        <f>IF($A384="","",IF(OR(LOWER($D384&amp;"")="n/a",ISNUMBER(SEARCH("subscription",LOWER($A384&amp;" "&amp;$M384&amp;""))),ISNUMBER(SEARCH("membership",LOWER($A384&amp;" "&amp;$M384&amp;"")))),"",IF(LOWER($L384&amp;"")="yes",0,IF($K384&lt;&gt;"",$K384,IF($O384&lt;&gt;"",$O384,"")))))</f>
        <v/>
      </c>
      <c r="Q384" s="351">
        <f>IF($A384="","",IF($U384="Subscription","",IF($U384="Profit",$P384-$H384,0)))</f>
        <v/>
      </c>
      <c r="R384" s="349">
        <f>IF($A384="","",IF($U384="Subscription","",IF($U384="Draw",$H384,0)))</f>
        <v/>
      </c>
      <c r="S384" s="349">
        <f>IF($A384="","",IF($U384="Subscription","",IF($U384="Disqualified",$H384,0)))</f>
        <v/>
      </c>
      <c r="T384" s="380">
        <f>IF($A384="","",IF($U384="Subscription","",IF($H384=0,IF($U384="Profit","N/A",0),IF($U384="Profit",$Q384/$H384,IF($U384="Disqualified",-1,0)))))</f>
        <v/>
      </c>
      <c r="U384" s="351">
        <f>IF($A384="","",IF(OR(LOWER($D384&amp;"")="n/a",ISNUMBER(SEARCH("subscription",LOWER($A384&amp;" "&amp;$M384&amp;""))),ISNUMBER(SEARCH("membership",LOWER($A384&amp;" "&amp;$M384&amp;"")))),"Subscription",IF(LOWER($L384&amp;"")="yes","Disqualified",IF($P384&gt;$H384,"Profit","Draw"))))</f>
        <v/>
      </c>
      <c r="V384" s="383">
        <f>IF(OR($A384="",$B384="",$C384="",$U384="Subscription"),"",IFERROR(ROUNDUP((IF(ISNUMBER($C384),$C384,DATEVALUE($C384))-IF(ISNUMBER($B384),$B384,DATEVALUE($B384)))/7,0),""))</f>
        <v/>
      </c>
      <c r="W384" s="351">
        <f>IF($U384="Subscription","",$Q384-$S384)</f>
        <v/>
      </c>
      <c r="X384" s="384">
        <f>IF(OR($A384="",$U384="Subscription",$J384="",$I384="",$J384=0,$I384=0,$I384&gt;$J384),"",$J384-$I384)</f>
        <v/>
      </c>
      <c r="Y384" s="381">
        <f>IF(OR($A384="",$U384="Subscription",$J384="",$J384=0,$X384=""),"",$X384/$J384)</f>
        <v/>
      </c>
    </row>
    <row r="385" ht="21" customHeight="1" s="270">
      <c r="A385" s="297" t="n"/>
      <c r="B385" s="298" t="n"/>
      <c r="C385" s="298" t="n"/>
      <c r="D385" s="297" t="n"/>
      <c r="E385" s="349" t="n"/>
      <c r="F385" s="349" t="n"/>
      <c r="G385" s="349" t="n"/>
      <c r="H385" s="349" t="n"/>
      <c r="I385" s="382" t="n"/>
      <c r="J385" s="383" t="n"/>
      <c r="K385" s="351" t="n"/>
      <c r="L385" s="296" t="n"/>
      <c r="M385" s="349" t="n"/>
      <c r="N385" s="349">
        <f>IF($A385="","",IF(OR(LOWER($D385&amp;"")="n/a",ISNUMBER(SEARCH("subscription",LOWER($A385&amp;" "&amp;$M385&amp;""))),ISNUMBER(SEARCH("membership",LOWER($A385&amp;" "&amp;$M385&amp;"")))),"",IF($G385="","",IF(ISNUMBER(SEARCH("non",LOWER($E385&amp;""))),$G385*0.85,$G385))))</f>
        <v/>
      </c>
      <c r="O385" s="349">
        <f>IF($A385="","",IF(OR(LOWER($D385&amp;"")="n/a",ISNUMBER(SEARCH("subscription",LOWER($A385&amp;" "&amp;$M385&amp;""))),ISNUMBER(SEARCH("membership",LOWER($A385&amp;" "&amp;$M385&amp;"")))),"",IF(OR($N385="",$I385="",$I385=0),"",$N385/$I385)))</f>
        <v/>
      </c>
      <c r="P385" s="349">
        <f>IF($A385="","",IF(OR(LOWER($D385&amp;"")="n/a",ISNUMBER(SEARCH("subscription",LOWER($A385&amp;" "&amp;$M385&amp;""))),ISNUMBER(SEARCH("membership",LOWER($A385&amp;" "&amp;$M385&amp;"")))),"",IF(LOWER($L385&amp;"")="yes",0,IF($K385&lt;&gt;"",$K385,IF($O385&lt;&gt;"",$O385,"")))))</f>
        <v/>
      </c>
      <c r="Q385" s="351">
        <f>IF($A385="","",IF($U385="Subscription","",IF($U385="Profit",$P385-$H385,0)))</f>
        <v/>
      </c>
      <c r="R385" s="349">
        <f>IF($A385="","",IF($U385="Subscription","",IF($U385="Draw",$H385,0)))</f>
        <v/>
      </c>
      <c r="S385" s="349">
        <f>IF($A385="","",IF($U385="Subscription","",IF($U385="Disqualified",$H385,0)))</f>
        <v/>
      </c>
      <c r="T385" s="380">
        <f>IF($A385="","",IF($U385="Subscription","",IF($H385=0,IF($U385="Profit","N/A",0),IF($U385="Profit",$Q385/$H385,IF($U385="Disqualified",-1,0)))))</f>
        <v/>
      </c>
      <c r="U385" s="351">
        <f>IF($A385="","",IF(OR(LOWER($D385&amp;"")="n/a",ISNUMBER(SEARCH("subscription",LOWER($A385&amp;" "&amp;$M385&amp;""))),ISNUMBER(SEARCH("membership",LOWER($A385&amp;" "&amp;$M385&amp;"")))),"Subscription",IF(LOWER($L385&amp;"")="yes","Disqualified",IF($P385&gt;$H385,"Profit","Draw"))))</f>
        <v/>
      </c>
      <c r="V385" s="383">
        <f>IF(OR($A385="",$B385="",$C385="",$U385="Subscription"),"",IFERROR(ROUNDUP((IF(ISNUMBER($C385),$C385,DATEVALUE($C385))-IF(ISNUMBER($B385),$B385,DATEVALUE($B385)))/7,0),""))</f>
        <v/>
      </c>
      <c r="W385" s="351">
        <f>IF($U385="Subscription","",$Q385-$S385)</f>
        <v/>
      </c>
      <c r="X385" s="384">
        <f>IF(OR($A385="",$U385="Subscription",$J385="",$I385="",$J385=0,$I385=0,$I385&gt;$J385),"",$J385-$I385)</f>
        <v/>
      </c>
      <c r="Y385" s="381">
        <f>IF(OR($A385="",$U385="Subscription",$J385="",$J385=0,$X385=""),"",$X385/$J385)</f>
        <v/>
      </c>
    </row>
    <row r="386" ht="21" customHeight="1" s="270">
      <c r="A386" s="297" t="n"/>
      <c r="B386" s="298" t="n"/>
      <c r="C386" s="298" t="n"/>
      <c r="D386" s="297" t="n"/>
      <c r="E386" s="349" t="n"/>
      <c r="F386" s="349" t="n"/>
      <c r="G386" s="349" t="n"/>
      <c r="H386" s="349" t="n"/>
      <c r="I386" s="382" t="n"/>
      <c r="J386" s="383" t="n"/>
      <c r="K386" s="351" t="n"/>
      <c r="L386" s="296" t="n"/>
      <c r="M386" s="349" t="n"/>
      <c r="N386" s="349">
        <f>IF($A386="","",IF(OR(LOWER($D386&amp;"")="n/a",ISNUMBER(SEARCH("subscription",LOWER($A386&amp;" "&amp;$M386&amp;""))),ISNUMBER(SEARCH("membership",LOWER($A386&amp;" "&amp;$M386&amp;"")))),"",IF($G386="","",IF(ISNUMBER(SEARCH("non",LOWER($E386&amp;""))),$G386*0.85,$G386))))</f>
        <v/>
      </c>
      <c r="O386" s="349">
        <f>IF($A386="","",IF(OR(LOWER($D386&amp;"")="n/a",ISNUMBER(SEARCH("subscription",LOWER($A386&amp;" "&amp;$M386&amp;""))),ISNUMBER(SEARCH("membership",LOWER($A386&amp;" "&amp;$M386&amp;"")))),"",IF(OR($N386="",$I386="",$I386=0),"",$N386/$I386)))</f>
        <v/>
      </c>
      <c r="P386" s="349">
        <f>IF($A386="","",IF(OR(LOWER($D386&amp;"")="n/a",ISNUMBER(SEARCH("subscription",LOWER($A386&amp;" "&amp;$M386&amp;""))),ISNUMBER(SEARCH("membership",LOWER($A386&amp;" "&amp;$M386&amp;"")))),"",IF(LOWER($L386&amp;"")="yes",0,IF($K386&lt;&gt;"",$K386,IF($O386&lt;&gt;"",$O386,"")))))</f>
        <v/>
      </c>
      <c r="Q386" s="351">
        <f>IF($A386="","",IF($U386="Subscription","",IF($U386="Profit",$P386-$H386,0)))</f>
        <v/>
      </c>
      <c r="R386" s="349">
        <f>IF($A386="","",IF($U386="Subscription","",IF($U386="Draw",$H386,0)))</f>
        <v/>
      </c>
      <c r="S386" s="349">
        <f>IF($A386="","",IF($U386="Subscription","",IF($U386="Disqualified",$H386,0)))</f>
        <v/>
      </c>
      <c r="T386" s="380">
        <f>IF($A386="","",IF($U386="Subscription","",IF($H386=0,IF($U386="Profit","N/A",0),IF($U386="Profit",$Q386/$H386,IF($U386="Disqualified",-1,0)))))</f>
        <v/>
      </c>
      <c r="U386" s="351">
        <f>IF($A386="","",IF(OR(LOWER($D386&amp;"")="n/a",ISNUMBER(SEARCH("subscription",LOWER($A386&amp;" "&amp;$M386&amp;""))),ISNUMBER(SEARCH("membership",LOWER($A386&amp;" "&amp;$M386&amp;"")))),"Subscription",IF(LOWER($L386&amp;"")="yes","Disqualified",IF($P386&gt;$H386,"Profit","Draw"))))</f>
        <v/>
      </c>
      <c r="V386" s="383">
        <f>IF(OR($A386="",$B386="",$C386="",$U386="Subscription"),"",IFERROR(ROUNDUP((IF(ISNUMBER($C386),$C386,DATEVALUE($C386))-IF(ISNUMBER($B386),$B386,DATEVALUE($B386)))/7,0),""))</f>
        <v/>
      </c>
      <c r="W386" s="351">
        <f>IF($U386="Subscription","",$Q386-$S386)</f>
        <v/>
      </c>
      <c r="X386" s="384">
        <f>IF(OR($A386="",$U386="Subscription",$J386="",$I386="",$J386=0,$I386=0,$I386&gt;$J386),"",$J386-$I386)</f>
        <v/>
      </c>
      <c r="Y386" s="381">
        <f>IF(OR($A386="",$U386="Subscription",$J386="",$J386=0,$X386=""),"",$X386/$J386)</f>
        <v/>
      </c>
    </row>
    <row r="387" ht="21" customHeight="1" s="270">
      <c r="A387" s="297" t="n"/>
      <c r="B387" s="298" t="n"/>
      <c r="C387" s="298" t="n"/>
      <c r="D387" s="297" t="n"/>
      <c r="E387" s="349" t="n"/>
      <c r="F387" s="349" t="n"/>
      <c r="G387" s="349" t="n"/>
      <c r="H387" s="349" t="n"/>
      <c r="I387" s="382" t="n"/>
      <c r="J387" s="383" t="n"/>
      <c r="K387" s="351" t="n"/>
      <c r="L387" s="296" t="n"/>
      <c r="M387" s="349" t="n"/>
      <c r="N387" s="349">
        <f>IF($A387="","",IF(OR(LOWER($D387&amp;"")="n/a",ISNUMBER(SEARCH("subscription",LOWER($A387&amp;" "&amp;$M387&amp;""))),ISNUMBER(SEARCH("membership",LOWER($A387&amp;" "&amp;$M387&amp;"")))),"",IF($G387="","",IF(ISNUMBER(SEARCH("non",LOWER($E387&amp;""))),$G387*0.85,$G387))))</f>
        <v/>
      </c>
      <c r="O387" s="349">
        <f>IF($A387="","",IF(OR(LOWER($D387&amp;"")="n/a",ISNUMBER(SEARCH("subscription",LOWER($A387&amp;" "&amp;$M387&amp;""))),ISNUMBER(SEARCH("membership",LOWER($A387&amp;" "&amp;$M387&amp;"")))),"",IF(OR($N387="",$I387="",$I387=0),"",$N387/$I387)))</f>
        <v/>
      </c>
      <c r="P387" s="349">
        <f>IF($A387="","",IF(OR(LOWER($D387&amp;"")="n/a",ISNUMBER(SEARCH("subscription",LOWER($A387&amp;" "&amp;$M387&amp;""))),ISNUMBER(SEARCH("membership",LOWER($A387&amp;" "&amp;$M387&amp;"")))),"",IF(LOWER($L387&amp;"")="yes",0,IF($K387&lt;&gt;"",$K387,IF($O387&lt;&gt;"",$O387,"")))))</f>
        <v/>
      </c>
      <c r="Q387" s="351">
        <f>IF($A387="","",IF($U387="Subscription","",IF($U387="Profit",$P387-$H387,0)))</f>
        <v/>
      </c>
      <c r="R387" s="349">
        <f>IF($A387="","",IF($U387="Subscription","",IF($U387="Draw",$H387,0)))</f>
        <v/>
      </c>
      <c r="S387" s="349">
        <f>IF($A387="","",IF($U387="Subscription","",IF($U387="Disqualified",$H387,0)))</f>
        <v/>
      </c>
      <c r="T387" s="380">
        <f>IF($A387="","",IF($U387="Subscription","",IF($H387=0,IF($U387="Profit","N/A",0),IF($U387="Profit",$Q387/$H387,IF($U387="Disqualified",-1,0)))))</f>
        <v/>
      </c>
      <c r="U387" s="351">
        <f>IF($A387="","",IF(OR(LOWER($D387&amp;"")="n/a",ISNUMBER(SEARCH("subscription",LOWER($A387&amp;" "&amp;$M387&amp;""))),ISNUMBER(SEARCH("membership",LOWER($A387&amp;" "&amp;$M387&amp;"")))),"Subscription",IF(LOWER($L387&amp;"")="yes","Disqualified",IF($P387&gt;$H387,"Profit","Draw"))))</f>
        <v/>
      </c>
      <c r="V387" s="383">
        <f>IF(OR($A387="",$B387="",$C387="",$U387="Subscription"),"",IFERROR(ROUNDUP((IF(ISNUMBER($C387),$C387,DATEVALUE($C387))-IF(ISNUMBER($B387),$B387,DATEVALUE($B387)))/7,0),""))</f>
        <v/>
      </c>
      <c r="W387" s="351">
        <f>IF($U387="Subscription","",$Q387-$S387)</f>
        <v/>
      </c>
      <c r="X387" s="384">
        <f>IF(OR($A387="",$U387="Subscription",$J387="",$I387="",$J387=0,$I387=0,$I387&gt;$J387),"",$J387-$I387)</f>
        <v/>
      </c>
      <c r="Y387" s="381">
        <f>IF(OR($A387="",$U387="Subscription",$J387="",$J387=0,$X387=""),"",$X387/$J387)</f>
        <v/>
      </c>
    </row>
    <row r="388" ht="21" customHeight="1" s="270">
      <c r="A388" s="297" t="n"/>
      <c r="B388" s="298" t="n"/>
      <c r="C388" s="298" t="n"/>
      <c r="D388" s="297" t="n"/>
      <c r="E388" s="349" t="n"/>
      <c r="F388" s="349" t="n"/>
      <c r="G388" s="349" t="n"/>
      <c r="H388" s="349" t="n"/>
      <c r="I388" s="382" t="n"/>
      <c r="J388" s="383" t="n"/>
      <c r="K388" s="351" t="n"/>
      <c r="L388" s="296" t="n"/>
      <c r="M388" s="349" t="n"/>
      <c r="N388" s="349">
        <f>IF($A388="","",IF(OR(LOWER($D388&amp;"")="n/a",ISNUMBER(SEARCH("subscription",LOWER($A388&amp;" "&amp;$M388&amp;""))),ISNUMBER(SEARCH("membership",LOWER($A388&amp;" "&amp;$M388&amp;"")))),"",IF($G388="","",IF(ISNUMBER(SEARCH("non",LOWER($E388&amp;""))),$G388*0.85,$G388))))</f>
        <v/>
      </c>
      <c r="O388" s="349">
        <f>IF($A388="","",IF(OR(LOWER($D388&amp;"")="n/a",ISNUMBER(SEARCH("subscription",LOWER($A388&amp;" "&amp;$M388&amp;""))),ISNUMBER(SEARCH("membership",LOWER($A388&amp;" "&amp;$M388&amp;"")))),"",IF(OR($N388="",$I388="",$I388=0),"",$N388/$I388)))</f>
        <v/>
      </c>
      <c r="P388" s="349">
        <f>IF($A388="","",IF(OR(LOWER($D388&amp;"")="n/a",ISNUMBER(SEARCH("subscription",LOWER($A388&amp;" "&amp;$M388&amp;""))),ISNUMBER(SEARCH("membership",LOWER($A388&amp;" "&amp;$M388&amp;"")))),"",IF(LOWER($L388&amp;"")="yes",0,IF($K388&lt;&gt;"",$K388,IF($O388&lt;&gt;"",$O388,"")))))</f>
        <v/>
      </c>
      <c r="Q388" s="351">
        <f>IF($A388="","",IF($U388="Subscription","",IF($U388="Profit",$P388-$H388,0)))</f>
        <v/>
      </c>
      <c r="R388" s="349">
        <f>IF($A388="","",IF($U388="Subscription","",IF($U388="Draw",$H388,0)))</f>
        <v/>
      </c>
      <c r="S388" s="349">
        <f>IF($A388="","",IF($U388="Subscription","",IF($U388="Disqualified",$H388,0)))</f>
        <v/>
      </c>
      <c r="T388" s="380">
        <f>IF($A388="","",IF($U388="Subscription","",IF($H388=0,IF($U388="Profit","N/A",0),IF($U388="Profit",$Q388/$H388,IF($U388="Disqualified",-1,0)))))</f>
        <v/>
      </c>
      <c r="U388" s="351">
        <f>IF($A388="","",IF(OR(LOWER($D388&amp;"")="n/a",ISNUMBER(SEARCH("subscription",LOWER($A388&amp;" "&amp;$M388&amp;""))),ISNUMBER(SEARCH("membership",LOWER($A388&amp;" "&amp;$M388&amp;"")))),"Subscription",IF(LOWER($L388&amp;"")="yes","Disqualified",IF($P388&gt;$H388,"Profit","Draw"))))</f>
        <v/>
      </c>
      <c r="V388" s="383">
        <f>IF(OR($A388="",$B388="",$C388="",$U388="Subscription"),"",IFERROR(ROUNDUP((IF(ISNUMBER($C388),$C388,DATEVALUE($C388))-IF(ISNUMBER($B388),$B388,DATEVALUE($B388)))/7,0),""))</f>
        <v/>
      </c>
      <c r="W388" s="351">
        <f>IF($U388="Subscription","",$Q388-$S388)</f>
        <v/>
      </c>
      <c r="X388" s="384">
        <f>IF(OR($A388="",$U388="Subscription",$J388="",$I388="",$J388=0,$I388=0,$I388&gt;$J388),"",$J388-$I388)</f>
        <v/>
      </c>
      <c r="Y388" s="381">
        <f>IF(OR($A388="",$U388="Subscription",$J388="",$J388=0,$X388=""),"",$X388/$J388)</f>
        <v/>
      </c>
    </row>
    <row r="389" ht="21" customHeight="1" s="270">
      <c r="A389" s="297" t="n"/>
      <c r="B389" s="298" t="n"/>
      <c r="C389" s="298" t="n"/>
      <c r="D389" s="297" t="n"/>
      <c r="E389" s="349" t="n"/>
      <c r="F389" s="349" t="n"/>
      <c r="G389" s="349" t="n"/>
      <c r="H389" s="349" t="n"/>
      <c r="I389" s="382" t="n"/>
      <c r="J389" s="383" t="n"/>
      <c r="K389" s="351" t="n"/>
      <c r="L389" s="296" t="n"/>
      <c r="M389" s="349" t="n"/>
      <c r="N389" s="349">
        <f>IF($A389="","",IF(OR(LOWER($D389&amp;"")="n/a",ISNUMBER(SEARCH("subscription",LOWER($A389&amp;" "&amp;$M389&amp;""))),ISNUMBER(SEARCH("membership",LOWER($A389&amp;" "&amp;$M389&amp;"")))),"",IF($G389="","",IF(ISNUMBER(SEARCH("non",LOWER($E389&amp;""))),$G389*0.85,$G389))))</f>
        <v/>
      </c>
      <c r="O389" s="349">
        <f>IF($A389="","",IF(OR(LOWER($D389&amp;"")="n/a",ISNUMBER(SEARCH("subscription",LOWER($A389&amp;" "&amp;$M389&amp;""))),ISNUMBER(SEARCH("membership",LOWER($A389&amp;" "&amp;$M389&amp;"")))),"",IF(OR($N389="",$I389="",$I389=0),"",$N389/$I389)))</f>
        <v/>
      </c>
      <c r="P389" s="349">
        <f>IF($A389="","",IF(OR(LOWER($D389&amp;"")="n/a",ISNUMBER(SEARCH("subscription",LOWER($A389&amp;" "&amp;$M389&amp;""))),ISNUMBER(SEARCH("membership",LOWER($A389&amp;" "&amp;$M389&amp;"")))),"",IF(LOWER($L389&amp;"")="yes",0,IF($K389&lt;&gt;"",$K389,IF($O389&lt;&gt;"",$O389,"")))))</f>
        <v/>
      </c>
      <c r="Q389" s="351">
        <f>IF($A389="","",IF($U389="Subscription","",IF($U389="Profit",$P389-$H389,0)))</f>
        <v/>
      </c>
      <c r="R389" s="349">
        <f>IF($A389="","",IF($U389="Subscription","",IF($U389="Draw",$H389,0)))</f>
        <v/>
      </c>
      <c r="S389" s="349">
        <f>IF($A389="","",IF($U389="Subscription","",IF($U389="Disqualified",$H389,0)))</f>
        <v/>
      </c>
      <c r="T389" s="380">
        <f>IF($A389="","",IF($U389="Subscription","",IF($H389=0,IF($U389="Profit","N/A",0),IF($U389="Profit",$Q389/$H389,IF($U389="Disqualified",-1,0)))))</f>
        <v/>
      </c>
      <c r="U389" s="351">
        <f>IF($A389="","",IF(OR(LOWER($D389&amp;"")="n/a",ISNUMBER(SEARCH("subscription",LOWER($A389&amp;" "&amp;$M389&amp;""))),ISNUMBER(SEARCH("membership",LOWER($A389&amp;" "&amp;$M389&amp;"")))),"Subscription",IF(LOWER($L389&amp;"")="yes","Disqualified",IF($P389&gt;$H389,"Profit","Draw"))))</f>
        <v/>
      </c>
      <c r="V389" s="383">
        <f>IF(OR($A389="",$B389="",$C389="",$U389="Subscription"),"",IFERROR(ROUNDUP((IF(ISNUMBER($C389),$C389,DATEVALUE($C389))-IF(ISNUMBER($B389),$B389,DATEVALUE($B389)))/7,0),""))</f>
        <v/>
      </c>
      <c r="W389" s="351">
        <f>IF($U389="Subscription","",$Q389-$S389)</f>
        <v/>
      </c>
      <c r="X389" s="384">
        <f>IF(OR($A389="",$U389="Subscription",$J389="",$I389="",$J389=0,$I389=0,$I389&gt;$J389),"",$J389-$I389)</f>
        <v/>
      </c>
      <c r="Y389" s="381">
        <f>IF(OR($A389="",$U389="Subscription",$J389="",$J389=0,$X389=""),"",$X389/$J389)</f>
        <v/>
      </c>
    </row>
    <row r="390" ht="21" customHeight="1" s="270">
      <c r="A390" s="297" t="n"/>
      <c r="B390" s="298" t="n"/>
      <c r="C390" s="298" t="n"/>
      <c r="D390" s="297" t="n"/>
      <c r="E390" s="349" t="n"/>
      <c r="F390" s="349" t="n"/>
      <c r="G390" s="349" t="n"/>
      <c r="H390" s="349" t="n"/>
      <c r="I390" s="382" t="n"/>
      <c r="J390" s="383" t="n"/>
      <c r="K390" s="351" t="n"/>
      <c r="L390" s="296" t="n"/>
      <c r="M390" s="349" t="n"/>
      <c r="N390" s="349">
        <f>IF($A390="","",IF(OR(LOWER($D390&amp;"")="n/a",ISNUMBER(SEARCH("subscription",LOWER($A390&amp;" "&amp;$M390&amp;""))),ISNUMBER(SEARCH("membership",LOWER($A390&amp;" "&amp;$M390&amp;"")))),"",IF($G390="","",IF(ISNUMBER(SEARCH("non",LOWER($E390&amp;""))),$G390*0.85,$G390))))</f>
        <v/>
      </c>
      <c r="O390" s="349">
        <f>IF($A390="","",IF(OR(LOWER($D390&amp;"")="n/a",ISNUMBER(SEARCH("subscription",LOWER($A390&amp;" "&amp;$M390&amp;""))),ISNUMBER(SEARCH("membership",LOWER($A390&amp;" "&amp;$M390&amp;"")))),"",IF(OR($N390="",$I390="",$I390=0),"",$N390/$I390)))</f>
        <v/>
      </c>
      <c r="P390" s="349">
        <f>IF($A390="","",IF(OR(LOWER($D390&amp;"")="n/a",ISNUMBER(SEARCH("subscription",LOWER($A390&amp;" "&amp;$M390&amp;""))),ISNUMBER(SEARCH("membership",LOWER($A390&amp;" "&amp;$M390&amp;"")))),"",IF(LOWER($L390&amp;"")="yes",0,IF($K390&lt;&gt;"",$K390,IF($O390&lt;&gt;"",$O390,"")))))</f>
        <v/>
      </c>
      <c r="Q390" s="351">
        <f>IF($A390="","",IF($U390="Subscription","",IF($U390="Profit",$P390-$H390,0)))</f>
        <v/>
      </c>
      <c r="R390" s="349">
        <f>IF($A390="","",IF($U390="Subscription","",IF($U390="Draw",$H390,0)))</f>
        <v/>
      </c>
      <c r="S390" s="349">
        <f>IF($A390="","",IF($U390="Subscription","",IF($U390="Disqualified",$H390,0)))</f>
        <v/>
      </c>
      <c r="T390" s="380">
        <f>IF($A390="","",IF($U390="Subscription","",IF($H390=0,IF($U390="Profit","N/A",0),IF($U390="Profit",$Q390/$H390,IF($U390="Disqualified",-1,0)))))</f>
        <v/>
      </c>
      <c r="U390" s="351">
        <f>IF($A390="","",IF(OR(LOWER($D390&amp;"")="n/a",ISNUMBER(SEARCH("subscription",LOWER($A390&amp;" "&amp;$M390&amp;""))),ISNUMBER(SEARCH("membership",LOWER($A390&amp;" "&amp;$M390&amp;"")))),"Subscription",IF(LOWER($L390&amp;"")="yes","Disqualified",IF($P390&gt;$H390,"Profit","Draw"))))</f>
        <v/>
      </c>
      <c r="V390" s="383">
        <f>IF(OR($A390="",$B390="",$C390="",$U390="Subscription"),"",IFERROR(ROUNDUP((IF(ISNUMBER($C390),$C390,DATEVALUE($C390))-IF(ISNUMBER($B390),$B390,DATEVALUE($B390)))/7,0),""))</f>
        <v/>
      </c>
      <c r="W390" s="351">
        <f>IF($U390="Subscription","",$Q390-$S390)</f>
        <v/>
      </c>
      <c r="X390" s="384">
        <f>IF(OR($A390="",$U390="Subscription",$J390="",$I390="",$J390=0,$I390=0,$I390&gt;$J390),"",$J390-$I390)</f>
        <v/>
      </c>
      <c r="Y390" s="381">
        <f>IF(OR($A390="",$U390="Subscription",$J390="",$J390=0,$X390=""),"",$X390/$J390)</f>
        <v/>
      </c>
    </row>
    <row r="391" ht="21" customHeight="1" s="270">
      <c r="A391" s="297" t="n"/>
      <c r="B391" s="298" t="n"/>
      <c r="C391" s="298" t="n"/>
      <c r="D391" s="297" t="n"/>
      <c r="E391" s="349" t="n"/>
      <c r="F391" s="349" t="n"/>
      <c r="G391" s="349" t="n"/>
      <c r="H391" s="349" t="n"/>
      <c r="I391" s="382" t="n"/>
      <c r="J391" s="383" t="n"/>
      <c r="K391" s="351" t="n"/>
      <c r="L391" s="296" t="n"/>
      <c r="M391" s="349" t="n"/>
      <c r="N391" s="349">
        <f>IF($A391="","",IF(OR(LOWER($D391&amp;"")="n/a",ISNUMBER(SEARCH("subscription",LOWER($A391&amp;" "&amp;$M391&amp;""))),ISNUMBER(SEARCH("membership",LOWER($A391&amp;" "&amp;$M391&amp;"")))),"",IF($G391="","",IF(ISNUMBER(SEARCH("non",LOWER($E391&amp;""))),$G391*0.85,$G391))))</f>
        <v/>
      </c>
      <c r="O391" s="349">
        <f>IF($A391="","",IF(OR(LOWER($D391&amp;"")="n/a",ISNUMBER(SEARCH("subscription",LOWER($A391&amp;" "&amp;$M391&amp;""))),ISNUMBER(SEARCH("membership",LOWER($A391&amp;" "&amp;$M391&amp;"")))),"",IF(OR($N391="",$I391="",$I391=0),"",$N391/$I391)))</f>
        <v/>
      </c>
      <c r="P391" s="349">
        <f>IF($A391="","",IF(OR(LOWER($D391&amp;"")="n/a",ISNUMBER(SEARCH("subscription",LOWER($A391&amp;" "&amp;$M391&amp;""))),ISNUMBER(SEARCH("membership",LOWER($A391&amp;" "&amp;$M391&amp;"")))),"",IF(LOWER($L391&amp;"")="yes",0,IF($K391&lt;&gt;"",$K391,IF($O391&lt;&gt;"",$O391,"")))))</f>
        <v/>
      </c>
      <c r="Q391" s="351">
        <f>IF($A391="","",IF($U391="Subscription","",IF($U391="Profit",$P391-$H391,0)))</f>
        <v/>
      </c>
      <c r="R391" s="349">
        <f>IF($A391="","",IF($U391="Subscription","",IF($U391="Draw",$H391,0)))</f>
        <v/>
      </c>
      <c r="S391" s="349">
        <f>IF($A391="","",IF($U391="Subscription","",IF($U391="Disqualified",$H391,0)))</f>
        <v/>
      </c>
      <c r="T391" s="380">
        <f>IF($A391="","",IF($U391="Subscription","",IF($H391=0,IF($U391="Profit","N/A",0),IF($U391="Profit",$Q391/$H391,IF($U391="Disqualified",-1,0)))))</f>
        <v/>
      </c>
      <c r="U391" s="351">
        <f>IF($A391="","",IF(OR(LOWER($D391&amp;"")="n/a",ISNUMBER(SEARCH("subscription",LOWER($A391&amp;" "&amp;$M391&amp;""))),ISNUMBER(SEARCH("membership",LOWER($A391&amp;" "&amp;$M391&amp;"")))),"Subscription",IF(LOWER($L391&amp;"")="yes","Disqualified",IF($P391&gt;$H391,"Profit","Draw"))))</f>
        <v/>
      </c>
      <c r="V391" s="383">
        <f>IF(OR($A391="",$B391="",$C391="",$U391="Subscription"),"",IFERROR(ROUNDUP((IF(ISNUMBER($C391),$C391,DATEVALUE($C391))-IF(ISNUMBER($B391),$B391,DATEVALUE($B391)))/7,0),""))</f>
        <v/>
      </c>
      <c r="W391" s="351">
        <f>IF($U391="Subscription","",$Q391-$S391)</f>
        <v/>
      </c>
      <c r="X391" s="384">
        <f>IF(OR($A391="",$U391="Subscription",$J391="",$I391="",$J391=0,$I391=0,$I391&gt;$J391),"",$J391-$I391)</f>
        <v/>
      </c>
      <c r="Y391" s="381">
        <f>IF(OR($A391="",$U391="Subscription",$J391="",$J391=0,$X391=""),"",$X391/$J391)</f>
        <v/>
      </c>
    </row>
    <row r="392" ht="21" customHeight="1" s="270">
      <c r="A392" s="297" t="n"/>
      <c r="B392" s="298" t="n"/>
      <c r="C392" s="298" t="n"/>
      <c r="D392" s="297" t="n"/>
      <c r="E392" s="349" t="n"/>
      <c r="F392" s="349" t="n"/>
      <c r="G392" s="349" t="n"/>
      <c r="H392" s="349" t="n"/>
      <c r="I392" s="382" t="n"/>
      <c r="J392" s="383" t="n"/>
      <c r="K392" s="351" t="n"/>
      <c r="L392" s="296" t="n"/>
      <c r="M392" s="349" t="n"/>
      <c r="N392" s="349">
        <f>IF($A392="","",IF(OR(LOWER($D392&amp;"")="n/a",ISNUMBER(SEARCH("subscription",LOWER($A392&amp;" "&amp;$M392&amp;""))),ISNUMBER(SEARCH("membership",LOWER($A392&amp;" "&amp;$M392&amp;"")))),"",IF($G392="","",IF(ISNUMBER(SEARCH("non",LOWER($E392&amp;""))),$G392*0.85,$G392))))</f>
        <v/>
      </c>
      <c r="O392" s="349">
        <f>IF($A392="","",IF(OR(LOWER($D392&amp;"")="n/a",ISNUMBER(SEARCH("subscription",LOWER($A392&amp;" "&amp;$M392&amp;""))),ISNUMBER(SEARCH("membership",LOWER($A392&amp;" "&amp;$M392&amp;"")))),"",IF(OR($N392="",$I392="",$I392=0),"",$N392/$I392)))</f>
        <v/>
      </c>
      <c r="P392" s="349">
        <f>IF($A392="","",IF(OR(LOWER($D392&amp;"")="n/a",ISNUMBER(SEARCH("subscription",LOWER($A392&amp;" "&amp;$M392&amp;""))),ISNUMBER(SEARCH("membership",LOWER($A392&amp;" "&amp;$M392&amp;"")))),"",IF(LOWER($L392&amp;"")="yes",0,IF($K392&lt;&gt;"",$K392,IF($O392&lt;&gt;"",$O392,"")))))</f>
        <v/>
      </c>
      <c r="Q392" s="351">
        <f>IF($A392="","",IF($U392="Subscription","",IF($U392="Profit",$P392-$H392,0)))</f>
        <v/>
      </c>
      <c r="R392" s="349">
        <f>IF($A392="","",IF($U392="Subscription","",IF($U392="Draw",$H392,0)))</f>
        <v/>
      </c>
      <c r="S392" s="349">
        <f>IF($A392="","",IF($U392="Subscription","",IF($U392="Disqualified",$H392,0)))</f>
        <v/>
      </c>
      <c r="T392" s="380">
        <f>IF($A392="","",IF($U392="Subscription","",IF($H392=0,IF($U392="Profit","N/A",0),IF($U392="Profit",$Q392/$H392,IF($U392="Disqualified",-1,0)))))</f>
        <v/>
      </c>
      <c r="U392" s="351">
        <f>IF($A392="","",IF(OR(LOWER($D392&amp;"")="n/a",ISNUMBER(SEARCH("subscription",LOWER($A392&amp;" "&amp;$M392&amp;""))),ISNUMBER(SEARCH("membership",LOWER($A392&amp;" "&amp;$M392&amp;"")))),"Subscription",IF(LOWER($L392&amp;"")="yes","Disqualified",IF($P392&gt;$H392,"Profit","Draw"))))</f>
        <v/>
      </c>
      <c r="V392" s="383">
        <f>IF(OR($A392="",$B392="",$C392="",$U392="Subscription"),"",IFERROR(ROUNDUP((IF(ISNUMBER($C392),$C392,DATEVALUE($C392))-IF(ISNUMBER($B392),$B392,DATEVALUE($B392)))/7,0),""))</f>
        <v/>
      </c>
      <c r="W392" s="351">
        <f>IF($U392="Subscription","",$Q392-$S392)</f>
        <v/>
      </c>
      <c r="X392" s="384">
        <f>IF(OR($A392="",$U392="Subscription",$J392="",$I392="",$J392=0,$I392=0,$I392&gt;$J392),"",$J392-$I392)</f>
        <v/>
      </c>
      <c r="Y392" s="381">
        <f>IF(OR($A392="",$U392="Subscription",$J392="",$J392=0,$X392=""),"",$X392/$J392)</f>
        <v/>
      </c>
    </row>
    <row r="393" ht="21" customHeight="1" s="270">
      <c r="A393" s="297" t="n"/>
      <c r="B393" s="298" t="n"/>
      <c r="C393" s="298" t="n"/>
      <c r="D393" s="297" t="n"/>
      <c r="E393" s="349" t="n"/>
      <c r="F393" s="349" t="n"/>
      <c r="G393" s="349" t="n"/>
      <c r="H393" s="349" t="n"/>
      <c r="I393" s="382" t="n"/>
      <c r="J393" s="383" t="n"/>
      <c r="K393" s="351" t="n"/>
      <c r="L393" s="296" t="n"/>
      <c r="M393" s="349" t="n"/>
      <c r="N393" s="349">
        <f>IF($A393="","",IF(OR(LOWER($D393&amp;"")="n/a",ISNUMBER(SEARCH("subscription",LOWER($A393&amp;" "&amp;$M393&amp;""))),ISNUMBER(SEARCH("membership",LOWER($A393&amp;" "&amp;$M393&amp;"")))),"",IF($G393="","",IF(ISNUMBER(SEARCH("non",LOWER($E393&amp;""))),$G393*0.85,$G393))))</f>
        <v/>
      </c>
      <c r="O393" s="349">
        <f>IF($A393="","",IF(OR(LOWER($D393&amp;"")="n/a",ISNUMBER(SEARCH("subscription",LOWER($A393&amp;" "&amp;$M393&amp;""))),ISNUMBER(SEARCH("membership",LOWER($A393&amp;" "&amp;$M393&amp;"")))),"",IF(OR($N393="",$I393="",$I393=0),"",$N393/$I393)))</f>
        <v/>
      </c>
      <c r="P393" s="349">
        <f>IF($A393="","",IF(OR(LOWER($D393&amp;"")="n/a",ISNUMBER(SEARCH("subscription",LOWER($A393&amp;" "&amp;$M393&amp;""))),ISNUMBER(SEARCH("membership",LOWER($A393&amp;" "&amp;$M393&amp;"")))),"",IF(LOWER($L393&amp;"")="yes",0,IF($K393&lt;&gt;"",$K393,IF($O393&lt;&gt;"",$O393,"")))))</f>
        <v/>
      </c>
      <c r="Q393" s="351">
        <f>IF($A393="","",IF($U393="Subscription","",IF($U393="Profit",$P393-$H393,0)))</f>
        <v/>
      </c>
      <c r="R393" s="349">
        <f>IF($A393="","",IF($U393="Subscription","",IF($U393="Draw",$H393,0)))</f>
        <v/>
      </c>
      <c r="S393" s="349">
        <f>IF($A393="","",IF($U393="Subscription","",IF($U393="Disqualified",$H393,0)))</f>
        <v/>
      </c>
      <c r="T393" s="380">
        <f>IF($A393="","",IF($U393="Subscription","",IF($H393=0,IF($U393="Profit","N/A",0),IF($U393="Profit",$Q393/$H393,IF($U393="Disqualified",-1,0)))))</f>
        <v/>
      </c>
      <c r="U393" s="351">
        <f>IF($A393="","",IF(OR(LOWER($D393&amp;"")="n/a",ISNUMBER(SEARCH("subscription",LOWER($A393&amp;" "&amp;$M393&amp;""))),ISNUMBER(SEARCH("membership",LOWER($A393&amp;" "&amp;$M393&amp;"")))),"Subscription",IF(LOWER($L393&amp;"")="yes","Disqualified",IF($P393&gt;$H393,"Profit","Draw"))))</f>
        <v/>
      </c>
      <c r="V393" s="383">
        <f>IF(OR($A393="",$B393="",$C393="",$U393="Subscription"),"",IFERROR(ROUNDUP((IF(ISNUMBER($C393),$C393,DATEVALUE($C393))-IF(ISNUMBER($B393),$B393,DATEVALUE($B393)))/7,0),""))</f>
        <v/>
      </c>
      <c r="W393" s="351">
        <f>IF($U393="Subscription","",$Q393-$S393)</f>
        <v/>
      </c>
      <c r="X393" s="384">
        <f>IF(OR($A393="",$U393="Subscription",$J393="",$I393="",$J393=0,$I393=0,$I393&gt;$J393),"",$J393-$I393)</f>
        <v/>
      </c>
      <c r="Y393" s="381">
        <f>IF(OR($A393="",$U393="Subscription",$J393="",$J393=0,$X393=""),"",$X393/$J393)</f>
        <v/>
      </c>
    </row>
    <row r="394" ht="21" customHeight="1" s="270">
      <c r="A394" s="297" t="n"/>
      <c r="B394" s="298" t="n"/>
      <c r="C394" s="298" t="n"/>
      <c r="D394" s="297" t="n"/>
      <c r="E394" s="349" t="n"/>
      <c r="F394" s="349" t="n"/>
      <c r="G394" s="349" t="n"/>
      <c r="H394" s="349" t="n"/>
      <c r="I394" s="382" t="n"/>
      <c r="J394" s="383" t="n"/>
      <c r="K394" s="351" t="n"/>
      <c r="L394" s="296" t="n"/>
      <c r="M394" s="349" t="n"/>
      <c r="N394" s="349">
        <f>IF($A394="","",IF(OR(LOWER($D394&amp;"")="n/a",ISNUMBER(SEARCH("subscription",LOWER($A394&amp;" "&amp;$M394&amp;""))),ISNUMBER(SEARCH("membership",LOWER($A394&amp;" "&amp;$M394&amp;"")))),"",IF($G394="","",IF(ISNUMBER(SEARCH("non",LOWER($E394&amp;""))),$G394*0.85,$G394))))</f>
        <v/>
      </c>
      <c r="O394" s="349">
        <f>IF($A394="","",IF(OR(LOWER($D394&amp;"")="n/a",ISNUMBER(SEARCH("subscription",LOWER($A394&amp;" "&amp;$M394&amp;""))),ISNUMBER(SEARCH("membership",LOWER($A394&amp;" "&amp;$M394&amp;"")))),"",IF(OR($N394="",$I394="",$I394=0),"",$N394/$I394)))</f>
        <v/>
      </c>
      <c r="P394" s="349">
        <f>IF($A394="","",IF(OR(LOWER($D394&amp;"")="n/a",ISNUMBER(SEARCH("subscription",LOWER($A394&amp;" "&amp;$M394&amp;""))),ISNUMBER(SEARCH("membership",LOWER($A394&amp;" "&amp;$M394&amp;"")))),"",IF(LOWER($L394&amp;"")="yes",0,IF($K394&lt;&gt;"",$K394,IF($O394&lt;&gt;"",$O394,"")))))</f>
        <v/>
      </c>
      <c r="Q394" s="351">
        <f>IF($A394="","",IF($U394="Subscription","",IF($U394="Profit",$P394-$H394,0)))</f>
        <v/>
      </c>
      <c r="R394" s="349">
        <f>IF($A394="","",IF($U394="Subscription","",IF($U394="Draw",$H394,0)))</f>
        <v/>
      </c>
      <c r="S394" s="349">
        <f>IF($A394="","",IF($U394="Subscription","",IF($U394="Disqualified",$H394,0)))</f>
        <v/>
      </c>
      <c r="T394" s="380">
        <f>IF($A394="","",IF($U394="Subscription","",IF($H394=0,IF($U394="Profit","N/A",0),IF($U394="Profit",$Q394/$H394,IF($U394="Disqualified",-1,0)))))</f>
        <v/>
      </c>
      <c r="U394" s="351">
        <f>IF($A394="","",IF(OR(LOWER($D394&amp;"")="n/a",ISNUMBER(SEARCH("subscription",LOWER($A394&amp;" "&amp;$M394&amp;""))),ISNUMBER(SEARCH("membership",LOWER($A394&amp;" "&amp;$M394&amp;"")))),"Subscription",IF(LOWER($L394&amp;"")="yes","Disqualified",IF($P394&gt;$H394,"Profit","Draw"))))</f>
        <v/>
      </c>
      <c r="V394" s="383">
        <f>IF(OR($A394="",$B394="",$C394="",$U394="Subscription"),"",IFERROR(ROUNDUP((IF(ISNUMBER($C394),$C394,DATEVALUE($C394))-IF(ISNUMBER($B394),$B394,DATEVALUE($B394)))/7,0),""))</f>
        <v/>
      </c>
      <c r="W394" s="351">
        <f>IF($U394="Subscription","",$Q394-$S394)</f>
        <v/>
      </c>
      <c r="X394" s="384">
        <f>IF(OR($A394="",$U394="Subscription",$J394="",$I394="",$J394=0,$I394=0,$I394&gt;$J394),"",$J394-$I394)</f>
        <v/>
      </c>
      <c r="Y394" s="381">
        <f>IF(OR($A394="",$U394="Subscription",$J394="",$J394=0,$X394=""),"",$X394/$J394)</f>
        <v/>
      </c>
    </row>
    <row r="395" ht="21" customHeight="1" s="270">
      <c r="A395" s="297" t="n"/>
      <c r="B395" s="298" t="n"/>
      <c r="C395" s="298" t="n"/>
      <c r="D395" s="297" t="n"/>
      <c r="E395" s="349" t="n"/>
      <c r="F395" s="349" t="n"/>
      <c r="G395" s="349" t="n"/>
      <c r="H395" s="349" t="n"/>
      <c r="I395" s="382" t="n"/>
      <c r="J395" s="383" t="n"/>
      <c r="K395" s="351" t="n"/>
      <c r="L395" s="296" t="n"/>
      <c r="M395" s="349" t="n"/>
      <c r="N395" s="349">
        <f>IF($A395="","",IF(OR(LOWER($D395&amp;"")="n/a",ISNUMBER(SEARCH("subscription",LOWER($A395&amp;" "&amp;$M395&amp;""))),ISNUMBER(SEARCH("membership",LOWER($A395&amp;" "&amp;$M395&amp;"")))),"",IF($G395="","",IF(ISNUMBER(SEARCH("non",LOWER($E395&amp;""))),$G395*0.85,$G395))))</f>
        <v/>
      </c>
      <c r="O395" s="349">
        <f>IF($A395="","",IF(OR(LOWER($D395&amp;"")="n/a",ISNUMBER(SEARCH("subscription",LOWER($A395&amp;" "&amp;$M395&amp;""))),ISNUMBER(SEARCH("membership",LOWER($A395&amp;" "&amp;$M395&amp;"")))),"",IF(OR($N395="",$I395="",$I395=0),"",$N395/$I395)))</f>
        <v/>
      </c>
      <c r="P395" s="349">
        <f>IF($A395="","",IF(OR(LOWER($D395&amp;"")="n/a",ISNUMBER(SEARCH("subscription",LOWER($A395&amp;" "&amp;$M395&amp;""))),ISNUMBER(SEARCH("membership",LOWER($A395&amp;" "&amp;$M395&amp;"")))),"",IF(LOWER($L395&amp;"")="yes",0,IF($K395&lt;&gt;"",$K395,IF($O395&lt;&gt;"",$O395,"")))))</f>
        <v/>
      </c>
      <c r="Q395" s="351">
        <f>IF($A395="","",IF($U395="Subscription","",IF($U395="Profit",$P395-$H395,0)))</f>
        <v/>
      </c>
      <c r="R395" s="349">
        <f>IF($A395="","",IF($U395="Subscription","",IF($U395="Draw",$H395,0)))</f>
        <v/>
      </c>
      <c r="S395" s="349">
        <f>IF($A395="","",IF($U395="Subscription","",IF($U395="Disqualified",$H395,0)))</f>
        <v/>
      </c>
      <c r="T395" s="380">
        <f>IF($A395="","",IF($U395="Subscription","",IF($H395=0,IF($U395="Profit","N/A",0),IF($U395="Profit",$Q395/$H395,IF($U395="Disqualified",-1,0)))))</f>
        <v/>
      </c>
      <c r="U395" s="351">
        <f>IF($A395="","",IF(OR(LOWER($D395&amp;"")="n/a",ISNUMBER(SEARCH("subscription",LOWER($A395&amp;" "&amp;$M395&amp;""))),ISNUMBER(SEARCH("membership",LOWER($A395&amp;" "&amp;$M395&amp;"")))),"Subscription",IF(LOWER($L395&amp;"")="yes","Disqualified",IF($P395&gt;$H395,"Profit","Draw"))))</f>
        <v/>
      </c>
      <c r="V395" s="383">
        <f>IF(OR($A395="",$B395="",$C395="",$U395="Subscription"),"",IFERROR(ROUNDUP((IF(ISNUMBER($C395),$C395,DATEVALUE($C395))-IF(ISNUMBER($B395),$B395,DATEVALUE($B395)))/7,0),""))</f>
        <v/>
      </c>
      <c r="W395" s="351">
        <f>IF($U395="Subscription","",$Q395-$S395)</f>
        <v/>
      </c>
      <c r="X395" s="384">
        <f>IF(OR($A395="",$U395="Subscription",$J395="",$I395="",$J395=0,$I395=0,$I395&gt;$J395),"",$J395-$I395)</f>
        <v/>
      </c>
      <c r="Y395" s="381">
        <f>IF(OR($A395="",$U395="Subscription",$J395="",$J395=0,$X395=""),"",$X395/$J395)</f>
        <v/>
      </c>
    </row>
    <row r="396" ht="21" customHeight="1" s="270">
      <c r="A396" s="297" t="n"/>
      <c r="B396" s="298" t="n"/>
      <c r="C396" s="298" t="n"/>
      <c r="D396" s="297" t="n"/>
      <c r="E396" s="349" t="n"/>
      <c r="F396" s="349" t="n"/>
      <c r="G396" s="349" t="n"/>
      <c r="H396" s="349" t="n"/>
      <c r="I396" s="382" t="n"/>
      <c r="J396" s="383" t="n"/>
      <c r="K396" s="351" t="n"/>
      <c r="L396" s="296" t="n"/>
      <c r="M396" s="349" t="n"/>
      <c r="N396" s="349">
        <f>IF($A396="","",IF(OR(LOWER($D396&amp;"")="n/a",ISNUMBER(SEARCH("subscription",LOWER($A396&amp;" "&amp;$M396&amp;""))),ISNUMBER(SEARCH("membership",LOWER($A396&amp;" "&amp;$M396&amp;"")))),"",IF($G396="","",IF(ISNUMBER(SEARCH("non",LOWER($E396&amp;""))),$G396*0.85,$G396))))</f>
        <v/>
      </c>
      <c r="O396" s="349">
        <f>IF($A396="","",IF(OR(LOWER($D396&amp;"")="n/a",ISNUMBER(SEARCH("subscription",LOWER($A396&amp;" "&amp;$M396&amp;""))),ISNUMBER(SEARCH("membership",LOWER($A396&amp;" "&amp;$M396&amp;"")))),"",IF(OR($N396="",$I396="",$I396=0),"",$N396/$I396)))</f>
        <v/>
      </c>
      <c r="P396" s="349">
        <f>IF($A396="","",IF(OR(LOWER($D396&amp;"")="n/a",ISNUMBER(SEARCH("subscription",LOWER($A396&amp;" "&amp;$M396&amp;""))),ISNUMBER(SEARCH("membership",LOWER($A396&amp;" "&amp;$M396&amp;"")))),"",IF(LOWER($L396&amp;"")="yes",0,IF($K396&lt;&gt;"",$K396,IF($O396&lt;&gt;"",$O396,"")))))</f>
        <v/>
      </c>
      <c r="Q396" s="351">
        <f>IF($A396="","",IF($U396="Subscription","",IF($U396="Profit",$P396-$H396,0)))</f>
        <v/>
      </c>
      <c r="R396" s="349">
        <f>IF($A396="","",IF($U396="Subscription","",IF($U396="Draw",$H396,0)))</f>
        <v/>
      </c>
      <c r="S396" s="349">
        <f>IF($A396="","",IF($U396="Subscription","",IF($U396="Disqualified",$H396,0)))</f>
        <v/>
      </c>
      <c r="T396" s="380">
        <f>IF($A396="","",IF($U396="Subscription","",IF($H396=0,IF($U396="Profit","N/A",0),IF($U396="Profit",$Q396/$H396,IF($U396="Disqualified",-1,0)))))</f>
        <v/>
      </c>
      <c r="U396" s="351">
        <f>IF($A396="","",IF(OR(LOWER($D396&amp;"")="n/a",ISNUMBER(SEARCH("subscription",LOWER($A396&amp;" "&amp;$M396&amp;""))),ISNUMBER(SEARCH("membership",LOWER($A396&amp;" "&amp;$M396&amp;"")))),"Subscription",IF(LOWER($L396&amp;"")="yes","Disqualified",IF($P396&gt;$H396,"Profit","Draw"))))</f>
        <v/>
      </c>
      <c r="V396" s="383">
        <f>IF(OR($A396="",$B396="",$C396="",$U396="Subscription"),"",IFERROR(ROUNDUP((IF(ISNUMBER($C396),$C396,DATEVALUE($C396))-IF(ISNUMBER($B396),$B396,DATEVALUE($B396)))/7,0),""))</f>
        <v/>
      </c>
      <c r="W396" s="351">
        <f>IF($U396="Subscription","",$Q396-$S396)</f>
        <v/>
      </c>
      <c r="X396" s="384">
        <f>IF(OR($A396="",$U396="Subscription",$J396="",$I396="",$J396=0,$I396=0,$I396&gt;$J396),"",$J396-$I396)</f>
        <v/>
      </c>
      <c r="Y396" s="381">
        <f>IF(OR($A396="",$U396="Subscription",$J396="",$J396=0,$X396=""),"",$X396/$J396)</f>
        <v/>
      </c>
    </row>
    <row r="397" ht="21" customHeight="1" s="270">
      <c r="A397" s="297" t="n"/>
      <c r="B397" s="298" t="n"/>
      <c r="C397" s="298" t="n"/>
      <c r="D397" s="297" t="n"/>
      <c r="E397" s="349" t="n"/>
      <c r="F397" s="349" t="n"/>
      <c r="G397" s="349" t="n"/>
      <c r="H397" s="349" t="n"/>
      <c r="I397" s="382" t="n"/>
      <c r="J397" s="383" t="n"/>
      <c r="K397" s="351" t="n"/>
      <c r="L397" s="296" t="n"/>
      <c r="M397" s="349" t="n"/>
      <c r="N397" s="349">
        <f>IF($A397="","",IF(OR(LOWER($D397&amp;"")="n/a",ISNUMBER(SEARCH("subscription",LOWER($A397&amp;" "&amp;$M397&amp;""))),ISNUMBER(SEARCH("membership",LOWER($A397&amp;" "&amp;$M397&amp;"")))),"",IF($G397="","",IF(ISNUMBER(SEARCH("non",LOWER($E397&amp;""))),$G397*0.85,$G397))))</f>
        <v/>
      </c>
      <c r="O397" s="349">
        <f>IF($A397="","",IF(OR(LOWER($D397&amp;"")="n/a",ISNUMBER(SEARCH("subscription",LOWER($A397&amp;" "&amp;$M397&amp;""))),ISNUMBER(SEARCH("membership",LOWER($A397&amp;" "&amp;$M397&amp;"")))),"",IF(OR($N397="",$I397="",$I397=0),"",$N397/$I397)))</f>
        <v/>
      </c>
      <c r="P397" s="349">
        <f>IF($A397="","",IF(OR(LOWER($D397&amp;"")="n/a",ISNUMBER(SEARCH("subscription",LOWER($A397&amp;" "&amp;$M397&amp;""))),ISNUMBER(SEARCH("membership",LOWER($A397&amp;" "&amp;$M397&amp;"")))),"",IF(LOWER($L397&amp;"")="yes",0,IF($K397&lt;&gt;"",$K397,IF($O397&lt;&gt;"",$O397,"")))))</f>
        <v/>
      </c>
      <c r="Q397" s="351">
        <f>IF($A397="","",IF($U397="Subscription","",IF($U397="Profit",$P397-$H397,0)))</f>
        <v/>
      </c>
      <c r="R397" s="349">
        <f>IF($A397="","",IF($U397="Subscription","",IF($U397="Draw",$H397,0)))</f>
        <v/>
      </c>
      <c r="S397" s="349">
        <f>IF($A397="","",IF($U397="Subscription","",IF($U397="Disqualified",$H397,0)))</f>
        <v/>
      </c>
      <c r="T397" s="380">
        <f>IF($A397="","",IF($U397="Subscription","",IF($H397=0,IF($U397="Profit","N/A",0),IF($U397="Profit",$Q397/$H397,IF($U397="Disqualified",-1,0)))))</f>
        <v/>
      </c>
      <c r="U397" s="351">
        <f>IF($A397="","",IF(OR(LOWER($D397&amp;"")="n/a",ISNUMBER(SEARCH("subscription",LOWER($A397&amp;" "&amp;$M397&amp;""))),ISNUMBER(SEARCH("membership",LOWER($A397&amp;" "&amp;$M397&amp;"")))),"Subscription",IF(LOWER($L397&amp;"")="yes","Disqualified",IF($P397&gt;$H397,"Profit","Draw"))))</f>
        <v/>
      </c>
      <c r="V397" s="383">
        <f>IF(OR($A397="",$B397="",$C397="",$U397="Subscription"),"",IFERROR(ROUNDUP((IF(ISNUMBER($C397),$C397,DATEVALUE($C397))-IF(ISNUMBER($B397),$B397,DATEVALUE($B397)))/7,0),""))</f>
        <v/>
      </c>
      <c r="W397" s="351">
        <f>IF($U397="Subscription","",$Q397-$S397)</f>
        <v/>
      </c>
      <c r="X397" s="384">
        <f>IF(OR($A397="",$U397="Subscription",$J397="",$I397="",$J397=0,$I397=0,$I397&gt;$J397),"",$J397-$I397)</f>
        <v/>
      </c>
      <c r="Y397" s="381">
        <f>IF(OR($A397="",$U397="Subscription",$J397="",$J397=0,$X397=""),"",$X397/$J397)</f>
        <v/>
      </c>
    </row>
    <row r="398" ht="21" customHeight="1" s="270">
      <c r="A398" s="297" t="n"/>
      <c r="B398" s="298" t="n"/>
      <c r="C398" s="298" t="n"/>
      <c r="D398" s="297" t="n"/>
      <c r="E398" s="349" t="n"/>
      <c r="F398" s="349" t="n"/>
      <c r="G398" s="349" t="n"/>
      <c r="H398" s="349" t="n"/>
      <c r="I398" s="382" t="n"/>
      <c r="J398" s="383" t="n"/>
      <c r="K398" s="351" t="n"/>
      <c r="L398" s="296" t="n"/>
      <c r="M398" s="349" t="n"/>
      <c r="N398" s="349">
        <f>IF($A398="","",IF(OR(LOWER($D398&amp;"")="n/a",ISNUMBER(SEARCH("subscription",LOWER($A398&amp;" "&amp;$M398&amp;""))),ISNUMBER(SEARCH("membership",LOWER($A398&amp;" "&amp;$M398&amp;"")))),"",IF($G398="","",IF(ISNUMBER(SEARCH("non",LOWER($E398&amp;""))),$G398*0.85,$G398))))</f>
        <v/>
      </c>
      <c r="O398" s="349">
        <f>IF($A398="","",IF(OR(LOWER($D398&amp;"")="n/a",ISNUMBER(SEARCH("subscription",LOWER($A398&amp;" "&amp;$M398&amp;""))),ISNUMBER(SEARCH("membership",LOWER($A398&amp;" "&amp;$M398&amp;"")))),"",IF(OR($N398="",$I398="",$I398=0),"",$N398/$I398)))</f>
        <v/>
      </c>
      <c r="P398" s="349">
        <f>IF($A398="","",IF(OR(LOWER($D398&amp;"")="n/a",ISNUMBER(SEARCH("subscription",LOWER($A398&amp;" "&amp;$M398&amp;""))),ISNUMBER(SEARCH("membership",LOWER($A398&amp;" "&amp;$M398&amp;"")))),"",IF(LOWER($L398&amp;"")="yes",0,IF($K398&lt;&gt;"",$K398,IF($O398&lt;&gt;"",$O398,"")))))</f>
        <v/>
      </c>
      <c r="Q398" s="351">
        <f>IF($A398="","",IF($U398="Subscription","",IF($U398="Profit",$P398-$H398,0)))</f>
        <v/>
      </c>
      <c r="R398" s="349">
        <f>IF($A398="","",IF($U398="Subscription","",IF($U398="Draw",$H398,0)))</f>
        <v/>
      </c>
      <c r="S398" s="349">
        <f>IF($A398="","",IF($U398="Subscription","",IF($U398="Disqualified",$H398,0)))</f>
        <v/>
      </c>
      <c r="T398" s="380">
        <f>IF($A398="","",IF($U398="Subscription","",IF($H398=0,IF($U398="Profit","N/A",0),IF($U398="Profit",$Q398/$H398,IF($U398="Disqualified",-1,0)))))</f>
        <v/>
      </c>
      <c r="U398" s="351">
        <f>IF($A398="","",IF(OR(LOWER($D398&amp;"")="n/a",ISNUMBER(SEARCH("subscription",LOWER($A398&amp;" "&amp;$M398&amp;""))),ISNUMBER(SEARCH("membership",LOWER($A398&amp;" "&amp;$M398&amp;"")))),"Subscription",IF(LOWER($L398&amp;"")="yes","Disqualified",IF($P398&gt;$H398,"Profit","Draw"))))</f>
        <v/>
      </c>
      <c r="V398" s="383">
        <f>IF(OR($A398="",$B398="",$C398="",$U398="Subscription"),"",IFERROR(ROUNDUP((IF(ISNUMBER($C398),$C398,DATEVALUE($C398))-IF(ISNUMBER($B398),$B398,DATEVALUE($B398)))/7,0),""))</f>
        <v/>
      </c>
      <c r="W398" s="351">
        <f>IF($U398="Subscription","",$Q398-$S398)</f>
        <v/>
      </c>
      <c r="X398" s="384">
        <f>IF(OR($A398="",$U398="Subscription",$J398="",$I398="",$J398=0,$I398=0,$I398&gt;$J398),"",$J398-$I398)</f>
        <v/>
      </c>
      <c r="Y398" s="381">
        <f>IF(OR($A398="",$U398="Subscription",$J398="",$J398=0,$X398=""),"",$X398/$J398)</f>
        <v/>
      </c>
    </row>
    <row r="399" ht="21" customHeight="1" s="270">
      <c r="A399" s="297" t="n"/>
      <c r="B399" s="298" t="n"/>
      <c r="C399" s="298" t="n"/>
      <c r="D399" s="297" t="n"/>
      <c r="E399" s="349" t="n"/>
      <c r="F399" s="349" t="n"/>
      <c r="G399" s="349" t="n"/>
      <c r="H399" s="349" t="n"/>
      <c r="I399" s="382" t="n"/>
      <c r="J399" s="383" t="n"/>
      <c r="K399" s="351" t="n"/>
      <c r="L399" s="296" t="n"/>
      <c r="M399" s="349" t="n"/>
      <c r="N399" s="349">
        <f>IF($A399="","",IF(OR(LOWER($D399&amp;"")="n/a",ISNUMBER(SEARCH("subscription",LOWER($A399&amp;" "&amp;$M399&amp;""))),ISNUMBER(SEARCH("membership",LOWER($A399&amp;" "&amp;$M399&amp;"")))),"",IF($G399="","",IF(ISNUMBER(SEARCH("non",LOWER($E399&amp;""))),$G399*0.85,$G399))))</f>
        <v/>
      </c>
      <c r="O399" s="349">
        <f>IF($A399="","",IF(OR(LOWER($D399&amp;"")="n/a",ISNUMBER(SEARCH("subscription",LOWER($A399&amp;" "&amp;$M399&amp;""))),ISNUMBER(SEARCH("membership",LOWER($A399&amp;" "&amp;$M399&amp;"")))),"",IF(OR($N399="",$I399="",$I399=0),"",$N399/$I399)))</f>
        <v/>
      </c>
      <c r="P399" s="349">
        <f>IF($A399="","",IF(OR(LOWER($D399&amp;"")="n/a",ISNUMBER(SEARCH("subscription",LOWER($A399&amp;" "&amp;$M399&amp;""))),ISNUMBER(SEARCH("membership",LOWER($A399&amp;" "&amp;$M399&amp;"")))),"",IF(LOWER($L399&amp;"")="yes",0,IF($K399&lt;&gt;"",$K399,IF($O399&lt;&gt;"",$O399,"")))))</f>
        <v/>
      </c>
      <c r="Q399" s="351">
        <f>IF($A399="","",IF($U399="Subscription","",IF($U399="Profit",$P399-$H399,0)))</f>
        <v/>
      </c>
      <c r="R399" s="349">
        <f>IF($A399="","",IF($U399="Subscription","",IF($U399="Draw",$H399,0)))</f>
        <v/>
      </c>
      <c r="S399" s="349">
        <f>IF($A399="","",IF($U399="Subscription","",IF($U399="Disqualified",$H399,0)))</f>
        <v/>
      </c>
      <c r="T399" s="380">
        <f>IF($A399="","",IF($U399="Subscription","",IF($H399=0,IF($U399="Profit","N/A",0),IF($U399="Profit",$Q399/$H399,IF($U399="Disqualified",-1,0)))))</f>
        <v/>
      </c>
      <c r="U399" s="351">
        <f>IF($A399="","",IF(OR(LOWER($D399&amp;"")="n/a",ISNUMBER(SEARCH("subscription",LOWER($A399&amp;" "&amp;$M399&amp;""))),ISNUMBER(SEARCH("membership",LOWER($A399&amp;" "&amp;$M399&amp;"")))),"Subscription",IF(LOWER($L399&amp;"")="yes","Disqualified",IF($P399&gt;$H399,"Profit","Draw"))))</f>
        <v/>
      </c>
      <c r="V399" s="383">
        <f>IF(OR($A399="",$B399="",$C399="",$U399="Subscription"),"",IFERROR(ROUNDUP((IF(ISNUMBER($C399),$C399,DATEVALUE($C399))-IF(ISNUMBER($B399),$B399,DATEVALUE($B399)))/7,0),""))</f>
        <v/>
      </c>
      <c r="W399" s="351">
        <f>IF($U399="Subscription","",$Q399-$S399)</f>
        <v/>
      </c>
      <c r="X399" s="384">
        <f>IF(OR($A399="",$U399="Subscription",$J399="",$I399="",$J399=0,$I399=0,$I399&gt;$J399),"",$J399-$I399)</f>
        <v/>
      </c>
      <c r="Y399" s="381">
        <f>IF(OR($A399="",$U399="Subscription",$J399="",$J399=0,$X399=""),"",$X399/$J399)</f>
        <v/>
      </c>
    </row>
    <row r="400" ht="21" customHeight="1" s="270">
      <c r="A400" s="297" t="n"/>
      <c r="B400" s="298" t="n"/>
      <c r="C400" s="298" t="n"/>
      <c r="D400" s="297" t="n"/>
      <c r="E400" s="349" t="n"/>
      <c r="F400" s="349" t="n"/>
      <c r="G400" s="349" t="n"/>
      <c r="H400" s="349" t="n"/>
      <c r="I400" s="382" t="n"/>
      <c r="J400" s="383" t="n"/>
      <c r="K400" s="351" t="n"/>
      <c r="L400" s="296" t="n"/>
      <c r="M400" s="349" t="n"/>
      <c r="N400" s="349">
        <f>IF($A400="","",IF(OR(LOWER($D400&amp;"")="n/a",ISNUMBER(SEARCH("subscription",LOWER($A400&amp;" "&amp;$M400&amp;""))),ISNUMBER(SEARCH("membership",LOWER($A400&amp;" "&amp;$M400&amp;"")))),"",IF($G400="","",IF(ISNUMBER(SEARCH("non",LOWER($E400&amp;""))),$G400*0.85,$G400))))</f>
        <v/>
      </c>
      <c r="O400" s="349">
        <f>IF($A400="","",IF(OR(LOWER($D400&amp;"")="n/a",ISNUMBER(SEARCH("subscription",LOWER($A400&amp;" "&amp;$M400&amp;""))),ISNUMBER(SEARCH("membership",LOWER($A400&amp;" "&amp;$M400&amp;"")))),"",IF(OR($N400="",$I400="",$I400=0),"",$N400/$I400)))</f>
        <v/>
      </c>
      <c r="P400" s="349">
        <f>IF($A400="","",IF(OR(LOWER($D400&amp;"")="n/a",ISNUMBER(SEARCH("subscription",LOWER($A400&amp;" "&amp;$M400&amp;""))),ISNUMBER(SEARCH("membership",LOWER($A400&amp;" "&amp;$M400&amp;"")))),"",IF(LOWER($L400&amp;"")="yes",0,IF($K400&lt;&gt;"",$K400,IF($O400&lt;&gt;"",$O400,"")))))</f>
        <v/>
      </c>
      <c r="Q400" s="351">
        <f>IF($A400="","",IF($U400="Subscription","",IF($U400="Profit",$P400-$H400,0)))</f>
        <v/>
      </c>
      <c r="R400" s="349">
        <f>IF($A400="","",IF($U400="Subscription","",IF($U400="Draw",$H400,0)))</f>
        <v/>
      </c>
      <c r="S400" s="349">
        <f>IF($A400="","",IF($U400="Subscription","",IF($U400="Disqualified",$H400,0)))</f>
        <v/>
      </c>
      <c r="T400" s="380">
        <f>IF($A400="","",IF($U400="Subscription","",IF($H400=0,IF($U400="Profit","N/A",0),IF($U400="Profit",$Q400/$H400,IF($U400="Disqualified",-1,0)))))</f>
        <v/>
      </c>
      <c r="U400" s="351">
        <f>IF($A400="","",IF(OR(LOWER($D400&amp;"")="n/a",ISNUMBER(SEARCH("subscription",LOWER($A400&amp;" "&amp;$M400&amp;""))),ISNUMBER(SEARCH("membership",LOWER($A400&amp;" "&amp;$M400&amp;"")))),"Subscription",IF(LOWER($L400&amp;"")="yes","Disqualified",IF($P400&gt;$H400,"Profit","Draw"))))</f>
        <v/>
      </c>
      <c r="V400" s="383">
        <f>IF(OR($A400="",$B400="",$C400="",$U400="Subscription"),"",IFERROR(ROUNDUP((IF(ISNUMBER($C400),$C400,DATEVALUE($C400))-IF(ISNUMBER($B400),$B400,DATEVALUE($B400)))/7,0),""))</f>
        <v/>
      </c>
      <c r="W400" s="351">
        <f>IF($U400="Subscription","",$Q400-$S400)</f>
        <v/>
      </c>
      <c r="X400" s="384">
        <f>IF(OR($A400="",$U400="Subscription",$J400="",$I400="",$J400=0,$I400=0,$I400&gt;$J400),"",$J400-$I400)</f>
        <v/>
      </c>
      <c r="Y400" s="381">
        <f>IF(OR($A400="",$U400="Subscription",$J400="",$J400=0,$X400=""),"",$X400/$J400)</f>
        <v/>
      </c>
    </row>
    <row r="401" ht="21" customHeight="1" s="270">
      <c r="A401" s="297" t="n"/>
      <c r="B401" s="298" t="n"/>
      <c r="C401" s="298" t="n"/>
      <c r="D401" s="297" t="n"/>
      <c r="E401" s="349" t="n"/>
      <c r="F401" s="349" t="n"/>
      <c r="G401" s="349" t="n"/>
      <c r="H401" s="349" t="n"/>
      <c r="I401" s="382" t="n"/>
      <c r="J401" s="383" t="n"/>
      <c r="K401" s="351" t="n"/>
      <c r="L401" s="296" t="n"/>
      <c r="M401" s="349" t="n"/>
      <c r="N401" s="349">
        <f>IF($A401="","",IF(OR(LOWER($D401&amp;"")="n/a",ISNUMBER(SEARCH("subscription",LOWER($A401&amp;" "&amp;$M401&amp;""))),ISNUMBER(SEARCH("membership",LOWER($A401&amp;" "&amp;$M401&amp;"")))),"",IF($G401="","",IF(ISNUMBER(SEARCH("non",LOWER($E401&amp;""))),$G401*0.85,$G401))))</f>
        <v/>
      </c>
      <c r="O401" s="349">
        <f>IF($A401="","",IF(OR(LOWER($D401&amp;"")="n/a",ISNUMBER(SEARCH("subscription",LOWER($A401&amp;" "&amp;$M401&amp;""))),ISNUMBER(SEARCH("membership",LOWER($A401&amp;" "&amp;$M401&amp;"")))),"",IF(OR($N401="",$I401="",$I401=0),"",$N401/$I401)))</f>
        <v/>
      </c>
      <c r="P401" s="349">
        <f>IF($A401="","",IF(OR(LOWER($D401&amp;"")="n/a",ISNUMBER(SEARCH("subscription",LOWER($A401&amp;" "&amp;$M401&amp;""))),ISNUMBER(SEARCH("membership",LOWER($A401&amp;" "&amp;$M401&amp;"")))),"",IF(LOWER($L401&amp;"")="yes",0,IF($K401&lt;&gt;"",$K401,IF($O401&lt;&gt;"",$O401,"")))))</f>
        <v/>
      </c>
      <c r="Q401" s="351">
        <f>IF($A401="","",IF($U401="Subscription","",IF($U401="Profit",$P401-$H401,0)))</f>
        <v/>
      </c>
      <c r="R401" s="349">
        <f>IF($A401="","",IF($U401="Subscription","",IF($U401="Draw",$H401,0)))</f>
        <v/>
      </c>
      <c r="S401" s="349">
        <f>IF($A401="","",IF($U401="Subscription","",IF($U401="Disqualified",$H401,0)))</f>
        <v/>
      </c>
      <c r="T401" s="380">
        <f>IF($A401="","",IF($U401="Subscription","",IF($H401=0,IF($U401="Profit","N/A",0),IF($U401="Profit",$Q401/$H401,IF($U401="Disqualified",-1,0)))))</f>
        <v/>
      </c>
      <c r="U401" s="351">
        <f>IF($A401="","",IF(OR(LOWER($D401&amp;"")="n/a",ISNUMBER(SEARCH("subscription",LOWER($A401&amp;" "&amp;$M401&amp;""))),ISNUMBER(SEARCH("membership",LOWER($A401&amp;" "&amp;$M401&amp;"")))),"Subscription",IF(LOWER($L401&amp;"")="yes","Disqualified",IF($P401&gt;$H401,"Profit","Draw"))))</f>
        <v/>
      </c>
      <c r="V401" s="383">
        <f>IF(OR($A401="",$B401="",$C401="",$U401="Subscription"),"",IFERROR(ROUNDUP((IF(ISNUMBER($C401),$C401,DATEVALUE($C401))-IF(ISNUMBER($B401),$B401,DATEVALUE($B401)))/7,0),""))</f>
        <v/>
      </c>
      <c r="W401" s="351">
        <f>IF($U401="Subscription","",$Q401-$S401)</f>
        <v/>
      </c>
      <c r="X401" s="384">
        <f>IF(OR($A401="",$U401="Subscription",$J401="",$I401="",$J401=0,$I401=0,$I401&gt;$J401),"",$J401-$I401)</f>
        <v/>
      </c>
      <c r="Y401" s="381">
        <f>IF(OR($A401="",$U401="Subscription",$J401="",$J401=0,$X401=""),"",$X401/$J401)</f>
        <v/>
      </c>
    </row>
    <row r="402" ht="21" customHeight="1" s="270">
      <c r="A402" s="297" t="n"/>
      <c r="B402" s="298" t="n"/>
      <c r="C402" s="298" t="n"/>
      <c r="D402" s="297" t="n"/>
      <c r="E402" s="349" t="n"/>
      <c r="F402" s="349" t="n"/>
      <c r="G402" s="349" t="n"/>
      <c r="H402" s="349" t="n"/>
      <c r="I402" s="382" t="n"/>
      <c r="J402" s="383" t="n"/>
      <c r="K402" s="351" t="n"/>
      <c r="L402" s="296" t="n"/>
      <c r="M402" s="349" t="n"/>
      <c r="N402" s="349">
        <f>IF($A402="","",IF(OR(LOWER($D402&amp;"")="n/a",ISNUMBER(SEARCH("subscription",LOWER($A402&amp;" "&amp;$M402&amp;""))),ISNUMBER(SEARCH("membership",LOWER($A402&amp;" "&amp;$M402&amp;"")))),"",IF($G402="","",IF(ISNUMBER(SEARCH("non",LOWER($E402&amp;""))),$G402*0.85,$G402))))</f>
        <v/>
      </c>
      <c r="O402" s="349">
        <f>IF($A402="","",IF(OR(LOWER($D402&amp;"")="n/a",ISNUMBER(SEARCH("subscription",LOWER($A402&amp;" "&amp;$M402&amp;""))),ISNUMBER(SEARCH("membership",LOWER($A402&amp;" "&amp;$M402&amp;"")))),"",IF(OR($N402="",$I402="",$I402=0),"",$N402/$I402)))</f>
        <v/>
      </c>
      <c r="P402" s="349">
        <f>IF($A402="","",IF(OR(LOWER($D402&amp;"")="n/a",ISNUMBER(SEARCH("subscription",LOWER($A402&amp;" "&amp;$M402&amp;""))),ISNUMBER(SEARCH("membership",LOWER($A402&amp;" "&amp;$M402&amp;"")))),"",IF(LOWER($L402&amp;"")="yes",0,IF($K402&lt;&gt;"",$K402,IF($O402&lt;&gt;"",$O402,"")))))</f>
        <v/>
      </c>
      <c r="Q402" s="351">
        <f>IF($A402="","",IF($U402="Subscription","",IF($U402="Profit",$P402-$H402,0)))</f>
        <v/>
      </c>
      <c r="R402" s="349">
        <f>IF($A402="","",IF($U402="Subscription","",IF($U402="Draw",$H402,0)))</f>
        <v/>
      </c>
      <c r="S402" s="349">
        <f>IF($A402="","",IF($U402="Subscription","",IF($U402="Disqualified",$H402,0)))</f>
        <v/>
      </c>
      <c r="T402" s="380">
        <f>IF($A402="","",IF($U402="Subscription","",IF($H402=0,IF($U402="Profit","N/A",0),IF($U402="Profit",$Q402/$H402,IF($U402="Disqualified",-1,0)))))</f>
        <v/>
      </c>
      <c r="U402" s="351">
        <f>IF($A402="","",IF(OR(LOWER($D402&amp;"")="n/a",ISNUMBER(SEARCH("subscription",LOWER($A402&amp;" "&amp;$M402&amp;""))),ISNUMBER(SEARCH("membership",LOWER($A402&amp;" "&amp;$M402&amp;"")))),"Subscription",IF(LOWER($L402&amp;"")="yes","Disqualified",IF($P402&gt;$H402,"Profit","Draw"))))</f>
        <v/>
      </c>
      <c r="V402" s="383">
        <f>IF(OR($A402="",$B402="",$C402="",$U402="Subscription"),"",IFERROR(ROUNDUP((IF(ISNUMBER($C402),$C402,DATEVALUE($C402))-IF(ISNUMBER($B402),$B402,DATEVALUE($B402)))/7,0),""))</f>
        <v/>
      </c>
      <c r="W402" s="351">
        <f>IF($U402="Subscription","",$Q402-$S402)</f>
        <v/>
      </c>
      <c r="X402" s="384">
        <f>IF(OR($A402="",$U402="Subscription",$J402="",$I402="",$J402=0,$I402=0,$I402&gt;$J402),"",$J402-$I402)</f>
        <v/>
      </c>
      <c r="Y402" s="381">
        <f>IF(OR($A402="",$U402="Subscription",$J402="",$J402=0,$X402=""),"",$X402/$J402)</f>
        <v/>
      </c>
    </row>
    <row r="403" ht="21" customHeight="1" s="270">
      <c r="A403" s="297" t="n"/>
      <c r="B403" s="298" t="n"/>
      <c r="C403" s="298" t="n"/>
      <c r="D403" s="297" t="n"/>
      <c r="E403" s="349" t="n"/>
      <c r="F403" s="349" t="n"/>
      <c r="G403" s="349" t="n"/>
      <c r="H403" s="349" t="n"/>
      <c r="I403" s="382" t="n"/>
      <c r="J403" s="383" t="n"/>
      <c r="K403" s="351" t="n"/>
      <c r="L403" s="296" t="n"/>
      <c r="M403" s="349" t="n"/>
      <c r="N403" s="349">
        <f>IF($A403="","",IF(OR(LOWER($D403&amp;"")="n/a",ISNUMBER(SEARCH("subscription",LOWER($A403&amp;" "&amp;$M403&amp;""))),ISNUMBER(SEARCH("membership",LOWER($A403&amp;" "&amp;$M403&amp;"")))),"",IF($G403="","",IF(ISNUMBER(SEARCH("non",LOWER($E403&amp;""))),$G403*0.85,$G403))))</f>
        <v/>
      </c>
      <c r="O403" s="349">
        <f>IF($A403="","",IF(OR(LOWER($D403&amp;"")="n/a",ISNUMBER(SEARCH("subscription",LOWER($A403&amp;" "&amp;$M403&amp;""))),ISNUMBER(SEARCH("membership",LOWER($A403&amp;" "&amp;$M403&amp;"")))),"",IF(OR($N403="",$I403="",$I403=0),"",$N403/$I403)))</f>
        <v/>
      </c>
      <c r="P403" s="349">
        <f>IF($A403="","",IF(OR(LOWER($D403&amp;"")="n/a",ISNUMBER(SEARCH("subscription",LOWER($A403&amp;" "&amp;$M403&amp;""))),ISNUMBER(SEARCH("membership",LOWER($A403&amp;" "&amp;$M403&amp;"")))),"",IF(LOWER($L403&amp;"")="yes",0,IF($K403&lt;&gt;"",$K403,IF($O403&lt;&gt;"",$O403,"")))))</f>
        <v/>
      </c>
      <c r="Q403" s="351">
        <f>IF($A403="","",IF($U403="Subscription","",IF($U403="Profit",$P403-$H403,0)))</f>
        <v/>
      </c>
      <c r="R403" s="349">
        <f>IF($A403="","",IF($U403="Subscription","",IF($U403="Draw",$H403,0)))</f>
        <v/>
      </c>
      <c r="S403" s="349">
        <f>IF($A403="","",IF($U403="Subscription","",IF($U403="Disqualified",$H403,0)))</f>
        <v/>
      </c>
      <c r="T403" s="380">
        <f>IF($A403="","",IF($U403="Subscription","",IF($H403=0,IF($U403="Profit","N/A",0),IF($U403="Profit",$Q403/$H403,IF($U403="Disqualified",-1,0)))))</f>
        <v/>
      </c>
      <c r="U403" s="351">
        <f>IF($A403="","",IF(OR(LOWER($D403&amp;"")="n/a",ISNUMBER(SEARCH("subscription",LOWER($A403&amp;" "&amp;$M403&amp;""))),ISNUMBER(SEARCH("membership",LOWER($A403&amp;" "&amp;$M403&amp;"")))),"Subscription",IF(LOWER($L403&amp;"")="yes","Disqualified",IF($P403&gt;$H403,"Profit","Draw"))))</f>
        <v/>
      </c>
      <c r="V403" s="383">
        <f>IF(OR($A403="",$B403="",$C403="",$U403="Subscription"),"",IFERROR(ROUNDUP((IF(ISNUMBER($C403),$C403,DATEVALUE($C403))-IF(ISNUMBER($B403),$B403,DATEVALUE($B403)))/7,0),""))</f>
        <v/>
      </c>
      <c r="W403" s="351">
        <f>IF($U403="Subscription","",$Q403-$S403)</f>
        <v/>
      </c>
      <c r="X403" s="384">
        <f>IF(OR($A403="",$U403="Subscription",$J403="",$I403="",$J403=0,$I403=0,$I403&gt;$J403),"",$J403-$I403)</f>
        <v/>
      </c>
      <c r="Y403" s="381">
        <f>IF(OR($A403="",$U403="Subscription",$J403="",$J403=0,$X403=""),"",$X403/$J403)</f>
        <v/>
      </c>
    </row>
    <row r="404" ht="21" customHeight="1" s="270">
      <c r="A404" s="297" t="n"/>
      <c r="B404" s="298" t="n"/>
      <c r="C404" s="298" t="n"/>
      <c r="D404" s="297" t="n"/>
      <c r="E404" s="349" t="n"/>
      <c r="F404" s="349" t="n"/>
      <c r="G404" s="349" t="n"/>
      <c r="H404" s="349" t="n"/>
      <c r="I404" s="382" t="n"/>
      <c r="J404" s="383" t="n"/>
      <c r="K404" s="351" t="n"/>
      <c r="L404" s="296" t="n"/>
      <c r="M404" s="349" t="n"/>
      <c r="N404" s="349">
        <f>IF($A404="","",IF(OR(LOWER($D404&amp;"")="n/a",ISNUMBER(SEARCH("subscription",LOWER($A404&amp;" "&amp;$M404&amp;""))),ISNUMBER(SEARCH("membership",LOWER($A404&amp;" "&amp;$M404&amp;"")))),"",IF($G404="","",IF(ISNUMBER(SEARCH("non",LOWER($E404&amp;""))),$G404*0.85,$G404))))</f>
        <v/>
      </c>
      <c r="O404" s="349">
        <f>IF($A404="","",IF(OR(LOWER($D404&amp;"")="n/a",ISNUMBER(SEARCH("subscription",LOWER($A404&amp;" "&amp;$M404&amp;""))),ISNUMBER(SEARCH("membership",LOWER($A404&amp;" "&amp;$M404&amp;"")))),"",IF(OR($N404="",$I404="",$I404=0),"",$N404/$I404)))</f>
        <v/>
      </c>
      <c r="P404" s="349">
        <f>IF($A404="","",IF(OR(LOWER($D404&amp;"")="n/a",ISNUMBER(SEARCH("subscription",LOWER($A404&amp;" "&amp;$M404&amp;""))),ISNUMBER(SEARCH("membership",LOWER($A404&amp;" "&amp;$M404&amp;"")))),"",IF(LOWER($L404&amp;"")="yes",0,IF($K404&lt;&gt;"",$K404,IF($O404&lt;&gt;"",$O404,"")))))</f>
        <v/>
      </c>
      <c r="Q404" s="351">
        <f>IF($A404="","",IF($U404="Subscription","",IF($U404="Profit",$P404-$H404,0)))</f>
        <v/>
      </c>
      <c r="R404" s="349">
        <f>IF($A404="","",IF($U404="Subscription","",IF($U404="Draw",$H404,0)))</f>
        <v/>
      </c>
      <c r="S404" s="349">
        <f>IF($A404="","",IF($U404="Subscription","",IF($U404="Disqualified",$H404,0)))</f>
        <v/>
      </c>
      <c r="T404" s="380">
        <f>IF($A404="","",IF($U404="Subscription","",IF($H404=0,IF($U404="Profit","N/A",0),IF($U404="Profit",$Q404/$H404,IF($U404="Disqualified",-1,0)))))</f>
        <v/>
      </c>
      <c r="U404" s="351">
        <f>IF($A404="","",IF(OR(LOWER($D404&amp;"")="n/a",ISNUMBER(SEARCH("subscription",LOWER($A404&amp;" "&amp;$M404&amp;""))),ISNUMBER(SEARCH("membership",LOWER($A404&amp;" "&amp;$M404&amp;"")))),"Subscription",IF(LOWER($L404&amp;"")="yes","Disqualified",IF($P404&gt;$H404,"Profit","Draw"))))</f>
        <v/>
      </c>
      <c r="V404" s="383">
        <f>IF(OR($A404="",$B404="",$C404="",$U404="Subscription"),"",IFERROR(ROUNDUP((IF(ISNUMBER($C404),$C404,DATEVALUE($C404))-IF(ISNUMBER($B404),$B404,DATEVALUE($B404)))/7,0),""))</f>
        <v/>
      </c>
      <c r="W404" s="351">
        <f>IF($U404="Subscription","",$Q404-$S404)</f>
        <v/>
      </c>
      <c r="X404" s="384">
        <f>IF(OR($A404="",$U404="Subscription",$J404="",$I404="",$J404=0,$I404=0,$I404&gt;$J404),"",$J404-$I404)</f>
        <v/>
      </c>
      <c r="Y404" s="381">
        <f>IF(OR($A404="",$U404="Subscription",$J404="",$J404=0,$X404=""),"",$X404/$J404)</f>
        <v/>
      </c>
    </row>
    <row r="405" ht="21" customHeight="1" s="270">
      <c r="A405" s="297" t="n"/>
      <c r="B405" s="298" t="n"/>
      <c r="C405" s="298" t="n"/>
      <c r="D405" s="297" t="n"/>
      <c r="E405" s="349" t="n"/>
      <c r="F405" s="349" t="n"/>
      <c r="G405" s="349" t="n"/>
      <c r="H405" s="349" t="n"/>
      <c r="I405" s="382" t="n"/>
      <c r="J405" s="383" t="n"/>
      <c r="K405" s="351" t="n"/>
      <c r="L405" s="296" t="n"/>
      <c r="M405" s="349" t="n"/>
      <c r="N405" s="349">
        <f>IF($A405="","",IF(OR(LOWER($D405&amp;"")="n/a",ISNUMBER(SEARCH("subscription",LOWER($A405&amp;" "&amp;$M405&amp;""))),ISNUMBER(SEARCH("membership",LOWER($A405&amp;" "&amp;$M405&amp;"")))),"",IF($G405="","",IF(ISNUMBER(SEARCH("non",LOWER($E405&amp;""))),$G405*0.85,$G405))))</f>
        <v/>
      </c>
      <c r="O405" s="349">
        <f>IF($A405="","",IF(OR(LOWER($D405&amp;"")="n/a",ISNUMBER(SEARCH("subscription",LOWER($A405&amp;" "&amp;$M405&amp;""))),ISNUMBER(SEARCH("membership",LOWER($A405&amp;" "&amp;$M405&amp;"")))),"",IF(OR($N405="",$I405="",$I405=0),"",$N405/$I405)))</f>
        <v/>
      </c>
      <c r="P405" s="349">
        <f>IF($A405="","",IF(OR(LOWER($D405&amp;"")="n/a",ISNUMBER(SEARCH("subscription",LOWER($A405&amp;" "&amp;$M405&amp;""))),ISNUMBER(SEARCH("membership",LOWER($A405&amp;" "&amp;$M405&amp;"")))),"",IF(LOWER($L405&amp;"")="yes",0,IF($K405&lt;&gt;"",$K405,IF($O405&lt;&gt;"",$O405,"")))))</f>
        <v/>
      </c>
      <c r="Q405" s="351">
        <f>IF($A405="","",IF($U405="Subscription","",IF($U405="Profit",$P405-$H405,0)))</f>
        <v/>
      </c>
      <c r="R405" s="349">
        <f>IF($A405="","",IF($U405="Subscription","",IF($U405="Draw",$H405,0)))</f>
        <v/>
      </c>
      <c r="S405" s="349">
        <f>IF($A405="","",IF($U405="Subscription","",IF($U405="Disqualified",$H405,0)))</f>
        <v/>
      </c>
      <c r="T405" s="380">
        <f>IF($A405="","",IF($U405="Subscription","",IF($H405=0,IF($U405="Profit","N/A",0),IF($U405="Profit",$Q405/$H405,IF($U405="Disqualified",-1,0)))))</f>
        <v/>
      </c>
      <c r="U405" s="351">
        <f>IF($A405="","",IF(OR(LOWER($D405&amp;"")="n/a",ISNUMBER(SEARCH("subscription",LOWER($A405&amp;" "&amp;$M405&amp;""))),ISNUMBER(SEARCH("membership",LOWER($A405&amp;" "&amp;$M405&amp;"")))),"Subscription",IF(LOWER($L405&amp;"")="yes","Disqualified",IF($P405&gt;$H405,"Profit","Draw"))))</f>
        <v/>
      </c>
      <c r="V405" s="383">
        <f>IF(OR($A405="",$B405="",$C405="",$U405="Subscription"),"",IFERROR(ROUNDUP((IF(ISNUMBER($C405),$C405,DATEVALUE($C405))-IF(ISNUMBER($B405),$B405,DATEVALUE($B405)))/7,0),""))</f>
        <v/>
      </c>
      <c r="W405" s="351">
        <f>IF($U405="Subscription","",$Q405-$S405)</f>
        <v/>
      </c>
      <c r="X405" s="384">
        <f>IF(OR($A405="",$U405="Subscription",$J405="",$I405="",$J405=0,$I405=0,$I405&gt;$J405),"",$J405-$I405)</f>
        <v/>
      </c>
      <c r="Y405" s="381">
        <f>IF(OR($A405="",$U405="Subscription",$J405="",$J405=0,$X405=""),"",$X405/$J405)</f>
        <v/>
      </c>
    </row>
    <row r="406" ht="21" customHeight="1" s="270">
      <c r="A406" s="297" t="n"/>
      <c r="B406" s="298" t="n"/>
      <c r="C406" s="298" t="n"/>
      <c r="D406" s="297" t="n"/>
      <c r="E406" s="349" t="n"/>
      <c r="F406" s="349" t="n"/>
      <c r="G406" s="349" t="n"/>
      <c r="H406" s="349" t="n"/>
      <c r="I406" s="382" t="n"/>
      <c r="J406" s="383" t="n"/>
      <c r="K406" s="351" t="n"/>
      <c r="L406" s="296" t="n"/>
      <c r="M406" s="349" t="n"/>
      <c r="N406" s="349">
        <f>IF($A406="","",IF(OR(LOWER($D406&amp;"")="n/a",ISNUMBER(SEARCH("subscription",LOWER($A406&amp;" "&amp;$M406&amp;""))),ISNUMBER(SEARCH("membership",LOWER($A406&amp;" "&amp;$M406&amp;"")))),"",IF($G406="","",IF(ISNUMBER(SEARCH("non",LOWER($E406&amp;""))),$G406*0.85,$G406))))</f>
        <v/>
      </c>
      <c r="O406" s="349">
        <f>IF($A406="","",IF(OR(LOWER($D406&amp;"")="n/a",ISNUMBER(SEARCH("subscription",LOWER($A406&amp;" "&amp;$M406&amp;""))),ISNUMBER(SEARCH("membership",LOWER($A406&amp;" "&amp;$M406&amp;"")))),"",IF(OR($N406="",$I406="",$I406=0),"",$N406/$I406)))</f>
        <v/>
      </c>
      <c r="P406" s="349">
        <f>IF($A406="","",IF(OR(LOWER($D406&amp;"")="n/a",ISNUMBER(SEARCH("subscription",LOWER($A406&amp;" "&amp;$M406&amp;""))),ISNUMBER(SEARCH("membership",LOWER($A406&amp;" "&amp;$M406&amp;"")))),"",IF(LOWER($L406&amp;"")="yes",0,IF($K406&lt;&gt;"",$K406,IF($O406&lt;&gt;"",$O406,"")))))</f>
        <v/>
      </c>
      <c r="Q406" s="351">
        <f>IF($A406="","",IF($U406="Subscription","",IF($U406="Profit",$P406-$H406,0)))</f>
        <v/>
      </c>
      <c r="R406" s="349">
        <f>IF($A406="","",IF($U406="Subscription","",IF($U406="Draw",$H406,0)))</f>
        <v/>
      </c>
      <c r="S406" s="349">
        <f>IF($A406="","",IF($U406="Subscription","",IF($U406="Disqualified",$H406,0)))</f>
        <v/>
      </c>
      <c r="T406" s="380">
        <f>IF($A406="","",IF($U406="Subscription","",IF($H406=0,IF($U406="Profit","N/A",0),IF($U406="Profit",$Q406/$H406,IF($U406="Disqualified",-1,0)))))</f>
        <v/>
      </c>
      <c r="U406" s="351">
        <f>IF($A406="","",IF(OR(LOWER($D406&amp;"")="n/a",ISNUMBER(SEARCH("subscription",LOWER($A406&amp;" "&amp;$M406&amp;""))),ISNUMBER(SEARCH("membership",LOWER($A406&amp;" "&amp;$M406&amp;"")))),"Subscription",IF(LOWER($L406&amp;"")="yes","Disqualified",IF($P406&gt;$H406,"Profit","Draw"))))</f>
        <v/>
      </c>
      <c r="V406" s="383">
        <f>IF(OR($A406="",$B406="",$C406="",$U406="Subscription"),"",IFERROR(ROUNDUP((IF(ISNUMBER($C406),$C406,DATEVALUE($C406))-IF(ISNUMBER($B406),$B406,DATEVALUE($B406)))/7,0),""))</f>
        <v/>
      </c>
      <c r="W406" s="351">
        <f>IF($U406="Subscription","",$Q406-$S406)</f>
        <v/>
      </c>
      <c r="X406" s="384">
        <f>IF(OR($A406="",$U406="Subscription",$J406="",$I406="",$J406=0,$I406=0,$I406&gt;$J406),"",$J406-$I406)</f>
        <v/>
      </c>
      <c r="Y406" s="381">
        <f>IF(OR($A406="",$U406="Subscription",$J406="",$J406=0,$X406=""),"",$X406/$J406)</f>
        <v/>
      </c>
    </row>
    <row r="407" ht="21" customHeight="1" s="270">
      <c r="A407" s="297" t="n"/>
      <c r="B407" s="298" t="n"/>
      <c r="C407" s="298" t="n"/>
      <c r="D407" s="297" t="n"/>
      <c r="E407" s="349" t="n"/>
      <c r="F407" s="349" t="n"/>
      <c r="G407" s="349" t="n"/>
      <c r="H407" s="349" t="n"/>
      <c r="I407" s="382" t="n"/>
      <c r="J407" s="383" t="n"/>
      <c r="K407" s="351" t="n"/>
      <c r="L407" s="296" t="n"/>
      <c r="M407" s="349" t="n"/>
      <c r="N407" s="349">
        <f>IF($A407="","",IF(OR(LOWER($D407&amp;"")="n/a",ISNUMBER(SEARCH("subscription",LOWER($A407&amp;" "&amp;$M407&amp;""))),ISNUMBER(SEARCH("membership",LOWER($A407&amp;" "&amp;$M407&amp;"")))),"",IF($G407="","",IF(ISNUMBER(SEARCH("non",LOWER($E407&amp;""))),$G407*0.85,$G407))))</f>
        <v/>
      </c>
      <c r="O407" s="349">
        <f>IF($A407="","",IF(OR(LOWER($D407&amp;"")="n/a",ISNUMBER(SEARCH("subscription",LOWER($A407&amp;" "&amp;$M407&amp;""))),ISNUMBER(SEARCH("membership",LOWER($A407&amp;" "&amp;$M407&amp;"")))),"",IF(OR($N407="",$I407="",$I407=0),"",$N407/$I407)))</f>
        <v/>
      </c>
      <c r="P407" s="349">
        <f>IF($A407="","",IF(OR(LOWER($D407&amp;"")="n/a",ISNUMBER(SEARCH("subscription",LOWER($A407&amp;" "&amp;$M407&amp;""))),ISNUMBER(SEARCH("membership",LOWER($A407&amp;" "&amp;$M407&amp;"")))),"",IF(LOWER($L407&amp;"")="yes",0,IF($K407&lt;&gt;"",$K407,IF($O407&lt;&gt;"",$O407,"")))))</f>
        <v/>
      </c>
      <c r="Q407" s="351">
        <f>IF($A407="","",IF($U407="Subscription","",IF($U407="Profit",$P407-$H407,0)))</f>
        <v/>
      </c>
      <c r="R407" s="349">
        <f>IF($A407="","",IF($U407="Subscription","",IF($U407="Draw",$H407,0)))</f>
        <v/>
      </c>
      <c r="S407" s="349">
        <f>IF($A407="","",IF($U407="Subscription","",IF($U407="Disqualified",$H407,0)))</f>
        <v/>
      </c>
      <c r="T407" s="380">
        <f>IF($A407="","",IF($U407="Subscription","",IF($H407=0,IF($U407="Profit","N/A",0),IF($U407="Profit",$Q407/$H407,IF($U407="Disqualified",-1,0)))))</f>
        <v/>
      </c>
      <c r="U407" s="351">
        <f>IF($A407="","",IF(OR(LOWER($D407&amp;"")="n/a",ISNUMBER(SEARCH("subscription",LOWER($A407&amp;" "&amp;$M407&amp;""))),ISNUMBER(SEARCH("membership",LOWER($A407&amp;" "&amp;$M407&amp;"")))),"Subscription",IF(LOWER($L407&amp;"")="yes","Disqualified",IF($P407&gt;$H407,"Profit","Draw"))))</f>
        <v/>
      </c>
      <c r="V407" s="383">
        <f>IF(OR($A407="",$B407="",$C407="",$U407="Subscription"),"",IFERROR(ROUNDUP((IF(ISNUMBER($C407),$C407,DATEVALUE($C407))-IF(ISNUMBER($B407),$B407,DATEVALUE($B407)))/7,0),""))</f>
        <v/>
      </c>
      <c r="W407" s="351">
        <f>IF($U407="Subscription","",$Q407-$S407)</f>
        <v/>
      </c>
      <c r="X407" s="384">
        <f>IF(OR($A407="",$U407="Subscription",$J407="",$I407="",$J407=0,$I407=0,$I407&gt;$J407),"",$J407-$I407)</f>
        <v/>
      </c>
      <c r="Y407" s="381">
        <f>IF(OR($A407="",$U407="Subscription",$J407="",$J407=0,$X407=""),"",$X407/$J407)</f>
        <v/>
      </c>
    </row>
    <row r="408" ht="21" customHeight="1" s="270">
      <c r="A408" s="297" t="n"/>
      <c r="B408" s="298" t="n"/>
      <c r="C408" s="298" t="n"/>
      <c r="D408" s="297" t="n"/>
      <c r="E408" s="349" t="n"/>
      <c r="F408" s="349" t="n"/>
      <c r="G408" s="349" t="n"/>
      <c r="H408" s="349" t="n"/>
      <c r="I408" s="382" t="n"/>
      <c r="J408" s="383" t="n"/>
      <c r="K408" s="351" t="n"/>
      <c r="L408" s="296" t="n"/>
      <c r="M408" s="349" t="n"/>
      <c r="N408" s="349">
        <f>IF($A408="","",IF(OR(LOWER($D408&amp;"")="n/a",ISNUMBER(SEARCH("subscription",LOWER($A408&amp;" "&amp;$M408&amp;""))),ISNUMBER(SEARCH("membership",LOWER($A408&amp;" "&amp;$M408&amp;"")))),"",IF($G408="","",IF(ISNUMBER(SEARCH("non",LOWER($E408&amp;""))),$G408*0.85,$G408))))</f>
        <v/>
      </c>
      <c r="O408" s="349">
        <f>IF($A408="","",IF(OR(LOWER($D408&amp;"")="n/a",ISNUMBER(SEARCH("subscription",LOWER($A408&amp;" "&amp;$M408&amp;""))),ISNUMBER(SEARCH("membership",LOWER($A408&amp;" "&amp;$M408&amp;"")))),"",IF(OR($N408="",$I408="",$I408=0),"",$N408/$I408)))</f>
        <v/>
      </c>
      <c r="P408" s="349">
        <f>IF($A408="","",IF(OR(LOWER($D408&amp;"")="n/a",ISNUMBER(SEARCH("subscription",LOWER($A408&amp;" "&amp;$M408&amp;""))),ISNUMBER(SEARCH("membership",LOWER($A408&amp;" "&amp;$M408&amp;"")))),"",IF(LOWER($L408&amp;"")="yes",0,IF($K408&lt;&gt;"",$K408,IF($O408&lt;&gt;"",$O408,"")))))</f>
        <v/>
      </c>
      <c r="Q408" s="351">
        <f>IF($A408="","",IF($U408="Subscription","",IF($U408="Profit",$P408-$H408,0)))</f>
        <v/>
      </c>
      <c r="R408" s="349">
        <f>IF($A408="","",IF($U408="Subscription","",IF($U408="Draw",$H408,0)))</f>
        <v/>
      </c>
      <c r="S408" s="349">
        <f>IF($A408="","",IF($U408="Subscription","",IF($U408="Disqualified",$H408,0)))</f>
        <v/>
      </c>
      <c r="T408" s="380">
        <f>IF($A408="","",IF($U408="Subscription","",IF($H408=0,IF($U408="Profit","N/A",0),IF($U408="Profit",$Q408/$H408,IF($U408="Disqualified",-1,0)))))</f>
        <v/>
      </c>
      <c r="U408" s="351">
        <f>IF($A408="","",IF(OR(LOWER($D408&amp;"")="n/a",ISNUMBER(SEARCH("subscription",LOWER($A408&amp;" "&amp;$M408&amp;""))),ISNUMBER(SEARCH("membership",LOWER($A408&amp;" "&amp;$M408&amp;"")))),"Subscription",IF(LOWER($L408&amp;"")="yes","Disqualified",IF($P408&gt;$H408,"Profit","Draw"))))</f>
        <v/>
      </c>
      <c r="V408" s="383">
        <f>IF(OR($A408="",$B408="",$C408="",$U408="Subscription"),"",IFERROR(ROUNDUP((IF(ISNUMBER($C408),$C408,DATEVALUE($C408))-IF(ISNUMBER($B408),$B408,DATEVALUE($B408)))/7,0),""))</f>
        <v/>
      </c>
      <c r="W408" s="351">
        <f>IF($U408="Subscription","",$Q408-$S408)</f>
        <v/>
      </c>
      <c r="X408" s="384">
        <f>IF(OR($A408="",$U408="Subscription",$J408="",$I408="",$J408=0,$I408=0,$I408&gt;$J408),"",$J408-$I408)</f>
        <v/>
      </c>
      <c r="Y408" s="381">
        <f>IF(OR($A408="",$U408="Subscription",$J408="",$J408=0,$X408=""),"",$X408/$J408)</f>
        <v/>
      </c>
    </row>
    <row r="409" ht="21" customHeight="1" s="270">
      <c r="A409" s="297" t="n"/>
      <c r="B409" s="298" t="n"/>
      <c r="C409" s="298" t="n"/>
      <c r="D409" s="297" t="n"/>
      <c r="E409" s="349" t="n"/>
      <c r="F409" s="349" t="n"/>
      <c r="G409" s="349" t="n"/>
      <c r="H409" s="349" t="n"/>
      <c r="I409" s="382" t="n"/>
      <c r="J409" s="383" t="n"/>
      <c r="K409" s="351" t="n"/>
      <c r="L409" s="296" t="n"/>
      <c r="M409" s="349" t="n"/>
      <c r="N409" s="349">
        <f>IF($A409="","",IF(OR(LOWER($D409&amp;"")="n/a",ISNUMBER(SEARCH("subscription",LOWER($A409&amp;" "&amp;$M409&amp;""))),ISNUMBER(SEARCH("membership",LOWER($A409&amp;" "&amp;$M409&amp;"")))),"",IF($G409="","",IF(ISNUMBER(SEARCH("non",LOWER($E409&amp;""))),$G409*0.85,$G409))))</f>
        <v/>
      </c>
      <c r="O409" s="349">
        <f>IF($A409="","",IF(OR(LOWER($D409&amp;"")="n/a",ISNUMBER(SEARCH("subscription",LOWER($A409&amp;" "&amp;$M409&amp;""))),ISNUMBER(SEARCH("membership",LOWER($A409&amp;" "&amp;$M409&amp;"")))),"",IF(OR($N409="",$I409="",$I409=0),"",$N409/$I409)))</f>
        <v/>
      </c>
      <c r="P409" s="349">
        <f>IF($A409="","",IF(OR(LOWER($D409&amp;"")="n/a",ISNUMBER(SEARCH("subscription",LOWER($A409&amp;" "&amp;$M409&amp;""))),ISNUMBER(SEARCH("membership",LOWER($A409&amp;" "&amp;$M409&amp;"")))),"",IF(LOWER($L409&amp;"")="yes",0,IF($K409&lt;&gt;"",$K409,IF($O409&lt;&gt;"",$O409,"")))))</f>
        <v/>
      </c>
      <c r="Q409" s="351">
        <f>IF($A409="","",IF($U409="Subscription","",IF($U409="Profit",$P409-$H409,0)))</f>
        <v/>
      </c>
      <c r="R409" s="349">
        <f>IF($A409="","",IF($U409="Subscription","",IF($U409="Draw",$H409,0)))</f>
        <v/>
      </c>
      <c r="S409" s="349">
        <f>IF($A409="","",IF($U409="Subscription","",IF($U409="Disqualified",$H409,0)))</f>
        <v/>
      </c>
      <c r="T409" s="380">
        <f>IF($A409="","",IF($U409="Subscription","",IF($H409=0,IF($U409="Profit","N/A",0),IF($U409="Profit",$Q409/$H409,IF($U409="Disqualified",-1,0)))))</f>
        <v/>
      </c>
      <c r="U409" s="351">
        <f>IF($A409="","",IF(OR(LOWER($D409&amp;"")="n/a",ISNUMBER(SEARCH("subscription",LOWER($A409&amp;" "&amp;$M409&amp;""))),ISNUMBER(SEARCH("membership",LOWER($A409&amp;" "&amp;$M409&amp;"")))),"Subscription",IF(LOWER($L409&amp;"")="yes","Disqualified",IF($P409&gt;$H409,"Profit","Draw"))))</f>
        <v/>
      </c>
      <c r="V409" s="383">
        <f>IF(OR($A409="",$B409="",$C409="",$U409="Subscription"),"",IFERROR(ROUNDUP((IF(ISNUMBER($C409),$C409,DATEVALUE($C409))-IF(ISNUMBER($B409),$B409,DATEVALUE($B409)))/7,0),""))</f>
        <v/>
      </c>
      <c r="W409" s="351">
        <f>IF($U409="Subscription","",$Q409-$S409)</f>
        <v/>
      </c>
      <c r="X409" s="384">
        <f>IF(OR($A409="",$U409="Subscription",$J409="",$I409="",$J409=0,$I409=0,$I409&gt;$J409),"",$J409-$I409)</f>
        <v/>
      </c>
      <c r="Y409" s="381">
        <f>IF(OR($A409="",$U409="Subscription",$J409="",$J409=0,$X409=""),"",$X409/$J409)</f>
        <v/>
      </c>
    </row>
    <row r="410" ht="21" customHeight="1" s="270">
      <c r="A410" s="297" t="n"/>
      <c r="B410" s="298" t="n"/>
      <c r="C410" s="298" t="n"/>
      <c r="D410" s="297" t="n"/>
      <c r="E410" s="349" t="n"/>
      <c r="F410" s="349" t="n"/>
      <c r="G410" s="349" t="n"/>
      <c r="H410" s="349" t="n"/>
      <c r="I410" s="382" t="n"/>
      <c r="J410" s="383" t="n"/>
      <c r="K410" s="351" t="n"/>
      <c r="L410" s="296" t="n"/>
      <c r="M410" s="349" t="n"/>
      <c r="N410" s="349">
        <f>IF($A410="","",IF(OR(LOWER($D410&amp;"")="n/a",ISNUMBER(SEARCH("subscription",LOWER($A410&amp;" "&amp;$M410&amp;""))),ISNUMBER(SEARCH("membership",LOWER($A410&amp;" "&amp;$M410&amp;"")))),"",IF($G410="","",IF(ISNUMBER(SEARCH("non",LOWER($E410&amp;""))),$G410*0.85,$G410))))</f>
        <v/>
      </c>
      <c r="O410" s="349">
        <f>IF($A410="","",IF(OR(LOWER($D410&amp;"")="n/a",ISNUMBER(SEARCH("subscription",LOWER($A410&amp;" "&amp;$M410&amp;""))),ISNUMBER(SEARCH("membership",LOWER($A410&amp;" "&amp;$M410&amp;"")))),"",IF(OR($N410="",$I410="",$I410=0),"",$N410/$I410)))</f>
        <v/>
      </c>
      <c r="P410" s="349">
        <f>IF($A410="","",IF(OR(LOWER($D410&amp;"")="n/a",ISNUMBER(SEARCH("subscription",LOWER($A410&amp;" "&amp;$M410&amp;""))),ISNUMBER(SEARCH("membership",LOWER($A410&amp;" "&amp;$M410&amp;"")))),"",IF(LOWER($L410&amp;"")="yes",0,IF($K410&lt;&gt;"",$K410,IF($O410&lt;&gt;"",$O410,"")))))</f>
        <v/>
      </c>
      <c r="Q410" s="351">
        <f>IF($A410="","",IF($U410="Subscription","",IF($U410="Profit",$P410-$H410,0)))</f>
        <v/>
      </c>
      <c r="R410" s="349">
        <f>IF($A410="","",IF($U410="Subscription","",IF($U410="Draw",$H410,0)))</f>
        <v/>
      </c>
      <c r="S410" s="349">
        <f>IF($A410="","",IF($U410="Subscription","",IF($U410="Disqualified",$H410,0)))</f>
        <v/>
      </c>
      <c r="T410" s="380">
        <f>IF($A410="","",IF($U410="Subscription","",IF($H410=0,IF($U410="Profit","N/A",0),IF($U410="Profit",$Q410/$H410,IF($U410="Disqualified",-1,0)))))</f>
        <v/>
      </c>
      <c r="U410" s="351">
        <f>IF($A410="","",IF(OR(LOWER($D410&amp;"")="n/a",ISNUMBER(SEARCH("subscription",LOWER($A410&amp;" "&amp;$M410&amp;""))),ISNUMBER(SEARCH("membership",LOWER($A410&amp;" "&amp;$M410&amp;"")))),"Subscription",IF(LOWER($L410&amp;"")="yes","Disqualified",IF($P410&gt;$H410,"Profit","Draw"))))</f>
        <v/>
      </c>
      <c r="V410" s="383">
        <f>IF(OR($A410="",$B410="",$C410="",$U410="Subscription"),"",IFERROR(ROUNDUP((IF(ISNUMBER($C410),$C410,DATEVALUE($C410))-IF(ISNUMBER($B410),$B410,DATEVALUE($B410)))/7,0),""))</f>
        <v/>
      </c>
      <c r="W410" s="351">
        <f>IF($U410="Subscription","",$Q410-$S410)</f>
        <v/>
      </c>
      <c r="X410" s="384">
        <f>IF(OR($A410="",$U410="Subscription",$J410="",$I410="",$J410=0,$I410=0,$I410&gt;$J410),"",$J410-$I410)</f>
        <v/>
      </c>
      <c r="Y410" s="381">
        <f>IF(OR($A410="",$U410="Subscription",$J410="",$J410=0,$X410=""),"",$X410/$J410)</f>
        <v/>
      </c>
    </row>
    <row r="411" ht="21" customHeight="1" s="270">
      <c r="A411" s="297" t="n"/>
      <c r="B411" s="298" t="n"/>
      <c r="C411" s="298" t="n"/>
      <c r="D411" s="297" t="n"/>
      <c r="E411" s="349" t="n"/>
      <c r="F411" s="349" t="n"/>
      <c r="G411" s="349" t="n"/>
      <c r="H411" s="349" t="n"/>
      <c r="I411" s="382" t="n"/>
      <c r="J411" s="383" t="n"/>
      <c r="K411" s="351" t="n"/>
      <c r="L411" s="296" t="n"/>
      <c r="M411" s="349" t="n"/>
      <c r="N411" s="349">
        <f>IF($A411="","",IF(OR(LOWER($D411&amp;"")="n/a",ISNUMBER(SEARCH("subscription",LOWER($A411&amp;" "&amp;$M411&amp;""))),ISNUMBER(SEARCH("membership",LOWER($A411&amp;" "&amp;$M411&amp;"")))),"",IF($G411="","",IF(ISNUMBER(SEARCH("non",LOWER($E411&amp;""))),$G411*0.85,$G411))))</f>
        <v/>
      </c>
      <c r="O411" s="349">
        <f>IF($A411="","",IF(OR(LOWER($D411&amp;"")="n/a",ISNUMBER(SEARCH("subscription",LOWER($A411&amp;" "&amp;$M411&amp;""))),ISNUMBER(SEARCH("membership",LOWER($A411&amp;" "&amp;$M411&amp;"")))),"",IF(OR($N411="",$I411="",$I411=0),"",$N411/$I411)))</f>
        <v/>
      </c>
      <c r="P411" s="349">
        <f>IF($A411="","",IF(OR(LOWER($D411&amp;"")="n/a",ISNUMBER(SEARCH("subscription",LOWER($A411&amp;" "&amp;$M411&amp;""))),ISNUMBER(SEARCH("membership",LOWER($A411&amp;" "&amp;$M411&amp;"")))),"",IF(LOWER($L411&amp;"")="yes",0,IF($K411&lt;&gt;"",$K411,IF($O411&lt;&gt;"",$O411,"")))))</f>
        <v/>
      </c>
      <c r="Q411" s="351">
        <f>IF($A411="","",IF($U411="Subscription","",IF($U411="Profit",$P411-$H411,0)))</f>
        <v/>
      </c>
      <c r="R411" s="349">
        <f>IF($A411="","",IF($U411="Subscription","",IF($U411="Draw",$H411,0)))</f>
        <v/>
      </c>
      <c r="S411" s="349">
        <f>IF($A411="","",IF($U411="Subscription","",IF($U411="Disqualified",$H411,0)))</f>
        <v/>
      </c>
      <c r="T411" s="380">
        <f>IF($A411="","",IF($U411="Subscription","",IF($H411=0,IF($U411="Profit","N/A",0),IF($U411="Profit",$Q411/$H411,IF($U411="Disqualified",-1,0)))))</f>
        <v/>
      </c>
      <c r="U411" s="351">
        <f>IF($A411="","",IF(OR(LOWER($D411&amp;"")="n/a",ISNUMBER(SEARCH("subscription",LOWER($A411&amp;" "&amp;$M411&amp;""))),ISNUMBER(SEARCH("membership",LOWER($A411&amp;" "&amp;$M411&amp;"")))),"Subscription",IF(LOWER($L411&amp;"")="yes","Disqualified",IF($P411&gt;$H411,"Profit","Draw"))))</f>
        <v/>
      </c>
      <c r="V411" s="383">
        <f>IF(OR($A411="",$B411="",$C411="",$U411="Subscription"),"",IFERROR(ROUNDUP((IF(ISNUMBER($C411),$C411,DATEVALUE($C411))-IF(ISNUMBER($B411),$B411,DATEVALUE($B411)))/7,0),""))</f>
        <v/>
      </c>
      <c r="W411" s="351">
        <f>IF($U411="Subscription","",$Q411-$S411)</f>
        <v/>
      </c>
      <c r="X411" s="384">
        <f>IF(OR($A411="",$U411="Subscription",$J411="",$I411="",$J411=0,$I411=0,$I411&gt;$J411),"",$J411-$I411)</f>
        <v/>
      </c>
      <c r="Y411" s="381">
        <f>IF(OR($A411="",$U411="Subscription",$J411="",$J411=0,$X411=""),"",$X411/$J411)</f>
        <v/>
      </c>
    </row>
    <row r="412" ht="21" customHeight="1" s="270">
      <c r="A412" s="297" t="n"/>
      <c r="B412" s="298" t="n"/>
      <c r="C412" s="298" t="n"/>
      <c r="D412" s="297" t="n"/>
      <c r="E412" s="349" t="n"/>
      <c r="F412" s="349" t="n"/>
      <c r="G412" s="349" t="n"/>
      <c r="H412" s="349" t="n"/>
      <c r="I412" s="382" t="n"/>
      <c r="J412" s="383" t="n"/>
      <c r="K412" s="351" t="n"/>
      <c r="L412" s="296" t="n"/>
      <c r="M412" s="349" t="n"/>
      <c r="N412" s="349">
        <f>IF($A412="","",IF(OR(LOWER($D412&amp;"")="n/a",ISNUMBER(SEARCH("subscription",LOWER($A412&amp;" "&amp;$M412&amp;""))),ISNUMBER(SEARCH("membership",LOWER($A412&amp;" "&amp;$M412&amp;"")))),"",IF($G412="","",IF(ISNUMBER(SEARCH("non",LOWER($E412&amp;""))),$G412*0.85,$G412))))</f>
        <v/>
      </c>
      <c r="O412" s="349">
        <f>IF($A412="","",IF(OR(LOWER($D412&amp;"")="n/a",ISNUMBER(SEARCH("subscription",LOWER($A412&amp;" "&amp;$M412&amp;""))),ISNUMBER(SEARCH("membership",LOWER($A412&amp;" "&amp;$M412&amp;"")))),"",IF(OR($N412="",$I412="",$I412=0),"",$N412/$I412)))</f>
        <v/>
      </c>
      <c r="P412" s="349">
        <f>IF($A412="","",IF(OR(LOWER($D412&amp;"")="n/a",ISNUMBER(SEARCH("subscription",LOWER($A412&amp;" "&amp;$M412&amp;""))),ISNUMBER(SEARCH("membership",LOWER($A412&amp;" "&amp;$M412&amp;"")))),"",IF(LOWER($L412&amp;"")="yes",0,IF($K412&lt;&gt;"",$K412,IF($O412&lt;&gt;"",$O412,"")))))</f>
        <v/>
      </c>
      <c r="Q412" s="351">
        <f>IF($A412="","",IF($U412="Subscription","",IF($U412="Profit",$P412-$H412,0)))</f>
        <v/>
      </c>
      <c r="R412" s="349">
        <f>IF($A412="","",IF($U412="Subscription","",IF($U412="Draw",$H412,0)))</f>
        <v/>
      </c>
      <c r="S412" s="349">
        <f>IF($A412="","",IF($U412="Subscription","",IF($U412="Disqualified",$H412,0)))</f>
        <v/>
      </c>
      <c r="T412" s="380">
        <f>IF($A412="","",IF($U412="Subscription","",IF($H412=0,IF($U412="Profit","N/A",0),IF($U412="Profit",$Q412/$H412,IF($U412="Disqualified",-1,0)))))</f>
        <v/>
      </c>
      <c r="U412" s="351">
        <f>IF($A412="","",IF(OR(LOWER($D412&amp;"")="n/a",ISNUMBER(SEARCH("subscription",LOWER($A412&amp;" "&amp;$M412&amp;""))),ISNUMBER(SEARCH("membership",LOWER($A412&amp;" "&amp;$M412&amp;"")))),"Subscription",IF(LOWER($L412&amp;"")="yes","Disqualified",IF($P412&gt;$H412,"Profit","Draw"))))</f>
        <v/>
      </c>
      <c r="V412" s="383">
        <f>IF(OR($A412="",$B412="",$C412="",$U412="Subscription"),"",IFERROR(ROUNDUP((IF(ISNUMBER($C412),$C412,DATEVALUE($C412))-IF(ISNUMBER($B412),$B412,DATEVALUE($B412)))/7,0),""))</f>
        <v/>
      </c>
      <c r="W412" s="351">
        <f>IF($U412="Subscription","",$Q412-$S412)</f>
        <v/>
      </c>
      <c r="X412" s="384">
        <f>IF(OR($A412="",$U412="Subscription",$J412="",$I412="",$J412=0,$I412=0,$I412&gt;$J412),"",$J412-$I412)</f>
        <v/>
      </c>
      <c r="Y412" s="381">
        <f>IF(OR($A412="",$U412="Subscription",$J412="",$J412=0,$X412=""),"",$X412/$J412)</f>
        <v/>
      </c>
    </row>
    <row r="413" ht="21" customHeight="1" s="270">
      <c r="A413" s="297" t="n"/>
      <c r="B413" s="298" t="n"/>
      <c r="C413" s="298" t="n"/>
      <c r="D413" s="297" t="n"/>
      <c r="E413" s="349" t="n"/>
      <c r="F413" s="349" t="n"/>
      <c r="G413" s="349" t="n"/>
      <c r="H413" s="349" t="n"/>
      <c r="I413" s="382" t="n"/>
      <c r="J413" s="383" t="n"/>
      <c r="K413" s="351" t="n"/>
      <c r="L413" s="296" t="n"/>
      <c r="M413" s="349" t="n"/>
      <c r="N413" s="349">
        <f>IF($A413="","",IF(OR(LOWER($D413&amp;"")="n/a",ISNUMBER(SEARCH("subscription",LOWER($A413&amp;" "&amp;$M413&amp;""))),ISNUMBER(SEARCH("membership",LOWER($A413&amp;" "&amp;$M413&amp;"")))),"",IF($G413="","",IF(ISNUMBER(SEARCH("non",LOWER($E413&amp;""))),$G413*0.85,$G413))))</f>
        <v/>
      </c>
      <c r="O413" s="349">
        <f>IF($A413="","",IF(OR(LOWER($D413&amp;"")="n/a",ISNUMBER(SEARCH("subscription",LOWER($A413&amp;" "&amp;$M413&amp;""))),ISNUMBER(SEARCH("membership",LOWER($A413&amp;" "&amp;$M413&amp;"")))),"",IF(OR($N413="",$I413="",$I413=0),"",$N413/$I413)))</f>
        <v/>
      </c>
      <c r="P413" s="349">
        <f>IF($A413="","",IF(OR(LOWER($D413&amp;"")="n/a",ISNUMBER(SEARCH("subscription",LOWER($A413&amp;" "&amp;$M413&amp;""))),ISNUMBER(SEARCH("membership",LOWER($A413&amp;" "&amp;$M413&amp;"")))),"",IF(LOWER($L413&amp;"")="yes",0,IF($K413&lt;&gt;"",$K413,IF($O413&lt;&gt;"",$O413,"")))))</f>
        <v/>
      </c>
      <c r="Q413" s="351">
        <f>IF($A413="","",IF($U413="Subscription","",IF($U413="Profit",$P413-$H413,0)))</f>
        <v/>
      </c>
      <c r="R413" s="349">
        <f>IF($A413="","",IF($U413="Subscription","",IF($U413="Draw",$H413,0)))</f>
        <v/>
      </c>
      <c r="S413" s="349">
        <f>IF($A413="","",IF($U413="Subscription","",IF($U413="Disqualified",$H413,0)))</f>
        <v/>
      </c>
      <c r="T413" s="380">
        <f>IF($A413="","",IF($U413="Subscription","",IF($H413=0,IF($U413="Profit","N/A",0),IF($U413="Profit",$Q413/$H413,IF($U413="Disqualified",-1,0)))))</f>
        <v/>
      </c>
      <c r="U413" s="351">
        <f>IF($A413="","",IF(OR(LOWER($D413&amp;"")="n/a",ISNUMBER(SEARCH("subscription",LOWER($A413&amp;" "&amp;$M413&amp;""))),ISNUMBER(SEARCH("membership",LOWER($A413&amp;" "&amp;$M413&amp;"")))),"Subscription",IF(LOWER($L413&amp;"")="yes","Disqualified",IF($P413&gt;$H413,"Profit","Draw"))))</f>
        <v/>
      </c>
      <c r="V413" s="383">
        <f>IF(OR($A413="",$B413="",$C413="",$U413="Subscription"),"",IFERROR(ROUNDUP((IF(ISNUMBER($C413),$C413,DATEVALUE($C413))-IF(ISNUMBER($B413),$B413,DATEVALUE($B413)))/7,0),""))</f>
        <v/>
      </c>
      <c r="W413" s="351">
        <f>IF($U413="Subscription","",$Q413-$S413)</f>
        <v/>
      </c>
      <c r="X413" s="384">
        <f>IF(OR($A413="",$U413="Subscription",$J413="",$I413="",$J413=0,$I413=0,$I413&gt;$J413),"",$J413-$I413)</f>
        <v/>
      </c>
      <c r="Y413" s="381">
        <f>IF(OR($A413="",$U413="Subscription",$J413="",$J413=0,$X413=""),"",$X413/$J413)</f>
        <v/>
      </c>
    </row>
    <row r="414" ht="21" customHeight="1" s="270">
      <c r="A414" s="297" t="n"/>
      <c r="B414" s="298" t="n"/>
      <c r="C414" s="298" t="n"/>
      <c r="D414" s="297" t="n"/>
      <c r="E414" s="349" t="n"/>
      <c r="F414" s="349" t="n"/>
      <c r="G414" s="349" t="n"/>
      <c r="H414" s="349" t="n"/>
      <c r="I414" s="382" t="n"/>
      <c r="J414" s="383" t="n"/>
      <c r="K414" s="351" t="n"/>
      <c r="L414" s="296" t="n"/>
      <c r="M414" s="349" t="n"/>
      <c r="N414" s="349">
        <f>IF($A414="","",IF(OR(LOWER($D414&amp;"")="n/a",ISNUMBER(SEARCH("subscription",LOWER($A414&amp;" "&amp;$M414&amp;""))),ISNUMBER(SEARCH("membership",LOWER($A414&amp;" "&amp;$M414&amp;"")))),"",IF($G414="","",IF(ISNUMBER(SEARCH("non",LOWER($E414&amp;""))),$G414*0.85,$G414))))</f>
        <v/>
      </c>
      <c r="O414" s="349">
        <f>IF($A414="","",IF(OR(LOWER($D414&amp;"")="n/a",ISNUMBER(SEARCH("subscription",LOWER($A414&amp;" "&amp;$M414&amp;""))),ISNUMBER(SEARCH("membership",LOWER($A414&amp;" "&amp;$M414&amp;"")))),"",IF(OR($N414="",$I414="",$I414=0),"",$N414/$I414)))</f>
        <v/>
      </c>
      <c r="P414" s="349">
        <f>IF($A414="","",IF(OR(LOWER($D414&amp;"")="n/a",ISNUMBER(SEARCH("subscription",LOWER($A414&amp;" "&amp;$M414&amp;""))),ISNUMBER(SEARCH("membership",LOWER($A414&amp;" "&amp;$M414&amp;"")))),"",IF(LOWER($L414&amp;"")="yes",0,IF($K414&lt;&gt;"",$K414,IF($O414&lt;&gt;"",$O414,"")))))</f>
        <v/>
      </c>
      <c r="Q414" s="351">
        <f>IF($A414="","",IF($U414="Subscription","",IF($U414="Profit",$P414-$H414,0)))</f>
        <v/>
      </c>
      <c r="R414" s="349">
        <f>IF($A414="","",IF($U414="Subscription","",IF($U414="Draw",$H414,0)))</f>
        <v/>
      </c>
      <c r="S414" s="349">
        <f>IF($A414="","",IF($U414="Subscription","",IF($U414="Disqualified",$H414,0)))</f>
        <v/>
      </c>
      <c r="T414" s="380">
        <f>IF($A414="","",IF($U414="Subscription","",IF($H414=0,IF($U414="Profit","N/A",0),IF($U414="Profit",$Q414/$H414,IF($U414="Disqualified",-1,0)))))</f>
        <v/>
      </c>
      <c r="U414" s="351">
        <f>IF($A414="","",IF(OR(LOWER($D414&amp;"")="n/a",ISNUMBER(SEARCH("subscription",LOWER($A414&amp;" "&amp;$M414&amp;""))),ISNUMBER(SEARCH("membership",LOWER($A414&amp;" "&amp;$M414&amp;"")))),"Subscription",IF(LOWER($L414&amp;"")="yes","Disqualified",IF($P414&gt;$H414,"Profit","Draw"))))</f>
        <v/>
      </c>
      <c r="V414" s="383">
        <f>IF(OR($A414="",$B414="",$C414="",$U414="Subscription"),"",IFERROR(ROUNDUP((IF(ISNUMBER($C414),$C414,DATEVALUE($C414))-IF(ISNUMBER($B414),$B414,DATEVALUE($B414)))/7,0),""))</f>
        <v/>
      </c>
      <c r="W414" s="351">
        <f>IF($U414="Subscription","",$Q414-$S414)</f>
        <v/>
      </c>
      <c r="X414" s="384">
        <f>IF(OR($A414="",$U414="Subscription",$J414="",$I414="",$J414=0,$I414=0,$I414&gt;$J414),"",$J414-$I414)</f>
        <v/>
      </c>
      <c r="Y414" s="381">
        <f>IF(OR($A414="",$U414="Subscription",$J414="",$J414=0,$X414=""),"",$X414/$J414)</f>
        <v/>
      </c>
    </row>
    <row r="415" ht="21" customHeight="1" s="270">
      <c r="A415" s="297" t="n"/>
      <c r="B415" s="298" t="n"/>
      <c r="C415" s="298" t="n"/>
      <c r="D415" s="297" t="n"/>
      <c r="E415" s="349" t="n"/>
      <c r="F415" s="349" t="n"/>
      <c r="G415" s="349" t="n"/>
      <c r="H415" s="349" t="n"/>
      <c r="I415" s="382" t="n"/>
      <c r="J415" s="383" t="n"/>
      <c r="K415" s="351" t="n"/>
      <c r="L415" s="296" t="n"/>
      <c r="M415" s="349" t="n"/>
      <c r="N415" s="349">
        <f>IF($A415="","",IF(OR(LOWER($D415&amp;"")="n/a",ISNUMBER(SEARCH("subscription",LOWER($A415&amp;" "&amp;$M415&amp;""))),ISNUMBER(SEARCH("membership",LOWER($A415&amp;" "&amp;$M415&amp;"")))),"",IF($G415="","",IF(ISNUMBER(SEARCH("non",LOWER($E415&amp;""))),$G415*0.85,$G415))))</f>
        <v/>
      </c>
      <c r="O415" s="349">
        <f>IF($A415="","",IF(OR(LOWER($D415&amp;"")="n/a",ISNUMBER(SEARCH("subscription",LOWER($A415&amp;" "&amp;$M415&amp;""))),ISNUMBER(SEARCH("membership",LOWER($A415&amp;" "&amp;$M415&amp;"")))),"",IF(OR($N415="",$I415="",$I415=0),"",$N415/$I415)))</f>
        <v/>
      </c>
      <c r="P415" s="349">
        <f>IF($A415="","",IF(OR(LOWER($D415&amp;"")="n/a",ISNUMBER(SEARCH("subscription",LOWER($A415&amp;" "&amp;$M415&amp;""))),ISNUMBER(SEARCH("membership",LOWER($A415&amp;" "&amp;$M415&amp;"")))),"",IF(LOWER($L415&amp;"")="yes",0,IF($K415&lt;&gt;"",$K415,IF($O415&lt;&gt;"",$O415,"")))))</f>
        <v/>
      </c>
      <c r="Q415" s="351">
        <f>IF($A415="","",IF($U415="Subscription","",IF($U415="Profit",$P415-$H415,0)))</f>
        <v/>
      </c>
      <c r="R415" s="349">
        <f>IF($A415="","",IF($U415="Subscription","",IF($U415="Draw",$H415,0)))</f>
        <v/>
      </c>
      <c r="S415" s="349">
        <f>IF($A415="","",IF($U415="Subscription","",IF($U415="Disqualified",$H415,0)))</f>
        <v/>
      </c>
      <c r="T415" s="380">
        <f>IF($A415="","",IF($U415="Subscription","",IF($H415=0,IF($U415="Profit","N/A",0),IF($U415="Profit",$Q415/$H415,IF($U415="Disqualified",-1,0)))))</f>
        <v/>
      </c>
      <c r="U415" s="351">
        <f>IF($A415="","",IF(OR(LOWER($D415&amp;"")="n/a",ISNUMBER(SEARCH("subscription",LOWER($A415&amp;" "&amp;$M415&amp;""))),ISNUMBER(SEARCH("membership",LOWER($A415&amp;" "&amp;$M415&amp;"")))),"Subscription",IF(LOWER($L415&amp;"")="yes","Disqualified",IF($P415&gt;$H415,"Profit","Draw"))))</f>
        <v/>
      </c>
      <c r="V415" s="383">
        <f>IF(OR($A415="",$B415="",$C415="",$U415="Subscription"),"",IFERROR(ROUNDUP((IF(ISNUMBER($C415),$C415,DATEVALUE($C415))-IF(ISNUMBER($B415),$B415,DATEVALUE($B415)))/7,0),""))</f>
        <v/>
      </c>
      <c r="W415" s="351">
        <f>IF($U415="Subscription","",$Q415-$S415)</f>
        <v/>
      </c>
      <c r="X415" s="384">
        <f>IF(OR($A415="",$U415="Subscription",$J415="",$I415="",$J415=0,$I415=0,$I415&gt;$J415),"",$J415-$I415)</f>
        <v/>
      </c>
      <c r="Y415" s="381">
        <f>IF(OR($A415="",$U415="Subscription",$J415="",$J415=0,$X415=""),"",$X415/$J415)</f>
        <v/>
      </c>
    </row>
    <row r="416" ht="21" customHeight="1" s="270">
      <c r="A416" s="297" t="n"/>
      <c r="B416" s="298" t="n"/>
      <c r="C416" s="298" t="n"/>
      <c r="D416" s="297" t="n"/>
      <c r="E416" s="349" t="n"/>
      <c r="F416" s="349" t="n"/>
      <c r="G416" s="349" t="n"/>
      <c r="H416" s="349" t="n"/>
      <c r="I416" s="382" t="n"/>
      <c r="J416" s="383" t="n"/>
      <c r="K416" s="351" t="n"/>
      <c r="L416" s="296" t="n"/>
      <c r="M416" s="349" t="n"/>
      <c r="N416" s="349">
        <f>IF($A416="","",IF(OR(LOWER($D416&amp;"")="n/a",ISNUMBER(SEARCH("subscription",LOWER($A416&amp;" "&amp;$M416&amp;""))),ISNUMBER(SEARCH("membership",LOWER($A416&amp;" "&amp;$M416&amp;"")))),"",IF($G416="","",IF(ISNUMBER(SEARCH("non",LOWER($E416&amp;""))),$G416*0.85,$G416))))</f>
        <v/>
      </c>
      <c r="O416" s="349">
        <f>IF($A416="","",IF(OR(LOWER($D416&amp;"")="n/a",ISNUMBER(SEARCH("subscription",LOWER($A416&amp;" "&amp;$M416&amp;""))),ISNUMBER(SEARCH("membership",LOWER($A416&amp;" "&amp;$M416&amp;"")))),"",IF(OR($N416="",$I416="",$I416=0),"",$N416/$I416)))</f>
        <v/>
      </c>
      <c r="P416" s="349">
        <f>IF($A416="","",IF(OR(LOWER($D416&amp;"")="n/a",ISNUMBER(SEARCH("subscription",LOWER($A416&amp;" "&amp;$M416&amp;""))),ISNUMBER(SEARCH("membership",LOWER($A416&amp;" "&amp;$M416&amp;"")))),"",IF(LOWER($L416&amp;"")="yes",0,IF($K416&lt;&gt;"",$K416,IF($O416&lt;&gt;"",$O416,"")))))</f>
        <v/>
      </c>
      <c r="Q416" s="351">
        <f>IF($A416="","",IF($U416="Subscription","",IF($U416="Profit",$P416-$H416,0)))</f>
        <v/>
      </c>
      <c r="R416" s="349">
        <f>IF($A416="","",IF($U416="Subscription","",IF($U416="Draw",$H416,0)))</f>
        <v/>
      </c>
      <c r="S416" s="349">
        <f>IF($A416="","",IF($U416="Subscription","",IF($U416="Disqualified",$H416,0)))</f>
        <v/>
      </c>
      <c r="T416" s="380">
        <f>IF($A416="","",IF($U416="Subscription","",IF($H416=0,IF($U416="Profit","N/A",0),IF($U416="Profit",$Q416/$H416,IF($U416="Disqualified",-1,0)))))</f>
        <v/>
      </c>
      <c r="U416" s="351">
        <f>IF($A416="","",IF(OR(LOWER($D416&amp;"")="n/a",ISNUMBER(SEARCH("subscription",LOWER($A416&amp;" "&amp;$M416&amp;""))),ISNUMBER(SEARCH("membership",LOWER($A416&amp;" "&amp;$M416&amp;"")))),"Subscription",IF(LOWER($L416&amp;"")="yes","Disqualified",IF($P416&gt;$H416,"Profit","Draw"))))</f>
        <v/>
      </c>
      <c r="V416" s="383">
        <f>IF(OR($A416="",$B416="",$C416="",$U416="Subscription"),"",IFERROR(ROUNDUP((IF(ISNUMBER($C416),$C416,DATEVALUE($C416))-IF(ISNUMBER($B416),$B416,DATEVALUE($B416)))/7,0),""))</f>
        <v/>
      </c>
      <c r="W416" s="351">
        <f>IF($U416="Subscription","",$Q416-$S416)</f>
        <v/>
      </c>
      <c r="X416" s="384">
        <f>IF(OR($A416="",$U416="Subscription",$J416="",$I416="",$J416=0,$I416=0,$I416&gt;$J416),"",$J416-$I416)</f>
        <v/>
      </c>
      <c r="Y416" s="381">
        <f>IF(OR($A416="",$U416="Subscription",$J416="",$J416=0,$X416=""),"",$X416/$J416)</f>
        <v/>
      </c>
    </row>
    <row r="417" ht="21" customHeight="1" s="270">
      <c r="A417" s="297" t="n"/>
      <c r="B417" s="298" t="n"/>
      <c r="C417" s="298" t="n"/>
      <c r="D417" s="297" t="n"/>
      <c r="E417" s="349" t="n"/>
      <c r="F417" s="349" t="n"/>
      <c r="G417" s="349" t="n"/>
      <c r="H417" s="349" t="n"/>
      <c r="I417" s="382" t="n"/>
      <c r="J417" s="383" t="n"/>
      <c r="K417" s="351" t="n"/>
      <c r="L417" s="296" t="n"/>
      <c r="M417" s="349" t="n"/>
      <c r="N417" s="349">
        <f>IF($A417="","",IF(OR(LOWER($D417&amp;"")="n/a",ISNUMBER(SEARCH("subscription",LOWER($A417&amp;" "&amp;$M417&amp;""))),ISNUMBER(SEARCH("membership",LOWER($A417&amp;" "&amp;$M417&amp;"")))),"",IF($G417="","",IF(ISNUMBER(SEARCH("non",LOWER($E417&amp;""))),$G417*0.85,$G417))))</f>
        <v/>
      </c>
      <c r="O417" s="349">
        <f>IF($A417="","",IF(OR(LOWER($D417&amp;"")="n/a",ISNUMBER(SEARCH("subscription",LOWER($A417&amp;" "&amp;$M417&amp;""))),ISNUMBER(SEARCH("membership",LOWER($A417&amp;" "&amp;$M417&amp;"")))),"",IF(OR($N417="",$I417="",$I417=0),"",$N417/$I417)))</f>
        <v/>
      </c>
      <c r="P417" s="349">
        <f>IF($A417="","",IF(OR(LOWER($D417&amp;"")="n/a",ISNUMBER(SEARCH("subscription",LOWER($A417&amp;" "&amp;$M417&amp;""))),ISNUMBER(SEARCH("membership",LOWER($A417&amp;" "&amp;$M417&amp;"")))),"",IF(LOWER($L417&amp;"")="yes",0,IF($K417&lt;&gt;"",$K417,IF($O417&lt;&gt;"",$O417,"")))))</f>
        <v/>
      </c>
      <c r="Q417" s="351">
        <f>IF($A417="","",IF($U417="Subscription","",IF($U417="Profit",$P417-$H417,0)))</f>
        <v/>
      </c>
      <c r="R417" s="349">
        <f>IF($A417="","",IF($U417="Subscription","",IF($U417="Draw",$H417,0)))</f>
        <v/>
      </c>
      <c r="S417" s="349">
        <f>IF($A417="","",IF($U417="Subscription","",IF($U417="Disqualified",$H417,0)))</f>
        <v/>
      </c>
      <c r="T417" s="380">
        <f>IF($A417="","",IF($U417="Subscription","",IF($H417=0,IF($U417="Profit","N/A",0),IF($U417="Profit",$Q417/$H417,IF($U417="Disqualified",-1,0)))))</f>
        <v/>
      </c>
      <c r="U417" s="351">
        <f>IF($A417="","",IF(OR(LOWER($D417&amp;"")="n/a",ISNUMBER(SEARCH("subscription",LOWER($A417&amp;" "&amp;$M417&amp;""))),ISNUMBER(SEARCH("membership",LOWER($A417&amp;" "&amp;$M417&amp;"")))),"Subscription",IF(LOWER($L417&amp;"")="yes","Disqualified",IF($P417&gt;$H417,"Profit","Draw"))))</f>
        <v/>
      </c>
      <c r="V417" s="383">
        <f>IF(OR($A417="",$B417="",$C417="",$U417="Subscription"),"",IFERROR(ROUNDUP((IF(ISNUMBER($C417),$C417,DATEVALUE($C417))-IF(ISNUMBER($B417),$B417,DATEVALUE($B417)))/7,0),""))</f>
        <v/>
      </c>
      <c r="W417" s="351">
        <f>IF($U417="Subscription","",$Q417-$S417)</f>
        <v/>
      </c>
      <c r="X417" s="384">
        <f>IF(OR($A417="",$U417="Subscription",$J417="",$I417="",$J417=0,$I417=0,$I417&gt;$J417),"",$J417-$I417)</f>
        <v/>
      </c>
      <c r="Y417" s="381">
        <f>IF(OR($A417="",$U417="Subscription",$J417="",$J417=0,$X417=""),"",$X417/$J417)</f>
        <v/>
      </c>
    </row>
    <row r="418" ht="21" customHeight="1" s="270">
      <c r="A418" s="297" t="n"/>
      <c r="B418" s="298" t="n"/>
      <c r="C418" s="298" t="n"/>
      <c r="D418" s="297" t="n"/>
      <c r="E418" s="349" t="n"/>
      <c r="F418" s="349" t="n"/>
      <c r="G418" s="349" t="n"/>
      <c r="H418" s="349" t="n"/>
      <c r="I418" s="382" t="n"/>
      <c r="J418" s="383" t="n"/>
      <c r="K418" s="351" t="n"/>
      <c r="L418" s="296" t="n"/>
      <c r="M418" s="349" t="n"/>
      <c r="N418" s="349">
        <f>IF($A418="","",IF(OR(LOWER($D418&amp;"")="n/a",ISNUMBER(SEARCH("subscription",LOWER($A418&amp;" "&amp;$M418&amp;""))),ISNUMBER(SEARCH("membership",LOWER($A418&amp;" "&amp;$M418&amp;"")))),"",IF($G418="","",IF(ISNUMBER(SEARCH("non",LOWER($E418&amp;""))),$G418*0.85,$G418))))</f>
        <v/>
      </c>
      <c r="O418" s="349">
        <f>IF($A418="","",IF(OR(LOWER($D418&amp;"")="n/a",ISNUMBER(SEARCH("subscription",LOWER($A418&amp;" "&amp;$M418&amp;""))),ISNUMBER(SEARCH("membership",LOWER($A418&amp;" "&amp;$M418&amp;"")))),"",IF(OR($N418="",$I418="",$I418=0),"",$N418/$I418)))</f>
        <v/>
      </c>
      <c r="P418" s="349">
        <f>IF($A418="","",IF(OR(LOWER($D418&amp;"")="n/a",ISNUMBER(SEARCH("subscription",LOWER($A418&amp;" "&amp;$M418&amp;""))),ISNUMBER(SEARCH("membership",LOWER($A418&amp;" "&amp;$M418&amp;"")))),"",IF(LOWER($L418&amp;"")="yes",0,IF($K418&lt;&gt;"",$K418,IF($O418&lt;&gt;"",$O418,"")))))</f>
        <v/>
      </c>
      <c r="Q418" s="351">
        <f>IF($A418="","",IF($U418="Subscription","",IF($U418="Profit",$P418-$H418,0)))</f>
        <v/>
      </c>
      <c r="R418" s="349">
        <f>IF($A418="","",IF($U418="Subscription","",IF($U418="Draw",$H418,0)))</f>
        <v/>
      </c>
      <c r="S418" s="349">
        <f>IF($A418="","",IF($U418="Subscription","",IF($U418="Disqualified",$H418,0)))</f>
        <v/>
      </c>
      <c r="T418" s="380">
        <f>IF($A418="","",IF($U418="Subscription","",IF($H418=0,IF($U418="Profit","N/A",0),IF($U418="Profit",$Q418/$H418,IF($U418="Disqualified",-1,0)))))</f>
        <v/>
      </c>
      <c r="U418" s="351">
        <f>IF($A418="","",IF(OR(LOWER($D418&amp;"")="n/a",ISNUMBER(SEARCH("subscription",LOWER($A418&amp;" "&amp;$M418&amp;""))),ISNUMBER(SEARCH("membership",LOWER($A418&amp;" "&amp;$M418&amp;"")))),"Subscription",IF(LOWER($L418&amp;"")="yes","Disqualified",IF($P418&gt;$H418,"Profit","Draw"))))</f>
        <v/>
      </c>
      <c r="V418" s="383">
        <f>IF(OR($A418="",$B418="",$C418="",$U418="Subscription"),"",IFERROR(ROUNDUP((IF(ISNUMBER($C418),$C418,DATEVALUE($C418))-IF(ISNUMBER($B418),$B418,DATEVALUE($B418)))/7,0),""))</f>
        <v/>
      </c>
      <c r="W418" s="351">
        <f>IF($U418="Subscription","",$Q418-$S418)</f>
        <v/>
      </c>
      <c r="X418" s="384">
        <f>IF(OR($A418="",$U418="Subscription",$J418="",$I418="",$J418=0,$I418=0,$I418&gt;$J418),"",$J418-$I418)</f>
        <v/>
      </c>
      <c r="Y418" s="381">
        <f>IF(OR($A418="",$U418="Subscription",$J418="",$J418=0,$X418=""),"",$X418/$J418)</f>
        <v/>
      </c>
    </row>
    <row r="419" ht="21" customHeight="1" s="270">
      <c r="A419" s="297" t="n"/>
      <c r="B419" s="298" t="n"/>
      <c r="C419" s="298" t="n"/>
      <c r="D419" s="297" t="n"/>
      <c r="E419" s="349" t="n"/>
      <c r="F419" s="349" t="n"/>
      <c r="G419" s="349" t="n"/>
      <c r="H419" s="349" t="n"/>
      <c r="I419" s="382" t="n"/>
      <c r="J419" s="383" t="n"/>
      <c r="K419" s="351" t="n"/>
      <c r="L419" s="296" t="n"/>
      <c r="M419" s="349" t="n"/>
      <c r="N419" s="349">
        <f>IF($A419="","",IF(OR(LOWER($D419&amp;"")="n/a",ISNUMBER(SEARCH("subscription",LOWER($A419&amp;" "&amp;$M419&amp;""))),ISNUMBER(SEARCH("membership",LOWER($A419&amp;" "&amp;$M419&amp;"")))),"",IF($G419="","",IF(ISNUMBER(SEARCH("non",LOWER($E419&amp;""))),$G419*0.85,$G419))))</f>
        <v/>
      </c>
      <c r="O419" s="349">
        <f>IF($A419="","",IF(OR(LOWER($D419&amp;"")="n/a",ISNUMBER(SEARCH("subscription",LOWER($A419&amp;" "&amp;$M419&amp;""))),ISNUMBER(SEARCH("membership",LOWER($A419&amp;" "&amp;$M419&amp;"")))),"",IF(OR($N419="",$I419="",$I419=0),"",$N419/$I419)))</f>
        <v/>
      </c>
      <c r="P419" s="349">
        <f>IF($A419="","",IF(OR(LOWER($D419&amp;"")="n/a",ISNUMBER(SEARCH("subscription",LOWER($A419&amp;" "&amp;$M419&amp;""))),ISNUMBER(SEARCH("membership",LOWER($A419&amp;" "&amp;$M419&amp;"")))),"",IF(LOWER($L419&amp;"")="yes",0,IF($K419&lt;&gt;"",$K419,IF($O419&lt;&gt;"",$O419,"")))))</f>
        <v/>
      </c>
      <c r="Q419" s="351">
        <f>IF($A419="","",IF($U419="Subscription","",IF($U419="Profit",$P419-$H419,0)))</f>
        <v/>
      </c>
      <c r="R419" s="349">
        <f>IF($A419="","",IF($U419="Subscription","",IF($U419="Draw",$H419,0)))</f>
        <v/>
      </c>
      <c r="S419" s="349">
        <f>IF($A419="","",IF($U419="Subscription","",IF($U419="Disqualified",$H419,0)))</f>
        <v/>
      </c>
      <c r="T419" s="380">
        <f>IF($A419="","",IF($U419="Subscription","",IF($H419=0,IF($U419="Profit","N/A",0),IF($U419="Profit",$Q419/$H419,IF($U419="Disqualified",-1,0)))))</f>
        <v/>
      </c>
      <c r="U419" s="351">
        <f>IF($A419="","",IF(OR(LOWER($D419&amp;"")="n/a",ISNUMBER(SEARCH("subscription",LOWER($A419&amp;" "&amp;$M419&amp;""))),ISNUMBER(SEARCH("membership",LOWER($A419&amp;" "&amp;$M419&amp;"")))),"Subscription",IF(LOWER($L419&amp;"")="yes","Disqualified",IF($P419&gt;$H419,"Profit","Draw"))))</f>
        <v/>
      </c>
      <c r="V419" s="383">
        <f>IF(OR($A419="",$B419="",$C419="",$U419="Subscription"),"",IFERROR(ROUNDUP((IF(ISNUMBER($C419),$C419,DATEVALUE($C419))-IF(ISNUMBER($B419),$B419,DATEVALUE($B419)))/7,0),""))</f>
        <v/>
      </c>
      <c r="W419" s="351">
        <f>IF($U419="Subscription","",$Q419-$S419)</f>
        <v/>
      </c>
      <c r="X419" s="384">
        <f>IF(OR($A419="",$U419="Subscription",$J419="",$I419="",$J419=0,$I419=0,$I419&gt;$J419),"",$J419-$I419)</f>
        <v/>
      </c>
      <c r="Y419" s="381">
        <f>IF(OR($A419="",$U419="Subscription",$J419="",$J419=0,$X419=""),"",$X419/$J419)</f>
        <v/>
      </c>
    </row>
    <row r="420" ht="21" customHeight="1" s="270">
      <c r="A420" s="297" t="n"/>
      <c r="B420" s="298" t="n"/>
      <c r="C420" s="298" t="n"/>
      <c r="D420" s="297" t="n"/>
      <c r="E420" s="349" t="n"/>
      <c r="F420" s="349" t="n"/>
      <c r="G420" s="349" t="n"/>
      <c r="H420" s="349" t="n"/>
      <c r="I420" s="382" t="n"/>
      <c r="J420" s="383" t="n"/>
      <c r="K420" s="351" t="n"/>
      <c r="L420" s="296" t="n"/>
      <c r="M420" s="349" t="n"/>
      <c r="N420" s="349">
        <f>IF($A420="","",IF(OR(LOWER($D420&amp;"")="n/a",ISNUMBER(SEARCH("subscription",LOWER($A420&amp;" "&amp;$M420&amp;""))),ISNUMBER(SEARCH("membership",LOWER($A420&amp;" "&amp;$M420&amp;"")))),"",IF($G420="","",IF(ISNUMBER(SEARCH("non",LOWER($E420&amp;""))),$G420*0.85,$G420))))</f>
        <v/>
      </c>
      <c r="O420" s="349">
        <f>IF($A420="","",IF(OR(LOWER($D420&amp;"")="n/a",ISNUMBER(SEARCH("subscription",LOWER($A420&amp;" "&amp;$M420&amp;""))),ISNUMBER(SEARCH("membership",LOWER($A420&amp;" "&amp;$M420&amp;"")))),"",IF(OR($N420="",$I420="",$I420=0),"",$N420/$I420)))</f>
        <v/>
      </c>
      <c r="P420" s="349">
        <f>IF($A420="","",IF(OR(LOWER($D420&amp;"")="n/a",ISNUMBER(SEARCH("subscription",LOWER($A420&amp;" "&amp;$M420&amp;""))),ISNUMBER(SEARCH("membership",LOWER($A420&amp;" "&amp;$M420&amp;"")))),"",IF(LOWER($L420&amp;"")="yes",0,IF($K420&lt;&gt;"",$K420,IF($O420&lt;&gt;"",$O420,"")))))</f>
        <v/>
      </c>
      <c r="Q420" s="351">
        <f>IF($A420="","",IF($U420="Subscription","",IF($U420="Profit",$P420-$H420,0)))</f>
        <v/>
      </c>
      <c r="R420" s="349">
        <f>IF($A420="","",IF($U420="Subscription","",IF($U420="Draw",$H420,0)))</f>
        <v/>
      </c>
      <c r="S420" s="349">
        <f>IF($A420="","",IF($U420="Subscription","",IF($U420="Disqualified",$H420,0)))</f>
        <v/>
      </c>
      <c r="T420" s="380">
        <f>IF($A420="","",IF($U420="Subscription","",IF($H420=0,IF($U420="Profit","N/A",0),IF($U420="Profit",$Q420/$H420,IF($U420="Disqualified",-1,0)))))</f>
        <v/>
      </c>
      <c r="U420" s="351">
        <f>IF($A420="","",IF(OR(LOWER($D420&amp;"")="n/a",ISNUMBER(SEARCH("subscription",LOWER($A420&amp;" "&amp;$M420&amp;""))),ISNUMBER(SEARCH("membership",LOWER($A420&amp;" "&amp;$M420&amp;"")))),"Subscription",IF(LOWER($L420&amp;"")="yes","Disqualified",IF($P420&gt;$H420,"Profit","Draw"))))</f>
        <v/>
      </c>
      <c r="V420" s="383">
        <f>IF(OR($A420="",$B420="",$C420="",$U420="Subscription"),"",IFERROR(ROUNDUP((IF(ISNUMBER($C420),$C420,DATEVALUE($C420))-IF(ISNUMBER($B420),$B420,DATEVALUE($B420)))/7,0),""))</f>
        <v/>
      </c>
      <c r="W420" s="351">
        <f>IF($U420="Subscription","",$Q420-$S420)</f>
        <v/>
      </c>
      <c r="X420" s="384">
        <f>IF(OR($A420="",$U420="Subscription",$J420="",$I420="",$J420=0,$I420=0,$I420&gt;$J420),"",$J420-$I420)</f>
        <v/>
      </c>
      <c r="Y420" s="381">
        <f>IF(OR($A420="",$U420="Subscription",$J420="",$J420=0,$X420=""),"",$X420/$J420)</f>
        <v/>
      </c>
    </row>
    <row r="421" ht="21" customHeight="1" s="270">
      <c r="A421" s="297" t="n"/>
      <c r="B421" s="298" t="n"/>
      <c r="C421" s="298" t="n"/>
      <c r="D421" s="297" t="n"/>
      <c r="E421" s="349" t="n"/>
      <c r="F421" s="349" t="n"/>
      <c r="G421" s="349" t="n"/>
      <c r="H421" s="349" t="n"/>
      <c r="I421" s="382" t="n"/>
      <c r="J421" s="383" t="n"/>
      <c r="K421" s="351" t="n"/>
      <c r="L421" s="296" t="n"/>
      <c r="M421" s="349" t="n"/>
      <c r="N421" s="349">
        <f>IF($A421="","",IF(OR(LOWER($D421&amp;"")="n/a",ISNUMBER(SEARCH("subscription",LOWER($A421&amp;" "&amp;$M421&amp;""))),ISNUMBER(SEARCH("membership",LOWER($A421&amp;" "&amp;$M421&amp;"")))),"",IF($G421="","",IF(ISNUMBER(SEARCH("non",LOWER($E421&amp;""))),$G421*0.85,$G421))))</f>
        <v/>
      </c>
      <c r="O421" s="349">
        <f>IF($A421="","",IF(OR(LOWER($D421&amp;"")="n/a",ISNUMBER(SEARCH("subscription",LOWER($A421&amp;" "&amp;$M421&amp;""))),ISNUMBER(SEARCH("membership",LOWER($A421&amp;" "&amp;$M421&amp;"")))),"",IF(OR($N421="",$I421="",$I421=0),"",$N421/$I421)))</f>
        <v/>
      </c>
      <c r="P421" s="349">
        <f>IF($A421="","",IF(OR(LOWER($D421&amp;"")="n/a",ISNUMBER(SEARCH("subscription",LOWER($A421&amp;" "&amp;$M421&amp;""))),ISNUMBER(SEARCH("membership",LOWER($A421&amp;" "&amp;$M421&amp;"")))),"",IF(LOWER($L421&amp;"")="yes",0,IF($K421&lt;&gt;"",$K421,IF($O421&lt;&gt;"",$O421,"")))))</f>
        <v/>
      </c>
      <c r="Q421" s="351">
        <f>IF($A421="","",IF($U421="Subscription","",IF($U421="Profit",$P421-$H421,0)))</f>
        <v/>
      </c>
      <c r="R421" s="349">
        <f>IF($A421="","",IF($U421="Subscription","",IF($U421="Draw",$H421,0)))</f>
        <v/>
      </c>
      <c r="S421" s="349">
        <f>IF($A421="","",IF($U421="Subscription","",IF($U421="Disqualified",$H421,0)))</f>
        <v/>
      </c>
      <c r="T421" s="380">
        <f>IF($A421="","",IF($U421="Subscription","",IF($H421=0,IF($U421="Profit","N/A",0),IF($U421="Profit",$Q421/$H421,IF($U421="Disqualified",-1,0)))))</f>
        <v/>
      </c>
      <c r="U421" s="351">
        <f>IF($A421="","",IF(OR(LOWER($D421&amp;"")="n/a",ISNUMBER(SEARCH("subscription",LOWER($A421&amp;" "&amp;$M421&amp;""))),ISNUMBER(SEARCH("membership",LOWER($A421&amp;" "&amp;$M421&amp;"")))),"Subscription",IF(LOWER($L421&amp;"")="yes","Disqualified",IF($P421&gt;$H421,"Profit","Draw"))))</f>
        <v/>
      </c>
      <c r="V421" s="383">
        <f>IF(OR($A421="",$B421="",$C421="",$U421="Subscription"),"",IFERROR(ROUNDUP((IF(ISNUMBER($C421),$C421,DATEVALUE($C421))-IF(ISNUMBER($B421),$B421,DATEVALUE($B421)))/7,0),""))</f>
        <v/>
      </c>
      <c r="W421" s="351">
        <f>IF($U421="Subscription","",$Q421-$S421)</f>
        <v/>
      </c>
      <c r="X421" s="384">
        <f>IF(OR($A421="",$U421="Subscription",$J421="",$I421="",$J421=0,$I421=0,$I421&gt;$J421),"",$J421-$I421)</f>
        <v/>
      </c>
      <c r="Y421" s="381">
        <f>IF(OR($A421="",$U421="Subscription",$J421="",$J421=0,$X421=""),"",$X421/$J421)</f>
        <v/>
      </c>
    </row>
    <row r="422" ht="21" customHeight="1" s="270">
      <c r="A422" s="297" t="n"/>
      <c r="B422" s="298" t="n"/>
      <c r="C422" s="298" t="n"/>
      <c r="D422" s="297" t="n"/>
      <c r="E422" s="349" t="n"/>
      <c r="F422" s="349" t="n"/>
      <c r="G422" s="349" t="n"/>
      <c r="H422" s="349" t="n"/>
      <c r="I422" s="382" t="n"/>
      <c r="J422" s="383" t="n"/>
      <c r="K422" s="351" t="n"/>
      <c r="L422" s="296" t="n"/>
      <c r="M422" s="349" t="n"/>
      <c r="N422" s="349">
        <f>IF($A422="","",IF(OR(LOWER($D422&amp;"")="n/a",ISNUMBER(SEARCH("subscription",LOWER($A422&amp;" "&amp;$M422&amp;""))),ISNUMBER(SEARCH("membership",LOWER($A422&amp;" "&amp;$M422&amp;"")))),"",IF($G422="","",IF(ISNUMBER(SEARCH("non",LOWER($E422&amp;""))),$G422*0.85,$G422))))</f>
        <v/>
      </c>
      <c r="O422" s="349">
        <f>IF($A422="","",IF(OR(LOWER($D422&amp;"")="n/a",ISNUMBER(SEARCH("subscription",LOWER($A422&amp;" "&amp;$M422&amp;""))),ISNUMBER(SEARCH("membership",LOWER($A422&amp;" "&amp;$M422&amp;"")))),"",IF(OR($N422="",$I422="",$I422=0),"",$N422/$I422)))</f>
        <v/>
      </c>
      <c r="P422" s="349">
        <f>IF($A422="","",IF(OR(LOWER($D422&amp;"")="n/a",ISNUMBER(SEARCH("subscription",LOWER($A422&amp;" "&amp;$M422&amp;""))),ISNUMBER(SEARCH("membership",LOWER($A422&amp;" "&amp;$M422&amp;"")))),"",IF(LOWER($L422&amp;"")="yes",0,IF($K422&lt;&gt;"",$K422,IF($O422&lt;&gt;"",$O422,"")))))</f>
        <v/>
      </c>
      <c r="Q422" s="351">
        <f>IF($A422="","",IF($U422="Subscription","",IF($U422="Profit",$P422-$H422,0)))</f>
        <v/>
      </c>
      <c r="R422" s="349">
        <f>IF($A422="","",IF($U422="Subscription","",IF($U422="Draw",$H422,0)))</f>
        <v/>
      </c>
      <c r="S422" s="349">
        <f>IF($A422="","",IF($U422="Subscription","",IF($U422="Disqualified",$H422,0)))</f>
        <v/>
      </c>
      <c r="T422" s="380">
        <f>IF($A422="","",IF($U422="Subscription","",IF($H422=0,IF($U422="Profit","N/A",0),IF($U422="Profit",$Q422/$H422,IF($U422="Disqualified",-1,0)))))</f>
        <v/>
      </c>
      <c r="U422" s="351">
        <f>IF($A422="","",IF(OR(LOWER($D422&amp;"")="n/a",ISNUMBER(SEARCH("subscription",LOWER($A422&amp;" "&amp;$M422&amp;""))),ISNUMBER(SEARCH("membership",LOWER($A422&amp;" "&amp;$M422&amp;"")))),"Subscription",IF(LOWER($L422&amp;"")="yes","Disqualified",IF($P422&gt;$H422,"Profit","Draw"))))</f>
        <v/>
      </c>
      <c r="V422" s="383">
        <f>IF(OR($A422="",$B422="",$C422="",$U422="Subscription"),"",IFERROR(ROUNDUP((IF(ISNUMBER($C422),$C422,DATEVALUE($C422))-IF(ISNUMBER($B422),$B422,DATEVALUE($B422)))/7,0),""))</f>
        <v/>
      </c>
      <c r="W422" s="351">
        <f>IF($U422="Subscription","",$Q422-$S422)</f>
        <v/>
      </c>
      <c r="X422" s="384">
        <f>IF(OR($A422="",$U422="Subscription",$J422="",$I422="",$J422=0,$I422=0,$I422&gt;$J422),"",$J422-$I422)</f>
        <v/>
      </c>
      <c r="Y422" s="381">
        <f>IF(OR($A422="",$U422="Subscription",$J422="",$J422=0,$X422=""),"",$X422/$J422)</f>
        <v/>
      </c>
    </row>
    <row r="423" ht="21" customHeight="1" s="270">
      <c r="A423" s="297" t="n"/>
      <c r="B423" s="298" t="n"/>
      <c r="C423" s="298" t="n"/>
      <c r="D423" s="297" t="n"/>
      <c r="E423" s="349" t="n"/>
      <c r="F423" s="349" t="n"/>
      <c r="G423" s="349" t="n"/>
      <c r="H423" s="349" t="n"/>
      <c r="I423" s="382" t="n"/>
      <c r="J423" s="383" t="n"/>
      <c r="K423" s="351" t="n"/>
      <c r="L423" s="296" t="n"/>
      <c r="M423" s="349" t="n"/>
      <c r="N423" s="349">
        <f>IF($A423="","",IF(OR(LOWER($D423&amp;"")="n/a",ISNUMBER(SEARCH("subscription",LOWER($A423&amp;" "&amp;$M423&amp;""))),ISNUMBER(SEARCH("membership",LOWER($A423&amp;" "&amp;$M423&amp;"")))),"",IF($G423="","",IF(ISNUMBER(SEARCH("non",LOWER($E423&amp;""))),$G423*0.85,$G423))))</f>
        <v/>
      </c>
      <c r="O423" s="349">
        <f>IF($A423="","",IF(OR(LOWER($D423&amp;"")="n/a",ISNUMBER(SEARCH("subscription",LOWER($A423&amp;" "&amp;$M423&amp;""))),ISNUMBER(SEARCH("membership",LOWER($A423&amp;" "&amp;$M423&amp;"")))),"",IF(OR($N423="",$I423="",$I423=0),"",$N423/$I423)))</f>
        <v/>
      </c>
      <c r="P423" s="349">
        <f>IF($A423="","",IF(OR(LOWER($D423&amp;"")="n/a",ISNUMBER(SEARCH("subscription",LOWER($A423&amp;" "&amp;$M423&amp;""))),ISNUMBER(SEARCH("membership",LOWER($A423&amp;" "&amp;$M423&amp;"")))),"",IF(LOWER($L423&amp;"")="yes",0,IF($K423&lt;&gt;"",$K423,IF($O423&lt;&gt;"",$O423,"")))))</f>
        <v/>
      </c>
      <c r="Q423" s="351">
        <f>IF($A423="","",IF($U423="Subscription","",IF($U423="Profit",$P423-$H423,0)))</f>
        <v/>
      </c>
      <c r="R423" s="349">
        <f>IF($A423="","",IF($U423="Subscription","",IF($U423="Draw",$H423,0)))</f>
        <v/>
      </c>
      <c r="S423" s="349">
        <f>IF($A423="","",IF($U423="Subscription","",IF($U423="Disqualified",$H423,0)))</f>
        <v/>
      </c>
      <c r="T423" s="380">
        <f>IF($A423="","",IF($U423="Subscription","",IF($H423=0,IF($U423="Profit","N/A",0),IF($U423="Profit",$Q423/$H423,IF($U423="Disqualified",-1,0)))))</f>
        <v/>
      </c>
      <c r="U423" s="351">
        <f>IF($A423="","",IF(OR(LOWER($D423&amp;"")="n/a",ISNUMBER(SEARCH("subscription",LOWER($A423&amp;" "&amp;$M423&amp;""))),ISNUMBER(SEARCH("membership",LOWER($A423&amp;" "&amp;$M423&amp;"")))),"Subscription",IF(LOWER($L423&amp;"")="yes","Disqualified",IF($P423&gt;$H423,"Profit","Draw"))))</f>
        <v/>
      </c>
      <c r="V423" s="383">
        <f>IF(OR($A423="",$B423="",$C423="",$U423="Subscription"),"",IFERROR(ROUNDUP((IF(ISNUMBER($C423),$C423,DATEVALUE($C423))-IF(ISNUMBER($B423),$B423,DATEVALUE($B423)))/7,0),""))</f>
        <v/>
      </c>
      <c r="W423" s="351">
        <f>IF($U423="Subscription","",$Q423-$S423)</f>
        <v/>
      </c>
      <c r="X423" s="384">
        <f>IF(OR($A423="",$U423="Subscription",$J423="",$I423="",$J423=0,$I423=0,$I423&gt;$J423),"",$J423-$I423)</f>
        <v/>
      </c>
      <c r="Y423" s="381">
        <f>IF(OR($A423="",$U423="Subscription",$J423="",$J423=0,$X423=""),"",$X423/$J423)</f>
        <v/>
      </c>
    </row>
    <row r="424" ht="21" customHeight="1" s="270">
      <c r="A424" s="297" t="n"/>
      <c r="B424" s="298" t="n"/>
      <c r="C424" s="298" t="n"/>
      <c r="D424" s="297" t="n"/>
      <c r="E424" s="349" t="n"/>
      <c r="F424" s="349" t="n"/>
      <c r="G424" s="349" t="n"/>
      <c r="H424" s="349" t="n"/>
      <c r="I424" s="382" t="n"/>
      <c r="J424" s="383" t="n"/>
      <c r="K424" s="351" t="n"/>
      <c r="L424" s="296" t="n"/>
      <c r="M424" s="349" t="n"/>
      <c r="N424" s="349">
        <f>IF($A424="","",IF(OR(LOWER($D424&amp;"")="n/a",ISNUMBER(SEARCH("subscription",LOWER($A424&amp;" "&amp;$M424&amp;""))),ISNUMBER(SEARCH("membership",LOWER($A424&amp;" "&amp;$M424&amp;"")))),"",IF($G424="","",IF(ISNUMBER(SEARCH("non",LOWER($E424&amp;""))),$G424*0.85,$G424))))</f>
        <v/>
      </c>
      <c r="O424" s="349">
        <f>IF($A424="","",IF(OR(LOWER($D424&amp;"")="n/a",ISNUMBER(SEARCH("subscription",LOWER($A424&amp;" "&amp;$M424&amp;""))),ISNUMBER(SEARCH("membership",LOWER($A424&amp;" "&amp;$M424&amp;"")))),"",IF(OR($N424="",$I424="",$I424=0),"",$N424/$I424)))</f>
        <v/>
      </c>
      <c r="P424" s="349">
        <f>IF($A424="","",IF(OR(LOWER($D424&amp;"")="n/a",ISNUMBER(SEARCH("subscription",LOWER($A424&amp;" "&amp;$M424&amp;""))),ISNUMBER(SEARCH("membership",LOWER($A424&amp;" "&amp;$M424&amp;"")))),"",IF(LOWER($L424&amp;"")="yes",0,IF($K424&lt;&gt;"",$K424,IF($O424&lt;&gt;"",$O424,"")))))</f>
        <v/>
      </c>
      <c r="Q424" s="351">
        <f>IF($A424="","",IF($U424="Subscription","",IF($U424="Profit",$P424-$H424,0)))</f>
        <v/>
      </c>
      <c r="R424" s="349">
        <f>IF($A424="","",IF($U424="Subscription","",IF($U424="Draw",$H424,0)))</f>
        <v/>
      </c>
      <c r="S424" s="349">
        <f>IF($A424="","",IF($U424="Subscription","",IF($U424="Disqualified",$H424,0)))</f>
        <v/>
      </c>
      <c r="T424" s="380">
        <f>IF($A424="","",IF($U424="Subscription","",IF($H424=0,IF($U424="Profit","N/A",0),IF($U424="Profit",$Q424/$H424,IF($U424="Disqualified",-1,0)))))</f>
        <v/>
      </c>
      <c r="U424" s="351">
        <f>IF($A424="","",IF(OR(LOWER($D424&amp;"")="n/a",ISNUMBER(SEARCH("subscription",LOWER($A424&amp;" "&amp;$M424&amp;""))),ISNUMBER(SEARCH("membership",LOWER($A424&amp;" "&amp;$M424&amp;"")))),"Subscription",IF(LOWER($L424&amp;"")="yes","Disqualified",IF($P424&gt;$H424,"Profit","Draw"))))</f>
        <v/>
      </c>
      <c r="V424" s="383">
        <f>IF(OR($A424="",$B424="",$C424="",$U424="Subscription"),"",IFERROR(ROUNDUP((IF(ISNUMBER($C424),$C424,DATEVALUE($C424))-IF(ISNUMBER($B424),$B424,DATEVALUE($B424)))/7,0),""))</f>
        <v/>
      </c>
      <c r="W424" s="351">
        <f>IF($U424="Subscription","",$Q424-$S424)</f>
        <v/>
      </c>
      <c r="X424" s="384">
        <f>IF(OR($A424="",$U424="Subscription",$J424="",$I424="",$J424=0,$I424=0,$I424&gt;$J424),"",$J424-$I424)</f>
        <v/>
      </c>
      <c r="Y424" s="381">
        <f>IF(OR($A424="",$U424="Subscription",$J424="",$J424=0,$X424=""),"",$X424/$J424)</f>
        <v/>
      </c>
    </row>
    <row r="425" ht="21" customHeight="1" s="270">
      <c r="A425" s="297" t="n"/>
      <c r="B425" s="298" t="n"/>
      <c r="C425" s="298" t="n"/>
      <c r="D425" s="297" t="n"/>
      <c r="E425" s="349" t="n"/>
      <c r="F425" s="349" t="n"/>
      <c r="G425" s="349" t="n"/>
      <c r="H425" s="349" t="n"/>
      <c r="I425" s="382" t="n"/>
      <c r="J425" s="383" t="n"/>
      <c r="K425" s="351" t="n"/>
      <c r="L425" s="296" t="n"/>
      <c r="M425" s="349" t="n"/>
      <c r="N425" s="349">
        <f>IF($A425="","",IF(OR(LOWER($D425&amp;"")="n/a",ISNUMBER(SEARCH("subscription",LOWER($A425&amp;" "&amp;$M425&amp;""))),ISNUMBER(SEARCH("membership",LOWER($A425&amp;" "&amp;$M425&amp;"")))),"",IF($G425="","",IF(ISNUMBER(SEARCH("non",LOWER($E425&amp;""))),$G425*0.85,$G425))))</f>
        <v/>
      </c>
      <c r="O425" s="349">
        <f>IF($A425="","",IF(OR(LOWER($D425&amp;"")="n/a",ISNUMBER(SEARCH("subscription",LOWER($A425&amp;" "&amp;$M425&amp;""))),ISNUMBER(SEARCH("membership",LOWER($A425&amp;" "&amp;$M425&amp;"")))),"",IF(OR($N425="",$I425="",$I425=0),"",$N425/$I425)))</f>
        <v/>
      </c>
      <c r="P425" s="349">
        <f>IF($A425="","",IF(OR(LOWER($D425&amp;"")="n/a",ISNUMBER(SEARCH("subscription",LOWER($A425&amp;" "&amp;$M425&amp;""))),ISNUMBER(SEARCH("membership",LOWER($A425&amp;" "&amp;$M425&amp;"")))),"",IF(LOWER($L425&amp;"")="yes",0,IF($K425&lt;&gt;"",$K425,IF($O425&lt;&gt;"",$O425,"")))))</f>
        <v/>
      </c>
      <c r="Q425" s="351">
        <f>IF($A425="","",IF($U425="Subscription","",IF($U425="Profit",$P425-$H425,0)))</f>
        <v/>
      </c>
      <c r="R425" s="349">
        <f>IF($A425="","",IF($U425="Subscription","",IF($U425="Draw",$H425,0)))</f>
        <v/>
      </c>
      <c r="S425" s="349">
        <f>IF($A425="","",IF($U425="Subscription","",IF($U425="Disqualified",$H425,0)))</f>
        <v/>
      </c>
      <c r="T425" s="380">
        <f>IF($A425="","",IF($U425="Subscription","",IF($H425=0,IF($U425="Profit","N/A",0),IF($U425="Profit",$Q425/$H425,IF($U425="Disqualified",-1,0)))))</f>
        <v/>
      </c>
      <c r="U425" s="351">
        <f>IF($A425="","",IF(OR(LOWER($D425&amp;"")="n/a",ISNUMBER(SEARCH("subscription",LOWER($A425&amp;" "&amp;$M425&amp;""))),ISNUMBER(SEARCH("membership",LOWER($A425&amp;" "&amp;$M425&amp;"")))),"Subscription",IF(LOWER($L425&amp;"")="yes","Disqualified",IF($P425&gt;$H425,"Profit","Draw"))))</f>
        <v/>
      </c>
      <c r="V425" s="383">
        <f>IF(OR($A425="",$B425="",$C425="",$U425="Subscription"),"",IFERROR(ROUNDUP((IF(ISNUMBER($C425),$C425,DATEVALUE($C425))-IF(ISNUMBER($B425),$B425,DATEVALUE($B425)))/7,0),""))</f>
        <v/>
      </c>
      <c r="W425" s="351">
        <f>IF($U425="Subscription","",$Q425-$S425)</f>
        <v/>
      </c>
      <c r="X425" s="384">
        <f>IF(OR($A425="",$U425="Subscription",$J425="",$I425="",$J425=0,$I425=0,$I425&gt;$J425),"",$J425-$I425)</f>
        <v/>
      </c>
      <c r="Y425" s="381">
        <f>IF(OR($A425="",$U425="Subscription",$J425="",$J425=0,$X425=""),"",$X425/$J425)</f>
        <v/>
      </c>
    </row>
    <row r="426" ht="21" customHeight="1" s="270">
      <c r="A426" s="297" t="n"/>
      <c r="B426" s="298" t="n"/>
      <c r="C426" s="298" t="n"/>
      <c r="D426" s="297" t="n"/>
      <c r="E426" s="349" t="n"/>
      <c r="F426" s="349" t="n"/>
      <c r="G426" s="349" t="n"/>
      <c r="H426" s="349" t="n"/>
      <c r="I426" s="382" t="n"/>
      <c r="J426" s="383" t="n"/>
      <c r="K426" s="351" t="n"/>
      <c r="L426" s="296" t="n"/>
      <c r="M426" s="349" t="n"/>
      <c r="N426" s="349">
        <f>IF($A426="","",IF(OR(LOWER($D426&amp;"")="n/a",ISNUMBER(SEARCH("subscription",LOWER($A426&amp;" "&amp;$M426&amp;""))),ISNUMBER(SEARCH("membership",LOWER($A426&amp;" "&amp;$M426&amp;"")))),"",IF($G426="","",IF(ISNUMBER(SEARCH("non",LOWER($E426&amp;""))),$G426*0.85,$G426))))</f>
        <v/>
      </c>
      <c r="O426" s="349">
        <f>IF($A426="","",IF(OR(LOWER($D426&amp;"")="n/a",ISNUMBER(SEARCH("subscription",LOWER($A426&amp;" "&amp;$M426&amp;""))),ISNUMBER(SEARCH("membership",LOWER($A426&amp;" "&amp;$M426&amp;"")))),"",IF(OR($N426="",$I426="",$I426=0),"",$N426/$I426)))</f>
        <v/>
      </c>
      <c r="P426" s="349">
        <f>IF($A426="","",IF(OR(LOWER($D426&amp;"")="n/a",ISNUMBER(SEARCH("subscription",LOWER($A426&amp;" "&amp;$M426&amp;""))),ISNUMBER(SEARCH("membership",LOWER($A426&amp;" "&amp;$M426&amp;"")))),"",IF(LOWER($L426&amp;"")="yes",0,IF($K426&lt;&gt;"",$K426,IF($O426&lt;&gt;"",$O426,"")))))</f>
        <v/>
      </c>
      <c r="Q426" s="351">
        <f>IF($A426="","",IF($U426="Subscription","",IF($U426="Profit",$P426-$H426,0)))</f>
        <v/>
      </c>
      <c r="R426" s="349">
        <f>IF($A426="","",IF($U426="Subscription","",IF($U426="Draw",$H426,0)))</f>
        <v/>
      </c>
      <c r="S426" s="349">
        <f>IF($A426="","",IF($U426="Subscription","",IF($U426="Disqualified",$H426,0)))</f>
        <v/>
      </c>
      <c r="T426" s="380">
        <f>IF($A426="","",IF($U426="Subscription","",IF($H426=0,IF($U426="Profit","N/A",0),IF($U426="Profit",$Q426/$H426,IF($U426="Disqualified",-1,0)))))</f>
        <v/>
      </c>
      <c r="U426" s="351">
        <f>IF($A426="","",IF(OR(LOWER($D426&amp;"")="n/a",ISNUMBER(SEARCH("subscription",LOWER($A426&amp;" "&amp;$M426&amp;""))),ISNUMBER(SEARCH("membership",LOWER($A426&amp;" "&amp;$M426&amp;"")))),"Subscription",IF(LOWER($L426&amp;"")="yes","Disqualified",IF($P426&gt;$H426,"Profit","Draw"))))</f>
        <v/>
      </c>
      <c r="V426" s="383">
        <f>IF(OR($A426="",$B426="",$C426="",$U426="Subscription"),"",IFERROR(ROUNDUP((IF(ISNUMBER($C426),$C426,DATEVALUE($C426))-IF(ISNUMBER($B426),$B426,DATEVALUE($B426)))/7,0),""))</f>
        <v/>
      </c>
      <c r="W426" s="351">
        <f>IF($U426="Subscription","",$Q426-$S426)</f>
        <v/>
      </c>
      <c r="X426" s="384">
        <f>IF(OR($A426="",$U426="Subscription",$J426="",$I426="",$J426=0,$I426=0,$I426&gt;$J426),"",$J426-$I426)</f>
        <v/>
      </c>
      <c r="Y426" s="381">
        <f>IF(OR($A426="",$U426="Subscription",$J426="",$J426=0,$X426=""),"",$X426/$J426)</f>
        <v/>
      </c>
    </row>
    <row r="427" ht="21" customHeight="1" s="270">
      <c r="A427" s="297" t="n"/>
      <c r="B427" s="298" t="n"/>
      <c r="C427" s="298" t="n"/>
      <c r="D427" s="297" t="n"/>
      <c r="E427" s="349" t="n"/>
      <c r="F427" s="349" t="n"/>
      <c r="G427" s="349" t="n"/>
      <c r="H427" s="349" t="n"/>
      <c r="I427" s="382" t="n"/>
      <c r="J427" s="383" t="n"/>
      <c r="K427" s="351" t="n"/>
      <c r="L427" s="296" t="n"/>
      <c r="M427" s="349" t="n"/>
      <c r="N427" s="349">
        <f>IF($A427="","",IF(OR(LOWER($D427&amp;"")="n/a",ISNUMBER(SEARCH("subscription",LOWER($A427&amp;" "&amp;$M427&amp;""))),ISNUMBER(SEARCH("membership",LOWER($A427&amp;" "&amp;$M427&amp;"")))),"",IF($G427="","",IF(ISNUMBER(SEARCH("non",LOWER($E427&amp;""))),$G427*0.85,$G427))))</f>
        <v/>
      </c>
      <c r="O427" s="349">
        <f>IF($A427="","",IF(OR(LOWER($D427&amp;"")="n/a",ISNUMBER(SEARCH("subscription",LOWER($A427&amp;" "&amp;$M427&amp;""))),ISNUMBER(SEARCH("membership",LOWER($A427&amp;" "&amp;$M427&amp;"")))),"",IF(OR($N427="",$I427="",$I427=0),"",$N427/$I427)))</f>
        <v/>
      </c>
      <c r="P427" s="349">
        <f>IF($A427="","",IF(OR(LOWER($D427&amp;"")="n/a",ISNUMBER(SEARCH("subscription",LOWER($A427&amp;" "&amp;$M427&amp;""))),ISNUMBER(SEARCH("membership",LOWER($A427&amp;" "&amp;$M427&amp;"")))),"",IF(LOWER($L427&amp;"")="yes",0,IF($K427&lt;&gt;"",$K427,IF($O427&lt;&gt;"",$O427,"")))))</f>
        <v/>
      </c>
      <c r="Q427" s="351">
        <f>IF($A427="","",IF($U427="Subscription","",IF($U427="Profit",$P427-$H427,0)))</f>
        <v/>
      </c>
      <c r="R427" s="349">
        <f>IF($A427="","",IF($U427="Subscription","",IF($U427="Draw",$H427,0)))</f>
        <v/>
      </c>
      <c r="S427" s="349">
        <f>IF($A427="","",IF($U427="Subscription","",IF($U427="Disqualified",$H427,0)))</f>
        <v/>
      </c>
      <c r="T427" s="380">
        <f>IF($A427="","",IF($U427="Subscription","",IF($H427=0,IF($U427="Profit","N/A",0),IF($U427="Profit",$Q427/$H427,IF($U427="Disqualified",-1,0)))))</f>
        <v/>
      </c>
      <c r="U427" s="351">
        <f>IF($A427="","",IF(OR(LOWER($D427&amp;"")="n/a",ISNUMBER(SEARCH("subscription",LOWER($A427&amp;" "&amp;$M427&amp;""))),ISNUMBER(SEARCH("membership",LOWER($A427&amp;" "&amp;$M427&amp;"")))),"Subscription",IF(LOWER($L427&amp;"")="yes","Disqualified",IF($P427&gt;$H427,"Profit","Draw"))))</f>
        <v/>
      </c>
      <c r="V427" s="383">
        <f>IF(OR($A427="",$B427="",$C427="",$U427="Subscription"),"",IFERROR(ROUNDUP((IF(ISNUMBER($C427),$C427,DATEVALUE($C427))-IF(ISNUMBER($B427),$B427,DATEVALUE($B427)))/7,0),""))</f>
        <v/>
      </c>
      <c r="W427" s="351">
        <f>IF($U427="Subscription","",$Q427-$S427)</f>
        <v/>
      </c>
      <c r="X427" s="384">
        <f>IF(OR($A427="",$U427="Subscription",$J427="",$I427="",$J427=0,$I427=0,$I427&gt;$J427),"",$J427-$I427)</f>
        <v/>
      </c>
      <c r="Y427" s="381">
        <f>IF(OR($A427="",$U427="Subscription",$J427="",$J427=0,$X427=""),"",$X427/$J427)</f>
        <v/>
      </c>
    </row>
    <row r="428" ht="21" customHeight="1" s="270">
      <c r="A428" s="297" t="n"/>
      <c r="B428" s="298" t="n"/>
      <c r="C428" s="298" t="n"/>
      <c r="D428" s="297" t="n"/>
      <c r="E428" s="349" t="n"/>
      <c r="F428" s="349" t="n"/>
      <c r="G428" s="349" t="n"/>
      <c r="H428" s="349" t="n"/>
      <c r="I428" s="382" t="n"/>
      <c r="J428" s="383" t="n"/>
      <c r="K428" s="351" t="n"/>
      <c r="L428" s="296" t="n"/>
      <c r="M428" s="349" t="n"/>
      <c r="N428" s="349">
        <f>IF($A428="","",IF(OR(LOWER($D428&amp;"")="n/a",ISNUMBER(SEARCH("subscription",LOWER($A428&amp;" "&amp;$M428&amp;""))),ISNUMBER(SEARCH("membership",LOWER($A428&amp;" "&amp;$M428&amp;"")))),"",IF($G428="","",IF(ISNUMBER(SEARCH("non",LOWER($E428&amp;""))),$G428*0.85,$G428))))</f>
        <v/>
      </c>
      <c r="O428" s="349">
        <f>IF($A428="","",IF(OR(LOWER($D428&amp;"")="n/a",ISNUMBER(SEARCH("subscription",LOWER($A428&amp;" "&amp;$M428&amp;""))),ISNUMBER(SEARCH("membership",LOWER($A428&amp;" "&amp;$M428&amp;"")))),"",IF(OR($N428="",$I428="",$I428=0),"",$N428/$I428)))</f>
        <v/>
      </c>
      <c r="P428" s="349">
        <f>IF($A428="","",IF(OR(LOWER($D428&amp;"")="n/a",ISNUMBER(SEARCH("subscription",LOWER($A428&amp;" "&amp;$M428&amp;""))),ISNUMBER(SEARCH("membership",LOWER($A428&amp;" "&amp;$M428&amp;"")))),"",IF(LOWER($L428&amp;"")="yes",0,IF($K428&lt;&gt;"",$K428,IF($O428&lt;&gt;"",$O428,"")))))</f>
        <v/>
      </c>
      <c r="Q428" s="351">
        <f>IF($A428="","",IF($U428="Subscription","",IF($U428="Profit",$P428-$H428,0)))</f>
        <v/>
      </c>
      <c r="R428" s="349">
        <f>IF($A428="","",IF($U428="Subscription","",IF($U428="Draw",$H428,0)))</f>
        <v/>
      </c>
      <c r="S428" s="349">
        <f>IF($A428="","",IF($U428="Subscription","",IF($U428="Disqualified",$H428,0)))</f>
        <v/>
      </c>
      <c r="T428" s="380">
        <f>IF($A428="","",IF($U428="Subscription","",IF($H428=0,IF($U428="Profit","N/A",0),IF($U428="Profit",$Q428/$H428,IF($U428="Disqualified",-1,0)))))</f>
        <v/>
      </c>
      <c r="U428" s="351">
        <f>IF($A428="","",IF(OR(LOWER($D428&amp;"")="n/a",ISNUMBER(SEARCH("subscription",LOWER($A428&amp;" "&amp;$M428&amp;""))),ISNUMBER(SEARCH("membership",LOWER($A428&amp;" "&amp;$M428&amp;"")))),"Subscription",IF(LOWER($L428&amp;"")="yes","Disqualified",IF($P428&gt;$H428,"Profit","Draw"))))</f>
        <v/>
      </c>
      <c r="V428" s="383">
        <f>IF(OR($A428="",$B428="",$C428="",$U428="Subscription"),"",IFERROR(ROUNDUP((IF(ISNUMBER($C428),$C428,DATEVALUE($C428))-IF(ISNUMBER($B428),$B428,DATEVALUE($B428)))/7,0),""))</f>
        <v/>
      </c>
      <c r="W428" s="351">
        <f>IF($U428="Subscription","",$Q428-$S428)</f>
        <v/>
      </c>
      <c r="X428" s="384">
        <f>IF(OR($A428="",$U428="Subscription",$J428="",$I428="",$J428=0,$I428=0,$I428&gt;$J428),"",$J428-$I428)</f>
        <v/>
      </c>
      <c r="Y428" s="381">
        <f>IF(OR($A428="",$U428="Subscription",$J428="",$J428=0,$X428=""),"",$X428/$J428)</f>
        <v/>
      </c>
    </row>
    <row r="429" ht="21" customHeight="1" s="270">
      <c r="A429" s="297" t="n"/>
      <c r="B429" s="298" t="n"/>
      <c r="C429" s="298" t="n"/>
      <c r="D429" s="297" t="n"/>
      <c r="E429" s="349" t="n"/>
      <c r="F429" s="349" t="n"/>
      <c r="G429" s="349" t="n"/>
      <c r="H429" s="349" t="n"/>
      <c r="I429" s="382" t="n"/>
      <c r="J429" s="383" t="n"/>
      <c r="K429" s="351" t="n"/>
      <c r="L429" s="296" t="n"/>
      <c r="M429" s="349" t="n"/>
      <c r="N429" s="349">
        <f>IF($A429="","",IF(OR(LOWER($D429&amp;"")="n/a",ISNUMBER(SEARCH("subscription",LOWER($A429&amp;" "&amp;$M429&amp;""))),ISNUMBER(SEARCH("membership",LOWER($A429&amp;" "&amp;$M429&amp;"")))),"",IF($G429="","",IF(ISNUMBER(SEARCH("non",LOWER($E429&amp;""))),$G429*0.85,$G429))))</f>
        <v/>
      </c>
      <c r="O429" s="349">
        <f>IF($A429="","",IF(OR(LOWER($D429&amp;"")="n/a",ISNUMBER(SEARCH("subscription",LOWER($A429&amp;" "&amp;$M429&amp;""))),ISNUMBER(SEARCH("membership",LOWER($A429&amp;" "&amp;$M429&amp;"")))),"",IF(OR($N429="",$I429="",$I429=0),"",$N429/$I429)))</f>
        <v/>
      </c>
      <c r="P429" s="349">
        <f>IF($A429="","",IF(OR(LOWER($D429&amp;"")="n/a",ISNUMBER(SEARCH("subscription",LOWER($A429&amp;" "&amp;$M429&amp;""))),ISNUMBER(SEARCH("membership",LOWER($A429&amp;" "&amp;$M429&amp;"")))),"",IF(LOWER($L429&amp;"")="yes",0,IF($K429&lt;&gt;"",$K429,IF($O429&lt;&gt;"",$O429,"")))))</f>
        <v/>
      </c>
      <c r="Q429" s="351">
        <f>IF($A429="","",IF($U429="Subscription","",IF($U429="Profit",$P429-$H429,0)))</f>
        <v/>
      </c>
      <c r="R429" s="349">
        <f>IF($A429="","",IF($U429="Subscription","",IF($U429="Draw",$H429,0)))</f>
        <v/>
      </c>
      <c r="S429" s="349">
        <f>IF($A429="","",IF($U429="Subscription","",IF($U429="Disqualified",$H429,0)))</f>
        <v/>
      </c>
      <c r="T429" s="380">
        <f>IF($A429="","",IF($U429="Subscription","",IF($H429=0,IF($U429="Profit","N/A",0),IF($U429="Profit",$Q429/$H429,IF($U429="Disqualified",-1,0)))))</f>
        <v/>
      </c>
      <c r="U429" s="351">
        <f>IF($A429="","",IF(OR(LOWER($D429&amp;"")="n/a",ISNUMBER(SEARCH("subscription",LOWER($A429&amp;" "&amp;$M429&amp;""))),ISNUMBER(SEARCH("membership",LOWER($A429&amp;" "&amp;$M429&amp;"")))),"Subscription",IF(LOWER($L429&amp;"")="yes","Disqualified",IF($P429&gt;$H429,"Profit","Draw"))))</f>
        <v/>
      </c>
      <c r="V429" s="383">
        <f>IF(OR($A429="",$B429="",$C429="",$U429="Subscription"),"",IFERROR(ROUNDUP((IF(ISNUMBER($C429),$C429,DATEVALUE($C429))-IF(ISNUMBER($B429),$B429,DATEVALUE($B429)))/7,0),""))</f>
        <v/>
      </c>
      <c r="W429" s="351">
        <f>IF($U429="Subscription","",$Q429-$S429)</f>
        <v/>
      </c>
      <c r="X429" s="384">
        <f>IF(OR($A429="",$U429="Subscription",$J429="",$I429="",$J429=0,$I429=0,$I429&gt;$J429),"",$J429-$I429)</f>
        <v/>
      </c>
      <c r="Y429" s="381">
        <f>IF(OR($A429="",$U429="Subscription",$J429="",$J429=0,$X429=""),"",$X429/$J429)</f>
        <v/>
      </c>
    </row>
    <row r="430" ht="21" customHeight="1" s="270">
      <c r="A430" s="297" t="n"/>
      <c r="B430" s="298" t="n"/>
      <c r="C430" s="298" t="n"/>
      <c r="D430" s="297" t="n"/>
      <c r="E430" s="349" t="n"/>
      <c r="F430" s="349" t="n"/>
      <c r="G430" s="349" t="n"/>
      <c r="H430" s="349" t="n"/>
      <c r="I430" s="382" t="n"/>
      <c r="J430" s="383" t="n"/>
      <c r="K430" s="351" t="n"/>
      <c r="L430" s="296" t="n"/>
      <c r="M430" s="349" t="n"/>
      <c r="N430" s="349">
        <f>IF($A430="","",IF(OR(LOWER($D430&amp;"")="n/a",ISNUMBER(SEARCH("subscription",LOWER($A430&amp;" "&amp;$M430&amp;""))),ISNUMBER(SEARCH("membership",LOWER($A430&amp;" "&amp;$M430&amp;"")))),"",IF($G430="","",IF(ISNUMBER(SEARCH("non",LOWER($E430&amp;""))),$G430*0.85,$G430))))</f>
        <v/>
      </c>
      <c r="O430" s="349">
        <f>IF($A430="","",IF(OR(LOWER($D430&amp;"")="n/a",ISNUMBER(SEARCH("subscription",LOWER($A430&amp;" "&amp;$M430&amp;""))),ISNUMBER(SEARCH("membership",LOWER($A430&amp;" "&amp;$M430&amp;"")))),"",IF(OR($N430="",$I430="",$I430=0),"",$N430/$I430)))</f>
        <v/>
      </c>
      <c r="P430" s="349">
        <f>IF($A430="","",IF(OR(LOWER($D430&amp;"")="n/a",ISNUMBER(SEARCH("subscription",LOWER($A430&amp;" "&amp;$M430&amp;""))),ISNUMBER(SEARCH("membership",LOWER($A430&amp;" "&amp;$M430&amp;"")))),"",IF(LOWER($L430&amp;"")="yes",0,IF($K430&lt;&gt;"",$K430,IF($O430&lt;&gt;"",$O430,"")))))</f>
        <v/>
      </c>
      <c r="Q430" s="351">
        <f>IF($A430="","",IF($U430="Subscription","",IF($U430="Profit",$P430-$H430,0)))</f>
        <v/>
      </c>
      <c r="R430" s="349">
        <f>IF($A430="","",IF($U430="Subscription","",IF($U430="Draw",$H430,0)))</f>
        <v/>
      </c>
      <c r="S430" s="349">
        <f>IF($A430="","",IF($U430="Subscription","",IF($U430="Disqualified",$H430,0)))</f>
        <v/>
      </c>
      <c r="T430" s="380">
        <f>IF($A430="","",IF($U430="Subscription","",IF($H430=0,IF($U430="Profit","N/A",0),IF($U430="Profit",$Q430/$H430,IF($U430="Disqualified",-1,0)))))</f>
        <v/>
      </c>
      <c r="U430" s="351">
        <f>IF($A430="","",IF(OR(LOWER($D430&amp;"")="n/a",ISNUMBER(SEARCH("subscription",LOWER($A430&amp;" "&amp;$M430&amp;""))),ISNUMBER(SEARCH("membership",LOWER($A430&amp;" "&amp;$M430&amp;"")))),"Subscription",IF(LOWER($L430&amp;"")="yes","Disqualified",IF($P430&gt;$H430,"Profit","Draw"))))</f>
        <v/>
      </c>
      <c r="V430" s="383">
        <f>IF(OR($A430="",$B430="",$C430="",$U430="Subscription"),"",IFERROR(ROUNDUP((IF(ISNUMBER($C430),$C430,DATEVALUE($C430))-IF(ISNUMBER($B430),$B430,DATEVALUE($B430)))/7,0),""))</f>
        <v/>
      </c>
      <c r="W430" s="351">
        <f>IF($U430="Subscription","",$Q430-$S430)</f>
        <v/>
      </c>
      <c r="X430" s="384">
        <f>IF(OR($A430="",$U430="Subscription",$J430="",$I430="",$J430=0,$I430=0,$I430&gt;$J430),"",$J430-$I430)</f>
        <v/>
      </c>
      <c r="Y430" s="381">
        <f>IF(OR($A430="",$U430="Subscription",$J430="",$J430=0,$X430=""),"",$X430/$J430)</f>
        <v/>
      </c>
    </row>
    <row r="431" ht="21" customHeight="1" s="270">
      <c r="A431" s="297" t="n"/>
      <c r="B431" s="298" t="n"/>
      <c r="C431" s="298" t="n"/>
      <c r="D431" s="297" t="n"/>
      <c r="E431" s="349" t="n"/>
      <c r="F431" s="349" t="n"/>
      <c r="G431" s="349" t="n"/>
      <c r="H431" s="349" t="n"/>
      <c r="I431" s="382" t="n"/>
      <c r="J431" s="383" t="n"/>
      <c r="K431" s="351" t="n"/>
      <c r="L431" s="296" t="n"/>
      <c r="M431" s="349" t="n"/>
      <c r="N431" s="349">
        <f>IF($A431="","",IF(OR(LOWER($D431&amp;"")="n/a",ISNUMBER(SEARCH("subscription",LOWER($A431&amp;" "&amp;$M431&amp;""))),ISNUMBER(SEARCH("membership",LOWER($A431&amp;" "&amp;$M431&amp;"")))),"",IF($G431="","",IF(ISNUMBER(SEARCH("non",LOWER($E431&amp;""))),$G431*0.85,$G431))))</f>
        <v/>
      </c>
      <c r="O431" s="349">
        <f>IF($A431="","",IF(OR(LOWER($D431&amp;"")="n/a",ISNUMBER(SEARCH("subscription",LOWER($A431&amp;" "&amp;$M431&amp;""))),ISNUMBER(SEARCH("membership",LOWER($A431&amp;" "&amp;$M431&amp;"")))),"",IF(OR($N431="",$I431="",$I431=0),"",$N431/$I431)))</f>
        <v/>
      </c>
      <c r="P431" s="349">
        <f>IF($A431="","",IF(OR(LOWER($D431&amp;"")="n/a",ISNUMBER(SEARCH("subscription",LOWER($A431&amp;" "&amp;$M431&amp;""))),ISNUMBER(SEARCH("membership",LOWER($A431&amp;" "&amp;$M431&amp;"")))),"",IF(LOWER($L431&amp;"")="yes",0,IF($K431&lt;&gt;"",$K431,IF($O431&lt;&gt;"",$O431,"")))))</f>
        <v/>
      </c>
      <c r="Q431" s="351">
        <f>IF($A431="","",IF($U431="Subscription","",IF($U431="Profit",$P431-$H431,0)))</f>
        <v/>
      </c>
      <c r="R431" s="349">
        <f>IF($A431="","",IF($U431="Subscription","",IF($U431="Draw",$H431,0)))</f>
        <v/>
      </c>
      <c r="S431" s="349">
        <f>IF($A431="","",IF($U431="Subscription","",IF($U431="Disqualified",$H431,0)))</f>
        <v/>
      </c>
      <c r="T431" s="380">
        <f>IF($A431="","",IF($U431="Subscription","",IF($H431=0,IF($U431="Profit","N/A",0),IF($U431="Profit",$Q431/$H431,IF($U431="Disqualified",-1,0)))))</f>
        <v/>
      </c>
      <c r="U431" s="351">
        <f>IF($A431="","",IF(OR(LOWER($D431&amp;"")="n/a",ISNUMBER(SEARCH("subscription",LOWER($A431&amp;" "&amp;$M431&amp;""))),ISNUMBER(SEARCH("membership",LOWER($A431&amp;" "&amp;$M431&amp;"")))),"Subscription",IF(LOWER($L431&amp;"")="yes","Disqualified",IF($P431&gt;$H431,"Profit","Draw"))))</f>
        <v/>
      </c>
      <c r="V431" s="383">
        <f>IF(OR($A431="",$B431="",$C431="",$U431="Subscription"),"",IFERROR(ROUNDUP((IF(ISNUMBER($C431),$C431,DATEVALUE($C431))-IF(ISNUMBER($B431),$B431,DATEVALUE($B431)))/7,0),""))</f>
        <v/>
      </c>
      <c r="W431" s="351">
        <f>IF($U431="Subscription","",$Q431-$S431)</f>
        <v/>
      </c>
      <c r="X431" s="384">
        <f>IF(OR($A431="",$U431="Subscription",$J431="",$I431="",$J431=0,$I431=0,$I431&gt;$J431),"",$J431-$I431)</f>
        <v/>
      </c>
      <c r="Y431" s="381">
        <f>IF(OR($A431="",$U431="Subscription",$J431="",$J431=0,$X431=""),"",$X431/$J431)</f>
        <v/>
      </c>
    </row>
    <row r="432" ht="21" customHeight="1" s="270">
      <c r="A432" s="297" t="n"/>
      <c r="B432" s="298" t="n"/>
      <c r="C432" s="298" t="n"/>
      <c r="D432" s="297" t="n"/>
      <c r="E432" s="349" t="n"/>
      <c r="F432" s="349" t="n"/>
      <c r="G432" s="349" t="n"/>
      <c r="H432" s="349" t="n"/>
      <c r="I432" s="382" t="n"/>
      <c r="J432" s="383" t="n"/>
      <c r="K432" s="351" t="n"/>
      <c r="L432" s="296" t="n"/>
      <c r="M432" s="349" t="n"/>
      <c r="N432" s="349">
        <f>IF($A432="","",IF(OR(LOWER($D432&amp;"")="n/a",ISNUMBER(SEARCH("subscription",LOWER($A432&amp;" "&amp;$M432&amp;""))),ISNUMBER(SEARCH("membership",LOWER($A432&amp;" "&amp;$M432&amp;"")))),"",IF($G432="","",IF(ISNUMBER(SEARCH("non",LOWER($E432&amp;""))),$G432*0.85,$G432))))</f>
        <v/>
      </c>
      <c r="O432" s="349">
        <f>IF($A432="","",IF(OR(LOWER($D432&amp;"")="n/a",ISNUMBER(SEARCH("subscription",LOWER($A432&amp;" "&amp;$M432&amp;""))),ISNUMBER(SEARCH("membership",LOWER($A432&amp;" "&amp;$M432&amp;"")))),"",IF(OR($N432="",$I432="",$I432=0),"",$N432/$I432)))</f>
        <v/>
      </c>
      <c r="P432" s="349">
        <f>IF($A432="","",IF(OR(LOWER($D432&amp;"")="n/a",ISNUMBER(SEARCH("subscription",LOWER($A432&amp;" "&amp;$M432&amp;""))),ISNUMBER(SEARCH("membership",LOWER($A432&amp;" "&amp;$M432&amp;"")))),"",IF(LOWER($L432&amp;"")="yes",0,IF($K432&lt;&gt;"",$K432,IF($O432&lt;&gt;"",$O432,"")))))</f>
        <v/>
      </c>
      <c r="Q432" s="351">
        <f>IF($A432="","",IF($U432="Subscription","",IF($U432="Profit",$P432-$H432,0)))</f>
        <v/>
      </c>
      <c r="R432" s="349">
        <f>IF($A432="","",IF($U432="Subscription","",IF($U432="Draw",$H432,0)))</f>
        <v/>
      </c>
      <c r="S432" s="349">
        <f>IF($A432="","",IF($U432="Subscription","",IF($U432="Disqualified",$H432,0)))</f>
        <v/>
      </c>
      <c r="T432" s="380">
        <f>IF($A432="","",IF($U432="Subscription","",IF($H432=0,IF($U432="Profit","N/A",0),IF($U432="Profit",$Q432/$H432,IF($U432="Disqualified",-1,0)))))</f>
        <v/>
      </c>
      <c r="U432" s="351">
        <f>IF($A432="","",IF(OR(LOWER($D432&amp;"")="n/a",ISNUMBER(SEARCH("subscription",LOWER($A432&amp;" "&amp;$M432&amp;""))),ISNUMBER(SEARCH("membership",LOWER($A432&amp;" "&amp;$M432&amp;"")))),"Subscription",IF(LOWER($L432&amp;"")="yes","Disqualified",IF($P432&gt;$H432,"Profit","Draw"))))</f>
        <v/>
      </c>
      <c r="V432" s="383">
        <f>IF(OR($A432="",$B432="",$C432="",$U432="Subscription"),"",IFERROR(ROUNDUP((IF(ISNUMBER($C432),$C432,DATEVALUE($C432))-IF(ISNUMBER($B432),$B432,DATEVALUE($B432)))/7,0),""))</f>
        <v/>
      </c>
      <c r="W432" s="351">
        <f>IF($U432="Subscription","",$Q432-$S432)</f>
        <v/>
      </c>
      <c r="X432" s="384">
        <f>IF(OR($A432="",$U432="Subscription",$J432="",$I432="",$J432=0,$I432=0,$I432&gt;$J432),"",$J432-$I432)</f>
        <v/>
      </c>
      <c r="Y432" s="381">
        <f>IF(OR($A432="",$U432="Subscription",$J432="",$J432=0,$X432=""),"",$X432/$J432)</f>
        <v/>
      </c>
    </row>
    <row r="433" ht="21" customHeight="1" s="270">
      <c r="A433" s="297" t="n"/>
      <c r="B433" s="298" t="n"/>
      <c r="C433" s="298" t="n"/>
      <c r="D433" s="297" t="n"/>
      <c r="E433" s="349" t="n"/>
      <c r="F433" s="349" t="n"/>
      <c r="G433" s="349" t="n"/>
      <c r="H433" s="349" t="n"/>
      <c r="I433" s="382" t="n"/>
      <c r="J433" s="383" t="n"/>
      <c r="K433" s="351" t="n"/>
      <c r="L433" s="296" t="n"/>
      <c r="M433" s="349" t="n"/>
      <c r="N433" s="349">
        <f>IF($A433="","",IF(OR(LOWER($D433&amp;"")="n/a",ISNUMBER(SEARCH("subscription",LOWER($A433&amp;" "&amp;$M433&amp;""))),ISNUMBER(SEARCH("membership",LOWER($A433&amp;" "&amp;$M433&amp;"")))),"",IF($G433="","",IF(ISNUMBER(SEARCH("non",LOWER($E433&amp;""))),$G433*0.85,$G433))))</f>
        <v/>
      </c>
      <c r="O433" s="349">
        <f>IF($A433="","",IF(OR(LOWER($D433&amp;"")="n/a",ISNUMBER(SEARCH("subscription",LOWER($A433&amp;" "&amp;$M433&amp;""))),ISNUMBER(SEARCH("membership",LOWER($A433&amp;" "&amp;$M433&amp;"")))),"",IF(OR($N433="",$I433="",$I433=0),"",$N433/$I433)))</f>
        <v/>
      </c>
      <c r="P433" s="349">
        <f>IF($A433="","",IF(OR(LOWER($D433&amp;"")="n/a",ISNUMBER(SEARCH("subscription",LOWER($A433&amp;" "&amp;$M433&amp;""))),ISNUMBER(SEARCH("membership",LOWER($A433&amp;" "&amp;$M433&amp;"")))),"",IF(LOWER($L433&amp;"")="yes",0,IF($K433&lt;&gt;"",$K433,IF($O433&lt;&gt;"",$O433,"")))))</f>
        <v/>
      </c>
      <c r="Q433" s="351">
        <f>IF($A433="","",IF($U433="Subscription","",IF($U433="Profit",$P433-$H433,0)))</f>
        <v/>
      </c>
      <c r="R433" s="349">
        <f>IF($A433="","",IF($U433="Subscription","",IF($U433="Draw",$H433,0)))</f>
        <v/>
      </c>
      <c r="S433" s="349">
        <f>IF($A433="","",IF($U433="Subscription","",IF($U433="Disqualified",$H433,0)))</f>
        <v/>
      </c>
      <c r="T433" s="380">
        <f>IF($A433="","",IF($U433="Subscription","",IF($H433=0,IF($U433="Profit","N/A",0),IF($U433="Profit",$Q433/$H433,IF($U433="Disqualified",-1,0)))))</f>
        <v/>
      </c>
      <c r="U433" s="351">
        <f>IF($A433="","",IF(OR(LOWER($D433&amp;"")="n/a",ISNUMBER(SEARCH("subscription",LOWER($A433&amp;" "&amp;$M433&amp;""))),ISNUMBER(SEARCH("membership",LOWER($A433&amp;" "&amp;$M433&amp;"")))),"Subscription",IF(LOWER($L433&amp;"")="yes","Disqualified",IF($P433&gt;$H433,"Profit","Draw"))))</f>
        <v/>
      </c>
      <c r="V433" s="383">
        <f>IF(OR($A433="",$B433="",$C433="",$U433="Subscription"),"",IFERROR(ROUNDUP((IF(ISNUMBER($C433),$C433,DATEVALUE($C433))-IF(ISNUMBER($B433),$B433,DATEVALUE($B433)))/7,0),""))</f>
        <v/>
      </c>
      <c r="W433" s="351">
        <f>IF($U433="Subscription","",$Q433-$S433)</f>
        <v/>
      </c>
      <c r="X433" s="384">
        <f>IF(OR($A433="",$U433="Subscription",$J433="",$I433="",$J433=0,$I433=0,$I433&gt;$J433),"",$J433-$I433)</f>
        <v/>
      </c>
      <c r="Y433" s="381">
        <f>IF(OR($A433="",$U433="Subscription",$J433="",$J433=0,$X433=""),"",$X433/$J433)</f>
        <v/>
      </c>
    </row>
    <row r="434" ht="21" customHeight="1" s="270">
      <c r="A434" s="297" t="n"/>
      <c r="B434" s="298" t="n"/>
      <c r="C434" s="298" t="n"/>
      <c r="D434" s="297" t="n"/>
      <c r="E434" s="349" t="n"/>
      <c r="F434" s="349" t="n"/>
      <c r="G434" s="349" t="n"/>
      <c r="H434" s="349" t="n"/>
      <c r="I434" s="382" t="n"/>
      <c r="J434" s="383" t="n"/>
      <c r="K434" s="351" t="n"/>
      <c r="L434" s="296" t="n"/>
      <c r="M434" s="349" t="n"/>
      <c r="N434" s="349">
        <f>IF($A434="","",IF(OR(LOWER($D434&amp;"")="n/a",ISNUMBER(SEARCH("subscription",LOWER($A434&amp;" "&amp;$M434&amp;""))),ISNUMBER(SEARCH("membership",LOWER($A434&amp;" "&amp;$M434&amp;"")))),"",IF($G434="","",IF(ISNUMBER(SEARCH("non",LOWER($E434&amp;""))),$G434*0.85,$G434))))</f>
        <v/>
      </c>
      <c r="O434" s="349">
        <f>IF($A434="","",IF(OR(LOWER($D434&amp;"")="n/a",ISNUMBER(SEARCH("subscription",LOWER($A434&amp;" "&amp;$M434&amp;""))),ISNUMBER(SEARCH("membership",LOWER($A434&amp;" "&amp;$M434&amp;"")))),"",IF(OR($N434="",$I434="",$I434=0),"",$N434/$I434)))</f>
        <v/>
      </c>
      <c r="P434" s="349">
        <f>IF($A434="","",IF(OR(LOWER($D434&amp;"")="n/a",ISNUMBER(SEARCH("subscription",LOWER($A434&amp;" "&amp;$M434&amp;""))),ISNUMBER(SEARCH("membership",LOWER($A434&amp;" "&amp;$M434&amp;"")))),"",IF(LOWER($L434&amp;"")="yes",0,IF($K434&lt;&gt;"",$K434,IF($O434&lt;&gt;"",$O434,"")))))</f>
        <v/>
      </c>
      <c r="Q434" s="351">
        <f>IF($A434="","",IF($U434="Subscription","",IF($U434="Profit",$P434-$H434,0)))</f>
        <v/>
      </c>
      <c r="R434" s="349">
        <f>IF($A434="","",IF($U434="Subscription","",IF($U434="Draw",$H434,0)))</f>
        <v/>
      </c>
      <c r="S434" s="349">
        <f>IF($A434="","",IF($U434="Subscription","",IF($U434="Disqualified",$H434,0)))</f>
        <v/>
      </c>
      <c r="T434" s="380">
        <f>IF($A434="","",IF($U434="Subscription","",IF($H434=0,IF($U434="Profit","N/A",0),IF($U434="Profit",$Q434/$H434,IF($U434="Disqualified",-1,0)))))</f>
        <v/>
      </c>
      <c r="U434" s="351">
        <f>IF($A434="","",IF(OR(LOWER($D434&amp;"")="n/a",ISNUMBER(SEARCH("subscription",LOWER($A434&amp;" "&amp;$M434&amp;""))),ISNUMBER(SEARCH("membership",LOWER($A434&amp;" "&amp;$M434&amp;"")))),"Subscription",IF(LOWER($L434&amp;"")="yes","Disqualified",IF($P434&gt;$H434,"Profit","Draw"))))</f>
        <v/>
      </c>
      <c r="V434" s="383">
        <f>IF(OR($A434="",$B434="",$C434="",$U434="Subscription"),"",IFERROR(ROUNDUP((IF(ISNUMBER($C434),$C434,DATEVALUE($C434))-IF(ISNUMBER($B434),$B434,DATEVALUE($B434)))/7,0),""))</f>
        <v/>
      </c>
      <c r="W434" s="351">
        <f>IF($U434="Subscription","",$Q434-$S434)</f>
        <v/>
      </c>
      <c r="X434" s="384">
        <f>IF(OR($A434="",$U434="Subscription",$J434="",$I434="",$J434=0,$I434=0,$I434&gt;$J434),"",$J434-$I434)</f>
        <v/>
      </c>
      <c r="Y434" s="381">
        <f>IF(OR($A434="",$U434="Subscription",$J434="",$J434=0,$X434=""),"",$X434/$J434)</f>
        <v/>
      </c>
    </row>
    <row r="435" ht="21" customHeight="1" s="270">
      <c r="A435" s="297" t="n"/>
      <c r="B435" s="298" t="n"/>
      <c r="C435" s="298" t="n"/>
      <c r="D435" s="297" t="n"/>
      <c r="E435" s="349" t="n"/>
      <c r="F435" s="349" t="n"/>
      <c r="G435" s="349" t="n"/>
      <c r="H435" s="349" t="n"/>
      <c r="I435" s="382" t="n"/>
      <c r="J435" s="383" t="n"/>
      <c r="K435" s="351" t="n"/>
      <c r="L435" s="296" t="n"/>
      <c r="M435" s="349" t="n"/>
      <c r="N435" s="349">
        <f>IF($A435="","",IF(OR(LOWER($D435&amp;"")="n/a",ISNUMBER(SEARCH("subscription",LOWER($A435&amp;" "&amp;$M435&amp;""))),ISNUMBER(SEARCH("membership",LOWER($A435&amp;" "&amp;$M435&amp;"")))),"",IF($G435="","",IF(ISNUMBER(SEARCH("non",LOWER($E435&amp;""))),$G435*0.85,$G435))))</f>
        <v/>
      </c>
      <c r="O435" s="349">
        <f>IF($A435="","",IF(OR(LOWER($D435&amp;"")="n/a",ISNUMBER(SEARCH("subscription",LOWER($A435&amp;" "&amp;$M435&amp;""))),ISNUMBER(SEARCH("membership",LOWER($A435&amp;" "&amp;$M435&amp;"")))),"",IF(OR($N435="",$I435="",$I435=0),"",$N435/$I435)))</f>
        <v/>
      </c>
      <c r="P435" s="349">
        <f>IF($A435="","",IF(OR(LOWER($D435&amp;"")="n/a",ISNUMBER(SEARCH("subscription",LOWER($A435&amp;" "&amp;$M435&amp;""))),ISNUMBER(SEARCH("membership",LOWER($A435&amp;" "&amp;$M435&amp;"")))),"",IF(LOWER($L435&amp;"")="yes",0,IF($K435&lt;&gt;"",$K435,IF($O435&lt;&gt;"",$O435,"")))))</f>
        <v/>
      </c>
      <c r="Q435" s="351">
        <f>IF($A435="","",IF($U435="Subscription","",IF($U435="Profit",$P435-$H435,0)))</f>
        <v/>
      </c>
      <c r="R435" s="349">
        <f>IF($A435="","",IF($U435="Subscription","",IF($U435="Draw",$H435,0)))</f>
        <v/>
      </c>
      <c r="S435" s="349">
        <f>IF($A435="","",IF($U435="Subscription","",IF($U435="Disqualified",$H435,0)))</f>
        <v/>
      </c>
      <c r="T435" s="380">
        <f>IF($A435="","",IF($U435="Subscription","",IF($H435=0,IF($U435="Profit","N/A",0),IF($U435="Profit",$Q435/$H435,IF($U435="Disqualified",-1,0)))))</f>
        <v/>
      </c>
      <c r="U435" s="351">
        <f>IF($A435="","",IF(OR(LOWER($D435&amp;"")="n/a",ISNUMBER(SEARCH("subscription",LOWER($A435&amp;" "&amp;$M435&amp;""))),ISNUMBER(SEARCH("membership",LOWER($A435&amp;" "&amp;$M435&amp;"")))),"Subscription",IF(LOWER($L435&amp;"")="yes","Disqualified",IF($P435&gt;$H435,"Profit","Draw"))))</f>
        <v/>
      </c>
      <c r="V435" s="383">
        <f>IF(OR($A435="",$B435="",$C435="",$U435="Subscription"),"",IFERROR(ROUNDUP((IF(ISNUMBER($C435),$C435,DATEVALUE($C435))-IF(ISNUMBER($B435),$B435,DATEVALUE($B435)))/7,0),""))</f>
        <v/>
      </c>
      <c r="W435" s="351">
        <f>IF($U435="Subscription","",$Q435-$S435)</f>
        <v/>
      </c>
      <c r="X435" s="384">
        <f>IF(OR($A435="",$U435="Subscription",$J435="",$I435="",$J435=0,$I435=0,$I435&gt;$J435),"",$J435-$I435)</f>
        <v/>
      </c>
      <c r="Y435" s="381">
        <f>IF(OR($A435="",$U435="Subscription",$J435="",$J435=0,$X435=""),"",$X435/$J435)</f>
        <v/>
      </c>
    </row>
    <row r="436" ht="21" customHeight="1" s="270">
      <c r="A436" s="297" t="n"/>
      <c r="B436" s="298" t="n"/>
      <c r="C436" s="298" t="n"/>
      <c r="D436" s="297" t="n"/>
      <c r="E436" s="349" t="n"/>
      <c r="F436" s="349" t="n"/>
      <c r="G436" s="349" t="n"/>
      <c r="H436" s="349" t="n"/>
      <c r="I436" s="382" t="n"/>
      <c r="J436" s="383" t="n"/>
      <c r="K436" s="351" t="n"/>
      <c r="L436" s="296" t="n"/>
      <c r="M436" s="349" t="n"/>
      <c r="N436" s="349">
        <f>IF($A436="","",IF(OR(LOWER($D436&amp;"")="n/a",ISNUMBER(SEARCH("subscription",LOWER($A436&amp;" "&amp;$M436&amp;""))),ISNUMBER(SEARCH("membership",LOWER($A436&amp;" "&amp;$M436&amp;"")))),"",IF($G436="","",IF(ISNUMBER(SEARCH("non",LOWER($E436&amp;""))),$G436*0.85,$G436))))</f>
        <v/>
      </c>
      <c r="O436" s="349">
        <f>IF($A436="","",IF(OR(LOWER($D436&amp;"")="n/a",ISNUMBER(SEARCH("subscription",LOWER($A436&amp;" "&amp;$M436&amp;""))),ISNUMBER(SEARCH("membership",LOWER($A436&amp;" "&amp;$M436&amp;"")))),"",IF(OR($N436="",$I436="",$I436=0),"",$N436/$I436)))</f>
        <v/>
      </c>
      <c r="P436" s="349">
        <f>IF($A436="","",IF(OR(LOWER($D436&amp;"")="n/a",ISNUMBER(SEARCH("subscription",LOWER($A436&amp;" "&amp;$M436&amp;""))),ISNUMBER(SEARCH("membership",LOWER($A436&amp;" "&amp;$M436&amp;"")))),"",IF(LOWER($L436&amp;"")="yes",0,IF($K436&lt;&gt;"",$K436,IF($O436&lt;&gt;"",$O436,"")))))</f>
        <v/>
      </c>
      <c r="Q436" s="351">
        <f>IF($A436="","",IF($U436="Subscription","",IF($U436="Profit",$P436-$H436,0)))</f>
        <v/>
      </c>
      <c r="R436" s="349">
        <f>IF($A436="","",IF($U436="Subscription","",IF($U436="Draw",$H436,0)))</f>
        <v/>
      </c>
      <c r="S436" s="349">
        <f>IF($A436="","",IF($U436="Subscription","",IF($U436="Disqualified",$H436,0)))</f>
        <v/>
      </c>
      <c r="T436" s="380">
        <f>IF($A436="","",IF($U436="Subscription","",IF($H436=0,IF($U436="Profit","N/A",0),IF($U436="Profit",$Q436/$H436,IF($U436="Disqualified",-1,0)))))</f>
        <v/>
      </c>
      <c r="U436" s="351">
        <f>IF($A436="","",IF(OR(LOWER($D436&amp;"")="n/a",ISNUMBER(SEARCH("subscription",LOWER($A436&amp;" "&amp;$M436&amp;""))),ISNUMBER(SEARCH("membership",LOWER($A436&amp;" "&amp;$M436&amp;"")))),"Subscription",IF(LOWER($L436&amp;"")="yes","Disqualified",IF($P436&gt;$H436,"Profit","Draw"))))</f>
        <v/>
      </c>
      <c r="V436" s="383">
        <f>IF(OR($A436="",$B436="",$C436="",$U436="Subscription"),"",IFERROR(ROUNDUP((IF(ISNUMBER($C436),$C436,DATEVALUE($C436))-IF(ISNUMBER($B436),$B436,DATEVALUE($B436)))/7,0),""))</f>
        <v/>
      </c>
      <c r="W436" s="351">
        <f>IF($U436="Subscription","",$Q436-$S436)</f>
        <v/>
      </c>
      <c r="X436" s="384">
        <f>IF(OR($A436="",$U436="Subscription",$J436="",$I436="",$J436=0,$I436=0,$I436&gt;$J436),"",$J436-$I436)</f>
        <v/>
      </c>
      <c r="Y436" s="381">
        <f>IF(OR($A436="",$U436="Subscription",$J436="",$J436=0,$X436=""),"",$X436/$J436)</f>
        <v/>
      </c>
    </row>
    <row r="437" ht="21" customHeight="1" s="270">
      <c r="A437" s="297" t="n"/>
      <c r="B437" s="298" t="n"/>
      <c r="C437" s="298" t="n"/>
      <c r="D437" s="297" t="n"/>
      <c r="E437" s="349" t="n"/>
      <c r="F437" s="349" t="n"/>
      <c r="G437" s="349" t="n"/>
      <c r="H437" s="349" t="n"/>
      <c r="I437" s="382" t="n"/>
      <c r="J437" s="383" t="n"/>
      <c r="K437" s="351" t="n"/>
      <c r="L437" s="296" t="n"/>
      <c r="M437" s="349" t="n"/>
      <c r="N437" s="349">
        <f>IF($A437="","",IF(OR(LOWER($D437&amp;"")="n/a",ISNUMBER(SEARCH("subscription",LOWER($A437&amp;" "&amp;$M437&amp;""))),ISNUMBER(SEARCH("membership",LOWER($A437&amp;" "&amp;$M437&amp;"")))),"",IF($G437="","",IF(ISNUMBER(SEARCH("non",LOWER($E437&amp;""))),$G437*0.85,$G437))))</f>
        <v/>
      </c>
      <c r="O437" s="349">
        <f>IF($A437="","",IF(OR(LOWER($D437&amp;"")="n/a",ISNUMBER(SEARCH("subscription",LOWER($A437&amp;" "&amp;$M437&amp;""))),ISNUMBER(SEARCH("membership",LOWER($A437&amp;" "&amp;$M437&amp;"")))),"",IF(OR($N437="",$I437="",$I437=0),"",$N437/$I437)))</f>
        <v/>
      </c>
      <c r="P437" s="349">
        <f>IF($A437="","",IF(OR(LOWER($D437&amp;"")="n/a",ISNUMBER(SEARCH("subscription",LOWER($A437&amp;" "&amp;$M437&amp;""))),ISNUMBER(SEARCH("membership",LOWER($A437&amp;" "&amp;$M437&amp;"")))),"",IF(LOWER($L437&amp;"")="yes",0,IF($K437&lt;&gt;"",$K437,IF($O437&lt;&gt;"",$O437,"")))))</f>
        <v/>
      </c>
      <c r="Q437" s="351">
        <f>IF($A437="","",IF($U437="Subscription","",IF($U437="Profit",$P437-$H437,0)))</f>
        <v/>
      </c>
      <c r="R437" s="349">
        <f>IF($A437="","",IF($U437="Subscription","",IF($U437="Draw",$H437,0)))</f>
        <v/>
      </c>
      <c r="S437" s="349">
        <f>IF($A437="","",IF($U437="Subscription","",IF($U437="Disqualified",$H437,0)))</f>
        <v/>
      </c>
      <c r="T437" s="380">
        <f>IF($A437="","",IF($U437="Subscription","",IF($H437=0,IF($U437="Profit","N/A",0),IF($U437="Profit",$Q437/$H437,IF($U437="Disqualified",-1,0)))))</f>
        <v/>
      </c>
      <c r="U437" s="351">
        <f>IF($A437="","",IF(OR(LOWER($D437&amp;"")="n/a",ISNUMBER(SEARCH("subscription",LOWER($A437&amp;" "&amp;$M437&amp;""))),ISNUMBER(SEARCH("membership",LOWER($A437&amp;" "&amp;$M437&amp;"")))),"Subscription",IF(LOWER($L437&amp;"")="yes","Disqualified",IF($P437&gt;$H437,"Profit","Draw"))))</f>
        <v/>
      </c>
      <c r="V437" s="383">
        <f>IF(OR($A437="",$B437="",$C437="",$U437="Subscription"),"",IFERROR(ROUNDUP((IF(ISNUMBER($C437),$C437,DATEVALUE($C437))-IF(ISNUMBER($B437),$B437,DATEVALUE($B437)))/7,0),""))</f>
        <v/>
      </c>
      <c r="W437" s="351">
        <f>IF($U437="Subscription","",$Q437-$S437)</f>
        <v/>
      </c>
      <c r="X437" s="384">
        <f>IF(OR($A437="",$U437="Subscription",$J437="",$I437="",$J437=0,$I437=0,$I437&gt;$J437),"",$J437-$I437)</f>
        <v/>
      </c>
      <c r="Y437" s="381">
        <f>IF(OR($A437="",$U437="Subscription",$J437="",$J437=0,$X437=""),"",$X437/$J437)</f>
        <v/>
      </c>
    </row>
    <row r="438" ht="21" customHeight="1" s="270">
      <c r="A438" s="297" t="n"/>
      <c r="B438" s="298" t="n"/>
      <c r="C438" s="298" t="n"/>
      <c r="D438" s="297" t="n"/>
      <c r="E438" s="349" t="n"/>
      <c r="F438" s="349" t="n"/>
      <c r="G438" s="349" t="n"/>
      <c r="H438" s="349" t="n"/>
      <c r="I438" s="382" t="n"/>
      <c r="J438" s="383" t="n"/>
      <c r="K438" s="351" t="n"/>
      <c r="L438" s="296" t="n"/>
      <c r="M438" s="349" t="n"/>
      <c r="N438" s="349">
        <f>IF($A438="","",IF(OR(LOWER($D438&amp;"")="n/a",ISNUMBER(SEARCH("subscription",LOWER($A438&amp;" "&amp;$M438&amp;""))),ISNUMBER(SEARCH("membership",LOWER($A438&amp;" "&amp;$M438&amp;"")))),"",IF($G438="","",IF(ISNUMBER(SEARCH("non",LOWER($E438&amp;""))),$G438*0.85,$G438))))</f>
        <v/>
      </c>
      <c r="O438" s="349">
        <f>IF($A438="","",IF(OR(LOWER($D438&amp;"")="n/a",ISNUMBER(SEARCH("subscription",LOWER($A438&amp;" "&amp;$M438&amp;""))),ISNUMBER(SEARCH("membership",LOWER($A438&amp;" "&amp;$M438&amp;"")))),"",IF(OR($N438="",$I438="",$I438=0),"",$N438/$I438)))</f>
        <v/>
      </c>
      <c r="P438" s="349">
        <f>IF($A438="","",IF(OR(LOWER($D438&amp;"")="n/a",ISNUMBER(SEARCH("subscription",LOWER($A438&amp;" "&amp;$M438&amp;""))),ISNUMBER(SEARCH("membership",LOWER($A438&amp;" "&amp;$M438&amp;"")))),"",IF(LOWER($L438&amp;"")="yes",0,IF($K438&lt;&gt;"",$K438,IF($O438&lt;&gt;"",$O438,"")))))</f>
        <v/>
      </c>
      <c r="Q438" s="351">
        <f>IF($A438="","",IF($U438="Subscription","",IF($U438="Profit",$P438-$H438,0)))</f>
        <v/>
      </c>
      <c r="R438" s="349">
        <f>IF($A438="","",IF($U438="Subscription","",IF($U438="Draw",$H438,0)))</f>
        <v/>
      </c>
      <c r="S438" s="349">
        <f>IF($A438="","",IF($U438="Subscription","",IF($U438="Disqualified",$H438,0)))</f>
        <v/>
      </c>
      <c r="T438" s="380">
        <f>IF($A438="","",IF($U438="Subscription","",IF($H438=0,IF($U438="Profit","N/A",0),IF($U438="Profit",$Q438/$H438,IF($U438="Disqualified",-1,0)))))</f>
        <v/>
      </c>
      <c r="U438" s="351">
        <f>IF($A438="","",IF(OR(LOWER($D438&amp;"")="n/a",ISNUMBER(SEARCH("subscription",LOWER($A438&amp;" "&amp;$M438&amp;""))),ISNUMBER(SEARCH("membership",LOWER($A438&amp;" "&amp;$M438&amp;"")))),"Subscription",IF(LOWER($L438&amp;"")="yes","Disqualified",IF($P438&gt;$H438,"Profit","Draw"))))</f>
        <v/>
      </c>
      <c r="V438" s="383">
        <f>IF(OR($A438="",$B438="",$C438="",$U438="Subscription"),"",IFERROR(ROUNDUP((IF(ISNUMBER($C438),$C438,DATEVALUE($C438))-IF(ISNUMBER($B438),$B438,DATEVALUE($B438)))/7,0),""))</f>
        <v/>
      </c>
      <c r="W438" s="351">
        <f>IF($U438="Subscription","",$Q438-$S438)</f>
        <v/>
      </c>
      <c r="X438" s="384">
        <f>IF(OR($A438="",$U438="Subscription",$J438="",$I438="",$J438=0,$I438=0,$I438&gt;$J438),"",$J438-$I438)</f>
        <v/>
      </c>
      <c r="Y438" s="381">
        <f>IF(OR($A438="",$U438="Subscription",$J438="",$J438=0,$X438=""),"",$X438/$J438)</f>
        <v/>
      </c>
    </row>
    <row r="439" ht="21" customHeight="1" s="270">
      <c r="A439" s="297" t="n"/>
      <c r="B439" s="298" t="n"/>
      <c r="C439" s="298" t="n"/>
      <c r="D439" s="297" t="n"/>
      <c r="E439" s="349" t="n"/>
      <c r="F439" s="349" t="n"/>
      <c r="G439" s="349" t="n"/>
      <c r="H439" s="349" t="n"/>
      <c r="I439" s="382" t="n"/>
      <c r="J439" s="383" t="n"/>
      <c r="K439" s="351" t="n"/>
      <c r="L439" s="296" t="n"/>
      <c r="M439" s="349" t="n"/>
      <c r="N439" s="349">
        <f>IF($A439="","",IF(OR(LOWER($D439&amp;"")="n/a",ISNUMBER(SEARCH("subscription",LOWER($A439&amp;" "&amp;$M439&amp;""))),ISNUMBER(SEARCH("membership",LOWER($A439&amp;" "&amp;$M439&amp;"")))),"",IF($G439="","",IF(ISNUMBER(SEARCH("non",LOWER($E439&amp;""))),$G439*0.85,$G439))))</f>
        <v/>
      </c>
      <c r="O439" s="349">
        <f>IF($A439="","",IF(OR(LOWER($D439&amp;"")="n/a",ISNUMBER(SEARCH("subscription",LOWER($A439&amp;" "&amp;$M439&amp;""))),ISNUMBER(SEARCH("membership",LOWER($A439&amp;" "&amp;$M439&amp;"")))),"",IF(OR($N439="",$I439="",$I439=0),"",$N439/$I439)))</f>
        <v/>
      </c>
      <c r="P439" s="349">
        <f>IF($A439="","",IF(OR(LOWER($D439&amp;"")="n/a",ISNUMBER(SEARCH("subscription",LOWER($A439&amp;" "&amp;$M439&amp;""))),ISNUMBER(SEARCH("membership",LOWER($A439&amp;" "&amp;$M439&amp;"")))),"",IF(LOWER($L439&amp;"")="yes",0,IF($K439&lt;&gt;"",$K439,IF($O439&lt;&gt;"",$O439,"")))))</f>
        <v/>
      </c>
      <c r="Q439" s="351">
        <f>IF($A439="","",IF($U439="Subscription","",IF($U439="Profit",$P439-$H439,0)))</f>
        <v/>
      </c>
      <c r="R439" s="349">
        <f>IF($A439="","",IF($U439="Subscription","",IF($U439="Draw",$H439,0)))</f>
        <v/>
      </c>
      <c r="S439" s="349">
        <f>IF($A439="","",IF($U439="Subscription","",IF($U439="Disqualified",$H439,0)))</f>
        <v/>
      </c>
      <c r="T439" s="380">
        <f>IF($A439="","",IF($U439="Subscription","",IF($H439=0,IF($U439="Profit","N/A",0),IF($U439="Profit",$Q439/$H439,IF($U439="Disqualified",-1,0)))))</f>
        <v/>
      </c>
      <c r="U439" s="351">
        <f>IF($A439="","",IF(OR(LOWER($D439&amp;"")="n/a",ISNUMBER(SEARCH("subscription",LOWER($A439&amp;" "&amp;$M439&amp;""))),ISNUMBER(SEARCH("membership",LOWER($A439&amp;" "&amp;$M439&amp;"")))),"Subscription",IF(LOWER($L439&amp;"")="yes","Disqualified",IF($P439&gt;$H439,"Profit","Draw"))))</f>
        <v/>
      </c>
      <c r="V439" s="383">
        <f>IF(OR($A439="",$B439="",$C439="",$U439="Subscription"),"",IFERROR(ROUNDUP((IF(ISNUMBER($C439),$C439,DATEVALUE($C439))-IF(ISNUMBER($B439),$B439,DATEVALUE($B439)))/7,0),""))</f>
        <v/>
      </c>
      <c r="W439" s="351">
        <f>IF($U439="Subscription","",$Q439-$S439)</f>
        <v/>
      </c>
      <c r="X439" s="384">
        <f>IF(OR($A439="",$U439="Subscription",$J439="",$I439="",$J439=0,$I439=0,$I439&gt;$J439),"",$J439-$I439)</f>
        <v/>
      </c>
      <c r="Y439" s="381">
        <f>IF(OR($A439="",$U439="Subscription",$J439="",$J439=0,$X439=""),"",$X439/$J439)</f>
        <v/>
      </c>
    </row>
    <row r="440" ht="21" customHeight="1" s="270">
      <c r="A440" s="297" t="n"/>
      <c r="B440" s="298" t="n"/>
      <c r="C440" s="298" t="n"/>
      <c r="D440" s="297" t="n"/>
      <c r="E440" s="349" t="n"/>
      <c r="F440" s="349" t="n"/>
      <c r="G440" s="349" t="n"/>
      <c r="H440" s="349" t="n"/>
      <c r="I440" s="382" t="n"/>
      <c r="J440" s="383" t="n"/>
      <c r="K440" s="351" t="n"/>
      <c r="L440" s="296" t="n"/>
      <c r="M440" s="349" t="n"/>
      <c r="N440" s="349">
        <f>IF($A440="","",IF(OR(LOWER($D440&amp;"")="n/a",ISNUMBER(SEARCH("subscription",LOWER($A440&amp;" "&amp;$M440&amp;""))),ISNUMBER(SEARCH("membership",LOWER($A440&amp;" "&amp;$M440&amp;"")))),"",IF($G440="","",IF(ISNUMBER(SEARCH("non",LOWER($E440&amp;""))),$G440*0.85,$G440))))</f>
        <v/>
      </c>
      <c r="O440" s="349">
        <f>IF($A440="","",IF(OR(LOWER($D440&amp;"")="n/a",ISNUMBER(SEARCH("subscription",LOWER($A440&amp;" "&amp;$M440&amp;""))),ISNUMBER(SEARCH("membership",LOWER($A440&amp;" "&amp;$M440&amp;"")))),"",IF(OR($N440="",$I440="",$I440=0),"",$N440/$I440)))</f>
        <v/>
      </c>
      <c r="P440" s="349">
        <f>IF($A440="","",IF(OR(LOWER($D440&amp;"")="n/a",ISNUMBER(SEARCH("subscription",LOWER($A440&amp;" "&amp;$M440&amp;""))),ISNUMBER(SEARCH("membership",LOWER($A440&amp;" "&amp;$M440&amp;"")))),"",IF(LOWER($L440&amp;"")="yes",0,IF($K440&lt;&gt;"",$K440,IF($O440&lt;&gt;"",$O440,"")))))</f>
        <v/>
      </c>
      <c r="Q440" s="351">
        <f>IF($A440="","",IF($U440="Subscription","",IF($U440="Profit",$P440-$H440,0)))</f>
        <v/>
      </c>
      <c r="R440" s="349">
        <f>IF($A440="","",IF($U440="Subscription","",IF($U440="Draw",$H440,0)))</f>
        <v/>
      </c>
      <c r="S440" s="349">
        <f>IF($A440="","",IF($U440="Subscription","",IF($U440="Disqualified",$H440,0)))</f>
        <v/>
      </c>
      <c r="T440" s="380">
        <f>IF($A440="","",IF($U440="Subscription","",IF($H440=0,IF($U440="Profit","N/A",0),IF($U440="Profit",$Q440/$H440,IF($U440="Disqualified",-1,0)))))</f>
        <v/>
      </c>
      <c r="U440" s="351">
        <f>IF($A440="","",IF(OR(LOWER($D440&amp;"")="n/a",ISNUMBER(SEARCH("subscription",LOWER($A440&amp;" "&amp;$M440&amp;""))),ISNUMBER(SEARCH("membership",LOWER($A440&amp;" "&amp;$M440&amp;"")))),"Subscription",IF(LOWER($L440&amp;"")="yes","Disqualified",IF($P440&gt;$H440,"Profit","Draw"))))</f>
        <v/>
      </c>
      <c r="V440" s="383">
        <f>IF(OR($A440="",$B440="",$C440="",$U440="Subscription"),"",IFERROR(ROUNDUP((IF(ISNUMBER($C440),$C440,DATEVALUE($C440))-IF(ISNUMBER($B440),$B440,DATEVALUE($B440)))/7,0),""))</f>
        <v/>
      </c>
      <c r="W440" s="351">
        <f>IF($U440="Subscription","",$Q440-$S440)</f>
        <v/>
      </c>
      <c r="X440" s="384">
        <f>IF(OR($A440="",$U440="Subscription",$J440="",$I440="",$J440=0,$I440=0,$I440&gt;$J440),"",$J440-$I440)</f>
        <v/>
      </c>
      <c r="Y440" s="381">
        <f>IF(OR($A440="",$U440="Subscription",$J440="",$J440=0,$X440=""),"",$X440/$J440)</f>
        <v/>
      </c>
    </row>
    <row r="441" ht="21" customHeight="1" s="270">
      <c r="A441" s="297" t="n"/>
      <c r="B441" s="298" t="n"/>
      <c r="C441" s="298" t="n"/>
      <c r="D441" s="297" t="n"/>
      <c r="E441" s="349" t="n"/>
      <c r="F441" s="349" t="n"/>
      <c r="G441" s="349" t="n"/>
      <c r="H441" s="349" t="n"/>
      <c r="I441" s="382" t="n"/>
      <c r="J441" s="383" t="n"/>
      <c r="K441" s="351" t="n"/>
      <c r="L441" s="296" t="n"/>
      <c r="M441" s="349" t="n"/>
      <c r="N441" s="349">
        <f>IF($A441="","",IF(OR(LOWER($D441&amp;"")="n/a",ISNUMBER(SEARCH("subscription",LOWER($A441&amp;" "&amp;$M441&amp;""))),ISNUMBER(SEARCH("membership",LOWER($A441&amp;" "&amp;$M441&amp;"")))),"",IF($G441="","",IF(ISNUMBER(SEARCH("non",LOWER($E441&amp;""))),$G441*0.85,$G441))))</f>
        <v/>
      </c>
      <c r="O441" s="349">
        <f>IF($A441="","",IF(OR(LOWER($D441&amp;"")="n/a",ISNUMBER(SEARCH("subscription",LOWER($A441&amp;" "&amp;$M441&amp;""))),ISNUMBER(SEARCH("membership",LOWER($A441&amp;" "&amp;$M441&amp;"")))),"",IF(OR($N441="",$I441="",$I441=0),"",$N441/$I441)))</f>
        <v/>
      </c>
      <c r="P441" s="349">
        <f>IF($A441="","",IF(OR(LOWER($D441&amp;"")="n/a",ISNUMBER(SEARCH("subscription",LOWER($A441&amp;" "&amp;$M441&amp;""))),ISNUMBER(SEARCH("membership",LOWER($A441&amp;" "&amp;$M441&amp;"")))),"",IF(LOWER($L441&amp;"")="yes",0,IF($K441&lt;&gt;"",$K441,IF($O441&lt;&gt;"",$O441,"")))))</f>
        <v/>
      </c>
      <c r="Q441" s="351">
        <f>IF($A441="","",IF($U441="Subscription","",IF($U441="Profit",$P441-$H441,0)))</f>
        <v/>
      </c>
      <c r="R441" s="349">
        <f>IF($A441="","",IF($U441="Subscription","",IF($U441="Draw",$H441,0)))</f>
        <v/>
      </c>
      <c r="S441" s="349">
        <f>IF($A441="","",IF($U441="Subscription","",IF($U441="Disqualified",$H441,0)))</f>
        <v/>
      </c>
      <c r="T441" s="380">
        <f>IF($A441="","",IF($U441="Subscription","",IF($H441=0,IF($U441="Profit","N/A",0),IF($U441="Profit",$Q441/$H441,IF($U441="Disqualified",-1,0)))))</f>
        <v/>
      </c>
      <c r="U441" s="351">
        <f>IF($A441="","",IF(OR(LOWER($D441&amp;"")="n/a",ISNUMBER(SEARCH("subscription",LOWER($A441&amp;" "&amp;$M441&amp;""))),ISNUMBER(SEARCH("membership",LOWER($A441&amp;" "&amp;$M441&amp;"")))),"Subscription",IF(LOWER($L441&amp;"")="yes","Disqualified",IF($P441&gt;$H441,"Profit","Draw"))))</f>
        <v/>
      </c>
      <c r="V441" s="383">
        <f>IF(OR($A441="",$B441="",$C441="",$U441="Subscription"),"",IFERROR(ROUNDUP((IF(ISNUMBER($C441),$C441,DATEVALUE($C441))-IF(ISNUMBER($B441),$B441,DATEVALUE($B441)))/7,0),""))</f>
        <v/>
      </c>
      <c r="W441" s="351">
        <f>IF($U441="Subscription","",$Q441-$S441)</f>
        <v/>
      </c>
      <c r="X441" s="384">
        <f>IF(OR($A441="",$U441="Subscription",$J441="",$I441="",$J441=0,$I441=0,$I441&gt;$J441),"",$J441-$I441)</f>
        <v/>
      </c>
      <c r="Y441" s="381">
        <f>IF(OR($A441="",$U441="Subscription",$J441="",$J441=0,$X441=""),"",$X441/$J441)</f>
        <v/>
      </c>
    </row>
    <row r="442" ht="21" customHeight="1" s="270">
      <c r="A442" s="297" t="n"/>
      <c r="B442" s="298" t="n"/>
      <c r="C442" s="298" t="n"/>
      <c r="D442" s="297" t="n"/>
      <c r="E442" s="349" t="n"/>
      <c r="F442" s="349" t="n"/>
      <c r="G442" s="349" t="n"/>
      <c r="H442" s="349" t="n"/>
      <c r="I442" s="382" t="n"/>
      <c r="J442" s="383" t="n"/>
      <c r="K442" s="351" t="n"/>
      <c r="L442" s="296" t="n"/>
      <c r="M442" s="349" t="n"/>
      <c r="N442" s="349">
        <f>IF($A442="","",IF(OR(LOWER($D442&amp;"")="n/a",ISNUMBER(SEARCH("subscription",LOWER($A442&amp;" "&amp;$M442&amp;""))),ISNUMBER(SEARCH("membership",LOWER($A442&amp;" "&amp;$M442&amp;"")))),"",IF($G442="","",IF(ISNUMBER(SEARCH("non",LOWER($E442&amp;""))),$G442*0.85,$G442))))</f>
        <v/>
      </c>
      <c r="O442" s="349">
        <f>IF($A442="","",IF(OR(LOWER($D442&amp;"")="n/a",ISNUMBER(SEARCH("subscription",LOWER($A442&amp;" "&amp;$M442&amp;""))),ISNUMBER(SEARCH("membership",LOWER($A442&amp;" "&amp;$M442&amp;"")))),"",IF(OR($N442="",$I442="",$I442=0),"",$N442/$I442)))</f>
        <v/>
      </c>
      <c r="P442" s="349">
        <f>IF($A442="","",IF(OR(LOWER($D442&amp;"")="n/a",ISNUMBER(SEARCH("subscription",LOWER($A442&amp;" "&amp;$M442&amp;""))),ISNUMBER(SEARCH("membership",LOWER($A442&amp;" "&amp;$M442&amp;"")))),"",IF(LOWER($L442&amp;"")="yes",0,IF($K442&lt;&gt;"",$K442,IF($O442&lt;&gt;"",$O442,"")))))</f>
        <v/>
      </c>
      <c r="Q442" s="351">
        <f>IF($A442="","",IF($U442="Subscription","",IF($U442="Profit",$P442-$H442,0)))</f>
        <v/>
      </c>
      <c r="R442" s="349">
        <f>IF($A442="","",IF($U442="Subscription","",IF($U442="Draw",$H442,0)))</f>
        <v/>
      </c>
      <c r="S442" s="349">
        <f>IF($A442="","",IF($U442="Subscription","",IF($U442="Disqualified",$H442,0)))</f>
        <v/>
      </c>
      <c r="T442" s="380">
        <f>IF($A442="","",IF($U442="Subscription","",IF($H442=0,IF($U442="Profit","N/A",0),IF($U442="Profit",$Q442/$H442,IF($U442="Disqualified",-1,0)))))</f>
        <v/>
      </c>
      <c r="U442" s="351">
        <f>IF($A442="","",IF(OR(LOWER($D442&amp;"")="n/a",ISNUMBER(SEARCH("subscription",LOWER($A442&amp;" "&amp;$M442&amp;""))),ISNUMBER(SEARCH("membership",LOWER($A442&amp;" "&amp;$M442&amp;"")))),"Subscription",IF(LOWER($L442&amp;"")="yes","Disqualified",IF($P442&gt;$H442,"Profit","Draw"))))</f>
        <v/>
      </c>
      <c r="V442" s="383">
        <f>IF(OR($A442="",$B442="",$C442="",$U442="Subscription"),"",IFERROR(ROUNDUP((IF(ISNUMBER($C442),$C442,DATEVALUE($C442))-IF(ISNUMBER($B442),$B442,DATEVALUE($B442)))/7,0),""))</f>
        <v/>
      </c>
      <c r="W442" s="351">
        <f>IF($U442="Subscription","",$Q442-$S442)</f>
        <v/>
      </c>
      <c r="X442" s="384">
        <f>IF(OR($A442="",$U442="Subscription",$J442="",$I442="",$J442=0,$I442=0,$I442&gt;$J442),"",$J442-$I442)</f>
        <v/>
      </c>
      <c r="Y442" s="381">
        <f>IF(OR($A442="",$U442="Subscription",$J442="",$J442=0,$X442=""),"",$X442/$J442)</f>
        <v/>
      </c>
    </row>
    <row r="443" ht="21" customHeight="1" s="270">
      <c r="A443" s="297" t="n"/>
      <c r="B443" s="298" t="n"/>
      <c r="C443" s="298" t="n"/>
      <c r="D443" s="297" t="n"/>
      <c r="E443" s="349" t="n"/>
      <c r="F443" s="349" t="n"/>
      <c r="G443" s="349" t="n"/>
      <c r="H443" s="349" t="n"/>
      <c r="I443" s="382" t="n"/>
      <c r="J443" s="383" t="n"/>
      <c r="K443" s="351" t="n"/>
      <c r="L443" s="296" t="n"/>
      <c r="M443" s="349" t="n"/>
      <c r="N443" s="349">
        <f>IF($A443="","",IF(OR(LOWER($D443&amp;"")="n/a",ISNUMBER(SEARCH("subscription",LOWER($A443&amp;" "&amp;$M443&amp;""))),ISNUMBER(SEARCH("membership",LOWER($A443&amp;" "&amp;$M443&amp;"")))),"",IF($G443="","",IF(ISNUMBER(SEARCH("non",LOWER($E443&amp;""))),$G443*0.85,$G443))))</f>
        <v/>
      </c>
      <c r="O443" s="349">
        <f>IF($A443="","",IF(OR(LOWER($D443&amp;"")="n/a",ISNUMBER(SEARCH("subscription",LOWER($A443&amp;" "&amp;$M443&amp;""))),ISNUMBER(SEARCH("membership",LOWER($A443&amp;" "&amp;$M443&amp;"")))),"",IF(OR($N443="",$I443="",$I443=0),"",$N443/$I443)))</f>
        <v/>
      </c>
      <c r="P443" s="349">
        <f>IF($A443="","",IF(OR(LOWER($D443&amp;"")="n/a",ISNUMBER(SEARCH("subscription",LOWER($A443&amp;" "&amp;$M443&amp;""))),ISNUMBER(SEARCH("membership",LOWER($A443&amp;" "&amp;$M443&amp;"")))),"",IF(LOWER($L443&amp;"")="yes",0,IF($K443&lt;&gt;"",$K443,IF($O443&lt;&gt;"",$O443,"")))))</f>
        <v/>
      </c>
      <c r="Q443" s="351">
        <f>IF($A443="","",IF($U443="Subscription","",IF($U443="Profit",$P443-$H443,0)))</f>
        <v/>
      </c>
      <c r="R443" s="349">
        <f>IF($A443="","",IF($U443="Subscription","",IF($U443="Draw",$H443,0)))</f>
        <v/>
      </c>
      <c r="S443" s="349">
        <f>IF($A443="","",IF($U443="Subscription","",IF($U443="Disqualified",$H443,0)))</f>
        <v/>
      </c>
      <c r="T443" s="380">
        <f>IF($A443="","",IF($U443="Subscription","",IF($H443=0,IF($U443="Profit","N/A",0),IF($U443="Profit",$Q443/$H443,IF($U443="Disqualified",-1,0)))))</f>
        <v/>
      </c>
      <c r="U443" s="351">
        <f>IF($A443="","",IF(OR(LOWER($D443&amp;"")="n/a",ISNUMBER(SEARCH("subscription",LOWER($A443&amp;" "&amp;$M443&amp;""))),ISNUMBER(SEARCH("membership",LOWER($A443&amp;" "&amp;$M443&amp;"")))),"Subscription",IF(LOWER($L443&amp;"")="yes","Disqualified",IF($P443&gt;$H443,"Profit","Draw"))))</f>
        <v/>
      </c>
      <c r="V443" s="383">
        <f>IF(OR($A443="",$B443="",$C443="",$U443="Subscription"),"",IFERROR(ROUNDUP((IF(ISNUMBER($C443),$C443,DATEVALUE($C443))-IF(ISNUMBER($B443),$B443,DATEVALUE($B443)))/7,0),""))</f>
        <v/>
      </c>
      <c r="W443" s="351">
        <f>IF($U443="Subscription","",$Q443-$S443)</f>
        <v/>
      </c>
      <c r="X443" s="384">
        <f>IF(OR($A443="",$U443="Subscription",$J443="",$I443="",$J443=0,$I443=0,$I443&gt;$J443),"",$J443-$I443)</f>
        <v/>
      </c>
      <c r="Y443" s="381">
        <f>IF(OR($A443="",$U443="Subscription",$J443="",$J443=0,$X443=""),"",$X443/$J443)</f>
        <v/>
      </c>
    </row>
    <row r="444" ht="21" customHeight="1" s="270">
      <c r="A444" s="297" t="n"/>
      <c r="B444" s="298" t="n"/>
      <c r="C444" s="298" t="n"/>
      <c r="D444" s="297" t="n"/>
      <c r="E444" s="349" t="n"/>
      <c r="F444" s="349" t="n"/>
      <c r="G444" s="349" t="n"/>
      <c r="H444" s="349" t="n"/>
      <c r="I444" s="382" t="n"/>
      <c r="J444" s="383" t="n"/>
      <c r="K444" s="351" t="n"/>
      <c r="L444" s="296" t="n"/>
      <c r="M444" s="349" t="n"/>
      <c r="N444" s="349">
        <f>IF($A444="","",IF(OR(LOWER($D444&amp;"")="n/a",ISNUMBER(SEARCH("subscription",LOWER($A444&amp;" "&amp;$M444&amp;""))),ISNUMBER(SEARCH("membership",LOWER($A444&amp;" "&amp;$M444&amp;"")))),"",IF($G444="","",IF(ISNUMBER(SEARCH("non",LOWER($E444&amp;""))),$G444*0.85,$G444))))</f>
        <v/>
      </c>
      <c r="O444" s="349">
        <f>IF($A444="","",IF(OR(LOWER($D444&amp;"")="n/a",ISNUMBER(SEARCH("subscription",LOWER($A444&amp;" "&amp;$M444&amp;""))),ISNUMBER(SEARCH("membership",LOWER($A444&amp;" "&amp;$M444&amp;"")))),"",IF(OR($N444="",$I444="",$I444=0),"",$N444/$I444)))</f>
        <v/>
      </c>
      <c r="P444" s="349">
        <f>IF($A444="","",IF(OR(LOWER($D444&amp;"")="n/a",ISNUMBER(SEARCH("subscription",LOWER($A444&amp;" "&amp;$M444&amp;""))),ISNUMBER(SEARCH("membership",LOWER($A444&amp;" "&amp;$M444&amp;"")))),"",IF(LOWER($L444&amp;"")="yes",0,IF($K444&lt;&gt;"",$K444,IF($O444&lt;&gt;"",$O444,"")))))</f>
        <v/>
      </c>
      <c r="Q444" s="351">
        <f>IF($A444="","",IF($U444="Subscription","",IF($U444="Profit",$P444-$H444,0)))</f>
        <v/>
      </c>
      <c r="R444" s="349">
        <f>IF($A444="","",IF($U444="Subscription","",IF($U444="Draw",$H444,0)))</f>
        <v/>
      </c>
      <c r="S444" s="349">
        <f>IF($A444="","",IF($U444="Subscription","",IF($U444="Disqualified",$H444,0)))</f>
        <v/>
      </c>
      <c r="T444" s="380">
        <f>IF($A444="","",IF($U444="Subscription","",IF($H444=0,IF($U444="Profit","N/A",0),IF($U444="Profit",$Q444/$H444,IF($U444="Disqualified",-1,0)))))</f>
        <v/>
      </c>
      <c r="U444" s="351">
        <f>IF($A444="","",IF(OR(LOWER($D444&amp;"")="n/a",ISNUMBER(SEARCH("subscription",LOWER($A444&amp;" "&amp;$M444&amp;""))),ISNUMBER(SEARCH("membership",LOWER($A444&amp;" "&amp;$M444&amp;"")))),"Subscription",IF(LOWER($L444&amp;"")="yes","Disqualified",IF($P444&gt;$H444,"Profit","Draw"))))</f>
        <v/>
      </c>
      <c r="V444" s="383">
        <f>IF(OR($A444="",$B444="",$C444="",$U444="Subscription"),"",IFERROR(ROUNDUP((IF(ISNUMBER($C444),$C444,DATEVALUE($C444))-IF(ISNUMBER($B444),$B444,DATEVALUE($B444)))/7,0),""))</f>
        <v/>
      </c>
      <c r="W444" s="351">
        <f>IF($U444="Subscription","",$Q444-$S444)</f>
        <v/>
      </c>
      <c r="X444" s="384">
        <f>IF(OR($A444="",$U444="Subscription",$J444="",$I444="",$J444=0,$I444=0,$I444&gt;$J444),"",$J444-$I444)</f>
        <v/>
      </c>
      <c r="Y444" s="381">
        <f>IF(OR($A444="",$U444="Subscription",$J444="",$J444=0,$X444=""),"",$X444/$J444)</f>
        <v/>
      </c>
    </row>
    <row r="445" ht="21" customHeight="1" s="270">
      <c r="A445" s="297" t="n"/>
      <c r="B445" s="298" t="n"/>
      <c r="C445" s="298" t="n"/>
      <c r="D445" s="297" t="n"/>
      <c r="E445" s="349" t="n"/>
      <c r="F445" s="349" t="n"/>
      <c r="G445" s="349" t="n"/>
      <c r="H445" s="349" t="n"/>
      <c r="I445" s="382" t="n"/>
      <c r="J445" s="383" t="n"/>
      <c r="K445" s="351" t="n"/>
      <c r="L445" s="296" t="n"/>
      <c r="M445" s="349" t="n"/>
      <c r="N445" s="349">
        <f>IF($A445="","",IF(OR(LOWER($D445&amp;"")="n/a",ISNUMBER(SEARCH("subscription",LOWER($A445&amp;" "&amp;$M445&amp;""))),ISNUMBER(SEARCH("membership",LOWER($A445&amp;" "&amp;$M445&amp;"")))),"",IF($G445="","",IF(ISNUMBER(SEARCH("non",LOWER($E445&amp;""))),$G445*0.85,$G445))))</f>
        <v/>
      </c>
      <c r="O445" s="349">
        <f>IF($A445="","",IF(OR(LOWER($D445&amp;"")="n/a",ISNUMBER(SEARCH("subscription",LOWER($A445&amp;" "&amp;$M445&amp;""))),ISNUMBER(SEARCH("membership",LOWER($A445&amp;" "&amp;$M445&amp;"")))),"",IF(OR($N445="",$I445="",$I445=0),"",$N445/$I445)))</f>
        <v/>
      </c>
      <c r="P445" s="349">
        <f>IF($A445="","",IF(OR(LOWER($D445&amp;"")="n/a",ISNUMBER(SEARCH("subscription",LOWER($A445&amp;" "&amp;$M445&amp;""))),ISNUMBER(SEARCH("membership",LOWER($A445&amp;" "&amp;$M445&amp;"")))),"",IF(LOWER($L445&amp;"")="yes",0,IF($K445&lt;&gt;"",$K445,IF($O445&lt;&gt;"",$O445,"")))))</f>
        <v/>
      </c>
      <c r="Q445" s="351">
        <f>IF($A445="","",IF($U445="Subscription","",IF($U445="Profit",$P445-$H445,0)))</f>
        <v/>
      </c>
      <c r="R445" s="349">
        <f>IF($A445="","",IF($U445="Subscription","",IF($U445="Draw",$H445,0)))</f>
        <v/>
      </c>
      <c r="S445" s="349">
        <f>IF($A445="","",IF($U445="Subscription","",IF($U445="Disqualified",$H445,0)))</f>
        <v/>
      </c>
      <c r="T445" s="380">
        <f>IF($A445="","",IF($U445="Subscription","",IF($H445=0,IF($U445="Profit","N/A",0),IF($U445="Profit",$Q445/$H445,IF($U445="Disqualified",-1,0)))))</f>
        <v/>
      </c>
      <c r="U445" s="351">
        <f>IF($A445="","",IF(OR(LOWER($D445&amp;"")="n/a",ISNUMBER(SEARCH("subscription",LOWER($A445&amp;" "&amp;$M445&amp;""))),ISNUMBER(SEARCH("membership",LOWER($A445&amp;" "&amp;$M445&amp;"")))),"Subscription",IF(LOWER($L445&amp;"")="yes","Disqualified",IF($P445&gt;$H445,"Profit","Draw"))))</f>
        <v/>
      </c>
      <c r="V445" s="383">
        <f>IF(OR($A445="",$B445="",$C445="",$U445="Subscription"),"",IFERROR(ROUNDUP((IF(ISNUMBER($C445),$C445,DATEVALUE($C445))-IF(ISNUMBER($B445),$B445,DATEVALUE($B445)))/7,0),""))</f>
        <v/>
      </c>
      <c r="W445" s="351">
        <f>IF($U445="Subscription","",$Q445-$S445)</f>
        <v/>
      </c>
      <c r="X445" s="384">
        <f>IF(OR($A445="",$U445="Subscription",$J445="",$I445="",$J445=0,$I445=0,$I445&gt;$J445),"",$J445-$I445)</f>
        <v/>
      </c>
      <c r="Y445" s="381">
        <f>IF(OR($A445="",$U445="Subscription",$J445="",$J445=0,$X445=""),"",$X445/$J445)</f>
        <v/>
      </c>
    </row>
    <row r="446" ht="21" customHeight="1" s="270">
      <c r="A446" s="297" t="n"/>
      <c r="B446" s="298" t="n"/>
      <c r="C446" s="298" t="n"/>
      <c r="D446" s="297" t="n"/>
      <c r="E446" s="349" t="n"/>
      <c r="F446" s="349" t="n"/>
      <c r="G446" s="349" t="n"/>
      <c r="H446" s="349" t="n"/>
      <c r="I446" s="382" t="n"/>
      <c r="J446" s="383" t="n"/>
      <c r="K446" s="351" t="n"/>
      <c r="L446" s="296" t="n"/>
      <c r="M446" s="349" t="n"/>
      <c r="N446" s="349">
        <f>IF($A446="","",IF(OR(LOWER($D446&amp;"")="n/a",ISNUMBER(SEARCH("subscription",LOWER($A446&amp;" "&amp;$M446&amp;""))),ISNUMBER(SEARCH("membership",LOWER($A446&amp;" "&amp;$M446&amp;"")))),"",IF($G446="","",IF(ISNUMBER(SEARCH("non",LOWER($E446&amp;""))),$G446*0.85,$G446))))</f>
        <v/>
      </c>
      <c r="O446" s="349">
        <f>IF($A446="","",IF(OR(LOWER($D446&amp;"")="n/a",ISNUMBER(SEARCH("subscription",LOWER($A446&amp;" "&amp;$M446&amp;""))),ISNUMBER(SEARCH("membership",LOWER($A446&amp;" "&amp;$M446&amp;"")))),"",IF(OR($N446="",$I446="",$I446=0),"",$N446/$I446)))</f>
        <v/>
      </c>
      <c r="P446" s="349">
        <f>IF($A446="","",IF(OR(LOWER($D446&amp;"")="n/a",ISNUMBER(SEARCH("subscription",LOWER($A446&amp;" "&amp;$M446&amp;""))),ISNUMBER(SEARCH("membership",LOWER($A446&amp;" "&amp;$M446&amp;"")))),"",IF(LOWER($L446&amp;"")="yes",0,IF($K446&lt;&gt;"",$K446,IF($O446&lt;&gt;"",$O446,"")))))</f>
        <v/>
      </c>
      <c r="Q446" s="351">
        <f>IF($A446="","",IF($U446="Subscription","",IF($U446="Profit",$P446-$H446,0)))</f>
        <v/>
      </c>
      <c r="R446" s="349">
        <f>IF($A446="","",IF($U446="Subscription","",IF($U446="Draw",$H446,0)))</f>
        <v/>
      </c>
      <c r="S446" s="349">
        <f>IF($A446="","",IF($U446="Subscription","",IF($U446="Disqualified",$H446,0)))</f>
        <v/>
      </c>
      <c r="T446" s="380">
        <f>IF($A446="","",IF($U446="Subscription","",IF($H446=0,IF($U446="Profit","N/A",0),IF($U446="Profit",$Q446/$H446,IF($U446="Disqualified",-1,0)))))</f>
        <v/>
      </c>
      <c r="U446" s="351">
        <f>IF($A446="","",IF(OR(LOWER($D446&amp;"")="n/a",ISNUMBER(SEARCH("subscription",LOWER($A446&amp;" "&amp;$M446&amp;""))),ISNUMBER(SEARCH("membership",LOWER($A446&amp;" "&amp;$M446&amp;"")))),"Subscription",IF(LOWER($L446&amp;"")="yes","Disqualified",IF($P446&gt;$H446,"Profit","Draw"))))</f>
        <v/>
      </c>
      <c r="V446" s="383">
        <f>IF(OR($A446="",$B446="",$C446="",$U446="Subscription"),"",IFERROR(ROUNDUP((IF(ISNUMBER($C446),$C446,DATEVALUE($C446))-IF(ISNUMBER($B446),$B446,DATEVALUE($B446)))/7,0),""))</f>
        <v/>
      </c>
      <c r="W446" s="351">
        <f>IF($U446="Subscription","",$Q446-$S446)</f>
        <v/>
      </c>
      <c r="X446" s="384">
        <f>IF(OR($A446="",$U446="Subscription",$J446="",$I446="",$J446=0,$I446=0,$I446&gt;$J446),"",$J446-$I446)</f>
        <v/>
      </c>
      <c r="Y446" s="381">
        <f>IF(OR($A446="",$U446="Subscription",$J446="",$J446=0,$X446=""),"",$X446/$J446)</f>
        <v/>
      </c>
    </row>
    <row r="447" ht="21" customHeight="1" s="270">
      <c r="A447" s="297" t="n"/>
      <c r="B447" s="298" t="n"/>
      <c r="C447" s="298" t="n"/>
      <c r="D447" s="297" t="n"/>
      <c r="E447" s="349" t="n"/>
      <c r="F447" s="349" t="n"/>
      <c r="G447" s="349" t="n"/>
      <c r="H447" s="349" t="n"/>
      <c r="I447" s="382" t="n"/>
      <c r="J447" s="383" t="n"/>
      <c r="K447" s="351" t="n"/>
      <c r="L447" s="296" t="n"/>
      <c r="M447" s="349" t="n"/>
      <c r="N447" s="349">
        <f>IF($A447="","",IF(OR(LOWER($D447&amp;"")="n/a",ISNUMBER(SEARCH("subscription",LOWER($A447&amp;" "&amp;$M447&amp;""))),ISNUMBER(SEARCH("membership",LOWER($A447&amp;" "&amp;$M447&amp;"")))),"",IF($G447="","",IF(ISNUMBER(SEARCH("non",LOWER($E447&amp;""))),$G447*0.85,$G447))))</f>
        <v/>
      </c>
      <c r="O447" s="349">
        <f>IF($A447="","",IF(OR(LOWER($D447&amp;"")="n/a",ISNUMBER(SEARCH("subscription",LOWER($A447&amp;" "&amp;$M447&amp;""))),ISNUMBER(SEARCH("membership",LOWER($A447&amp;" "&amp;$M447&amp;"")))),"",IF(OR($N447="",$I447="",$I447=0),"",$N447/$I447)))</f>
        <v/>
      </c>
      <c r="P447" s="349">
        <f>IF($A447="","",IF(OR(LOWER($D447&amp;"")="n/a",ISNUMBER(SEARCH("subscription",LOWER($A447&amp;" "&amp;$M447&amp;""))),ISNUMBER(SEARCH("membership",LOWER($A447&amp;" "&amp;$M447&amp;"")))),"",IF(LOWER($L447&amp;"")="yes",0,IF($K447&lt;&gt;"",$K447,IF($O447&lt;&gt;"",$O447,"")))))</f>
        <v/>
      </c>
      <c r="Q447" s="351">
        <f>IF($A447="","",IF($U447="Subscription","",IF($U447="Profit",$P447-$H447,0)))</f>
        <v/>
      </c>
      <c r="R447" s="349">
        <f>IF($A447="","",IF($U447="Subscription","",IF($U447="Draw",$H447,0)))</f>
        <v/>
      </c>
      <c r="S447" s="349">
        <f>IF($A447="","",IF($U447="Subscription","",IF($U447="Disqualified",$H447,0)))</f>
        <v/>
      </c>
      <c r="T447" s="380">
        <f>IF($A447="","",IF($U447="Subscription","",IF($H447=0,IF($U447="Profit","N/A",0),IF($U447="Profit",$Q447/$H447,IF($U447="Disqualified",-1,0)))))</f>
        <v/>
      </c>
      <c r="U447" s="351">
        <f>IF($A447="","",IF(OR(LOWER($D447&amp;"")="n/a",ISNUMBER(SEARCH("subscription",LOWER($A447&amp;" "&amp;$M447&amp;""))),ISNUMBER(SEARCH("membership",LOWER($A447&amp;" "&amp;$M447&amp;"")))),"Subscription",IF(LOWER($L447&amp;"")="yes","Disqualified",IF($P447&gt;$H447,"Profit","Draw"))))</f>
        <v/>
      </c>
      <c r="V447" s="383">
        <f>IF(OR($A447="",$B447="",$C447="",$U447="Subscription"),"",IFERROR(ROUNDUP((IF(ISNUMBER($C447),$C447,DATEVALUE($C447))-IF(ISNUMBER($B447),$B447,DATEVALUE($B447)))/7,0),""))</f>
        <v/>
      </c>
      <c r="W447" s="351">
        <f>IF($U447="Subscription","",$Q447-$S447)</f>
        <v/>
      </c>
      <c r="X447" s="384">
        <f>IF(OR($A447="",$U447="Subscription",$J447="",$I447="",$J447=0,$I447=0,$I447&gt;$J447),"",$J447-$I447)</f>
        <v/>
      </c>
      <c r="Y447" s="381">
        <f>IF(OR($A447="",$U447="Subscription",$J447="",$J447=0,$X447=""),"",$X447/$J447)</f>
        <v/>
      </c>
    </row>
    <row r="448" ht="21" customHeight="1" s="270">
      <c r="A448" s="297" t="n"/>
      <c r="B448" s="298" t="n"/>
      <c r="C448" s="298" t="n"/>
      <c r="D448" s="297" t="n"/>
      <c r="E448" s="349" t="n"/>
      <c r="F448" s="349" t="n"/>
      <c r="G448" s="349" t="n"/>
      <c r="H448" s="349" t="n"/>
      <c r="I448" s="382" t="n"/>
      <c r="J448" s="383" t="n"/>
      <c r="K448" s="351" t="n"/>
      <c r="L448" s="296" t="n"/>
      <c r="M448" s="349" t="n"/>
      <c r="N448" s="349">
        <f>IF($A448="","",IF(OR(LOWER($D448&amp;"")="n/a",ISNUMBER(SEARCH("subscription",LOWER($A448&amp;" "&amp;$M448&amp;""))),ISNUMBER(SEARCH("membership",LOWER($A448&amp;" "&amp;$M448&amp;"")))),"",IF($G448="","",IF(ISNUMBER(SEARCH("non",LOWER($E448&amp;""))),$G448*0.85,$G448))))</f>
        <v/>
      </c>
      <c r="O448" s="349">
        <f>IF($A448="","",IF(OR(LOWER($D448&amp;"")="n/a",ISNUMBER(SEARCH("subscription",LOWER($A448&amp;" "&amp;$M448&amp;""))),ISNUMBER(SEARCH("membership",LOWER($A448&amp;" "&amp;$M448&amp;"")))),"",IF(OR($N448="",$I448="",$I448=0),"",$N448/$I448)))</f>
        <v/>
      </c>
      <c r="P448" s="349">
        <f>IF($A448="","",IF(OR(LOWER($D448&amp;"")="n/a",ISNUMBER(SEARCH("subscription",LOWER($A448&amp;" "&amp;$M448&amp;""))),ISNUMBER(SEARCH("membership",LOWER($A448&amp;" "&amp;$M448&amp;"")))),"",IF(LOWER($L448&amp;"")="yes",0,IF($K448&lt;&gt;"",$K448,IF($O448&lt;&gt;"",$O448,"")))))</f>
        <v/>
      </c>
      <c r="Q448" s="351">
        <f>IF($A448="","",IF($U448="Subscription","",IF($U448="Profit",$P448-$H448,0)))</f>
        <v/>
      </c>
      <c r="R448" s="349">
        <f>IF($A448="","",IF($U448="Subscription","",IF($U448="Draw",$H448,0)))</f>
        <v/>
      </c>
      <c r="S448" s="349">
        <f>IF($A448="","",IF($U448="Subscription","",IF($U448="Disqualified",$H448,0)))</f>
        <v/>
      </c>
      <c r="T448" s="380">
        <f>IF($A448="","",IF($U448="Subscription","",IF($H448=0,IF($U448="Profit","N/A",0),IF($U448="Profit",$Q448/$H448,IF($U448="Disqualified",-1,0)))))</f>
        <v/>
      </c>
      <c r="U448" s="351">
        <f>IF($A448="","",IF(OR(LOWER($D448&amp;"")="n/a",ISNUMBER(SEARCH("subscription",LOWER($A448&amp;" "&amp;$M448&amp;""))),ISNUMBER(SEARCH("membership",LOWER($A448&amp;" "&amp;$M448&amp;"")))),"Subscription",IF(LOWER($L448&amp;"")="yes","Disqualified",IF($P448&gt;$H448,"Profit","Draw"))))</f>
        <v/>
      </c>
      <c r="V448" s="383">
        <f>IF(OR($A448="",$B448="",$C448="",$U448="Subscription"),"",IFERROR(ROUNDUP((IF(ISNUMBER($C448),$C448,DATEVALUE($C448))-IF(ISNUMBER($B448),$B448,DATEVALUE($B448)))/7,0),""))</f>
        <v/>
      </c>
      <c r="W448" s="351">
        <f>IF($U448="Subscription","",$Q448-$S448)</f>
        <v/>
      </c>
      <c r="X448" s="384">
        <f>IF(OR($A448="",$U448="Subscription",$J448="",$I448="",$J448=0,$I448=0,$I448&gt;$J448),"",$J448-$I448)</f>
        <v/>
      </c>
      <c r="Y448" s="381">
        <f>IF(OR($A448="",$U448="Subscription",$J448="",$J448=0,$X448=""),"",$X448/$J448)</f>
        <v/>
      </c>
    </row>
    <row r="449" ht="21" customHeight="1" s="270">
      <c r="A449" s="297" t="n"/>
      <c r="B449" s="298" t="n"/>
      <c r="C449" s="298" t="n"/>
      <c r="D449" s="297" t="n"/>
      <c r="E449" s="349" t="n"/>
      <c r="F449" s="349" t="n"/>
      <c r="G449" s="349" t="n"/>
      <c r="H449" s="349" t="n"/>
      <c r="I449" s="382" t="n"/>
      <c r="J449" s="383" t="n"/>
      <c r="K449" s="351" t="n"/>
      <c r="L449" s="296" t="n"/>
      <c r="M449" s="349" t="n"/>
      <c r="N449" s="349">
        <f>IF($A449="","",IF(OR(LOWER($D449&amp;"")="n/a",ISNUMBER(SEARCH("subscription",LOWER($A449&amp;" "&amp;$M449&amp;""))),ISNUMBER(SEARCH("membership",LOWER($A449&amp;" "&amp;$M449&amp;"")))),"",IF($G449="","",IF(ISNUMBER(SEARCH("non",LOWER($E449&amp;""))),$G449*0.85,$G449))))</f>
        <v/>
      </c>
      <c r="O449" s="349">
        <f>IF($A449="","",IF(OR(LOWER($D449&amp;"")="n/a",ISNUMBER(SEARCH("subscription",LOWER($A449&amp;" "&amp;$M449&amp;""))),ISNUMBER(SEARCH("membership",LOWER($A449&amp;" "&amp;$M449&amp;"")))),"",IF(OR($N449="",$I449="",$I449=0),"",$N449/$I449)))</f>
        <v/>
      </c>
      <c r="P449" s="349">
        <f>IF($A449="","",IF(OR(LOWER($D449&amp;"")="n/a",ISNUMBER(SEARCH("subscription",LOWER($A449&amp;" "&amp;$M449&amp;""))),ISNUMBER(SEARCH("membership",LOWER($A449&amp;" "&amp;$M449&amp;"")))),"",IF(LOWER($L449&amp;"")="yes",0,IF($K449&lt;&gt;"",$K449,IF($O449&lt;&gt;"",$O449,"")))))</f>
        <v/>
      </c>
      <c r="Q449" s="351">
        <f>IF($A449="","",IF($U449="Subscription","",IF($U449="Profit",$P449-$H449,0)))</f>
        <v/>
      </c>
      <c r="R449" s="349">
        <f>IF($A449="","",IF($U449="Subscription","",IF($U449="Draw",$H449,0)))</f>
        <v/>
      </c>
      <c r="S449" s="349">
        <f>IF($A449="","",IF($U449="Subscription","",IF($U449="Disqualified",$H449,0)))</f>
        <v/>
      </c>
      <c r="T449" s="380">
        <f>IF($A449="","",IF($U449="Subscription","",IF($H449=0,IF($U449="Profit","N/A",0),IF($U449="Profit",$Q449/$H449,IF($U449="Disqualified",-1,0)))))</f>
        <v/>
      </c>
      <c r="U449" s="351">
        <f>IF($A449="","",IF(OR(LOWER($D449&amp;"")="n/a",ISNUMBER(SEARCH("subscription",LOWER($A449&amp;" "&amp;$M449&amp;""))),ISNUMBER(SEARCH("membership",LOWER($A449&amp;" "&amp;$M449&amp;"")))),"Subscription",IF(LOWER($L449&amp;"")="yes","Disqualified",IF($P449&gt;$H449,"Profit","Draw"))))</f>
        <v/>
      </c>
      <c r="V449" s="383">
        <f>IF(OR($A449="",$B449="",$C449="",$U449="Subscription"),"",IFERROR(ROUNDUP((IF(ISNUMBER($C449),$C449,DATEVALUE($C449))-IF(ISNUMBER($B449),$B449,DATEVALUE($B449)))/7,0),""))</f>
        <v/>
      </c>
      <c r="W449" s="351">
        <f>IF($U449="Subscription","",$Q449-$S449)</f>
        <v/>
      </c>
      <c r="X449" s="384">
        <f>IF(OR($A449="",$U449="Subscription",$J449="",$I449="",$J449=0,$I449=0,$I449&gt;$J449),"",$J449-$I449)</f>
        <v/>
      </c>
      <c r="Y449" s="381">
        <f>IF(OR($A449="",$U449="Subscription",$J449="",$J449=0,$X449=""),"",$X449/$J449)</f>
        <v/>
      </c>
    </row>
    <row r="450" ht="21" customHeight="1" s="270">
      <c r="A450" s="297" t="n"/>
      <c r="B450" s="298" t="n"/>
      <c r="C450" s="298" t="n"/>
      <c r="D450" s="297" t="n"/>
      <c r="E450" s="349" t="n"/>
      <c r="F450" s="349" t="n"/>
      <c r="G450" s="349" t="n"/>
      <c r="H450" s="349" t="n"/>
      <c r="I450" s="382" t="n"/>
      <c r="J450" s="383" t="n"/>
      <c r="K450" s="351" t="n"/>
      <c r="L450" s="296" t="n"/>
      <c r="M450" s="349" t="n"/>
      <c r="N450" s="349">
        <f>IF($A450="","",IF(OR(LOWER($D450&amp;"")="n/a",ISNUMBER(SEARCH("subscription",LOWER($A450&amp;" "&amp;$M450&amp;""))),ISNUMBER(SEARCH("membership",LOWER($A450&amp;" "&amp;$M450&amp;"")))),"",IF($G450="","",IF(ISNUMBER(SEARCH("non",LOWER($E450&amp;""))),$G450*0.85,$G450))))</f>
        <v/>
      </c>
      <c r="O450" s="349">
        <f>IF($A450="","",IF(OR(LOWER($D450&amp;"")="n/a",ISNUMBER(SEARCH("subscription",LOWER($A450&amp;" "&amp;$M450&amp;""))),ISNUMBER(SEARCH("membership",LOWER($A450&amp;" "&amp;$M450&amp;"")))),"",IF(OR($N450="",$I450="",$I450=0),"",$N450/$I450)))</f>
        <v/>
      </c>
      <c r="P450" s="349">
        <f>IF($A450="","",IF(OR(LOWER($D450&amp;"")="n/a",ISNUMBER(SEARCH("subscription",LOWER($A450&amp;" "&amp;$M450&amp;""))),ISNUMBER(SEARCH("membership",LOWER($A450&amp;" "&amp;$M450&amp;"")))),"",IF(LOWER($L450&amp;"")="yes",0,IF($K450&lt;&gt;"",$K450,IF($O450&lt;&gt;"",$O450,"")))))</f>
        <v/>
      </c>
      <c r="Q450" s="351">
        <f>IF($A450="","",IF($U450="Subscription","",IF($U450="Profit",$P450-$H450,0)))</f>
        <v/>
      </c>
      <c r="R450" s="349">
        <f>IF($A450="","",IF($U450="Subscription","",IF($U450="Draw",$H450,0)))</f>
        <v/>
      </c>
      <c r="S450" s="349">
        <f>IF($A450="","",IF($U450="Subscription","",IF($U450="Disqualified",$H450,0)))</f>
        <v/>
      </c>
      <c r="T450" s="380">
        <f>IF($A450="","",IF($U450="Subscription","",IF($H450=0,IF($U450="Profit","N/A",0),IF($U450="Profit",$Q450/$H450,IF($U450="Disqualified",-1,0)))))</f>
        <v/>
      </c>
      <c r="U450" s="351">
        <f>IF($A450="","",IF(OR(LOWER($D450&amp;"")="n/a",ISNUMBER(SEARCH("subscription",LOWER($A450&amp;" "&amp;$M450&amp;""))),ISNUMBER(SEARCH("membership",LOWER($A450&amp;" "&amp;$M450&amp;"")))),"Subscription",IF(LOWER($L450&amp;"")="yes","Disqualified",IF($P450&gt;$H450,"Profit","Draw"))))</f>
        <v/>
      </c>
      <c r="V450" s="383">
        <f>IF(OR($A450="",$B450="",$C450="",$U450="Subscription"),"",IFERROR(ROUNDUP((IF(ISNUMBER($C450),$C450,DATEVALUE($C450))-IF(ISNUMBER($B450),$B450,DATEVALUE($B450)))/7,0),""))</f>
        <v/>
      </c>
      <c r="W450" s="351">
        <f>IF($U450="Subscription","",$Q450-$S450)</f>
        <v/>
      </c>
      <c r="X450" s="384">
        <f>IF(OR($A450="",$U450="Subscription",$J450="",$I450="",$J450=0,$I450=0,$I450&gt;$J450),"",$J450-$I450)</f>
        <v/>
      </c>
      <c r="Y450" s="381">
        <f>IF(OR($A450="",$U450="Subscription",$J450="",$J450=0,$X450=""),"",$X450/$J450)</f>
        <v/>
      </c>
    </row>
    <row r="451" ht="21" customHeight="1" s="270">
      <c r="A451" s="297" t="n"/>
      <c r="B451" s="298" t="n"/>
      <c r="C451" s="298" t="n"/>
      <c r="D451" s="297" t="n"/>
      <c r="E451" s="349" t="n"/>
      <c r="F451" s="349" t="n"/>
      <c r="G451" s="349" t="n"/>
      <c r="H451" s="349" t="n"/>
      <c r="I451" s="382" t="n"/>
      <c r="J451" s="383" t="n"/>
      <c r="K451" s="351" t="n"/>
      <c r="L451" s="296" t="n"/>
      <c r="M451" s="349" t="n"/>
      <c r="N451" s="349">
        <f>IF($A451="","",IF(OR(LOWER($D451&amp;"")="n/a",ISNUMBER(SEARCH("subscription",LOWER($A451&amp;" "&amp;$M451&amp;""))),ISNUMBER(SEARCH("membership",LOWER($A451&amp;" "&amp;$M451&amp;"")))),"",IF($G451="","",IF(ISNUMBER(SEARCH("non",LOWER($E451&amp;""))),$G451*0.85,$G451))))</f>
        <v/>
      </c>
      <c r="O451" s="349">
        <f>IF($A451="","",IF(OR(LOWER($D451&amp;"")="n/a",ISNUMBER(SEARCH("subscription",LOWER($A451&amp;" "&amp;$M451&amp;""))),ISNUMBER(SEARCH("membership",LOWER($A451&amp;" "&amp;$M451&amp;"")))),"",IF(OR($N451="",$I451="",$I451=0),"",$N451/$I451)))</f>
        <v/>
      </c>
      <c r="P451" s="349">
        <f>IF($A451="","",IF(OR(LOWER($D451&amp;"")="n/a",ISNUMBER(SEARCH("subscription",LOWER($A451&amp;" "&amp;$M451&amp;""))),ISNUMBER(SEARCH("membership",LOWER($A451&amp;" "&amp;$M451&amp;"")))),"",IF(LOWER($L451&amp;"")="yes",0,IF($K451&lt;&gt;"",$K451,IF($O451&lt;&gt;"",$O451,"")))))</f>
        <v/>
      </c>
      <c r="Q451" s="351">
        <f>IF($A451="","",IF($U451="Subscription","",IF($U451="Profit",$P451-$H451,0)))</f>
        <v/>
      </c>
      <c r="R451" s="349">
        <f>IF($A451="","",IF($U451="Subscription","",IF($U451="Draw",$H451,0)))</f>
        <v/>
      </c>
      <c r="S451" s="349">
        <f>IF($A451="","",IF($U451="Subscription","",IF($U451="Disqualified",$H451,0)))</f>
        <v/>
      </c>
      <c r="T451" s="380">
        <f>IF($A451="","",IF($U451="Subscription","",IF($H451=0,IF($U451="Profit","N/A",0),IF($U451="Profit",$Q451/$H451,IF($U451="Disqualified",-1,0)))))</f>
        <v/>
      </c>
      <c r="U451" s="351">
        <f>IF($A451="","",IF(OR(LOWER($D451&amp;"")="n/a",ISNUMBER(SEARCH("subscription",LOWER($A451&amp;" "&amp;$M451&amp;""))),ISNUMBER(SEARCH("membership",LOWER($A451&amp;" "&amp;$M451&amp;"")))),"Subscription",IF(LOWER($L451&amp;"")="yes","Disqualified",IF($P451&gt;$H451,"Profit","Draw"))))</f>
        <v/>
      </c>
      <c r="V451" s="383">
        <f>IF(OR($A451="",$B451="",$C451="",$U451="Subscription"),"",IFERROR(ROUNDUP((IF(ISNUMBER($C451),$C451,DATEVALUE($C451))-IF(ISNUMBER($B451),$B451,DATEVALUE($B451)))/7,0),""))</f>
        <v/>
      </c>
      <c r="W451" s="351">
        <f>IF($U451="Subscription","",$Q451-$S451)</f>
        <v/>
      </c>
      <c r="X451" s="384">
        <f>IF(OR($A451="",$U451="Subscription",$J451="",$I451="",$J451=0,$I451=0,$I451&gt;$J451),"",$J451-$I451)</f>
        <v/>
      </c>
      <c r="Y451" s="381">
        <f>IF(OR($A451="",$U451="Subscription",$J451="",$J451=0,$X451=""),"",$X451/$J451)</f>
        <v/>
      </c>
    </row>
    <row r="452" ht="21" customHeight="1" s="270">
      <c r="A452" s="297" t="n"/>
      <c r="B452" s="298" t="n"/>
      <c r="C452" s="298" t="n"/>
      <c r="D452" s="297" t="n"/>
      <c r="E452" s="349" t="n"/>
      <c r="F452" s="349" t="n"/>
      <c r="G452" s="349" t="n"/>
      <c r="H452" s="349" t="n"/>
      <c r="I452" s="382" t="n"/>
      <c r="J452" s="383" t="n"/>
      <c r="K452" s="351" t="n"/>
      <c r="L452" s="296" t="n"/>
      <c r="M452" s="349" t="n"/>
      <c r="N452" s="349">
        <f>IF($A452="","",IF(OR(LOWER($D452&amp;"")="n/a",ISNUMBER(SEARCH("subscription",LOWER($A452&amp;" "&amp;$M452&amp;""))),ISNUMBER(SEARCH("membership",LOWER($A452&amp;" "&amp;$M452&amp;"")))),"",IF($G452="","",IF(ISNUMBER(SEARCH("non",LOWER($E452&amp;""))),$G452*0.85,$G452))))</f>
        <v/>
      </c>
      <c r="O452" s="349">
        <f>IF($A452="","",IF(OR(LOWER($D452&amp;"")="n/a",ISNUMBER(SEARCH("subscription",LOWER($A452&amp;" "&amp;$M452&amp;""))),ISNUMBER(SEARCH("membership",LOWER($A452&amp;" "&amp;$M452&amp;"")))),"",IF(OR($N452="",$I452="",$I452=0),"",$N452/$I452)))</f>
        <v/>
      </c>
      <c r="P452" s="349">
        <f>IF($A452="","",IF(OR(LOWER($D452&amp;"")="n/a",ISNUMBER(SEARCH("subscription",LOWER($A452&amp;" "&amp;$M452&amp;""))),ISNUMBER(SEARCH("membership",LOWER($A452&amp;" "&amp;$M452&amp;"")))),"",IF(LOWER($L452&amp;"")="yes",0,IF($K452&lt;&gt;"",$K452,IF($O452&lt;&gt;"",$O452,"")))))</f>
        <v/>
      </c>
      <c r="Q452" s="351">
        <f>IF($A452="","",IF($U452="Subscription","",IF($U452="Profit",$P452-$H452,0)))</f>
        <v/>
      </c>
      <c r="R452" s="349">
        <f>IF($A452="","",IF($U452="Subscription","",IF($U452="Draw",$H452,0)))</f>
        <v/>
      </c>
      <c r="S452" s="349">
        <f>IF($A452="","",IF($U452="Subscription","",IF($U452="Disqualified",$H452,0)))</f>
        <v/>
      </c>
      <c r="T452" s="380">
        <f>IF($A452="","",IF($U452="Subscription","",IF($H452=0,IF($U452="Profit","N/A",0),IF($U452="Profit",$Q452/$H452,IF($U452="Disqualified",-1,0)))))</f>
        <v/>
      </c>
      <c r="U452" s="351">
        <f>IF($A452="","",IF(OR(LOWER($D452&amp;"")="n/a",ISNUMBER(SEARCH("subscription",LOWER($A452&amp;" "&amp;$M452&amp;""))),ISNUMBER(SEARCH("membership",LOWER($A452&amp;" "&amp;$M452&amp;"")))),"Subscription",IF(LOWER($L452&amp;"")="yes","Disqualified",IF($P452&gt;$H452,"Profit","Draw"))))</f>
        <v/>
      </c>
      <c r="V452" s="383">
        <f>IF(OR($A452="",$B452="",$C452="",$U452="Subscription"),"",IFERROR(ROUNDUP((IF(ISNUMBER($C452),$C452,DATEVALUE($C452))-IF(ISNUMBER($B452),$B452,DATEVALUE($B452)))/7,0),""))</f>
        <v/>
      </c>
      <c r="W452" s="351">
        <f>IF($U452="Subscription","",$Q452-$S452)</f>
        <v/>
      </c>
      <c r="X452" s="384">
        <f>IF(OR($A452="",$U452="Subscription",$J452="",$I452="",$J452=0,$I452=0,$I452&gt;$J452),"",$J452-$I452)</f>
        <v/>
      </c>
      <c r="Y452" s="381">
        <f>IF(OR($A452="",$U452="Subscription",$J452="",$J452=0,$X452=""),"",$X452/$J452)</f>
        <v/>
      </c>
    </row>
    <row r="453" ht="21" customHeight="1" s="270">
      <c r="A453" s="297" t="n"/>
      <c r="B453" s="298" t="n"/>
      <c r="C453" s="298" t="n"/>
      <c r="D453" s="297" t="n"/>
      <c r="E453" s="349" t="n"/>
      <c r="F453" s="349" t="n"/>
      <c r="G453" s="349" t="n"/>
      <c r="H453" s="349" t="n"/>
      <c r="I453" s="382" t="n"/>
      <c r="J453" s="383" t="n"/>
      <c r="K453" s="351" t="n"/>
      <c r="L453" s="296" t="n"/>
      <c r="M453" s="349" t="n"/>
      <c r="N453" s="349">
        <f>IF($A453="","",IF(OR(LOWER($D453&amp;"")="n/a",ISNUMBER(SEARCH("subscription",LOWER($A453&amp;" "&amp;$M453&amp;""))),ISNUMBER(SEARCH("membership",LOWER($A453&amp;" "&amp;$M453&amp;"")))),"",IF($G453="","",IF(ISNUMBER(SEARCH("non",LOWER($E453&amp;""))),$G453*0.85,$G453))))</f>
        <v/>
      </c>
      <c r="O453" s="349">
        <f>IF($A453="","",IF(OR(LOWER($D453&amp;"")="n/a",ISNUMBER(SEARCH("subscription",LOWER($A453&amp;" "&amp;$M453&amp;""))),ISNUMBER(SEARCH("membership",LOWER($A453&amp;" "&amp;$M453&amp;"")))),"",IF(OR($N453="",$I453="",$I453=0),"",$N453/$I453)))</f>
        <v/>
      </c>
      <c r="P453" s="349">
        <f>IF($A453="","",IF(OR(LOWER($D453&amp;"")="n/a",ISNUMBER(SEARCH("subscription",LOWER($A453&amp;" "&amp;$M453&amp;""))),ISNUMBER(SEARCH("membership",LOWER($A453&amp;" "&amp;$M453&amp;"")))),"",IF(LOWER($L453&amp;"")="yes",0,IF($K453&lt;&gt;"",$K453,IF($O453&lt;&gt;"",$O453,"")))))</f>
        <v/>
      </c>
      <c r="Q453" s="351">
        <f>IF($A453="","",IF($U453="Subscription","",IF($U453="Profit",$P453-$H453,0)))</f>
        <v/>
      </c>
      <c r="R453" s="349">
        <f>IF($A453="","",IF($U453="Subscription","",IF($U453="Draw",$H453,0)))</f>
        <v/>
      </c>
      <c r="S453" s="349">
        <f>IF($A453="","",IF($U453="Subscription","",IF($U453="Disqualified",$H453,0)))</f>
        <v/>
      </c>
      <c r="T453" s="380">
        <f>IF($A453="","",IF($U453="Subscription","",IF($H453=0,IF($U453="Profit","N/A",0),IF($U453="Profit",$Q453/$H453,IF($U453="Disqualified",-1,0)))))</f>
        <v/>
      </c>
      <c r="U453" s="351">
        <f>IF($A453="","",IF(OR(LOWER($D453&amp;"")="n/a",ISNUMBER(SEARCH("subscription",LOWER($A453&amp;" "&amp;$M453&amp;""))),ISNUMBER(SEARCH("membership",LOWER($A453&amp;" "&amp;$M453&amp;"")))),"Subscription",IF(LOWER($L453&amp;"")="yes","Disqualified",IF($P453&gt;$H453,"Profit","Draw"))))</f>
        <v/>
      </c>
      <c r="V453" s="383">
        <f>IF(OR($A453="",$B453="",$C453="",$U453="Subscription"),"",IFERROR(ROUNDUP((IF(ISNUMBER($C453),$C453,DATEVALUE($C453))-IF(ISNUMBER($B453),$B453,DATEVALUE($B453)))/7,0),""))</f>
        <v/>
      </c>
      <c r="W453" s="351">
        <f>IF($U453="Subscription","",$Q453-$S453)</f>
        <v/>
      </c>
      <c r="X453" s="384">
        <f>IF(OR($A453="",$U453="Subscription",$J453="",$I453="",$J453=0,$I453=0,$I453&gt;$J453),"",$J453-$I453)</f>
        <v/>
      </c>
      <c r="Y453" s="381">
        <f>IF(OR($A453="",$U453="Subscription",$J453="",$J453=0,$X453=""),"",$X453/$J453)</f>
        <v/>
      </c>
    </row>
    <row r="454" ht="21" customHeight="1" s="270">
      <c r="A454" s="297" t="n"/>
      <c r="B454" s="298" t="n"/>
      <c r="C454" s="298" t="n"/>
      <c r="D454" s="297" t="n"/>
      <c r="E454" s="349" t="n"/>
      <c r="F454" s="349" t="n"/>
      <c r="G454" s="349" t="n"/>
      <c r="H454" s="349" t="n"/>
      <c r="I454" s="382" t="n"/>
      <c r="J454" s="383" t="n"/>
      <c r="K454" s="351" t="n"/>
      <c r="L454" s="296" t="n"/>
      <c r="M454" s="349" t="n"/>
      <c r="N454" s="349">
        <f>IF($A454="","",IF(OR(LOWER($D454&amp;"")="n/a",ISNUMBER(SEARCH("subscription",LOWER($A454&amp;" "&amp;$M454&amp;""))),ISNUMBER(SEARCH("membership",LOWER($A454&amp;" "&amp;$M454&amp;"")))),"",IF($G454="","",IF(ISNUMBER(SEARCH("non",LOWER($E454&amp;""))),$G454*0.85,$G454))))</f>
        <v/>
      </c>
      <c r="O454" s="349">
        <f>IF($A454="","",IF(OR(LOWER($D454&amp;"")="n/a",ISNUMBER(SEARCH("subscription",LOWER($A454&amp;" "&amp;$M454&amp;""))),ISNUMBER(SEARCH("membership",LOWER($A454&amp;" "&amp;$M454&amp;"")))),"",IF(OR($N454="",$I454="",$I454=0),"",$N454/$I454)))</f>
        <v/>
      </c>
      <c r="P454" s="349">
        <f>IF($A454="","",IF(OR(LOWER($D454&amp;"")="n/a",ISNUMBER(SEARCH("subscription",LOWER($A454&amp;" "&amp;$M454&amp;""))),ISNUMBER(SEARCH("membership",LOWER($A454&amp;" "&amp;$M454&amp;"")))),"",IF(LOWER($L454&amp;"")="yes",0,IF($K454&lt;&gt;"",$K454,IF($O454&lt;&gt;"",$O454,"")))))</f>
        <v/>
      </c>
      <c r="Q454" s="351">
        <f>IF($A454="","",IF($U454="Subscription","",IF($U454="Profit",$P454-$H454,0)))</f>
        <v/>
      </c>
      <c r="R454" s="349">
        <f>IF($A454="","",IF($U454="Subscription","",IF($U454="Draw",$H454,0)))</f>
        <v/>
      </c>
      <c r="S454" s="349">
        <f>IF($A454="","",IF($U454="Subscription","",IF($U454="Disqualified",$H454,0)))</f>
        <v/>
      </c>
      <c r="T454" s="380">
        <f>IF($A454="","",IF($U454="Subscription","",IF($H454=0,IF($U454="Profit","N/A",0),IF($U454="Profit",$Q454/$H454,IF($U454="Disqualified",-1,0)))))</f>
        <v/>
      </c>
      <c r="U454" s="351">
        <f>IF($A454="","",IF(OR(LOWER($D454&amp;"")="n/a",ISNUMBER(SEARCH("subscription",LOWER($A454&amp;" "&amp;$M454&amp;""))),ISNUMBER(SEARCH("membership",LOWER($A454&amp;" "&amp;$M454&amp;"")))),"Subscription",IF(LOWER($L454&amp;"")="yes","Disqualified",IF($P454&gt;$H454,"Profit","Draw"))))</f>
        <v/>
      </c>
      <c r="V454" s="383">
        <f>IF(OR($A454="",$B454="",$C454="",$U454="Subscription"),"",IFERROR(ROUNDUP((IF(ISNUMBER($C454),$C454,DATEVALUE($C454))-IF(ISNUMBER($B454),$B454,DATEVALUE($B454)))/7,0),""))</f>
        <v/>
      </c>
      <c r="W454" s="351">
        <f>IF($U454="Subscription","",$Q454-$S454)</f>
        <v/>
      </c>
      <c r="X454" s="384">
        <f>IF(OR($A454="",$U454="Subscription",$J454="",$I454="",$J454=0,$I454=0,$I454&gt;$J454),"",$J454-$I454)</f>
        <v/>
      </c>
      <c r="Y454" s="381">
        <f>IF(OR($A454="",$U454="Subscription",$J454="",$J454=0,$X454=""),"",$X454/$J454)</f>
        <v/>
      </c>
    </row>
    <row r="455" ht="21" customHeight="1" s="270">
      <c r="A455" s="297" t="n"/>
      <c r="B455" s="298" t="n"/>
      <c r="C455" s="298" t="n"/>
      <c r="D455" s="297" t="n"/>
      <c r="E455" s="349" t="n"/>
      <c r="F455" s="349" t="n"/>
      <c r="G455" s="349" t="n"/>
      <c r="H455" s="349" t="n"/>
      <c r="I455" s="382" t="n"/>
      <c r="J455" s="383" t="n"/>
      <c r="K455" s="351" t="n"/>
      <c r="L455" s="296" t="n"/>
      <c r="M455" s="349" t="n"/>
      <c r="N455" s="349">
        <f>IF($A455="","",IF(OR(LOWER($D455&amp;"")="n/a",ISNUMBER(SEARCH("subscription",LOWER($A455&amp;" "&amp;$M455&amp;""))),ISNUMBER(SEARCH("membership",LOWER($A455&amp;" "&amp;$M455&amp;"")))),"",IF($G455="","",IF(ISNUMBER(SEARCH("non",LOWER($E455&amp;""))),$G455*0.85,$G455))))</f>
        <v/>
      </c>
      <c r="O455" s="349">
        <f>IF($A455="","",IF(OR(LOWER($D455&amp;"")="n/a",ISNUMBER(SEARCH("subscription",LOWER($A455&amp;" "&amp;$M455&amp;""))),ISNUMBER(SEARCH("membership",LOWER($A455&amp;" "&amp;$M455&amp;"")))),"",IF(OR($N455="",$I455="",$I455=0),"",$N455/$I455)))</f>
        <v/>
      </c>
      <c r="P455" s="349">
        <f>IF($A455="","",IF(OR(LOWER($D455&amp;"")="n/a",ISNUMBER(SEARCH("subscription",LOWER($A455&amp;" "&amp;$M455&amp;""))),ISNUMBER(SEARCH("membership",LOWER($A455&amp;" "&amp;$M455&amp;"")))),"",IF(LOWER($L455&amp;"")="yes",0,IF($K455&lt;&gt;"",$K455,IF($O455&lt;&gt;"",$O455,"")))))</f>
        <v/>
      </c>
      <c r="Q455" s="351">
        <f>IF($A455="","",IF($U455="Subscription","",IF($U455="Profit",$P455-$H455,0)))</f>
        <v/>
      </c>
      <c r="R455" s="349">
        <f>IF($A455="","",IF($U455="Subscription","",IF($U455="Draw",$H455,0)))</f>
        <v/>
      </c>
      <c r="S455" s="349">
        <f>IF($A455="","",IF($U455="Subscription","",IF($U455="Disqualified",$H455,0)))</f>
        <v/>
      </c>
      <c r="T455" s="380">
        <f>IF($A455="","",IF($U455="Subscription","",IF($H455=0,IF($U455="Profit","N/A",0),IF($U455="Profit",$Q455/$H455,IF($U455="Disqualified",-1,0)))))</f>
        <v/>
      </c>
      <c r="U455" s="351">
        <f>IF($A455="","",IF(OR(LOWER($D455&amp;"")="n/a",ISNUMBER(SEARCH("subscription",LOWER($A455&amp;" "&amp;$M455&amp;""))),ISNUMBER(SEARCH("membership",LOWER($A455&amp;" "&amp;$M455&amp;"")))),"Subscription",IF(LOWER($L455&amp;"")="yes","Disqualified",IF($P455&gt;$H455,"Profit","Draw"))))</f>
        <v/>
      </c>
      <c r="V455" s="383">
        <f>IF(OR($A455="",$B455="",$C455="",$U455="Subscription"),"",IFERROR(ROUNDUP((IF(ISNUMBER($C455),$C455,DATEVALUE($C455))-IF(ISNUMBER($B455),$B455,DATEVALUE($B455)))/7,0),""))</f>
        <v/>
      </c>
      <c r="W455" s="351">
        <f>IF($U455="Subscription","",$Q455-$S455)</f>
        <v/>
      </c>
      <c r="X455" s="384">
        <f>IF(OR($A455="",$U455="Subscription",$J455="",$I455="",$J455=0,$I455=0,$I455&gt;$J455),"",$J455-$I455)</f>
        <v/>
      </c>
      <c r="Y455" s="381">
        <f>IF(OR($A455="",$U455="Subscription",$J455="",$J455=0,$X455=""),"",$X455/$J455)</f>
        <v/>
      </c>
    </row>
    <row r="456" ht="21" customHeight="1" s="270">
      <c r="A456" s="297" t="n"/>
      <c r="B456" s="298" t="n"/>
      <c r="C456" s="298" t="n"/>
      <c r="D456" s="297" t="n"/>
      <c r="E456" s="349" t="n"/>
      <c r="F456" s="349" t="n"/>
      <c r="G456" s="349" t="n"/>
      <c r="H456" s="349" t="n"/>
      <c r="I456" s="382" t="n"/>
      <c r="J456" s="383" t="n"/>
      <c r="K456" s="351" t="n"/>
      <c r="L456" s="296" t="n"/>
      <c r="M456" s="349" t="n"/>
      <c r="N456" s="349">
        <f>IF($A456="","",IF(OR(LOWER($D456&amp;"")="n/a",ISNUMBER(SEARCH("subscription",LOWER($A456&amp;" "&amp;$M456&amp;""))),ISNUMBER(SEARCH("membership",LOWER($A456&amp;" "&amp;$M456&amp;"")))),"",IF($G456="","",IF(ISNUMBER(SEARCH("non",LOWER($E456&amp;""))),$G456*0.85,$G456))))</f>
        <v/>
      </c>
      <c r="O456" s="349">
        <f>IF($A456="","",IF(OR(LOWER($D456&amp;"")="n/a",ISNUMBER(SEARCH("subscription",LOWER($A456&amp;" "&amp;$M456&amp;""))),ISNUMBER(SEARCH("membership",LOWER($A456&amp;" "&amp;$M456&amp;"")))),"",IF(OR($N456="",$I456="",$I456=0),"",$N456/$I456)))</f>
        <v/>
      </c>
      <c r="P456" s="349">
        <f>IF($A456="","",IF(OR(LOWER($D456&amp;"")="n/a",ISNUMBER(SEARCH("subscription",LOWER($A456&amp;" "&amp;$M456&amp;""))),ISNUMBER(SEARCH("membership",LOWER($A456&amp;" "&amp;$M456&amp;"")))),"",IF(LOWER($L456&amp;"")="yes",0,IF($K456&lt;&gt;"",$K456,IF($O456&lt;&gt;"",$O456,"")))))</f>
        <v/>
      </c>
      <c r="Q456" s="351">
        <f>IF($A456="","",IF($U456="Subscription","",IF($U456="Profit",$P456-$H456,0)))</f>
        <v/>
      </c>
      <c r="R456" s="349">
        <f>IF($A456="","",IF($U456="Subscription","",IF($U456="Draw",$H456,0)))</f>
        <v/>
      </c>
      <c r="S456" s="349">
        <f>IF($A456="","",IF($U456="Subscription","",IF($U456="Disqualified",$H456,0)))</f>
        <v/>
      </c>
      <c r="T456" s="380">
        <f>IF($A456="","",IF($U456="Subscription","",IF($H456=0,IF($U456="Profit","N/A",0),IF($U456="Profit",$Q456/$H456,IF($U456="Disqualified",-1,0)))))</f>
        <v/>
      </c>
      <c r="U456" s="351">
        <f>IF($A456="","",IF(OR(LOWER($D456&amp;"")="n/a",ISNUMBER(SEARCH("subscription",LOWER($A456&amp;" "&amp;$M456&amp;""))),ISNUMBER(SEARCH("membership",LOWER($A456&amp;" "&amp;$M456&amp;"")))),"Subscription",IF(LOWER($L456&amp;"")="yes","Disqualified",IF($P456&gt;$H456,"Profit","Draw"))))</f>
        <v/>
      </c>
      <c r="V456" s="383">
        <f>IF(OR($A456="",$B456="",$C456="",$U456="Subscription"),"",IFERROR(ROUNDUP((IF(ISNUMBER($C456),$C456,DATEVALUE($C456))-IF(ISNUMBER($B456),$B456,DATEVALUE($B456)))/7,0),""))</f>
        <v/>
      </c>
      <c r="W456" s="351">
        <f>IF($U456="Subscription","",$Q456-$S456)</f>
        <v/>
      </c>
      <c r="X456" s="384">
        <f>IF(OR($A456="",$U456="Subscription",$J456="",$I456="",$J456=0,$I456=0,$I456&gt;$J456),"",$J456-$I456)</f>
        <v/>
      </c>
      <c r="Y456" s="381">
        <f>IF(OR($A456="",$U456="Subscription",$J456="",$J456=0,$X456=""),"",$X456/$J456)</f>
        <v/>
      </c>
    </row>
    <row r="457" ht="21" customHeight="1" s="270">
      <c r="A457" s="297" t="n"/>
      <c r="B457" s="298" t="n"/>
      <c r="C457" s="298" t="n"/>
      <c r="D457" s="297" t="n"/>
      <c r="E457" s="349" t="n"/>
      <c r="F457" s="349" t="n"/>
      <c r="G457" s="349" t="n"/>
      <c r="H457" s="349" t="n"/>
      <c r="I457" s="382" t="n"/>
      <c r="J457" s="383" t="n"/>
      <c r="K457" s="351" t="n"/>
      <c r="L457" s="296" t="n"/>
      <c r="M457" s="349" t="n"/>
      <c r="N457" s="349">
        <f>IF($A457="","",IF(OR(LOWER($D457&amp;"")="n/a",ISNUMBER(SEARCH("subscription",LOWER($A457&amp;" "&amp;$M457&amp;""))),ISNUMBER(SEARCH("membership",LOWER($A457&amp;" "&amp;$M457&amp;"")))),"",IF($G457="","",IF(ISNUMBER(SEARCH("non",LOWER($E457&amp;""))),$G457*0.85,$G457))))</f>
        <v/>
      </c>
      <c r="O457" s="349">
        <f>IF($A457="","",IF(OR(LOWER($D457&amp;"")="n/a",ISNUMBER(SEARCH("subscription",LOWER($A457&amp;" "&amp;$M457&amp;""))),ISNUMBER(SEARCH("membership",LOWER($A457&amp;" "&amp;$M457&amp;"")))),"",IF(OR($N457="",$I457="",$I457=0),"",$N457/$I457)))</f>
        <v/>
      </c>
      <c r="P457" s="349">
        <f>IF($A457="","",IF(OR(LOWER($D457&amp;"")="n/a",ISNUMBER(SEARCH("subscription",LOWER($A457&amp;" "&amp;$M457&amp;""))),ISNUMBER(SEARCH("membership",LOWER($A457&amp;" "&amp;$M457&amp;"")))),"",IF(LOWER($L457&amp;"")="yes",0,IF($K457&lt;&gt;"",$K457,IF($O457&lt;&gt;"",$O457,"")))))</f>
        <v/>
      </c>
      <c r="Q457" s="351">
        <f>IF($A457="","",IF($U457="Subscription","",IF($U457="Profit",$P457-$H457,0)))</f>
        <v/>
      </c>
      <c r="R457" s="349">
        <f>IF($A457="","",IF($U457="Subscription","",IF($U457="Draw",$H457,0)))</f>
        <v/>
      </c>
      <c r="S457" s="349">
        <f>IF($A457="","",IF($U457="Subscription","",IF($U457="Disqualified",$H457,0)))</f>
        <v/>
      </c>
      <c r="T457" s="380">
        <f>IF($A457="","",IF($U457="Subscription","",IF($H457=0,IF($U457="Profit","N/A",0),IF($U457="Profit",$Q457/$H457,IF($U457="Disqualified",-1,0)))))</f>
        <v/>
      </c>
      <c r="U457" s="351">
        <f>IF($A457="","",IF(OR(LOWER($D457&amp;"")="n/a",ISNUMBER(SEARCH("subscription",LOWER($A457&amp;" "&amp;$M457&amp;""))),ISNUMBER(SEARCH("membership",LOWER($A457&amp;" "&amp;$M457&amp;"")))),"Subscription",IF(LOWER($L457&amp;"")="yes","Disqualified",IF($P457&gt;$H457,"Profit","Draw"))))</f>
        <v/>
      </c>
      <c r="V457" s="383">
        <f>IF(OR($A457="",$B457="",$C457="",$U457="Subscription"),"",IFERROR(ROUNDUP((IF(ISNUMBER($C457),$C457,DATEVALUE($C457))-IF(ISNUMBER($B457),$B457,DATEVALUE($B457)))/7,0),""))</f>
        <v/>
      </c>
      <c r="W457" s="351">
        <f>IF($U457="Subscription","",$Q457-$S457)</f>
        <v/>
      </c>
      <c r="X457" s="384">
        <f>IF(OR($A457="",$U457="Subscription",$J457="",$I457="",$J457=0,$I457=0,$I457&gt;$J457),"",$J457-$I457)</f>
        <v/>
      </c>
      <c r="Y457" s="381">
        <f>IF(OR($A457="",$U457="Subscription",$J457="",$J457=0,$X457=""),"",$X457/$J457)</f>
        <v/>
      </c>
    </row>
    <row r="458" ht="21" customHeight="1" s="270">
      <c r="A458" s="297" t="n"/>
      <c r="B458" s="298" t="n"/>
      <c r="C458" s="298" t="n"/>
      <c r="D458" s="297" t="n"/>
      <c r="E458" s="349" t="n"/>
      <c r="F458" s="349" t="n"/>
      <c r="G458" s="349" t="n"/>
      <c r="H458" s="349" t="n"/>
      <c r="I458" s="382" t="n"/>
      <c r="J458" s="383" t="n"/>
      <c r="K458" s="351" t="n"/>
      <c r="L458" s="296" t="n"/>
      <c r="M458" s="349" t="n"/>
      <c r="N458" s="349">
        <f>IF($A458="","",IF(OR(LOWER($D458&amp;"")="n/a",ISNUMBER(SEARCH("subscription",LOWER($A458&amp;" "&amp;$M458&amp;""))),ISNUMBER(SEARCH("membership",LOWER($A458&amp;" "&amp;$M458&amp;"")))),"",IF($G458="","",IF(ISNUMBER(SEARCH("non",LOWER($E458&amp;""))),$G458*0.85,$G458))))</f>
        <v/>
      </c>
      <c r="O458" s="349">
        <f>IF($A458="","",IF(OR(LOWER($D458&amp;"")="n/a",ISNUMBER(SEARCH("subscription",LOWER($A458&amp;" "&amp;$M458&amp;""))),ISNUMBER(SEARCH("membership",LOWER($A458&amp;" "&amp;$M458&amp;"")))),"",IF(OR($N458="",$I458="",$I458=0),"",$N458/$I458)))</f>
        <v/>
      </c>
      <c r="P458" s="349">
        <f>IF($A458="","",IF(OR(LOWER($D458&amp;"")="n/a",ISNUMBER(SEARCH("subscription",LOWER($A458&amp;" "&amp;$M458&amp;""))),ISNUMBER(SEARCH("membership",LOWER($A458&amp;" "&amp;$M458&amp;"")))),"",IF(LOWER($L458&amp;"")="yes",0,IF($K458&lt;&gt;"",$K458,IF($O458&lt;&gt;"",$O458,"")))))</f>
        <v/>
      </c>
      <c r="Q458" s="351">
        <f>IF($A458="","",IF($U458="Subscription","",IF($U458="Profit",$P458-$H458,0)))</f>
        <v/>
      </c>
      <c r="R458" s="349">
        <f>IF($A458="","",IF($U458="Subscription","",IF($U458="Draw",$H458,0)))</f>
        <v/>
      </c>
      <c r="S458" s="349">
        <f>IF($A458="","",IF($U458="Subscription","",IF($U458="Disqualified",$H458,0)))</f>
        <v/>
      </c>
      <c r="T458" s="380">
        <f>IF($A458="","",IF($U458="Subscription","",IF($H458=0,IF($U458="Profit","N/A",0),IF($U458="Profit",$Q458/$H458,IF($U458="Disqualified",-1,0)))))</f>
        <v/>
      </c>
      <c r="U458" s="351">
        <f>IF($A458="","",IF(OR(LOWER($D458&amp;"")="n/a",ISNUMBER(SEARCH("subscription",LOWER($A458&amp;" "&amp;$M458&amp;""))),ISNUMBER(SEARCH("membership",LOWER($A458&amp;" "&amp;$M458&amp;"")))),"Subscription",IF(LOWER($L458&amp;"")="yes","Disqualified",IF($P458&gt;$H458,"Profit","Draw"))))</f>
        <v/>
      </c>
      <c r="V458" s="383">
        <f>IF(OR($A458="",$B458="",$C458="",$U458="Subscription"),"",IFERROR(ROUNDUP((IF(ISNUMBER($C458),$C458,DATEVALUE($C458))-IF(ISNUMBER($B458),$B458,DATEVALUE($B458)))/7,0),""))</f>
        <v/>
      </c>
      <c r="W458" s="351">
        <f>IF($U458="Subscription","",$Q458-$S458)</f>
        <v/>
      </c>
      <c r="X458" s="384">
        <f>IF(OR($A458="",$U458="Subscription",$J458="",$I458="",$J458=0,$I458=0,$I458&gt;$J458),"",$J458-$I458)</f>
        <v/>
      </c>
      <c r="Y458" s="381">
        <f>IF(OR($A458="",$U458="Subscription",$J458="",$J458=0,$X458=""),"",$X458/$J458)</f>
        <v/>
      </c>
    </row>
    <row r="459" ht="21" customHeight="1" s="270">
      <c r="A459" s="297" t="n"/>
      <c r="B459" s="298" t="n"/>
      <c r="C459" s="298" t="n"/>
      <c r="D459" s="297" t="n"/>
      <c r="E459" s="349" t="n"/>
      <c r="F459" s="349" t="n"/>
      <c r="G459" s="349" t="n"/>
      <c r="H459" s="349" t="n"/>
      <c r="I459" s="382" t="n"/>
      <c r="J459" s="383" t="n"/>
      <c r="K459" s="351" t="n"/>
      <c r="L459" s="296" t="n"/>
      <c r="M459" s="349" t="n"/>
      <c r="N459" s="349">
        <f>IF($A459="","",IF(OR(LOWER($D459&amp;"")="n/a",ISNUMBER(SEARCH("subscription",LOWER($A459&amp;" "&amp;$M459&amp;""))),ISNUMBER(SEARCH("membership",LOWER($A459&amp;" "&amp;$M459&amp;"")))),"",IF($G459="","",IF(ISNUMBER(SEARCH("non",LOWER($E459&amp;""))),$G459*0.85,$G459))))</f>
        <v/>
      </c>
      <c r="O459" s="349">
        <f>IF($A459="","",IF(OR(LOWER($D459&amp;"")="n/a",ISNUMBER(SEARCH("subscription",LOWER($A459&amp;" "&amp;$M459&amp;""))),ISNUMBER(SEARCH("membership",LOWER($A459&amp;" "&amp;$M459&amp;"")))),"",IF(OR($N459="",$I459="",$I459=0),"",$N459/$I459)))</f>
        <v/>
      </c>
      <c r="P459" s="349">
        <f>IF($A459="","",IF(OR(LOWER($D459&amp;"")="n/a",ISNUMBER(SEARCH("subscription",LOWER($A459&amp;" "&amp;$M459&amp;""))),ISNUMBER(SEARCH("membership",LOWER($A459&amp;" "&amp;$M459&amp;"")))),"",IF(LOWER($L459&amp;"")="yes",0,IF($K459&lt;&gt;"",$K459,IF($O459&lt;&gt;"",$O459,"")))))</f>
        <v/>
      </c>
      <c r="Q459" s="351">
        <f>IF($A459="","",IF($U459="Subscription","",IF($U459="Profit",$P459-$H459,0)))</f>
        <v/>
      </c>
      <c r="R459" s="349">
        <f>IF($A459="","",IF($U459="Subscription","",IF($U459="Draw",$H459,0)))</f>
        <v/>
      </c>
      <c r="S459" s="349">
        <f>IF($A459="","",IF($U459="Subscription","",IF($U459="Disqualified",$H459,0)))</f>
        <v/>
      </c>
      <c r="T459" s="380">
        <f>IF($A459="","",IF($U459="Subscription","",IF($H459=0,IF($U459="Profit","N/A",0),IF($U459="Profit",$Q459/$H459,IF($U459="Disqualified",-1,0)))))</f>
        <v/>
      </c>
      <c r="U459" s="351">
        <f>IF($A459="","",IF(OR(LOWER($D459&amp;"")="n/a",ISNUMBER(SEARCH("subscription",LOWER($A459&amp;" "&amp;$M459&amp;""))),ISNUMBER(SEARCH("membership",LOWER($A459&amp;" "&amp;$M459&amp;"")))),"Subscription",IF(LOWER($L459&amp;"")="yes","Disqualified",IF($P459&gt;$H459,"Profit","Draw"))))</f>
        <v/>
      </c>
      <c r="V459" s="383">
        <f>IF(OR($A459="",$B459="",$C459="",$U459="Subscription"),"",IFERROR(ROUNDUP((IF(ISNUMBER($C459),$C459,DATEVALUE($C459))-IF(ISNUMBER($B459),$B459,DATEVALUE($B459)))/7,0),""))</f>
        <v/>
      </c>
      <c r="W459" s="351">
        <f>IF($U459="Subscription","",$Q459-$S459)</f>
        <v/>
      </c>
      <c r="X459" s="384">
        <f>IF(OR($A459="",$U459="Subscription",$J459="",$I459="",$J459=0,$I459=0,$I459&gt;$J459),"",$J459-$I459)</f>
        <v/>
      </c>
      <c r="Y459" s="381">
        <f>IF(OR($A459="",$U459="Subscription",$J459="",$J459=0,$X459=""),"",$X459/$J459)</f>
        <v/>
      </c>
    </row>
    <row r="460" ht="21" customHeight="1" s="270">
      <c r="A460" s="297" t="n"/>
      <c r="B460" s="298" t="n"/>
      <c r="C460" s="298" t="n"/>
      <c r="D460" s="297" t="n"/>
      <c r="E460" s="349" t="n"/>
      <c r="F460" s="349" t="n"/>
      <c r="G460" s="349" t="n"/>
      <c r="H460" s="349" t="n"/>
      <c r="I460" s="382" t="n"/>
      <c r="J460" s="383" t="n"/>
      <c r="K460" s="351" t="n"/>
      <c r="L460" s="296" t="n"/>
      <c r="M460" s="349" t="n"/>
      <c r="N460" s="349">
        <f>IF($A460="","",IF(OR(LOWER($D460&amp;"")="n/a",ISNUMBER(SEARCH("subscription",LOWER($A460&amp;" "&amp;$M460&amp;""))),ISNUMBER(SEARCH("membership",LOWER($A460&amp;" "&amp;$M460&amp;"")))),"",IF($G460="","",IF(ISNUMBER(SEARCH("non",LOWER($E460&amp;""))),$G460*0.85,$G460))))</f>
        <v/>
      </c>
      <c r="O460" s="349">
        <f>IF($A460="","",IF(OR(LOWER($D460&amp;"")="n/a",ISNUMBER(SEARCH("subscription",LOWER($A460&amp;" "&amp;$M460&amp;""))),ISNUMBER(SEARCH("membership",LOWER($A460&amp;" "&amp;$M460&amp;"")))),"",IF(OR($N460="",$I460="",$I460=0),"",$N460/$I460)))</f>
        <v/>
      </c>
      <c r="P460" s="349">
        <f>IF($A460="","",IF(OR(LOWER($D460&amp;"")="n/a",ISNUMBER(SEARCH("subscription",LOWER($A460&amp;" "&amp;$M460&amp;""))),ISNUMBER(SEARCH("membership",LOWER($A460&amp;" "&amp;$M460&amp;"")))),"",IF(LOWER($L460&amp;"")="yes",0,IF($K460&lt;&gt;"",$K460,IF($O460&lt;&gt;"",$O460,"")))))</f>
        <v/>
      </c>
      <c r="Q460" s="351">
        <f>IF($A460="","",IF($U460="Subscription","",IF($U460="Profit",$P460-$H460,0)))</f>
        <v/>
      </c>
      <c r="R460" s="349">
        <f>IF($A460="","",IF($U460="Subscription","",IF($U460="Draw",$H460,0)))</f>
        <v/>
      </c>
      <c r="S460" s="349">
        <f>IF($A460="","",IF($U460="Subscription","",IF($U460="Disqualified",$H460,0)))</f>
        <v/>
      </c>
      <c r="T460" s="380">
        <f>IF($A460="","",IF($U460="Subscription","",IF($H460=0,IF($U460="Profit","N/A",0),IF($U460="Profit",$Q460/$H460,IF($U460="Disqualified",-1,0)))))</f>
        <v/>
      </c>
      <c r="U460" s="351">
        <f>IF($A460="","",IF(OR(LOWER($D460&amp;"")="n/a",ISNUMBER(SEARCH("subscription",LOWER($A460&amp;" "&amp;$M460&amp;""))),ISNUMBER(SEARCH("membership",LOWER($A460&amp;" "&amp;$M460&amp;"")))),"Subscription",IF(LOWER($L460&amp;"")="yes","Disqualified",IF($P460&gt;$H460,"Profit","Draw"))))</f>
        <v/>
      </c>
      <c r="V460" s="383">
        <f>IF(OR($A460="",$B460="",$C460="",$U460="Subscription"),"",IFERROR(ROUNDUP((IF(ISNUMBER($C460),$C460,DATEVALUE($C460))-IF(ISNUMBER($B460),$B460,DATEVALUE($B460)))/7,0),""))</f>
        <v/>
      </c>
      <c r="W460" s="351">
        <f>IF($U460="Subscription","",$Q460-$S460)</f>
        <v/>
      </c>
      <c r="X460" s="384">
        <f>IF(OR($A460="",$U460="Subscription",$J460="",$I460="",$J460=0,$I460=0,$I460&gt;$J460),"",$J460-$I460)</f>
        <v/>
      </c>
      <c r="Y460" s="381">
        <f>IF(OR($A460="",$U460="Subscription",$J460="",$J460=0,$X460=""),"",$X460/$J460)</f>
        <v/>
      </c>
    </row>
    <row r="461" ht="21" customHeight="1" s="270">
      <c r="A461" s="297" t="n"/>
      <c r="B461" s="298" t="n"/>
      <c r="C461" s="298" t="n"/>
      <c r="D461" s="297" t="n"/>
      <c r="E461" s="349" t="n"/>
      <c r="F461" s="349" t="n"/>
      <c r="G461" s="349" t="n"/>
      <c r="H461" s="349" t="n"/>
      <c r="I461" s="382" t="n"/>
      <c r="J461" s="383" t="n"/>
      <c r="K461" s="351" t="n"/>
      <c r="L461" s="296" t="n"/>
      <c r="M461" s="349" t="n"/>
      <c r="N461" s="349">
        <f>IF($A461="","",IF(OR(LOWER($D461&amp;"")="n/a",ISNUMBER(SEARCH("subscription",LOWER($A461&amp;" "&amp;$M461&amp;""))),ISNUMBER(SEARCH("membership",LOWER($A461&amp;" "&amp;$M461&amp;"")))),"",IF($G461="","",IF(ISNUMBER(SEARCH("non",LOWER($E461&amp;""))),$G461*0.85,$G461))))</f>
        <v/>
      </c>
      <c r="O461" s="349">
        <f>IF($A461="","",IF(OR(LOWER($D461&amp;"")="n/a",ISNUMBER(SEARCH("subscription",LOWER($A461&amp;" "&amp;$M461&amp;""))),ISNUMBER(SEARCH("membership",LOWER($A461&amp;" "&amp;$M461&amp;"")))),"",IF(OR($N461="",$I461="",$I461=0),"",$N461/$I461)))</f>
        <v/>
      </c>
      <c r="P461" s="349">
        <f>IF($A461="","",IF(OR(LOWER($D461&amp;"")="n/a",ISNUMBER(SEARCH("subscription",LOWER($A461&amp;" "&amp;$M461&amp;""))),ISNUMBER(SEARCH("membership",LOWER($A461&amp;" "&amp;$M461&amp;"")))),"",IF(LOWER($L461&amp;"")="yes",0,IF($K461&lt;&gt;"",$K461,IF($O461&lt;&gt;"",$O461,"")))))</f>
        <v/>
      </c>
      <c r="Q461" s="351">
        <f>IF($A461="","",IF($U461="Subscription","",IF($U461="Profit",$P461-$H461,0)))</f>
        <v/>
      </c>
      <c r="R461" s="349">
        <f>IF($A461="","",IF($U461="Subscription","",IF($U461="Draw",$H461,0)))</f>
        <v/>
      </c>
      <c r="S461" s="349">
        <f>IF($A461="","",IF($U461="Subscription","",IF($U461="Disqualified",$H461,0)))</f>
        <v/>
      </c>
      <c r="T461" s="380">
        <f>IF($A461="","",IF($U461="Subscription","",IF($H461=0,IF($U461="Profit","N/A",0),IF($U461="Profit",$Q461/$H461,IF($U461="Disqualified",-1,0)))))</f>
        <v/>
      </c>
      <c r="U461" s="351">
        <f>IF($A461="","",IF(OR(LOWER($D461&amp;"")="n/a",ISNUMBER(SEARCH("subscription",LOWER($A461&amp;" "&amp;$M461&amp;""))),ISNUMBER(SEARCH("membership",LOWER($A461&amp;" "&amp;$M461&amp;"")))),"Subscription",IF(LOWER($L461&amp;"")="yes","Disqualified",IF($P461&gt;$H461,"Profit","Draw"))))</f>
        <v/>
      </c>
      <c r="V461" s="383">
        <f>IF(OR($A461="",$B461="",$C461="",$U461="Subscription"),"",IFERROR(ROUNDUP((IF(ISNUMBER($C461),$C461,DATEVALUE($C461))-IF(ISNUMBER($B461),$B461,DATEVALUE($B461)))/7,0),""))</f>
        <v/>
      </c>
      <c r="W461" s="351">
        <f>IF($U461="Subscription","",$Q461-$S461)</f>
        <v/>
      </c>
      <c r="X461" s="384">
        <f>IF(OR($A461="",$U461="Subscription",$J461="",$I461="",$J461=0,$I461=0,$I461&gt;$J461),"",$J461-$I461)</f>
        <v/>
      </c>
      <c r="Y461" s="381">
        <f>IF(OR($A461="",$U461="Subscription",$J461="",$J461=0,$X461=""),"",$X461/$J461)</f>
        <v/>
      </c>
    </row>
    <row r="462" ht="21" customHeight="1" s="270">
      <c r="A462" s="297" t="n"/>
      <c r="B462" s="298" t="n"/>
      <c r="C462" s="298" t="n"/>
      <c r="D462" s="297" t="n"/>
      <c r="E462" s="349" t="n"/>
      <c r="F462" s="349" t="n"/>
      <c r="G462" s="349" t="n"/>
      <c r="H462" s="349" t="n"/>
      <c r="I462" s="382" t="n"/>
      <c r="J462" s="383" t="n"/>
      <c r="K462" s="351" t="n"/>
      <c r="L462" s="296" t="n"/>
      <c r="M462" s="349" t="n"/>
      <c r="N462" s="349">
        <f>IF($A462="","",IF(OR(LOWER($D462&amp;"")="n/a",ISNUMBER(SEARCH("subscription",LOWER($A462&amp;" "&amp;$M462&amp;""))),ISNUMBER(SEARCH("membership",LOWER($A462&amp;" "&amp;$M462&amp;"")))),"",IF($G462="","",IF(ISNUMBER(SEARCH("non",LOWER($E462&amp;""))),$G462*0.85,$G462))))</f>
        <v/>
      </c>
      <c r="O462" s="349">
        <f>IF($A462="","",IF(OR(LOWER($D462&amp;"")="n/a",ISNUMBER(SEARCH("subscription",LOWER($A462&amp;" "&amp;$M462&amp;""))),ISNUMBER(SEARCH("membership",LOWER($A462&amp;" "&amp;$M462&amp;"")))),"",IF(OR($N462="",$I462="",$I462=0),"",$N462/$I462)))</f>
        <v/>
      </c>
      <c r="P462" s="349">
        <f>IF($A462="","",IF(OR(LOWER($D462&amp;"")="n/a",ISNUMBER(SEARCH("subscription",LOWER($A462&amp;" "&amp;$M462&amp;""))),ISNUMBER(SEARCH("membership",LOWER($A462&amp;" "&amp;$M462&amp;"")))),"",IF(LOWER($L462&amp;"")="yes",0,IF($K462&lt;&gt;"",$K462,IF($O462&lt;&gt;"",$O462,"")))))</f>
        <v/>
      </c>
      <c r="Q462" s="351">
        <f>IF($A462="","",IF($U462="Subscription","",IF($U462="Profit",$P462-$H462,0)))</f>
        <v/>
      </c>
      <c r="R462" s="349">
        <f>IF($A462="","",IF($U462="Subscription","",IF($U462="Draw",$H462,0)))</f>
        <v/>
      </c>
      <c r="S462" s="349">
        <f>IF($A462="","",IF($U462="Subscription","",IF($U462="Disqualified",$H462,0)))</f>
        <v/>
      </c>
      <c r="T462" s="380">
        <f>IF($A462="","",IF($U462="Subscription","",IF($H462=0,IF($U462="Profit","N/A",0),IF($U462="Profit",$Q462/$H462,IF($U462="Disqualified",-1,0)))))</f>
        <v/>
      </c>
      <c r="U462" s="351">
        <f>IF($A462="","",IF(OR(LOWER($D462&amp;"")="n/a",ISNUMBER(SEARCH("subscription",LOWER($A462&amp;" "&amp;$M462&amp;""))),ISNUMBER(SEARCH("membership",LOWER($A462&amp;" "&amp;$M462&amp;"")))),"Subscription",IF(LOWER($L462&amp;"")="yes","Disqualified",IF($P462&gt;$H462,"Profit","Draw"))))</f>
        <v/>
      </c>
      <c r="V462" s="383">
        <f>IF(OR($A462="",$B462="",$C462="",$U462="Subscription"),"",IFERROR(ROUNDUP((IF(ISNUMBER($C462),$C462,DATEVALUE($C462))-IF(ISNUMBER($B462),$B462,DATEVALUE($B462)))/7,0),""))</f>
        <v/>
      </c>
      <c r="W462" s="351">
        <f>IF($U462="Subscription","",$Q462-$S462)</f>
        <v/>
      </c>
      <c r="X462" s="384">
        <f>IF(OR($A462="",$U462="Subscription",$J462="",$I462="",$J462=0,$I462=0,$I462&gt;$J462),"",$J462-$I462)</f>
        <v/>
      </c>
      <c r="Y462" s="381">
        <f>IF(OR($A462="",$U462="Subscription",$J462="",$J462=0,$X462=""),"",$X462/$J462)</f>
        <v/>
      </c>
    </row>
    <row r="463" ht="21" customHeight="1" s="270">
      <c r="A463" s="297" t="n"/>
      <c r="B463" s="298" t="n"/>
      <c r="C463" s="298" t="n"/>
      <c r="D463" s="297" t="n"/>
      <c r="E463" s="349" t="n"/>
      <c r="F463" s="349" t="n"/>
      <c r="G463" s="349" t="n"/>
      <c r="H463" s="349" t="n"/>
      <c r="I463" s="382" t="n"/>
      <c r="J463" s="383" t="n"/>
      <c r="K463" s="351" t="n"/>
      <c r="L463" s="296" t="n"/>
      <c r="M463" s="349" t="n"/>
      <c r="N463" s="349">
        <f>IF($A463="","",IF(OR(LOWER($D463&amp;"")="n/a",ISNUMBER(SEARCH("subscription",LOWER($A463&amp;" "&amp;$M463&amp;""))),ISNUMBER(SEARCH("membership",LOWER($A463&amp;" "&amp;$M463&amp;"")))),"",IF($G463="","",IF(ISNUMBER(SEARCH("non",LOWER($E463&amp;""))),$G463*0.85,$G463))))</f>
        <v/>
      </c>
      <c r="O463" s="349">
        <f>IF($A463="","",IF(OR(LOWER($D463&amp;"")="n/a",ISNUMBER(SEARCH("subscription",LOWER($A463&amp;" "&amp;$M463&amp;""))),ISNUMBER(SEARCH("membership",LOWER($A463&amp;" "&amp;$M463&amp;"")))),"",IF(OR($N463="",$I463="",$I463=0),"",$N463/$I463)))</f>
        <v/>
      </c>
      <c r="P463" s="349">
        <f>IF($A463="","",IF(OR(LOWER($D463&amp;"")="n/a",ISNUMBER(SEARCH("subscription",LOWER($A463&amp;" "&amp;$M463&amp;""))),ISNUMBER(SEARCH("membership",LOWER($A463&amp;" "&amp;$M463&amp;"")))),"",IF(LOWER($L463&amp;"")="yes",0,IF($K463&lt;&gt;"",$K463,IF($O463&lt;&gt;"",$O463,"")))))</f>
        <v/>
      </c>
      <c r="Q463" s="351">
        <f>IF($A463="","",IF($U463="Subscription","",IF($U463="Profit",$P463-$H463,0)))</f>
        <v/>
      </c>
      <c r="R463" s="349">
        <f>IF($A463="","",IF($U463="Subscription","",IF($U463="Draw",$H463,0)))</f>
        <v/>
      </c>
      <c r="S463" s="349">
        <f>IF($A463="","",IF($U463="Subscription","",IF($U463="Disqualified",$H463,0)))</f>
        <v/>
      </c>
      <c r="T463" s="380">
        <f>IF($A463="","",IF($U463="Subscription","",IF($H463=0,IF($U463="Profit","N/A",0),IF($U463="Profit",$Q463/$H463,IF($U463="Disqualified",-1,0)))))</f>
        <v/>
      </c>
      <c r="U463" s="351">
        <f>IF($A463="","",IF(OR(LOWER($D463&amp;"")="n/a",ISNUMBER(SEARCH("subscription",LOWER($A463&amp;" "&amp;$M463&amp;""))),ISNUMBER(SEARCH("membership",LOWER($A463&amp;" "&amp;$M463&amp;"")))),"Subscription",IF(LOWER($L463&amp;"")="yes","Disqualified",IF($P463&gt;$H463,"Profit","Draw"))))</f>
        <v/>
      </c>
      <c r="V463" s="383">
        <f>IF(OR($A463="",$B463="",$C463="",$U463="Subscription"),"",IFERROR(ROUNDUP((IF(ISNUMBER($C463),$C463,DATEVALUE($C463))-IF(ISNUMBER($B463),$B463,DATEVALUE($B463)))/7,0),""))</f>
        <v/>
      </c>
      <c r="W463" s="351">
        <f>IF($U463="Subscription","",$Q463-$S463)</f>
        <v/>
      </c>
      <c r="X463" s="384">
        <f>IF(OR($A463="",$U463="Subscription",$J463="",$I463="",$J463=0,$I463=0,$I463&gt;$J463),"",$J463-$I463)</f>
        <v/>
      </c>
      <c r="Y463" s="381">
        <f>IF(OR($A463="",$U463="Subscription",$J463="",$J463=0,$X463=""),"",$X463/$J463)</f>
        <v/>
      </c>
    </row>
    <row r="464" ht="21" customHeight="1" s="270">
      <c r="A464" s="297" t="n"/>
      <c r="B464" s="298" t="n"/>
      <c r="C464" s="298" t="n"/>
      <c r="D464" s="297" t="n"/>
      <c r="E464" s="349" t="n"/>
      <c r="F464" s="349" t="n"/>
      <c r="G464" s="349" t="n"/>
      <c r="H464" s="349" t="n"/>
      <c r="I464" s="382" t="n"/>
      <c r="J464" s="383" t="n"/>
      <c r="K464" s="351" t="n"/>
      <c r="L464" s="296" t="n"/>
      <c r="M464" s="349" t="n"/>
      <c r="N464" s="349">
        <f>IF($A464="","",IF(OR(LOWER($D464&amp;"")="n/a",ISNUMBER(SEARCH("subscription",LOWER($A464&amp;" "&amp;$M464&amp;""))),ISNUMBER(SEARCH("membership",LOWER($A464&amp;" "&amp;$M464&amp;"")))),"",IF($G464="","",IF(ISNUMBER(SEARCH("non",LOWER($E464&amp;""))),$G464*0.85,$G464))))</f>
        <v/>
      </c>
      <c r="O464" s="349">
        <f>IF($A464="","",IF(OR(LOWER($D464&amp;"")="n/a",ISNUMBER(SEARCH("subscription",LOWER($A464&amp;" "&amp;$M464&amp;""))),ISNUMBER(SEARCH("membership",LOWER($A464&amp;" "&amp;$M464&amp;"")))),"",IF(OR($N464="",$I464="",$I464=0),"",$N464/$I464)))</f>
        <v/>
      </c>
      <c r="P464" s="349">
        <f>IF($A464="","",IF(OR(LOWER($D464&amp;"")="n/a",ISNUMBER(SEARCH("subscription",LOWER($A464&amp;" "&amp;$M464&amp;""))),ISNUMBER(SEARCH("membership",LOWER($A464&amp;" "&amp;$M464&amp;"")))),"",IF(LOWER($L464&amp;"")="yes",0,IF($K464&lt;&gt;"",$K464,IF($O464&lt;&gt;"",$O464,"")))))</f>
        <v/>
      </c>
      <c r="Q464" s="351">
        <f>IF($A464="","",IF($U464="Subscription","",IF($U464="Profit",$P464-$H464,0)))</f>
        <v/>
      </c>
      <c r="R464" s="349">
        <f>IF($A464="","",IF($U464="Subscription","",IF($U464="Draw",$H464,0)))</f>
        <v/>
      </c>
      <c r="S464" s="349">
        <f>IF($A464="","",IF($U464="Subscription","",IF($U464="Disqualified",$H464,0)))</f>
        <v/>
      </c>
      <c r="T464" s="380">
        <f>IF($A464="","",IF($U464="Subscription","",IF($H464=0,IF($U464="Profit","N/A",0),IF($U464="Profit",$Q464/$H464,IF($U464="Disqualified",-1,0)))))</f>
        <v/>
      </c>
      <c r="U464" s="351">
        <f>IF($A464="","",IF(OR(LOWER($D464&amp;"")="n/a",ISNUMBER(SEARCH("subscription",LOWER($A464&amp;" "&amp;$M464&amp;""))),ISNUMBER(SEARCH("membership",LOWER($A464&amp;" "&amp;$M464&amp;"")))),"Subscription",IF(LOWER($L464&amp;"")="yes","Disqualified",IF($P464&gt;$H464,"Profit","Draw"))))</f>
        <v/>
      </c>
      <c r="V464" s="383">
        <f>IF(OR($A464="",$B464="",$C464="",$U464="Subscription"),"",IFERROR(ROUNDUP((IF(ISNUMBER($C464),$C464,DATEVALUE($C464))-IF(ISNUMBER($B464),$B464,DATEVALUE($B464)))/7,0),""))</f>
        <v/>
      </c>
      <c r="W464" s="351">
        <f>IF($U464="Subscription","",$Q464-$S464)</f>
        <v/>
      </c>
      <c r="X464" s="384">
        <f>IF(OR($A464="",$U464="Subscription",$J464="",$I464="",$J464=0,$I464=0,$I464&gt;$J464),"",$J464-$I464)</f>
        <v/>
      </c>
      <c r="Y464" s="381">
        <f>IF(OR($A464="",$U464="Subscription",$J464="",$J464=0,$X464=""),"",$X464/$J464)</f>
        <v/>
      </c>
    </row>
    <row r="465" ht="21" customHeight="1" s="270">
      <c r="A465" s="297" t="n"/>
      <c r="B465" s="298" t="n"/>
      <c r="C465" s="298" t="n"/>
      <c r="D465" s="297" t="n"/>
      <c r="E465" s="349" t="n"/>
      <c r="F465" s="349" t="n"/>
      <c r="G465" s="349" t="n"/>
      <c r="H465" s="349" t="n"/>
      <c r="I465" s="382" t="n"/>
      <c r="J465" s="383" t="n"/>
      <c r="K465" s="351" t="n"/>
      <c r="L465" s="296" t="n"/>
      <c r="M465" s="349" t="n"/>
      <c r="N465" s="349">
        <f>IF($A465="","",IF(OR(LOWER($D465&amp;"")="n/a",ISNUMBER(SEARCH("subscription",LOWER($A465&amp;" "&amp;$M465&amp;""))),ISNUMBER(SEARCH("membership",LOWER($A465&amp;" "&amp;$M465&amp;"")))),"",IF($G465="","",IF(ISNUMBER(SEARCH("non",LOWER($E465&amp;""))),$G465*0.85,$G465))))</f>
        <v/>
      </c>
      <c r="O465" s="349">
        <f>IF($A465="","",IF(OR(LOWER($D465&amp;"")="n/a",ISNUMBER(SEARCH("subscription",LOWER($A465&amp;" "&amp;$M465&amp;""))),ISNUMBER(SEARCH("membership",LOWER($A465&amp;" "&amp;$M465&amp;"")))),"",IF(OR($N465="",$I465="",$I465=0),"",$N465/$I465)))</f>
        <v/>
      </c>
      <c r="P465" s="349">
        <f>IF($A465="","",IF(OR(LOWER($D465&amp;"")="n/a",ISNUMBER(SEARCH("subscription",LOWER($A465&amp;" "&amp;$M465&amp;""))),ISNUMBER(SEARCH("membership",LOWER($A465&amp;" "&amp;$M465&amp;"")))),"",IF(LOWER($L465&amp;"")="yes",0,IF($K465&lt;&gt;"",$K465,IF($O465&lt;&gt;"",$O465,"")))))</f>
        <v/>
      </c>
      <c r="Q465" s="351">
        <f>IF($A465="","",IF($U465="Subscription","",IF($U465="Profit",$P465-$H465,0)))</f>
        <v/>
      </c>
      <c r="R465" s="349">
        <f>IF($A465="","",IF($U465="Subscription","",IF($U465="Draw",$H465,0)))</f>
        <v/>
      </c>
      <c r="S465" s="349">
        <f>IF($A465="","",IF($U465="Subscription","",IF($U465="Disqualified",$H465,0)))</f>
        <v/>
      </c>
      <c r="T465" s="380">
        <f>IF($A465="","",IF($U465="Subscription","",IF($H465=0,IF($U465="Profit","N/A",0),IF($U465="Profit",$Q465/$H465,IF($U465="Disqualified",-1,0)))))</f>
        <v/>
      </c>
      <c r="U465" s="351">
        <f>IF($A465="","",IF(OR(LOWER($D465&amp;"")="n/a",ISNUMBER(SEARCH("subscription",LOWER($A465&amp;" "&amp;$M465&amp;""))),ISNUMBER(SEARCH("membership",LOWER($A465&amp;" "&amp;$M465&amp;"")))),"Subscription",IF(LOWER($L465&amp;"")="yes","Disqualified",IF($P465&gt;$H465,"Profit","Draw"))))</f>
        <v/>
      </c>
      <c r="V465" s="383">
        <f>IF(OR($A465="",$B465="",$C465="",$U465="Subscription"),"",IFERROR(ROUNDUP((IF(ISNUMBER($C465),$C465,DATEVALUE($C465))-IF(ISNUMBER($B465),$B465,DATEVALUE($B465)))/7,0),""))</f>
        <v/>
      </c>
      <c r="W465" s="351">
        <f>IF($U465="Subscription","",$Q465-$S465)</f>
        <v/>
      </c>
      <c r="X465" s="384">
        <f>IF(OR($A465="",$U465="Subscription",$J465="",$I465="",$J465=0,$I465=0,$I465&gt;$J465),"",$J465-$I465)</f>
        <v/>
      </c>
      <c r="Y465" s="381">
        <f>IF(OR($A465="",$U465="Subscription",$J465="",$J465=0,$X465=""),"",$X465/$J465)</f>
        <v/>
      </c>
    </row>
    <row r="466" ht="21" customHeight="1" s="270">
      <c r="A466" s="297" t="n"/>
      <c r="B466" s="298" t="n"/>
      <c r="C466" s="298" t="n"/>
      <c r="D466" s="297" t="n"/>
      <c r="E466" s="349" t="n"/>
      <c r="F466" s="349" t="n"/>
      <c r="G466" s="349" t="n"/>
      <c r="H466" s="349" t="n"/>
      <c r="I466" s="382" t="n"/>
      <c r="J466" s="383" t="n"/>
      <c r="K466" s="351" t="n"/>
      <c r="L466" s="296" t="n"/>
      <c r="M466" s="349" t="n"/>
      <c r="N466" s="349">
        <f>IF($A466="","",IF(OR(LOWER($D466&amp;"")="n/a",ISNUMBER(SEARCH("subscription",LOWER($A466&amp;" "&amp;$M466&amp;""))),ISNUMBER(SEARCH("membership",LOWER($A466&amp;" "&amp;$M466&amp;"")))),"",IF($G466="","",IF(ISNUMBER(SEARCH("non",LOWER($E466&amp;""))),$G466*0.85,$G466))))</f>
        <v/>
      </c>
      <c r="O466" s="349">
        <f>IF($A466="","",IF(OR(LOWER($D466&amp;"")="n/a",ISNUMBER(SEARCH("subscription",LOWER($A466&amp;" "&amp;$M466&amp;""))),ISNUMBER(SEARCH("membership",LOWER($A466&amp;" "&amp;$M466&amp;"")))),"",IF(OR($N466="",$I466="",$I466=0),"",$N466/$I466)))</f>
        <v/>
      </c>
      <c r="P466" s="349">
        <f>IF($A466="","",IF(OR(LOWER($D466&amp;"")="n/a",ISNUMBER(SEARCH("subscription",LOWER($A466&amp;" "&amp;$M466&amp;""))),ISNUMBER(SEARCH("membership",LOWER($A466&amp;" "&amp;$M466&amp;"")))),"",IF(LOWER($L466&amp;"")="yes",0,IF($K466&lt;&gt;"",$K466,IF($O466&lt;&gt;"",$O466,"")))))</f>
        <v/>
      </c>
      <c r="Q466" s="351">
        <f>IF($A466="","",IF($U466="Subscription","",IF($U466="Profit",$P466-$H466,0)))</f>
        <v/>
      </c>
      <c r="R466" s="349">
        <f>IF($A466="","",IF($U466="Subscription","",IF($U466="Draw",$H466,0)))</f>
        <v/>
      </c>
      <c r="S466" s="349">
        <f>IF($A466="","",IF($U466="Subscription","",IF($U466="Disqualified",$H466,0)))</f>
        <v/>
      </c>
      <c r="T466" s="380">
        <f>IF($A466="","",IF($U466="Subscription","",IF($H466=0,IF($U466="Profit","N/A",0),IF($U466="Profit",$Q466/$H466,IF($U466="Disqualified",-1,0)))))</f>
        <v/>
      </c>
      <c r="U466" s="351">
        <f>IF($A466="","",IF(OR(LOWER($D466&amp;"")="n/a",ISNUMBER(SEARCH("subscription",LOWER($A466&amp;" "&amp;$M466&amp;""))),ISNUMBER(SEARCH("membership",LOWER($A466&amp;" "&amp;$M466&amp;"")))),"Subscription",IF(LOWER($L466&amp;"")="yes","Disqualified",IF($P466&gt;$H466,"Profit","Draw"))))</f>
        <v/>
      </c>
      <c r="V466" s="383">
        <f>IF(OR($A466="",$B466="",$C466="",$U466="Subscription"),"",IFERROR(ROUNDUP((IF(ISNUMBER($C466),$C466,DATEVALUE($C466))-IF(ISNUMBER($B466),$B466,DATEVALUE($B466)))/7,0),""))</f>
        <v/>
      </c>
      <c r="W466" s="351">
        <f>IF($U466="Subscription","",$Q466-$S466)</f>
        <v/>
      </c>
      <c r="X466" s="384">
        <f>IF(OR($A466="",$U466="Subscription",$J466="",$I466="",$J466=0,$I466=0,$I466&gt;$J466),"",$J466-$I466)</f>
        <v/>
      </c>
      <c r="Y466" s="381">
        <f>IF(OR($A466="",$U466="Subscription",$J466="",$J466=0,$X466=""),"",$X466/$J466)</f>
        <v/>
      </c>
    </row>
    <row r="467" ht="21" customHeight="1" s="270">
      <c r="A467" s="297" t="n"/>
      <c r="B467" s="298" t="n"/>
      <c r="C467" s="298" t="n"/>
      <c r="D467" s="297" t="n"/>
      <c r="E467" s="349" t="n"/>
      <c r="F467" s="349" t="n"/>
      <c r="G467" s="349" t="n"/>
      <c r="H467" s="349" t="n"/>
      <c r="I467" s="382" t="n"/>
      <c r="J467" s="383" t="n"/>
      <c r="K467" s="351" t="n"/>
      <c r="L467" s="296" t="n"/>
      <c r="M467" s="349" t="n"/>
      <c r="N467" s="349">
        <f>IF($A467="","",IF(OR(LOWER($D467&amp;"")="n/a",ISNUMBER(SEARCH("subscription",LOWER($A467&amp;" "&amp;$M467&amp;""))),ISNUMBER(SEARCH("membership",LOWER($A467&amp;" "&amp;$M467&amp;"")))),"",IF($G467="","",IF(ISNUMBER(SEARCH("non",LOWER($E467&amp;""))),$G467*0.85,$G467))))</f>
        <v/>
      </c>
      <c r="O467" s="349">
        <f>IF($A467="","",IF(OR(LOWER($D467&amp;"")="n/a",ISNUMBER(SEARCH("subscription",LOWER($A467&amp;" "&amp;$M467&amp;""))),ISNUMBER(SEARCH("membership",LOWER($A467&amp;" "&amp;$M467&amp;"")))),"",IF(OR($N467="",$I467="",$I467=0),"",$N467/$I467)))</f>
        <v/>
      </c>
      <c r="P467" s="349">
        <f>IF($A467="","",IF(OR(LOWER($D467&amp;"")="n/a",ISNUMBER(SEARCH("subscription",LOWER($A467&amp;" "&amp;$M467&amp;""))),ISNUMBER(SEARCH("membership",LOWER($A467&amp;" "&amp;$M467&amp;"")))),"",IF(LOWER($L467&amp;"")="yes",0,IF($K467&lt;&gt;"",$K467,IF($O467&lt;&gt;"",$O467,"")))))</f>
        <v/>
      </c>
      <c r="Q467" s="351">
        <f>IF($A467="","",IF($U467="Subscription","",IF($U467="Profit",$P467-$H467,0)))</f>
        <v/>
      </c>
      <c r="R467" s="349">
        <f>IF($A467="","",IF($U467="Subscription","",IF($U467="Draw",$H467,0)))</f>
        <v/>
      </c>
      <c r="S467" s="349">
        <f>IF($A467="","",IF($U467="Subscription","",IF($U467="Disqualified",$H467,0)))</f>
        <v/>
      </c>
      <c r="T467" s="380">
        <f>IF($A467="","",IF($U467="Subscription","",IF($H467=0,IF($U467="Profit","N/A",0),IF($U467="Profit",$Q467/$H467,IF($U467="Disqualified",-1,0)))))</f>
        <v/>
      </c>
      <c r="U467" s="351">
        <f>IF($A467="","",IF(OR(LOWER($D467&amp;"")="n/a",ISNUMBER(SEARCH("subscription",LOWER($A467&amp;" "&amp;$M467&amp;""))),ISNUMBER(SEARCH("membership",LOWER($A467&amp;" "&amp;$M467&amp;"")))),"Subscription",IF(LOWER($L467&amp;"")="yes","Disqualified",IF($P467&gt;$H467,"Profit","Draw"))))</f>
        <v/>
      </c>
      <c r="V467" s="383">
        <f>IF(OR($A467="",$B467="",$C467="",$U467="Subscription"),"",IFERROR(ROUNDUP((IF(ISNUMBER($C467),$C467,DATEVALUE($C467))-IF(ISNUMBER($B467),$B467,DATEVALUE($B467)))/7,0),""))</f>
        <v/>
      </c>
      <c r="W467" s="351">
        <f>IF($U467="Subscription","",$Q467-$S467)</f>
        <v/>
      </c>
      <c r="X467" s="384">
        <f>IF(OR($A467="",$U467="Subscription",$J467="",$I467="",$J467=0,$I467=0,$I467&gt;$J467),"",$J467-$I467)</f>
        <v/>
      </c>
      <c r="Y467" s="381">
        <f>IF(OR($A467="",$U467="Subscription",$J467="",$J467=0,$X467=""),"",$X467/$J467)</f>
        <v/>
      </c>
    </row>
    <row r="468" ht="21" customHeight="1" s="270">
      <c r="A468" s="297" t="n"/>
      <c r="B468" s="298" t="n"/>
      <c r="C468" s="298" t="n"/>
      <c r="D468" s="297" t="n"/>
      <c r="E468" s="349" t="n"/>
      <c r="F468" s="349" t="n"/>
      <c r="G468" s="349" t="n"/>
      <c r="H468" s="349" t="n"/>
      <c r="I468" s="382" t="n"/>
      <c r="J468" s="383" t="n"/>
      <c r="K468" s="351" t="n"/>
      <c r="L468" s="296" t="n"/>
      <c r="M468" s="349" t="n"/>
      <c r="N468" s="349">
        <f>IF($A468="","",IF(OR(LOWER($D468&amp;"")="n/a",ISNUMBER(SEARCH("subscription",LOWER($A468&amp;" "&amp;$M468&amp;""))),ISNUMBER(SEARCH("membership",LOWER($A468&amp;" "&amp;$M468&amp;"")))),"",IF($G468="","",IF(ISNUMBER(SEARCH("non",LOWER($E468&amp;""))),$G468*0.85,$G468))))</f>
        <v/>
      </c>
      <c r="O468" s="349">
        <f>IF($A468="","",IF(OR(LOWER($D468&amp;"")="n/a",ISNUMBER(SEARCH("subscription",LOWER($A468&amp;" "&amp;$M468&amp;""))),ISNUMBER(SEARCH("membership",LOWER($A468&amp;" "&amp;$M468&amp;"")))),"",IF(OR($N468="",$I468="",$I468=0),"",$N468/$I468)))</f>
        <v/>
      </c>
      <c r="P468" s="349">
        <f>IF($A468="","",IF(OR(LOWER($D468&amp;"")="n/a",ISNUMBER(SEARCH("subscription",LOWER($A468&amp;" "&amp;$M468&amp;""))),ISNUMBER(SEARCH("membership",LOWER($A468&amp;" "&amp;$M468&amp;"")))),"",IF(LOWER($L468&amp;"")="yes",0,IF($K468&lt;&gt;"",$K468,IF($O468&lt;&gt;"",$O468,"")))))</f>
        <v/>
      </c>
      <c r="Q468" s="351">
        <f>IF($A468="","",IF($U468="Subscription","",IF($U468="Profit",$P468-$H468,0)))</f>
        <v/>
      </c>
      <c r="R468" s="349">
        <f>IF($A468="","",IF($U468="Subscription","",IF($U468="Draw",$H468,0)))</f>
        <v/>
      </c>
      <c r="S468" s="349">
        <f>IF($A468="","",IF($U468="Subscription","",IF($U468="Disqualified",$H468,0)))</f>
        <v/>
      </c>
      <c r="T468" s="380">
        <f>IF($A468="","",IF($U468="Subscription","",IF($H468=0,IF($U468="Profit","N/A",0),IF($U468="Profit",$Q468/$H468,IF($U468="Disqualified",-1,0)))))</f>
        <v/>
      </c>
      <c r="U468" s="351">
        <f>IF($A468="","",IF(OR(LOWER($D468&amp;"")="n/a",ISNUMBER(SEARCH("subscription",LOWER($A468&amp;" "&amp;$M468&amp;""))),ISNUMBER(SEARCH("membership",LOWER($A468&amp;" "&amp;$M468&amp;"")))),"Subscription",IF(LOWER($L468&amp;"")="yes","Disqualified",IF($P468&gt;$H468,"Profit","Draw"))))</f>
        <v/>
      </c>
      <c r="V468" s="383">
        <f>IF(OR($A468="",$B468="",$C468="",$U468="Subscription"),"",IFERROR(ROUNDUP((IF(ISNUMBER($C468),$C468,DATEVALUE($C468))-IF(ISNUMBER($B468),$B468,DATEVALUE($B468)))/7,0),""))</f>
        <v/>
      </c>
      <c r="W468" s="351">
        <f>IF($U468="Subscription","",$Q468-$S468)</f>
        <v/>
      </c>
      <c r="X468" s="384">
        <f>IF(OR($A468="",$U468="Subscription",$J468="",$I468="",$J468=0,$I468=0,$I468&gt;$J468),"",$J468-$I468)</f>
        <v/>
      </c>
      <c r="Y468" s="381">
        <f>IF(OR($A468="",$U468="Subscription",$J468="",$J468=0,$X468=""),"",$X468/$J468)</f>
        <v/>
      </c>
    </row>
    <row r="469" ht="21" customHeight="1" s="270">
      <c r="A469" s="297" t="n"/>
      <c r="B469" s="298" t="n"/>
      <c r="C469" s="298" t="n"/>
      <c r="D469" s="297" t="n"/>
      <c r="E469" s="349" t="n"/>
      <c r="F469" s="349" t="n"/>
      <c r="G469" s="349" t="n"/>
      <c r="H469" s="349" t="n"/>
      <c r="I469" s="382" t="n"/>
      <c r="J469" s="383" t="n"/>
      <c r="K469" s="351" t="n"/>
      <c r="L469" s="296" t="n"/>
      <c r="M469" s="349" t="n"/>
      <c r="N469" s="349">
        <f>IF($A469="","",IF(OR(LOWER($D469&amp;"")="n/a",ISNUMBER(SEARCH("subscription",LOWER($A469&amp;" "&amp;$M469&amp;""))),ISNUMBER(SEARCH("membership",LOWER($A469&amp;" "&amp;$M469&amp;"")))),"",IF($G469="","",IF(ISNUMBER(SEARCH("non",LOWER($E469&amp;""))),$G469*0.85,$G469))))</f>
        <v/>
      </c>
      <c r="O469" s="349">
        <f>IF($A469="","",IF(OR(LOWER($D469&amp;"")="n/a",ISNUMBER(SEARCH("subscription",LOWER($A469&amp;" "&amp;$M469&amp;""))),ISNUMBER(SEARCH("membership",LOWER($A469&amp;" "&amp;$M469&amp;"")))),"",IF(OR($N469="",$I469="",$I469=0),"",$N469/$I469)))</f>
        <v/>
      </c>
      <c r="P469" s="349">
        <f>IF($A469="","",IF(OR(LOWER($D469&amp;"")="n/a",ISNUMBER(SEARCH("subscription",LOWER($A469&amp;" "&amp;$M469&amp;""))),ISNUMBER(SEARCH("membership",LOWER($A469&amp;" "&amp;$M469&amp;"")))),"",IF(LOWER($L469&amp;"")="yes",0,IF($K469&lt;&gt;"",$K469,IF($O469&lt;&gt;"",$O469,"")))))</f>
        <v/>
      </c>
      <c r="Q469" s="351">
        <f>IF($A469="","",IF($U469="Subscription","",IF($U469="Profit",$P469-$H469,0)))</f>
        <v/>
      </c>
      <c r="R469" s="349">
        <f>IF($A469="","",IF($U469="Subscription","",IF($U469="Draw",$H469,0)))</f>
        <v/>
      </c>
      <c r="S469" s="349">
        <f>IF($A469="","",IF($U469="Subscription","",IF($U469="Disqualified",$H469,0)))</f>
        <v/>
      </c>
      <c r="T469" s="380">
        <f>IF($A469="","",IF($U469="Subscription","",IF($H469=0,IF($U469="Profit","N/A",0),IF($U469="Profit",$Q469/$H469,IF($U469="Disqualified",-1,0)))))</f>
        <v/>
      </c>
      <c r="U469" s="351">
        <f>IF($A469="","",IF(OR(LOWER($D469&amp;"")="n/a",ISNUMBER(SEARCH("subscription",LOWER($A469&amp;" "&amp;$M469&amp;""))),ISNUMBER(SEARCH("membership",LOWER($A469&amp;" "&amp;$M469&amp;"")))),"Subscription",IF(LOWER($L469&amp;"")="yes","Disqualified",IF($P469&gt;$H469,"Profit","Draw"))))</f>
        <v/>
      </c>
      <c r="V469" s="383">
        <f>IF(OR($A469="",$B469="",$C469="",$U469="Subscription"),"",IFERROR(ROUNDUP((IF(ISNUMBER($C469),$C469,DATEVALUE($C469))-IF(ISNUMBER($B469),$B469,DATEVALUE($B469)))/7,0),""))</f>
        <v/>
      </c>
      <c r="W469" s="351">
        <f>IF($U469="Subscription","",$Q469-$S469)</f>
        <v/>
      </c>
      <c r="X469" s="384">
        <f>IF(OR($A469="",$U469="Subscription",$J469="",$I469="",$J469=0,$I469=0,$I469&gt;$J469),"",$J469-$I469)</f>
        <v/>
      </c>
      <c r="Y469" s="381">
        <f>IF(OR($A469="",$U469="Subscription",$J469="",$J469=0,$X469=""),"",$X469/$J469)</f>
        <v/>
      </c>
    </row>
    <row r="470" ht="21" customHeight="1" s="270">
      <c r="A470" s="297" t="n"/>
      <c r="B470" s="298" t="n"/>
      <c r="C470" s="298" t="n"/>
      <c r="D470" s="297" t="n"/>
      <c r="E470" s="349" t="n"/>
      <c r="F470" s="349" t="n"/>
      <c r="G470" s="349" t="n"/>
      <c r="H470" s="349" t="n"/>
      <c r="I470" s="382" t="n"/>
      <c r="J470" s="383" t="n"/>
      <c r="K470" s="351" t="n"/>
      <c r="L470" s="296" t="n"/>
      <c r="M470" s="349" t="n"/>
      <c r="N470" s="349">
        <f>IF($A470="","",IF(OR(LOWER($D470&amp;"")="n/a",ISNUMBER(SEARCH("subscription",LOWER($A470&amp;" "&amp;$M470&amp;""))),ISNUMBER(SEARCH("membership",LOWER($A470&amp;" "&amp;$M470&amp;"")))),"",IF($G470="","",IF(ISNUMBER(SEARCH("non",LOWER($E470&amp;""))),$G470*0.85,$G470))))</f>
        <v/>
      </c>
      <c r="O470" s="349">
        <f>IF($A470="","",IF(OR(LOWER($D470&amp;"")="n/a",ISNUMBER(SEARCH("subscription",LOWER($A470&amp;" "&amp;$M470&amp;""))),ISNUMBER(SEARCH("membership",LOWER($A470&amp;" "&amp;$M470&amp;"")))),"",IF(OR($N470="",$I470="",$I470=0),"",$N470/$I470)))</f>
        <v/>
      </c>
      <c r="P470" s="349">
        <f>IF($A470="","",IF(OR(LOWER($D470&amp;"")="n/a",ISNUMBER(SEARCH("subscription",LOWER($A470&amp;" "&amp;$M470&amp;""))),ISNUMBER(SEARCH("membership",LOWER($A470&amp;" "&amp;$M470&amp;"")))),"",IF(LOWER($L470&amp;"")="yes",0,IF($K470&lt;&gt;"",$K470,IF($O470&lt;&gt;"",$O470,"")))))</f>
        <v/>
      </c>
      <c r="Q470" s="351">
        <f>IF($A470="","",IF($U470="Subscription","",IF($U470="Profit",$P470-$H470,0)))</f>
        <v/>
      </c>
      <c r="R470" s="349">
        <f>IF($A470="","",IF($U470="Subscription","",IF($U470="Draw",$H470,0)))</f>
        <v/>
      </c>
      <c r="S470" s="349">
        <f>IF($A470="","",IF($U470="Subscription","",IF($U470="Disqualified",$H470,0)))</f>
        <v/>
      </c>
      <c r="T470" s="380">
        <f>IF($A470="","",IF($U470="Subscription","",IF($H470=0,IF($U470="Profit","N/A",0),IF($U470="Profit",$Q470/$H470,IF($U470="Disqualified",-1,0)))))</f>
        <v/>
      </c>
      <c r="U470" s="351">
        <f>IF($A470="","",IF(OR(LOWER($D470&amp;"")="n/a",ISNUMBER(SEARCH("subscription",LOWER($A470&amp;" "&amp;$M470&amp;""))),ISNUMBER(SEARCH("membership",LOWER($A470&amp;" "&amp;$M470&amp;"")))),"Subscription",IF(LOWER($L470&amp;"")="yes","Disqualified",IF($P470&gt;$H470,"Profit","Draw"))))</f>
        <v/>
      </c>
      <c r="V470" s="383">
        <f>IF(OR($A470="",$B470="",$C470="",$U470="Subscription"),"",IFERROR(ROUNDUP((IF(ISNUMBER($C470),$C470,DATEVALUE($C470))-IF(ISNUMBER($B470),$B470,DATEVALUE($B470)))/7,0),""))</f>
        <v/>
      </c>
      <c r="W470" s="351">
        <f>IF($U470="Subscription","",$Q470-$S470)</f>
        <v/>
      </c>
      <c r="X470" s="384">
        <f>IF(OR($A470="",$U470="Subscription",$J470="",$I470="",$J470=0,$I470=0,$I470&gt;$J470),"",$J470-$I470)</f>
        <v/>
      </c>
      <c r="Y470" s="381">
        <f>IF(OR($A470="",$U470="Subscription",$J470="",$J470=0,$X470=""),"",$X470/$J470)</f>
        <v/>
      </c>
    </row>
    <row r="471" ht="21" customHeight="1" s="270">
      <c r="A471" s="297" t="n"/>
      <c r="B471" s="298" t="n"/>
      <c r="C471" s="298" t="n"/>
      <c r="D471" s="297" t="n"/>
      <c r="E471" s="349" t="n"/>
      <c r="F471" s="349" t="n"/>
      <c r="G471" s="349" t="n"/>
      <c r="H471" s="349" t="n"/>
      <c r="I471" s="382" t="n"/>
      <c r="J471" s="383" t="n"/>
      <c r="K471" s="351" t="n"/>
      <c r="L471" s="296" t="n"/>
      <c r="M471" s="349" t="n"/>
      <c r="N471" s="349">
        <f>IF($A471="","",IF(OR(LOWER($D471&amp;"")="n/a",ISNUMBER(SEARCH("subscription",LOWER($A471&amp;" "&amp;$M471&amp;""))),ISNUMBER(SEARCH("membership",LOWER($A471&amp;" "&amp;$M471&amp;"")))),"",IF($G471="","",IF(ISNUMBER(SEARCH("non",LOWER($E471&amp;""))),$G471*0.85,$G471))))</f>
        <v/>
      </c>
      <c r="O471" s="349">
        <f>IF($A471="","",IF(OR(LOWER($D471&amp;"")="n/a",ISNUMBER(SEARCH("subscription",LOWER($A471&amp;" "&amp;$M471&amp;""))),ISNUMBER(SEARCH("membership",LOWER($A471&amp;" "&amp;$M471&amp;"")))),"",IF(OR($N471="",$I471="",$I471=0),"",$N471/$I471)))</f>
        <v/>
      </c>
      <c r="P471" s="349">
        <f>IF($A471="","",IF(OR(LOWER($D471&amp;"")="n/a",ISNUMBER(SEARCH("subscription",LOWER($A471&amp;" "&amp;$M471&amp;""))),ISNUMBER(SEARCH("membership",LOWER($A471&amp;" "&amp;$M471&amp;"")))),"",IF(LOWER($L471&amp;"")="yes",0,IF($K471&lt;&gt;"",$K471,IF($O471&lt;&gt;"",$O471,"")))))</f>
        <v/>
      </c>
      <c r="Q471" s="351">
        <f>IF($A471="","",IF($U471="Subscription","",IF($U471="Profit",$P471-$H471,0)))</f>
        <v/>
      </c>
      <c r="R471" s="349">
        <f>IF($A471="","",IF($U471="Subscription","",IF($U471="Draw",$H471,0)))</f>
        <v/>
      </c>
      <c r="S471" s="349">
        <f>IF($A471="","",IF($U471="Subscription","",IF($U471="Disqualified",$H471,0)))</f>
        <v/>
      </c>
      <c r="T471" s="380">
        <f>IF($A471="","",IF($U471="Subscription","",IF($H471=0,IF($U471="Profit","N/A",0),IF($U471="Profit",$Q471/$H471,IF($U471="Disqualified",-1,0)))))</f>
        <v/>
      </c>
      <c r="U471" s="351">
        <f>IF($A471="","",IF(OR(LOWER($D471&amp;"")="n/a",ISNUMBER(SEARCH("subscription",LOWER($A471&amp;" "&amp;$M471&amp;""))),ISNUMBER(SEARCH("membership",LOWER($A471&amp;" "&amp;$M471&amp;"")))),"Subscription",IF(LOWER($L471&amp;"")="yes","Disqualified",IF($P471&gt;$H471,"Profit","Draw"))))</f>
        <v/>
      </c>
      <c r="V471" s="383">
        <f>IF(OR($A471="",$B471="",$C471="",$U471="Subscription"),"",IFERROR(ROUNDUP((IF(ISNUMBER($C471),$C471,DATEVALUE($C471))-IF(ISNUMBER($B471),$B471,DATEVALUE($B471)))/7,0),""))</f>
        <v/>
      </c>
      <c r="W471" s="351">
        <f>IF($U471="Subscription","",$Q471-$S471)</f>
        <v/>
      </c>
      <c r="X471" s="384">
        <f>IF(OR($A471="",$U471="Subscription",$J471="",$I471="",$J471=0,$I471=0,$I471&gt;$J471),"",$J471-$I471)</f>
        <v/>
      </c>
      <c r="Y471" s="381">
        <f>IF(OR($A471="",$U471="Subscription",$J471="",$J471=0,$X471=""),"",$X471/$J471)</f>
        <v/>
      </c>
    </row>
    <row r="472" ht="21" customHeight="1" s="270">
      <c r="A472" s="297" t="n"/>
      <c r="B472" s="298" t="n"/>
      <c r="C472" s="298" t="n"/>
      <c r="D472" s="297" t="n"/>
      <c r="E472" s="349" t="n"/>
      <c r="F472" s="349" t="n"/>
      <c r="G472" s="349" t="n"/>
      <c r="H472" s="349" t="n"/>
      <c r="I472" s="382" t="n"/>
      <c r="J472" s="383" t="n"/>
      <c r="K472" s="351" t="n"/>
      <c r="L472" s="296" t="n"/>
      <c r="M472" s="349" t="n"/>
      <c r="N472" s="349">
        <f>IF($A472="","",IF(OR(LOWER($D472&amp;"")="n/a",ISNUMBER(SEARCH("subscription",LOWER($A472&amp;" "&amp;$M472&amp;""))),ISNUMBER(SEARCH("membership",LOWER($A472&amp;" "&amp;$M472&amp;"")))),"",IF($G472="","",IF(ISNUMBER(SEARCH("non",LOWER($E472&amp;""))),$G472*0.85,$G472))))</f>
        <v/>
      </c>
      <c r="O472" s="349">
        <f>IF($A472="","",IF(OR(LOWER($D472&amp;"")="n/a",ISNUMBER(SEARCH("subscription",LOWER($A472&amp;" "&amp;$M472&amp;""))),ISNUMBER(SEARCH("membership",LOWER($A472&amp;" "&amp;$M472&amp;"")))),"",IF(OR($N472="",$I472="",$I472=0),"",$N472/$I472)))</f>
        <v/>
      </c>
      <c r="P472" s="349">
        <f>IF($A472="","",IF(OR(LOWER($D472&amp;"")="n/a",ISNUMBER(SEARCH("subscription",LOWER($A472&amp;" "&amp;$M472&amp;""))),ISNUMBER(SEARCH("membership",LOWER($A472&amp;" "&amp;$M472&amp;"")))),"",IF(LOWER($L472&amp;"")="yes",0,IF($K472&lt;&gt;"",$K472,IF($O472&lt;&gt;"",$O472,"")))))</f>
        <v/>
      </c>
      <c r="Q472" s="351">
        <f>IF($A472="","",IF($U472="Subscription","",IF($U472="Profit",$P472-$H472,0)))</f>
        <v/>
      </c>
      <c r="R472" s="349">
        <f>IF($A472="","",IF($U472="Subscription","",IF($U472="Draw",$H472,0)))</f>
        <v/>
      </c>
      <c r="S472" s="349">
        <f>IF($A472="","",IF($U472="Subscription","",IF($U472="Disqualified",$H472,0)))</f>
        <v/>
      </c>
      <c r="T472" s="380">
        <f>IF($A472="","",IF($U472="Subscription","",IF($H472=0,IF($U472="Profit","N/A",0),IF($U472="Profit",$Q472/$H472,IF($U472="Disqualified",-1,0)))))</f>
        <v/>
      </c>
      <c r="U472" s="351">
        <f>IF($A472="","",IF(OR(LOWER($D472&amp;"")="n/a",ISNUMBER(SEARCH("subscription",LOWER($A472&amp;" "&amp;$M472&amp;""))),ISNUMBER(SEARCH("membership",LOWER($A472&amp;" "&amp;$M472&amp;"")))),"Subscription",IF(LOWER($L472&amp;"")="yes","Disqualified",IF($P472&gt;$H472,"Profit","Draw"))))</f>
        <v/>
      </c>
      <c r="V472" s="383">
        <f>IF(OR($A472="",$B472="",$C472="",$U472="Subscription"),"",IFERROR(ROUNDUP((IF(ISNUMBER($C472),$C472,DATEVALUE($C472))-IF(ISNUMBER($B472),$B472,DATEVALUE($B472)))/7,0),""))</f>
        <v/>
      </c>
      <c r="W472" s="351">
        <f>IF($U472="Subscription","",$Q472-$S472)</f>
        <v/>
      </c>
      <c r="X472" s="384">
        <f>IF(OR($A472="",$U472="Subscription",$J472="",$I472="",$J472=0,$I472=0,$I472&gt;$J472),"",$J472-$I472)</f>
        <v/>
      </c>
      <c r="Y472" s="381">
        <f>IF(OR($A472="",$U472="Subscription",$J472="",$J472=0,$X472=""),"",$X472/$J472)</f>
        <v/>
      </c>
    </row>
    <row r="473" ht="21" customHeight="1" s="270">
      <c r="A473" s="297" t="n"/>
      <c r="B473" s="298" t="n"/>
      <c r="C473" s="298" t="n"/>
      <c r="D473" s="297" t="n"/>
      <c r="E473" s="349" t="n"/>
      <c r="F473" s="349" t="n"/>
      <c r="G473" s="349" t="n"/>
      <c r="H473" s="349" t="n"/>
      <c r="I473" s="382" t="n"/>
      <c r="J473" s="383" t="n"/>
      <c r="K473" s="351" t="n"/>
      <c r="L473" s="296" t="n"/>
      <c r="M473" s="349" t="n"/>
      <c r="N473" s="349">
        <f>IF($A473="","",IF(OR(LOWER($D473&amp;"")="n/a",ISNUMBER(SEARCH("subscription",LOWER($A473&amp;" "&amp;$M473&amp;""))),ISNUMBER(SEARCH("membership",LOWER($A473&amp;" "&amp;$M473&amp;"")))),"",IF($G473="","",IF(ISNUMBER(SEARCH("non",LOWER($E473&amp;""))),$G473*0.85,$G473))))</f>
        <v/>
      </c>
      <c r="O473" s="349">
        <f>IF($A473="","",IF(OR(LOWER($D473&amp;"")="n/a",ISNUMBER(SEARCH("subscription",LOWER($A473&amp;" "&amp;$M473&amp;""))),ISNUMBER(SEARCH("membership",LOWER($A473&amp;" "&amp;$M473&amp;"")))),"",IF(OR($N473="",$I473="",$I473=0),"",$N473/$I473)))</f>
        <v/>
      </c>
      <c r="P473" s="349">
        <f>IF($A473="","",IF(OR(LOWER($D473&amp;"")="n/a",ISNUMBER(SEARCH("subscription",LOWER($A473&amp;" "&amp;$M473&amp;""))),ISNUMBER(SEARCH("membership",LOWER($A473&amp;" "&amp;$M473&amp;"")))),"",IF(LOWER($L473&amp;"")="yes",0,IF($K473&lt;&gt;"",$K473,IF($O473&lt;&gt;"",$O473,"")))))</f>
        <v/>
      </c>
      <c r="Q473" s="351">
        <f>IF($A473="","",IF($U473="Subscription","",IF($U473="Profit",$P473-$H473,0)))</f>
        <v/>
      </c>
      <c r="R473" s="349">
        <f>IF($A473="","",IF($U473="Subscription","",IF($U473="Draw",$H473,0)))</f>
        <v/>
      </c>
      <c r="S473" s="349">
        <f>IF($A473="","",IF($U473="Subscription","",IF($U473="Disqualified",$H473,0)))</f>
        <v/>
      </c>
      <c r="T473" s="380">
        <f>IF($A473="","",IF($U473="Subscription","",IF($H473=0,IF($U473="Profit","N/A",0),IF($U473="Profit",$Q473/$H473,IF($U473="Disqualified",-1,0)))))</f>
        <v/>
      </c>
      <c r="U473" s="351">
        <f>IF($A473="","",IF(OR(LOWER($D473&amp;"")="n/a",ISNUMBER(SEARCH("subscription",LOWER($A473&amp;" "&amp;$M473&amp;""))),ISNUMBER(SEARCH("membership",LOWER($A473&amp;" "&amp;$M473&amp;"")))),"Subscription",IF(LOWER($L473&amp;"")="yes","Disqualified",IF($P473&gt;$H473,"Profit","Draw"))))</f>
        <v/>
      </c>
      <c r="V473" s="383">
        <f>IF(OR($A473="",$B473="",$C473="",$U473="Subscription"),"",IFERROR(ROUNDUP((IF(ISNUMBER($C473),$C473,DATEVALUE($C473))-IF(ISNUMBER($B473),$B473,DATEVALUE($B473)))/7,0),""))</f>
        <v/>
      </c>
      <c r="W473" s="351">
        <f>IF($U473="Subscription","",$Q473-$S473)</f>
        <v/>
      </c>
      <c r="X473" s="384">
        <f>IF(OR($A473="",$U473="Subscription",$J473="",$I473="",$J473=0,$I473=0,$I473&gt;$J473),"",$J473-$I473)</f>
        <v/>
      </c>
      <c r="Y473" s="381">
        <f>IF(OR($A473="",$U473="Subscription",$J473="",$J473=0,$X473=""),"",$X473/$J473)</f>
        <v/>
      </c>
    </row>
    <row r="474" ht="21" customHeight="1" s="270">
      <c r="A474" s="297" t="n"/>
      <c r="B474" s="298" t="n"/>
      <c r="C474" s="298" t="n"/>
      <c r="D474" s="297" t="n"/>
      <c r="E474" s="349" t="n"/>
      <c r="F474" s="349" t="n"/>
      <c r="G474" s="349" t="n"/>
      <c r="H474" s="349" t="n"/>
      <c r="I474" s="382" t="n"/>
      <c r="J474" s="383" t="n"/>
      <c r="K474" s="351" t="n"/>
      <c r="L474" s="296" t="n"/>
      <c r="M474" s="349" t="n"/>
      <c r="N474" s="349">
        <f>IF($A474="","",IF(OR(LOWER($D474&amp;"")="n/a",ISNUMBER(SEARCH("subscription",LOWER($A474&amp;" "&amp;$M474&amp;""))),ISNUMBER(SEARCH("membership",LOWER($A474&amp;" "&amp;$M474&amp;"")))),"",IF($G474="","",IF(ISNUMBER(SEARCH("non",LOWER($E474&amp;""))),$G474*0.85,$G474))))</f>
        <v/>
      </c>
      <c r="O474" s="349">
        <f>IF($A474="","",IF(OR(LOWER($D474&amp;"")="n/a",ISNUMBER(SEARCH("subscription",LOWER($A474&amp;" "&amp;$M474&amp;""))),ISNUMBER(SEARCH("membership",LOWER($A474&amp;" "&amp;$M474&amp;"")))),"",IF(OR($N474="",$I474="",$I474=0),"",$N474/$I474)))</f>
        <v/>
      </c>
      <c r="P474" s="349">
        <f>IF($A474="","",IF(OR(LOWER($D474&amp;"")="n/a",ISNUMBER(SEARCH("subscription",LOWER($A474&amp;" "&amp;$M474&amp;""))),ISNUMBER(SEARCH("membership",LOWER($A474&amp;" "&amp;$M474&amp;"")))),"",IF(LOWER($L474&amp;"")="yes",0,IF($K474&lt;&gt;"",$K474,IF($O474&lt;&gt;"",$O474,"")))))</f>
        <v/>
      </c>
      <c r="Q474" s="351">
        <f>IF($A474="","",IF($U474="Subscription","",IF($U474="Profit",$P474-$H474,0)))</f>
        <v/>
      </c>
      <c r="R474" s="349">
        <f>IF($A474="","",IF($U474="Subscription","",IF($U474="Draw",$H474,0)))</f>
        <v/>
      </c>
      <c r="S474" s="349">
        <f>IF($A474="","",IF($U474="Subscription","",IF($U474="Disqualified",$H474,0)))</f>
        <v/>
      </c>
      <c r="T474" s="380">
        <f>IF($A474="","",IF($U474="Subscription","",IF($H474=0,IF($U474="Profit","N/A",0),IF($U474="Profit",$Q474/$H474,IF($U474="Disqualified",-1,0)))))</f>
        <v/>
      </c>
      <c r="U474" s="351">
        <f>IF($A474="","",IF(OR(LOWER($D474&amp;"")="n/a",ISNUMBER(SEARCH("subscription",LOWER($A474&amp;" "&amp;$M474&amp;""))),ISNUMBER(SEARCH("membership",LOWER($A474&amp;" "&amp;$M474&amp;"")))),"Subscription",IF(LOWER($L474&amp;"")="yes","Disqualified",IF($P474&gt;$H474,"Profit","Draw"))))</f>
        <v/>
      </c>
      <c r="V474" s="383">
        <f>IF(OR($A474="",$B474="",$C474="",$U474="Subscription"),"",IFERROR(ROUNDUP((IF(ISNUMBER($C474),$C474,DATEVALUE($C474))-IF(ISNUMBER($B474),$B474,DATEVALUE($B474)))/7,0),""))</f>
        <v/>
      </c>
      <c r="W474" s="351">
        <f>IF($U474="Subscription","",$Q474-$S474)</f>
        <v/>
      </c>
      <c r="X474" s="384">
        <f>IF(OR($A474="",$U474="Subscription",$J474="",$I474="",$J474=0,$I474=0,$I474&gt;$J474),"",$J474-$I474)</f>
        <v/>
      </c>
      <c r="Y474" s="381">
        <f>IF(OR($A474="",$U474="Subscription",$J474="",$J474=0,$X474=""),"",$X474/$J474)</f>
        <v/>
      </c>
    </row>
    <row r="475" ht="21" customHeight="1" s="270">
      <c r="A475" s="297" t="n"/>
      <c r="B475" s="298" t="n"/>
      <c r="C475" s="298" t="n"/>
      <c r="D475" s="297" t="n"/>
      <c r="E475" s="349" t="n"/>
      <c r="F475" s="349" t="n"/>
      <c r="G475" s="349" t="n"/>
      <c r="H475" s="349" t="n"/>
      <c r="I475" s="382" t="n"/>
      <c r="J475" s="383" t="n"/>
      <c r="K475" s="351" t="n"/>
      <c r="L475" s="296" t="n"/>
      <c r="M475" s="349" t="n"/>
      <c r="N475" s="349">
        <f>IF($A475="","",IF(OR(LOWER($D475&amp;"")="n/a",ISNUMBER(SEARCH("subscription",LOWER($A475&amp;" "&amp;$M475&amp;""))),ISNUMBER(SEARCH("membership",LOWER($A475&amp;" "&amp;$M475&amp;"")))),"",IF($G475="","",IF(ISNUMBER(SEARCH("non",LOWER($E475&amp;""))),$G475*0.85,$G475))))</f>
        <v/>
      </c>
      <c r="O475" s="349">
        <f>IF($A475="","",IF(OR(LOWER($D475&amp;"")="n/a",ISNUMBER(SEARCH("subscription",LOWER($A475&amp;" "&amp;$M475&amp;""))),ISNUMBER(SEARCH("membership",LOWER($A475&amp;" "&amp;$M475&amp;"")))),"",IF(OR($N475="",$I475="",$I475=0),"",$N475/$I475)))</f>
        <v/>
      </c>
      <c r="P475" s="349">
        <f>IF($A475="","",IF(OR(LOWER($D475&amp;"")="n/a",ISNUMBER(SEARCH("subscription",LOWER($A475&amp;" "&amp;$M475&amp;""))),ISNUMBER(SEARCH("membership",LOWER($A475&amp;" "&amp;$M475&amp;"")))),"",IF(LOWER($L475&amp;"")="yes",0,IF($K475&lt;&gt;"",$K475,IF($O475&lt;&gt;"",$O475,"")))))</f>
        <v/>
      </c>
      <c r="Q475" s="351">
        <f>IF($A475="","",IF($U475="Subscription","",IF($U475="Profit",$P475-$H475,0)))</f>
        <v/>
      </c>
      <c r="R475" s="349">
        <f>IF($A475="","",IF($U475="Subscription","",IF($U475="Draw",$H475,0)))</f>
        <v/>
      </c>
      <c r="S475" s="349">
        <f>IF($A475="","",IF($U475="Subscription","",IF($U475="Disqualified",$H475,0)))</f>
        <v/>
      </c>
      <c r="T475" s="380">
        <f>IF($A475="","",IF($U475="Subscription","",IF($H475=0,IF($U475="Profit","N/A",0),IF($U475="Profit",$Q475/$H475,IF($U475="Disqualified",-1,0)))))</f>
        <v/>
      </c>
      <c r="U475" s="351">
        <f>IF($A475="","",IF(OR(LOWER($D475&amp;"")="n/a",ISNUMBER(SEARCH("subscription",LOWER($A475&amp;" "&amp;$M475&amp;""))),ISNUMBER(SEARCH("membership",LOWER($A475&amp;" "&amp;$M475&amp;"")))),"Subscription",IF(LOWER($L475&amp;"")="yes","Disqualified",IF($P475&gt;$H475,"Profit","Draw"))))</f>
        <v/>
      </c>
      <c r="V475" s="383">
        <f>IF(OR($A475="",$B475="",$C475="",$U475="Subscription"),"",IFERROR(ROUNDUP((IF(ISNUMBER($C475),$C475,DATEVALUE($C475))-IF(ISNUMBER($B475),$B475,DATEVALUE($B475)))/7,0),""))</f>
        <v/>
      </c>
      <c r="W475" s="351">
        <f>IF($U475="Subscription","",$Q475-$S475)</f>
        <v/>
      </c>
      <c r="X475" s="384">
        <f>IF(OR($A475="",$U475="Subscription",$J475="",$I475="",$J475=0,$I475=0,$I475&gt;$J475),"",$J475-$I475)</f>
        <v/>
      </c>
      <c r="Y475" s="381">
        <f>IF(OR($A475="",$U475="Subscription",$J475="",$J475=0,$X475=""),"",$X475/$J475)</f>
        <v/>
      </c>
    </row>
    <row r="476" ht="21" customHeight="1" s="270">
      <c r="A476" s="297" t="n"/>
      <c r="B476" s="298" t="n"/>
      <c r="C476" s="298" t="n"/>
      <c r="D476" s="297" t="n"/>
      <c r="E476" s="349" t="n"/>
      <c r="F476" s="349" t="n"/>
      <c r="G476" s="349" t="n"/>
      <c r="H476" s="349" t="n"/>
      <c r="I476" s="382" t="n"/>
      <c r="J476" s="383" t="n"/>
      <c r="K476" s="351" t="n"/>
      <c r="L476" s="296" t="n"/>
      <c r="M476" s="349" t="n"/>
      <c r="N476" s="349">
        <f>IF($A476="","",IF(OR(LOWER($D476&amp;"")="n/a",ISNUMBER(SEARCH("subscription",LOWER($A476&amp;" "&amp;$M476&amp;""))),ISNUMBER(SEARCH("membership",LOWER($A476&amp;" "&amp;$M476&amp;"")))),"",IF($G476="","",IF(ISNUMBER(SEARCH("non",LOWER($E476&amp;""))),$G476*0.85,$G476))))</f>
        <v/>
      </c>
      <c r="O476" s="349">
        <f>IF($A476="","",IF(OR(LOWER($D476&amp;"")="n/a",ISNUMBER(SEARCH("subscription",LOWER($A476&amp;" "&amp;$M476&amp;""))),ISNUMBER(SEARCH("membership",LOWER($A476&amp;" "&amp;$M476&amp;"")))),"",IF(OR($N476="",$I476="",$I476=0),"",$N476/$I476)))</f>
        <v/>
      </c>
      <c r="P476" s="349">
        <f>IF($A476="","",IF(OR(LOWER($D476&amp;"")="n/a",ISNUMBER(SEARCH("subscription",LOWER($A476&amp;" "&amp;$M476&amp;""))),ISNUMBER(SEARCH("membership",LOWER($A476&amp;" "&amp;$M476&amp;"")))),"",IF(LOWER($L476&amp;"")="yes",0,IF($K476&lt;&gt;"",$K476,IF($O476&lt;&gt;"",$O476,"")))))</f>
        <v/>
      </c>
      <c r="Q476" s="351">
        <f>IF($A476="","",IF($U476="Subscription","",IF($U476="Profit",$P476-$H476,0)))</f>
        <v/>
      </c>
      <c r="R476" s="349">
        <f>IF($A476="","",IF($U476="Subscription","",IF($U476="Draw",$H476,0)))</f>
        <v/>
      </c>
      <c r="S476" s="349">
        <f>IF($A476="","",IF($U476="Subscription","",IF($U476="Disqualified",$H476,0)))</f>
        <v/>
      </c>
      <c r="T476" s="380">
        <f>IF($A476="","",IF($U476="Subscription","",IF($H476=0,IF($U476="Profit","N/A",0),IF($U476="Profit",$Q476/$H476,IF($U476="Disqualified",-1,0)))))</f>
        <v/>
      </c>
      <c r="U476" s="351">
        <f>IF($A476="","",IF(OR(LOWER($D476&amp;"")="n/a",ISNUMBER(SEARCH("subscription",LOWER($A476&amp;" "&amp;$M476&amp;""))),ISNUMBER(SEARCH("membership",LOWER($A476&amp;" "&amp;$M476&amp;"")))),"Subscription",IF(LOWER($L476&amp;"")="yes","Disqualified",IF($P476&gt;$H476,"Profit","Draw"))))</f>
        <v/>
      </c>
      <c r="V476" s="383">
        <f>IF(OR($A476="",$B476="",$C476="",$U476="Subscription"),"",IFERROR(ROUNDUP((IF(ISNUMBER($C476),$C476,DATEVALUE($C476))-IF(ISNUMBER($B476),$B476,DATEVALUE($B476)))/7,0),""))</f>
        <v/>
      </c>
      <c r="W476" s="351">
        <f>IF($U476="Subscription","",$Q476-$S476)</f>
        <v/>
      </c>
      <c r="X476" s="384">
        <f>IF(OR($A476="",$U476="Subscription",$J476="",$I476="",$J476=0,$I476=0,$I476&gt;$J476),"",$J476-$I476)</f>
        <v/>
      </c>
      <c r="Y476" s="381">
        <f>IF(OR($A476="",$U476="Subscription",$J476="",$J476=0,$X476=""),"",$X476/$J476)</f>
        <v/>
      </c>
    </row>
    <row r="477" ht="21" customHeight="1" s="270">
      <c r="A477" s="297" t="n"/>
      <c r="B477" s="298" t="n"/>
      <c r="C477" s="298" t="n"/>
      <c r="D477" s="297" t="n"/>
      <c r="E477" s="349" t="n"/>
      <c r="F477" s="349" t="n"/>
      <c r="G477" s="349" t="n"/>
      <c r="H477" s="349" t="n"/>
      <c r="I477" s="382" t="n"/>
      <c r="J477" s="383" t="n"/>
      <c r="K477" s="351" t="n"/>
      <c r="L477" s="296" t="n"/>
      <c r="M477" s="349" t="n"/>
      <c r="N477" s="349">
        <f>IF($A477="","",IF(OR(LOWER($D477&amp;"")="n/a",ISNUMBER(SEARCH("subscription",LOWER($A477&amp;" "&amp;$M477&amp;""))),ISNUMBER(SEARCH("membership",LOWER($A477&amp;" "&amp;$M477&amp;"")))),"",IF($G477="","",IF(ISNUMBER(SEARCH("non",LOWER($E477&amp;""))),$G477*0.85,$G477))))</f>
        <v/>
      </c>
      <c r="O477" s="349">
        <f>IF($A477="","",IF(OR(LOWER($D477&amp;"")="n/a",ISNUMBER(SEARCH("subscription",LOWER($A477&amp;" "&amp;$M477&amp;""))),ISNUMBER(SEARCH("membership",LOWER($A477&amp;" "&amp;$M477&amp;"")))),"",IF(OR($N477="",$I477="",$I477=0),"",$N477/$I477)))</f>
        <v/>
      </c>
      <c r="P477" s="349">
        <f>IF($A477="","",IF(OR(LOWER($D477&amp;"")="n/a",ISNUMBER(SEARCH("subscription",LOWER($A477&amp;" "&amp;$M477&amp;""))),ISNUMBER(SEARCH("membership",LOWER($A477&amp;" "&amp;$M477&amp;"")))),"",IF(LOWER($L477&amp;"")="yes",0,IF($K477&lt;&gt;"",$K477,IF($O477&lt;&gt;"",$O477,"")))))</f>
        <v/>
      </c>
      <c r="Q477" s="351">
        <f>IF($A477="","",IF($U477="Subscription","",IF($U477="Profit",$P477-$H477,0)))</f>
        <v/>
      </c>
      <c r="R477" s="349">
        <f>IF($A477="","",IF($U477="Subscription","",IF($U477="Draw",$H477,0)))</f>
        <v/>
      </c>
      <c r="S477" s="349">
        <f>IF($A477="","",IF($U477="Subscription","",IF($U477="Disqualified",$H477,0)))</f>
        <v/>
      </c>
      <c r="T477" s="380">
        <f>IF($A477="","",IF($U477="Subscription","",IF($H477=0,IF($U477="Profit","N/A",0),IF($U477="Profit",$Q477/$H477,IF($U477="Disqualified",-1,0)))))</f>
        <v/>
      </c>
      <c r="U477" s="351">
        <f>IF($A477="","",IF(OR(LOWER($D477&amp;"")="n/a",ISNUMBER(SEARCH("subscription",LOWER($A477&amp;" "&amp;$M477&amp;""))),ISNUMBER(SEARCH("membership",LOWER($A477&amp;" "&amp;$M477&amp;"")))),"Subscription",IF(LOWER($L477&amp;"")="yes","Disqualified",IF($P477&gt;$H477,"Profit","Draw"))))</f>
        <v/>
      </c>
      <c r="V477" s="383">
        <f>IF(OR($A477="",$B477="",$C477="",$U477="Subscription"),"",IFERROR(ROUNDUP((IF(ISNUMBER($C477),$C477,DATEVALUE($C477))-IF(ISNUMBER($B477),$B477,DATEVALUE($B477)))/7,0),""))</f>
        <v/>
      </c>
      <c r="W477" s="351">
        <f>IF($U477="Subscription","",$Q477-$S477)</f>
        <v/>
      </c>
      <c r="X477" s="384">
        <f>IF(OR($A477="",$U477="Subscription",$J477="",$I477="",$J477=0,$I477=0,$I477&gt;$J477),"",$J477-$I477)</f>
        <v/>
      </c>
      <c r="Y477" s="381">
        <f>IF(OR($A477="",$U477="Subscription",$J477="",$J477=0,$X477=""),"",$X477/$J477)</f>
        <v/>
      </c>
    </row>
    <row r="478" ht="21" customHeight="1" s="270">
      <c r="A478" s="297" t="n"/>
      <c r="B478" s="298" t="n"/>
      <c r="C478" s="298" t="n"/>
      <c r="D478" s="297" t="n"/>
      <c r="E478" s="349" t="n"/>
      <c r="F478" s="349" t="n"/>
      <c r="G478" s="349" t="n"/>
      <c r="H478" s="349" t="n"/>
      <c r="I478" s="382" t="n"/>
      <c r="J478" s="383" t="n"/>
      <c r="K478" s="351" t="n"/>
      <c r="L478" s="296" t="n"/>
      <c r="M478" s="349" t="n"/>
      <c r="N478" s="349">
        <f>IF($A478="","",IF(OR(LOWER($D478&amp;"")="n/a",ISNUMBER(SEARCH("subscription",LOWER($A478&amp;" "&amp;$M478&amp;""))),ISNUMBER(SEARCH("membership",LOWER($A478&amp;" "&amp;$M478&amp;"")))),"",IF($G478="","",IF(ISNUMBER(SEARCH("non",LOWER($E478&amp;""))),$G478*0.85,$G478))))</f>
        <v/>
      </c>
      <c r="O478" s="349">
        <f>IF($A478="","",IF(OR(LOWER($D478&amp;"")="n/a",ISNUMBER(SEARCH("subscription",LOWER($A478&amp;" "&amp;$M478&amp;""))),ISNUMBER(SEARCH("membership",LOWER($A478&amp;" "&amp;$M478&amp;"")))),"",IF(OR($N478="",$I478="",$I478=0),"",$N478/$I478)))</f>
        <v/>
      </c>
      <c r="P478" s="349">
        <f>IF($A478="","",IF(OR(LOWER($D478&amp;"")="n/a",ISNUMBER(SEARCH("subscription",LOWER($A478&amp;" "&amp;$M478&amp;""))),ISNUMBER(SEARCH("membership",LOWER($A478&amp;" "&amp;$M478&amp;"")))),"",IF(LOWER($L478&amp;"")="yes",0,IF($K478&lt;&gt;"",$K478,IF($O478&lt;&gt;"",$O478,"")))))</f>
        <v/>
      </c>
      <c r="Q478" s="351">
        <f>IF($A478="","",IF($U478="Subscription","",IF($U478="Profit",$P478-$H478,0)))</f>
        <v/>
      </c>
      <c r="R478" s="349">
        <f>IF($A478="","",IF($U478="Subscription","",IF($U478="Draw",$H478,0)))</f>
        <v/>
      </c>
      <c r="S478" s="349">
        <f>IF($A478="","",IF($U478="Subscription","",IF($U478="Disqualified",$H478,0)))</f>
        <v/>
      </c>
      <c r="T478" s="380">
        <f>IF($A478="","",IF($U478="Subscription","",IF($H478=0,IF($U478="Profit","N/A",0),IF($U478="Profit",$Q478/$H478,IF($U478="Disqualified",-1,0)))))</f>
        <v/>
      </c>
      <c r="U478" s="351">
        <f>IF($A478="","",IF(OR(LOWER($D478&amp;"")="n/a",ISNUMBER(SEARCH("subscription",LOWER($A478&amp;" "&amp;$M478&amp;""))),ISNUMBER(SEARCH("membership",LOWER($A478&amp;" "&amp;$M478&amp;"")))),"Subscription",IF(LOWER($L478&amp;"")="yes","Disqualified",IF($P478&gt;$H478,"Profit","Draw"))))</f>
        <v/>
      </c>
      <c r="V478" s="383">
        <f>IF(OR($A478="",$B478="",$C478="",$U478="Subscription"),"",IFERROR(ROUNDUP((IF(ISNUMBER($C478),$C478,DATEVALUE($C478))-IF(ISNUMBER($B478),$B478,DATEVALUE($B478)))/7,0),""))</f>
        <v/>
      </c>
      <c r="W478" s="351">
        <f>IF($U478="Subscription","",$Q478-$S478)</f>
        <v/>
      </c>
      <c r="X478" s="384">
        <f>IF(OR($A478="",$U478="Subscription",$J478="",$I478="",$J478=0,$I478=0,$I478&gt;$J478),"",$J478-$I478)</f>
        <v/>
      </c>
      <c r="Y478" s="381">
        <f>IF(OR($A478="",$U478="Subscription",$J478="",$J478=0,$X478=""),"",$X478/$J478)</f>
        <v/>
      </c>
    </row>
    <row r="479" ht="21" customHeight="1" s="270">
      <c r="A479" s="297" t="n"/>
      <c r="B479" s="298" t="n"/>
      <c r="C479" s="298" t="n"/>
      <c r="D479" s="297" t="n"/>
      <c r="E479" s="349" t="n"/>
      <c r="F479" s="349" t="n"/>
      <c r="G479" s="349" t="n"/>
      <c r="H479" s="349" t="n"/>
      <c r="I479" s="382" t="n"/>
      <c r="J479" s="383" t="n"/>
      <c r="K479" s="351" t="n"/>
      <c r="L479" s="296" t="n"/>
      <c r="M479" s="349" t="n"/>
      <c r="N479" s="349">
        <f>IF($A479="","",IF(OR(LOWER($D479&amp;"")="n/a",ISNUMBER(SEARCH("subscription",LOWER($A479&amp;" "&amp;$M479&amp;""))),ISNUMBER(SEARCH("membership",LOWER($A479&amp;" "&amp;$M479&amp;"")))),"",IF($G479="","",IF(ISNUMBER(SEARCH("non",LOWER($E479&amp;""))),$G479*0.85,$G479))))</f>
        <v/>
      </c>
      <c r="O479" s="349">
        <f>IF($A479="","",IF(OR(LOWER($D479&amp;"")="n/a",ISNUMBER(SEARCH("subscription",LOWER($A479&amp;" "&amp;$M479&amp;""))),ISNUMBER(SEARCH("membership",LOWER($A479&amp;" "&amp;$M479&amp;"")))),"",IF(OR($N479="",$I479="",$I479=0),"",$N479/$I479)))</f>
        <v/>
      </c>
      <c r="P479" s="349">
        <f>IF($A479="","",IF(OR(LOWER($D479&amp;"")="n/a",ISNUMBER(SEARCH("subscription",LOWER($A479&amp;" "&amp;$M479&amp;""))),ISNUMBER(SEARCH("membership",LOWER($A479&amp;" "&amp;$M479&amp;"")))),"",IF(LOWER($L479&amp;"")="yes",0,IF($K479&lt;&gt;"",$K479,IF($O479&lt;&gt;"",$O479,"")))))</f>
        <v/>
      </c>
      <c r="Q479" s="351">
        <f>IF($A479="","",IF($U479="Subscription","",IF($U479="Profit",$P479-$H479,0)))</f>
        <v/>
      </c>
      <c r="R479" s="349">
        <f>IF($A479="","",IF($U479="Subscription","",IF($U479="Draw",$H479,0)))</f>
        <v/>
      </c>
      <c r="S479" s="349">
        <f>IF($A479="","",IF($U479="Subscription","",IF($U479="Disqualified",$H479,0)))</f>
        <v/>
      </c>
      <c r="T479" s="380">
        <f>IF($A479="","",IF($U479="Subscription","",IF($H479=0,IF($U479="Profit","N/A",0),IF($U479="Profit",$Q479/$H479,IF($U479="Disqualified",-1,0)))))</f>
        <v/>
      </c>
      <c r="U479" s="351">
        <f>IF($A479="","",IF(OR(LOWER($D479&amp;"")="n/a",ISNUMBER(SEARCH("subscription",LOWER($A479&amp;" "&amp;$M479&amp;""))),ISNUMBER(SEARCH("membership",LOWER($A479&amp;" "&amp;$M479&amp;"")))),"Subscription",IF(LOWER($L479&amp;"")="yes","Disqualified",IF($P479&gt;$H479,"Profit","Draw"))))</f>
        <v/>
      </c>
      <c r="V479" s="383">
        <f>IF(OR($A479="",$B479="",$C479="",$U479="Subscription"),"",IFERROR(ROUNDUP((IF(ISNUMBER($C479),$C479,DATEVALUE($C479))-IF(ISNUMBER($B479),$B479,DATEVALUE($B479)))/7,0),""))</f>
        <v/>
      </c>
      <c r="W479" s="351">
        <f>IF($U479="Subscription","",$Q479-$S479)</f>
        <v/>
      </c>
      <c r="X479" s="384">
        <f>IF(OR($A479="",$U479="Subscription",$J479="",$I479="",$J479=0,$I479=0,$I479&gt;$J479),"",$J479-$I479)</f>
        <v/>
      </c>
      <c r="Y479" s="381">
        <f>IF(OR($A479="",$U479="Subscription",$J479="",$J479=0,$X479=""),"",$X479/$J479)</f>
        <v/>
      </c>
    </row>
    <row r="480" ht="21" customHeight="1" s="270">
      <c r="A480" s="297" t="n"/>
      <c r="B480" s="298" t="n"/>
      <c r="C480" s="298" t="n"/>
      <c r="D480" s="297" t="n"/>
      <c r="E480" s="349" t="n"/>
      <c r="F480" s="349" t="n"/>
      <c r="G480" s="349" t="n"/>
      <c r="H480" s="349" t="n"/>
      <c r="I480" s="382" t="n"/>
      <c r="J480" s="383" t="n"/>
      <c r="K480" s="351" t="n"/>
      <c r="L480" s="296" t="n"/>
      <c r="M480" s="349" t="n"/>
      <c r="N480" s="349">
        <f>IF($A480="","",IF(OR(LOWER($D480&amp;"")="n/a",ISNUMBER(SEARCH("subscription",LOWER($A480&amp;" "&amp;$M480&amp;""))),ISNUMBER(SEARCH("membership",LOWER($A480&amp;" "&amp;$M480&amp;"")))),"",IF($G480="","",IF(ISNUMBER(SEARCH("non",LOWER($E480&amp;""))),$G480*0.85,$G480))))</f>
        <v/>
      </c>
      <c r="O480" s="349">
        <f>IF($A480="","",IF(OR(LOWER($D480&amp;"")="n/a",ISNUMBER(SEARCH("subscription",LOWER($A480&amp;" "&amp;$M480&amp;""))),ISNUMBER(SEARCH("membership",LOWER($A480&amp;" "&amp;$M480&amp;"")))),"",IF(OR($N480="",$I480="",$I480=0),"",$N480/$I480)))</f>
        <v/>
      </c>
      <c r="P480" s="349">
        <f>IF($A480="","",IF(OR(LOWER($D480&amp;"")="n/a",ISNUMBER(SEARCH("subscription",LOWER($A480&amp;" "&amp;$M480&amp;""))),ISNUMBER(SEARCH("membership",LOWER($A480&amp;" "&amp;$M480&amp;"")))),"",IF(LOWER($L480&amp;"")="yes",0,IF($K480&lt;&gt;"",$K480,IF($O480&lt;&gt;"",$O480,"")))))</f>
        <v/>
      </c>
      <c r="Q480" s="351">
        <f>IF($A480="","",IF($U480="Subscription","",IF($U480="Profit",$P480-$H480,0)))</f>
        <v/>
      </c>
      <c r="R480" s="349">
        <f>IF($A480="","",IF($U480="Subscription","",IF($U480="Draw",$H480,0)))</f>
        <v/>
      </c>
      <c r="S480" s="349">
        <f>IF($A480="","",IF($U480="Subscription","",IF($U480="Disqualified",$H480,0)))</f>
        <v/>
      </c>
      <c r="T480" s="380">
        <f>IF($A480="","",IF($U480="Subscription","",IF($H480=0,IF($U480="Profit","N/A",0),IF($U480="Profit",$Q480/$H480,IF($U480="Disqualified",-1,0)))))</f>
        <v/>
      </c>
      <c r="U480" s="351">
        <f>IF($A480="","",IF(OR(LOWER($D480&amp;"")="n/a",ISNUMBER(SEARCH("subscription",LOWER($A480&amp;" "&amp;$M480&amp;""))),ISNUMBER(SEARCH("membership",LOWER($A480&amp;" "&amp;$M480&amp;"")))),"Subscription",IF(LOWER($L480&amp;"")="yes","Disqualified",IF($P480&gt;$H480,"Profit","Draw"))))</f>
        <v/>
      </c>
      <c r="V480" s="383">
        <f>IF(OR($A480="",$B480="",$C480="",$U480="Subscription"),"",IFERROR(ROUNDUP((IF(ISNUMBER($C480),$C480,DATEVALUE($C480))-IF(ISNUMBER($B480),$B480,DATEVALUE($B480)))/7,0),""))</f>
        <v/>
      </c>
      <c r="W480" s="351">
        <f>IF($U480="Subscription","",$Q480-$S480)</f>
        <v/>
      </c>
      <c r="X480" s="384">
        <f>IF(OR($A480="",$U480="Subscription",$J480="",$I480="",$J480=0,$I480=0,$I480&gt;$J480),"",$J480-$I480)</f>
        <v/>
      </c>
      <c r="Y480" s="381">
        <f>IF(OR($A480="",$U480="Subscription",$J480="",$J480=0,$X480=""),"",$X480/$J480)</f>
        <v/>
      </c>
    </row>
    <row r="481" ht="21" customHeight="1" s="270">
      <c r="A481" s="297" t="n"/>
      <c r="B481" s="298" t="n"/>
      <c r="C481" s="298" t="n"/>
      <c r="D481" s="297" t="n"/>
      <c r="E481" s="349" t="n"/>
      <c r="F481" s="349" t="n"/>
      <c r="G481" s="349" t="n"/>
      <c r="H481" s="349" t="n"/>
      <c r="I481" s="382" t="n"/>
      <c r="J481" s="383" t="n"/>
      <c r="K481" s="351" t="n"/>
      <c r="L481" s="296" t="n"/>
      <c r="M481" s="349" t="n"/>
      <c r="N481" s="349">
        <f>IF($A481="","",IF(OR(LOWER($D481&amp;"")="n/a",ISNUMBER(SEARCH("subscription",LOWER($A481&amp;" "&amp;$M481&amp;""))),ISNUMBER(SEARCH("membership",LOWER($A481&amp;" "&amp;$M481&amp;"")))),"",IF($G481="","",IF(ISNUMBER(SEARCH("non",LOWER($E481&amp;""))),$G481*0.85,$G481))))</f>
        <v/>
      </c>
      <c r="O481" s="349">
        <f>IF($A481="","",IF(OR(LOWER($D481&amp;"")="n/a",ISNUMBER(SEARCH("subscription",LOWER($A481&amp;" "&amp;$M481&amp;""))),ISNUMBER(SEARCH("membership",LOWER($A481&amp;" "&amp;$M481&amp;"")))),"",IF(OR($N481="",$I481="",$I481=0),"",$N481/$I481)))</f>
        <v/>
      </c>
      <c r="P481" s="349">
        <f>IF($A481="","",IF(OR(LOWER($D481&amp;"")="n/a",ISNUMBER(SEARCH("subscription",LOWER($A481&amp;" "&amp;$M481&amp;""))),ISNUMBER(SEARCH("membership",LOWER($A481&amp;" "&amp;$M481&amp;"")))),"",IF(LOWER($L481&amp;"")="yes",0,IF($K481&lt;&gt;"",$K481,IF($O481&lt;&gt;"",$O481,"")))))</f>
        <v/>
      </c>
      <c r="Q481" s="351">
        <f>IF($A481="","",IF($U481="Subscription","",IF($U481="Profit",$P481-$H481,0)))</f>
        <v/>
      </c>
      <c r="R481" s="349">
        <f>IF($A481="","",IF($U481="Subscription","",IF($U481="Draw",$H481,0)))</f>
        <v/>
      </c>
      <c r="S481" s="349">
        <f>IF($A481="","",IF($U481="Subscription","",IF($U481="Disqualified",$H481,0)))</f>
        <v/>
      </c>
      <c r="T481" s="380">
        <f>IF($A481="","",IF($U481="Subscription","",IF($H481=0,IF($U481="Profit","N/A",0),IF($U481="Profit",$Q481/$H481,IF($U481="Disqualified",-1,0)))))</f>
        <v/>
      </c>
      <c r="U481" s="351">
        <f>IF($A481="","",IF(OR(LOWER($D481&amp;"")="n/a",ISNUMBER(SEARCH("subscription",LOWER($A481&amp;" "&amp;$M481&amp;""))),ISNUMBER(SEARCH("membership",LOWER($A481&amp;" "&amp;$M481&amp;"")))),"Subscription",IF(LOWER($L481&amp;"")="yes","Disqualified",IF($P481&gt;$H481,"Profit","Draw"))))</f>
        <v/>
      </c>
      <c r="V481" s="383">
        <f>IF(OR($A481="",$B481="",$C481="",$U481="Subscription"),"",IFERROR(ROUNDUP((IF(ISNUMBER($C481),$C481,DATEVALUE($C481))-IF(ISNUMBER($B481),$B481,DATEVALUE($B481)))/7,0),""))</f>
        <v/>
      </c>
      <c r="W481" s="351">
        <f>IF($U481="Subscription","",$Q481-$S481)</f>
        <v/>
      </c>
      <c r="X481" s="384">
        <f>IF(OR($A481="",$U481="Subscription",$J481="",$I481="",$J481=0,$I481=0,$I481&gt;$J481),"",$J481-$I481)</f>
        <v/>
      </c>
      <c r="Y481" s="381">
        <f>IF(OR($A481="",$U481="Subscription",$J481="",$J481=0,$X481=""),"",$X481/$J481)</f>
        <v/>
      </c>
    </row>
    <row r="482" ht="21" customHeight="1" s="270">
      <c r="A482" s="297" t="n"/>
      <c r="B482" s="298" t="n"/>
      <c r="C482" s="298" t="n"/>
      <c r="D482" s="297" t="n"/>
      <c r="E482" s="349" t="n"/>
      <c r="F482" s="349" t="n"/>
      <c r="G482" s="349" t="n"/>
      <c r="H482" s="349" t="n"/>
      <c r="I482" s="382" t="n"/>
      <c r="J482" s="383" t="n"/>
      <c r="K482" s="351" t="n"/>
      <c r="L482" s="296" t="n"/>
      <c r="M482" s="349" t="n"/>
      <c r="N482" s="349">
        <f>IF($A482="","",IF(OR(LOWER($D482&amp;"")="n/a",ISNUMBER(SEARCH("subscription",LOWER($A482&amp;" "&amp;$M482&amp;""))),ISNUMBER(SEARCH("membership",LOWER($A482&amp;" "&amp;$M482&amp;"")))),"",IF($G482="","",IF(ISNUMBER(SEARCH("non",LOWER($E482&amp;""))),$G482*0.85,$G482))))</f>
        <v/>
      </c>
      <c r="O482" s="349">
        <f>IF($A482="","",IF(OR(LOWER($D482&amp;"")="n/a",ISNUMBER(SEARCH("subscription",LOWER($A482&amp;" "&amp;$M482&amp;""))),ISNUMBER(SEARCH("membership",LOWER($A482&amp;" "&amp;$M482&amp;"")))),"",IF(OR($N482="",$I482="",$I482=0),"",$N482/$I482)))</f>
        <v/>
      </c>
      <c r="P482" s="349">
        <f>IF($A482="","",IF(OR(LOWER($D482&amp;"")="n/a",ISNUMBER(SEARCH("subscription",LOWER($A482&amp;" "&amp;$M482&amp;""))),ISNUMBER(SEARCH("membership",LOWER($A482&amp;" "&amp;$M482&amp;"")))),"",IF(LOWER($L482&amp;"")="yes",0,IF($K482&lt;&gt;"",$K482,IF($O482&lt;&gt;"",$O482,"")))))</f>
        <v/>
      </c>
      <c r="Q482" s="351">
        <f>IF($A482="","",IF($U482="Subscription","",IF($U482="Profit",$P482-$H482,0)))</f>
        <v/>
      </c>
      <c r="R482" s="349">
        <f>IF($A482="","",IF($U482="Subscription","",IF($U482="Draw",$H482,0)))</f>
        <v/>
      </c>
      <c r="S482" s="349">
        <f>IF($A482="","",IF($U482="Subscription","",IF($U482="Disqualified",$H482,0)))</f>
        <v/>
      </c>
      <c r="T482" s="380">
        <f>IF($A482="","",IF($U482="Subscription","",IF($H482=0,IF($U482="Profit","N/A",0),IF($U482="Profit",$Q482/$H482,IF($U482="Disqualified",-1,0)))))</f>
        <v/>
      </c>
      <c r="U482" s="351">
        <f>IF($A482="","",IF(OR(LOWER($D482&amp;"")="n/a",ISNUMBER(SEARCH("subscription",LOWER($A482&amp;" "&amp;$M482&amp;""))),ISNUMBER(SEARCH("membership",LOWER($A482&amp;" "&amp;$M482&amp;"")))),"Subscription",IF(LOWER($L482&amp;"")="yes","Disqualified",IF($P482&gt;$H482,"Profit","Draw"))))</f>
        <v/>
      </c>
      <c r="V482" s="383">
        <f>IF(OR($A482="",$B482="",$C482="",$U482="Subscription"),"",IFERROR(ROUNDUP((IF(ISNUMBER($C482),$C482,DATEVALUE($C482))-IF(ISNUMBER($B482),$B482,DATEVALUE($B482)))/7,0),""))</f>
        <v/>
      </c>
      <c r="W482" s="351">
        <f>IF($U482="Subscription","",$Q482-$S482)</f>
        <v/>
      </c>
      <c r="X482" s="384">
        <f>IF(OR($A482="",$U482="Subscription",$J482="",$I482="",$J482=0,$I482=0,$I482&gt;$J482),"",$J482-$I482)</f>
        <v/>
      </c>
      <c r="Y482" s="381">
        <f>IF(OR($A482="",$U482="Subscription",$J482="",$J482=0,$X482=""),"",$X482/$J482)</f>
        <v/>
      </c>
    </row>
    <row r="483" ht="21" customHeight="1" s="270">
      <c r="A483" s="297" t="n"/>
      <c r="B483" s="298" t="n"/>
      <c r="C483" s="298" t="n"/>
      <c r="D483" s="297" t="n"/>
      <c r="E483" s="349" t="n"/>
      <c r="F483" s="349" t="n"/>
      <c r="G483" s="349" t="n"/>
      <c r="H483" s="349" t="n"/>
      <c r="I483" s="382" t="n"/>
      <c r="J483" s="383" t="n"/>
      <c r="K483" s="351" t="n"/>
      <c r="L483" s="296" t="n"/>
      <c r="M483" s="349" t="n"/>
      <c r="N483" s="349">
        <f>IF($A483="","",IF(OR(LOWER($D483&amp;"")="n/a",ISNUMBER(SEARCH("subscription",LOWER($A483&amp;" "&amp;$M483&amp;""))),ISNUMBER(SEARCH("membership",LOWER($A483&amp;" "&amp;$M483&amp;"")))),"",IF($G483="","",IF(ISNUMBER(SEARCH("non",LOWER($E483&amp;""))),$G483*0.85,$G483))))</f>
        <v/>
      </c>
      <c r="O483" s="349">
        <f>IF($A483="","",IF(OR(LOWER($D483&amp;"")="n/a",ISNUMBER(SEARCH("subscription",LOWER($A483&amp;" "&amp;$M483&amp;""))),ISNUMBER(SEARCH("membership",LOWER($A483&amp;" "&amp;$M483&amp;"")))),"",IF(OR($N483="",$I483="",$I483=0),"",$N483/$I483)))</f>
        <v/>
      </c>
      <c r="P483" s="349">
        <f>IF($A483="","",IF(OR(LOWER($D483&amp;"")="n/a",ISNUMBER(SEARCH("subscription",LOWER($A483&amp;" "&amp;$M483&amp;""))),ISNUMBER(SEARCH("membership",LOWER($A483&amp;" "&amp;$M483&amp;"")))),"",IF(LOWER($L483&amp;"")="yes",0,IF($K483&lt;&gt;"",$K483,IF($O483&lt;&gt;"",$O483,"")))))</f>
        <v/>
      </c>
      <c r="Q483" s="351">
        <f>IF($A483="","",IF($U483="Subscription","",IF($U483="Profit",$P483-$H483,0)))</f>
        <v/>
      </c>
      <c r="R483" s="349">
        <f>IF($A483="","",IF($U483="Subscription","",IF($U483="Draw",$H483,0)))</f>
        <v/>
      </c>
      <c r="S483" s="349">
        <f>IF($A483="","",IF($U483="Subscription","",IF($U483="Disqualified",$H483,0)))</f>
        <v/>
      </c>
      <c r="T483" s="380">
        <f>IF($A483="","",IF($U483="Subscription","",IF($H483=0,IF($U483="Profit","N/A",0),IF($U483="Profit",$Q483/$H483,IF($U483="Disqualified",-1,0)))))</f>
        <v/>
      </c>
      <c r="U483" s="351">
        <f>IF($A483="","",IF(OR(LOWER($D483&amp;"")="n/a",ISNUMBER(SEARCH("subscription",LOWER($A483&amp;" "&amp;$M483&amp;""))),ISNUMBER(SEARCH("membership",LOWER($A483&amp;" "&amp;$M483&amp;"")))),"Subscription",IF(LOWER($L483&amp;"")="yes","Disqualified",IF($P483&gt;$H483,"Profit","Draw"))))</f>
        <v/>
      </c>
      <c r="V483" s="383">
        <f>IF(OR($A483="",$B483="",$C483="",$U483="Subscription"),"",IFERROR(ROUNDUP((IF(ISNUMBER($C483),$C483,DATEVALUE($C483))-IF(ISNUMBER($B483),$B483,DATEVALUE($B483)))/7,0),""))</f>
        <v/>
      </c>
      <c r="W483" s="351">
        <f>IF($U483="Subscription","",$Q483-$S483)</f>
        <v/>
      </c>
      <c r="X483" s="384">
        <f>IF(OR($A483="",$U483="Subscription",$J483="",$I483="",$J483=0,$I483=0,$I483&gt;$J483),"",$J483-$I483)</f>
        <v/>
      </c>
      <c r="Y483" s="381">
        <f>IF(OR($A483="",$U483="Subscription",$J483="",$J483=0,$X483=""),"",$X483/$J483)</f>
        <v/>
      </c>
    </row>
    <row r="484" ht="21" customHeight="1" s="270">
      <c r="A484" s="297" t="n"/>
      <c r="B484" s="298" t="n"/>
      <c r="C484" s="298" t="n"/>
      <c r="D484" s="297" t="n"/>
      <c r="E484" s="349" t="n"/>
      <c r="F484" s="349" t="n"/>
      <c r="G484" s="349" t="n"/>
      <c r="H484" s="349" t="n"/>
      <c r="I484" s="382" t="n"/>
      <c r="J484" s="383" t="n"/>
      <c r="K484" s="351" t="n"/>
      <c r="L484" s="296" t="n"/>
      <c r="M484" s="349" t="n"/>
      <c r="N484" s="349">
        <f>IF($A484="","",IF(OR(LOWER($D484&amp;"")="n/a",ISNUMBER(SEARCH("subscription",LOWER($A484&amp;" "&amp;$M484&amp;""))),ISNUMBER(SEARCH("membership",LOWER($A484&amp;" "&amp;$M484&amp;"")))),"",IF($G484="","",IF(ISNUMBER(SEARCH("non",LOWER($E484&amp;""))),$G484*0.85,$G484))))</f>
        <v/>
      </c>
      <c r="O484" s="349">
        <f>IF($A484="","",IF(OR(LOWER($D484&amp;"")="n/a",ISNUMBER(SEARCH("subscription",LOWER($A484&amp;" "&amp;$M484&amp;""))),ISNUMBER(SEARCH("membership",LOWER($A484&amp;" "&amp;$M484&amp;"")))),"",IF(OR($N484="",$I484="",$I484=0),"",$N484/$I484)))</f>
        <v/>
      </c>
      <c r="P484" s="349">
        <f>IF($A484="","",IF(OR(LOWER($D484&amp;"")="n/a",ISNUMBER(SEARCH("subscription",LOWER($A484&amp;" "&amp;$M484&amp;""))),ISNUMBER(SEARCH("membership",LOWER($A484&amp;" "&amp;$M484&amp;"")))),"",IF(LOWER($L484&amp;"")="yes",0,IF($K484&lt;&gt;"",$K484,IF($O484&lt;&gt;"",$O484,"")))))</f>
        <v/>
      </c>
      <c r="Q484" s="351">
        <f>IF($A484="","",IF($U484="Subscription","",IF($U484="Profit",$P484-$H484,0)))</f>
        <v/>
      </c>
      <c r="R484" s="349">
        <f>IF($A484="","",IF($U484="Subscription","",IF($U484="Draw",$H484,0)))</f>
        <v/>
      </c>
      <c r="S484" s="349">
        <f>IF($A484="","",IF($U484="Subscription","",IF($U484="Disqualified",$H484,0)))</f>
        <v/>
      </c>
      <c r="T484" s="380">
        <f>IF($A484="","",IF($U484="Subscription","",IF($H484=0,IF($U484="Profit","N/A",0),IF($U484="Profit",$Q484/$H484,IF($U484="Disqualified",-1,0)))))</f>
        <v/>
      </c>
      <c r="U484" s="351">
        <f>IF($A484="","",IF(OR(LOWER($D484&amp;"")="n/a",ISNUMBER(SEARCH("subscription",LOWER($A484&amp;" "&amp;$M484&amp;""))),ISNUMBER(SEARCH("membership",LOWER($A484&amp;" "&amp;$M484&amp;"")))),"Subscription",IF(LOWER($L484&amp;"")="yes","Disqualified",IF($P484&gt;$H484,"Profit","Draw"))))</f>
        <v/>
      </c>
      <c r="V484" s="383">
        <f>IF(OR($A484="",$B484="",$C484="",$U484="Subscription"),"",IFERROR(ROUNDUP((IF(ISNUMBER($C484),$C484,DATEVALUE($C484))-IF(ISNUMBER($B484),$B484,DATEVALUE($B484)))/7,0),""))</f>
        <v/>
      </c>
      <c r="W484" s="351">
        <f>IF($U484="Subscription","",$Q484-$S484)</f>
        <v/>
      </c>
      <c r="X484" s="384">
        <f>IF(OR($A484="",$U484="Subscription",$J484="",$I484="",$J484=0,$I484=0,$I484&gt;$J484),"",$J484-$I484)</f>
        <v/>
      </c>
      <c r="Y484" s="381">
        <f>IF(OR($A484="",$U484="Subscription",$J484="",$J484=0,$X484=""),"",$X484/$J484)</f>
        <v/>
      </c>
    </row>
    <row r="485" ht="21" customHeight="1" s="270">
      <c r="A485" s="297" t="n"/>
      <c r="B485" s="298" t="n"/>
      <c r="C485" s="298" t="n"/>
      <c r="D485" s="297" t="n"/>
      <c r="E485" s="349" t="n"/>
      <c r="F485" s="349" t="n"/>
      <c r="G485" s="349" t="n"/>
      <c r="H485" s="349" t="n"/>
      <c r="I485" s="382" t="n"/>
      <c r="J485" s="383" t="n"/>
      <c r="K485" s="351" t="n"/>
      <c r="L485" s="296" t="n"/>
      <c r="M485" s="349" t="n"/>
      <c r="N485" s="349">
        <f>IF($A485="","",IF(OR(LOWER($D485&amp;"")="n/a",ISNUMBER(SEARCH("subscription",LOWER($A485&amp;" "&amp;$M485&amp;""))),ISNUMBER(SEARCH("membership",LOWER($A485&amp;" "&amp;$M485&amp;"")))),"",IF($G485="","",IF(ISNUMBER(SEARCH("non",LOWER($E485&amp;""))),$G485*0.85,$G485))))</f>
        <v/>
      </c>
      <c r="O485" s="349">
        <f>IF($A485="","",IF(OR(LOWER($D485&amp;"")="n/a",ISNUMBER(SEARCH("subscription",LOWER($A485&amp;" "&amp;$M485&amp;""))),ISNUMBER(SEARCH("membership",LOWER($A485&amp;" "&amp;$M485&amp;"")))),"",IF(OR($N485="",$I485="",$I485=0),"",$N485/$I485)))</f>
        <v/>
      </c>
      <c r="P485" s="349">
        <f>IF($A485="","",IF(OR(LOWER($D485&amp;"")="n/a",ISNUMBER(SEARCH("subscription",LOWER($A485&amp;" "&amp;$M485&amp;""))),ISNUMBER(SEARCH("membership",LOWER($A485&amp;" "&amp;$M485&amp;"")))),"",IF(LOWER($L485&amp;"")="yes",0,IF($K485&lt;&gt;"",$K485,IF($O485&lt;&gt;"",$O485,"")))))</f>
        <v/>
      </c>
      <c r="Q485" s="351">
        <f>IF($A485="","",IF($U485="Subscription","",IF($U485="Profit",$P485-$H485,0)))</f>
        <v/>
      </c>
      <c r="R485" s="349">
        <f>IF($A485="","",IF($U485="Subscription","",IF($U485="Draw",$H485,0)))</f>
        <v/>
      </c>
      <c r="S485" s="349">
        <f>IF($A485="","",IF($U485="Subscription","",IF($U485="Disqualified",$H485,0)))</f>
        <v/>
      </c>
      <c r="T485" s="380">
        <f>IF($A485="","",IF($U485="Subscription","",IF($H485=0,IF($U485="Profit","N/A",0),IF($U485="Profit",$Q485/$H485,IF($U485="Disqualified",-1,0)))))</f>
        <v/>
      </c>
      <c r="U485" s="351">
        <f>IF($A485="","",IF(OR(LOWER($D485&amp;"")="n/a",ISNUMBER(SEARCH("subscription",LOWER($A485&amp;" "&amp;$M485&amp;""))),ISNUMBER(SEARCH("membership",LOWER($A485&amp;" "&amp;$M485&amp;"")))),"Subscription",IF(LOWER($L485&amp;"")="yes","Disqualified",IF($P485&gt;$H485,"Profit","Draw"))))</f>
        <v/>
      </c>
      <c r="V485" s="383">
        <f>IF(OR($A485="",$B485="",$C485="",$U485="Subscription"),"",IFERROR(ROUNDUP((IF(ISNUMBER($C485),$C485,DATEVALUE($C485))-IF(ISNUMBER($B485),$B485,DATEVALUE($B485)))/7,0),""))</f>
        <v/>
      </c>
      <c r="W485" s="351">
        <f>IF($U485="Subscription","",$Q485-$S485)</f>
        <v/>
      </c>
      <c r="X485" s="384">
        <f>IF(OR($A485="",$U485="Subscription",$J485="",$I485="",$J485=0,$I485=0,$I485&gt;$J485),"",$J485-$I485)</f>
        <v/>
      </c>
      <c r="Y485" s="381">
        <f>IF(OR($A485="",$U485="Subscription",$J485="",$J485=0,$X485=""),"",$X485/$J485)</f>
        <v/>
      </c>
    </row>
    <row r="486" ht="21" customHeight="1" s="270">
      <c r="A486" s="297" t="n"/>
      <c r="B486" s="298" t="n"/>
      <c r="C486" s="298" t="n"/>
      <c r="D486" s="297" t="n"/>
      <c r="E486" s="349" t="n"/>
      <c r="F486" s="349" t="n"/>
      <c r="G486" s="349" t="n"/>
      <c r="H486" s="349" t="n"/>
      <c r="I486" s="382" t="n"/>
      <c r="J486" s="383" t="n"/>
      <c r="K486" s="351" t="n"/>
      <c r="L486" s="296" t="n"/>
      <c r="M486" s="349" t="n"/>
      <c r="N486" s="349">
        <f>IF($A486="","",IF(OR(LOWER($D486&amp;"")="n/a",ISNUMBER(SEARCH("subscription",LOWER($A486&amp;" "&amp;$M486&amp;""))),ISNUMBER(SEARCH("membership",LOWER($A486&amp;" "&amp;$M486&amp;"")))),"",IF($G486="","",IF(ISNUMBER(SEARCH("non",LOWER($E486&amp;""))),$G486*0.85,$G486))))</f>
        <v/>
      </c>
      <c r="O486" s="349">
        <f>IF($A486="","",IF(OR(LOWER($D486&amp;"")="n/a",ISNUMBER(SEARCH("subscription",LOWER($A486&amp;" "&amp;$M486&amp;""))),ISNUMBER(SEARCH("membership",LOWER($A486&amp;" "&amp;$M486&amp;"")))),"",IF(OR($N486="",$I486="",$I486=0),"",$N486/$I486)))</f>
        <v/>
      </c>
      <c r="P486" s="349">
        <f>IF($A486="","",IF(OR(LOWER($D486&amp;"")="n/a",ISNUMBER(SEARCH("subscription",LOWER($A486&amp;" "&amp;$M486&amp;""))),ISNUMBER(SEARCH("membership",LOWER($A486&amp;" "&amp;$M486&amp;"")))),"",IF(LOWER($L486&amp;"")="yes",0,IF($K486&lt;&gt;"",$K486,IF($O486&lt;&gt;"",$O486,"")))))</f>
        <v/>
      </c>
      <c r="Q486" s="351">
        <f>IF($A486="","",IF($U486="Subscription","",IF($U486="Profit",$P486-$H486,0)))</f>
        <v/>
      </c>
      <c r="R486" s="349">
        <f>IF($A486="","",IF($U486="Subscription","",IF($U486="Draw",$H486,0)))</f>
        <v/>
      </c>
      <c r="S486" s="349">
        <f>IF($A486="","",IF($U486="Subscription","",IF($U486="Disqualified",$H486,0)))</f>
        <v/>
      </c>
      <c r="T486" s="380">
        <f>IF($A486="","",IF($U486="Subscription","",IF($H486=0,IF($U486="Profit","N/A",0),IF($U486="Profit",$Q486/$H486,IF($U486="Disqualified",-1,0)))))</f>
        <v/>
      </c>
      <c r="U486" s="351">
        <f>IF($A486="","",IF(OR(LOWER($D486&amp;"")="n/a",ISNUMBER(SEARCH("subscription",LOWER($A486&amp;" "&amp;$M486&amp;""))),ISNUMBER(SEARCH("membership",LOWER($A486&amp;" "&amp;$M486&amp;"")))),"Subscription",IF(LOWER($L486&amp;"")="yes","Disqualified",IF($P486&gt;$H486,"Profit","Draw"))))</f>
        <v/>
      </c>
      <c r="V486" s="383">
        <f>IF(OR($A486="",$B486="",$C486="",$U486="Subscription"),"",IFERROR(ROUNDUP((IF(ISNUMBER($C486),$C486,DATEVALUE($C486))-IF(ISNUMBER($B486),$B486,DATEVALUE($B486)))/7,0),""))</f>
        <v/>
      </c>
      <c r="W486" s="351">
        <f>IF($U486="Subscription","",$Q486-$S486)</f>
        <v/>
      </c>
      <c r="X486" s="384">
        <f>IF(OR($A486="",$U486="Subscription",$J486="",$I486="",$J486=0,$I486=0,$I486&gt;$J486),"",$J486-$I486)</f>
        <v/>
      </c>
      <c r="Y486" s="381">
        <f>IF(OR($A486="",$U486="Subscription",$J486="",$J486=0,$X486=""),"",$X486/$J486)</f>
        <v/>
      </c>
    </row>
    <row r="487" ht="21" customHeight="1" s="270">
      <c r="A487" s="297" t="n"/>
      <c r="B487" s="298" t="n"/>
      <c r="C487" s="298" t="n"/>
      <c r="D487" s="297" t="n"/>
      <c r="E487" s="349" t="n"/>
      <c r="F487" s="349" t="n"/>
      <c r="G487" s="349" t="n"/>
      <c r="H487" s="349" t="n"/>
      <c r="I487" s="382" t="n"/>
      <c r="J487" s="383" t="n"/>
      <c r="K487" s="351" t="n"/>
      <c r="L487" s="296" t="n"/>
      <c r="M487" s="349" t="n"/>
      <c r="N487" s="349">
        <f>IF($A487="","",IF(OR(LOWER($D487&amp;"")="n/a",ISNUMBER(SEARCH("subscription",LOWER($A487&amp;" "&amp;$M487&amp;""))),ISNUMBER(SEARCH("membership",LOWER($A487&amp;" "&amp;$M487&amp;"")))),"",IF($G487="","",IF(ISNUMBER(SEARCH("non",LOWER($E487&amp;""))),$G487*0.85,$G487))))</f>
        <v/>
      </c>
      <c r="O487" s="349">
        <f>IF($A487="","",IF(OR(LOWER($D487&amp;"")="n/a",ISNUMBER(SEARCH("subscription",LOWER($A487&amp;" "&amp;$M487&amp;""))),ISNUMBER(SEARCH("membership",LOWER($A487&amp;" "&amp;$M487&amp;"")))),"",IF(OR($N487="",$I487="",$I487=0),"",$N487/$I487)))</f>
        <v/>
      </c>
      <c r="P487" s="349">
        <f>IF($A487="","",IF(OR(LOWER($D487&amp;"")="n/a",ISNUMBER(SEARCH("subscription",LOWER($A487&amp;" "&amp;$M487&amp;""))),ISNUMBER(SEARCH("membership",LOWER($A487&amp;" "&amp;$M487&amp;"")))),"",IF(LOWER($L487&amp;"")="yes",0,IF($K487&lt;&gt;"",$K487,IF($O487&lt;&gt;"",$O487,"")))))</f>
        <v/>
      </c>
      <c r="Q487" s="351">
        <f>IF($A487="","",IF($U487="Subscription","",IF($U487="Profit",$P487-$H487,0)))</f>
        <v/>
      </c>
      <c r="R487" s="349">
        <f>IF($A487="","",IF($U487="Subscription","",IF($U487="Draw",$H487,0)))</f>
        <v/>
      </c>
      <c r="S487" s="349">
        <f>IF($A487="","",IF($U487="Subscription","",IF($U487="Disqualified",$H487,0)))</f>
        <v/>
      </c>
      <c r="T487" s="380">
        <f>IF($A487="","",IF($U487="Subscription","",IF($H487=0,IF($U487="Profit","N/A",0),IF($U487="Profit",$Q487/$H487,IF($U487="Disqualified",-1,0)))))</f>
        <v/>
      </c>
      <c r="U487" s="351">
        <f>IF($A487="","",IF(OR(LOWER($D487&amp;"")="n/a",ISNUMBER(SEARCH("subscription",LOWER($A487&amp;" "&amp;$M487&amp;""))),ISNUMBER(SEARCH("membership",LOWER($A487&amp;" "&amp;$M487&amp;"")))),"Subscription",IF(LOWER($L487&amp;"")="yes","Disqualified",IF($P487&gt;$H487,"Profit","Draw"))))</f>
        <v/>
      </c>
      <c r="V487" s="383">
        <f>IF(OR($A487="",$B487="",$C487="",$U487="Subscription"),"",IFERROR(ROUNDUP((IF(ISNUMBER($C487),$C487,DATEVALUE($C487))-IF(ISNUMBER($B487),$B487,DATEVALUE($B487)))/7,0),""))</f>
        <v/>
      </c>
      <c r="W487" s="351">
        <f>IF($U487="Subscription","",$Q487-$S487)</f>
        <v/>
      </c>
      <c r="X487" s="384">
        <f>IF(OR($A487="",$U487="Subscription",$J487="",$I487="",$J487=0,$I487=0,$I487&gt;$J487),"",$J487-$I487)</f>
        <v/>
      </c>
      <c r="Y487" s="381">
        <f>IF(OR($A487="",$U487="Subscription",$J487="",$J487=0,$X487=""),"",$X487/$J487)</f>
        <v/>
      </c>
    </row>
    <row r="488" ht="21" customHeight="1" s="270">
      <c r="A488" s="297" t="n"/>
      <c r="B488" s="298" t="n"/>
      <c r="C488" s="298" t="n"/>
      <c r="D488" s="297" t="n"/>
      <c r="E488" s="349" t="n"/>
      <c r="F488" s="349" t="n"/>
      <c r="G488" s="349" t="n"/>
      <c r="H488" s="349" t="n"/>
      <c r="I488" s="382" t="n"/>
      <c r="J488" s="383" t="n"/>
      <c r="K488" s="351" t="n"/>
      <c r="L488" s="296" t="n"/>
      <c r="M488" s="349" t="n"/>
      <c r="N488" s="349">
        <f>IF($A488="","",IF(OR(LOWER($D488&amp;"")="n/a",ISNUMBER(SEARCH("subscription",LOWER($A488&amp;" "&amp;$M488&amp;""))),ISNUMBER(SEARCH("membership",LOWER($A488&amp;" "&amp;$M488&amp;"")))),"",IF($G488="","",IF(ISNUMBER(SEARCH("non",LOWER($E488&amp;""))),$G488*0.85,$G488))))</f>
        <v/>
      </c>
      <c r="O488" s="349">
        <f>IF($A488="","",IF(OR(LOWER($D488&amp;"")="n/a",ISNUMBER(SEARCH("subscription",LOWER($A488&amp;" "&amp;$M488&amp;""))),ISNUMBER(SEARCH("membership",LOWER($A488&amp;" "&amp;$M488&amp;"")))),"",IF(OR($N488="",$I488="",$I488=0),"",$N488/$I488)))</f>
        <v/>
      </c>
      <c r="P488" s="349">
        <f>IF($A488="","",IF(OR(LOWER($D488&amp;"")="n/a",ISNUMBER(SEARCH("subscription",LOWER($A488&amp;" "&amp;$M488&amp;""))),ISNUMBER(SEARCH("membership",LOWER($A488&amp;" "&amp;$M488&amp;"")))),"",IF(LOWER($L488&amp;"")="yes",0,IF($K488&lt;&gt;"",$K488,IF($O488&lt;&gt;"",$O488,"")))))</f>
        <v/>
      </c>
      <c r="Q488" s="351">
        <f>IF($A488="","",IF($U488="Subscription","",IF($U488="Profit",$P488-$H488,0)))</f>
        <v/>
      </c>
      <c r="R488" s="349">
        <f>IF($A488="","",IF($U488="Subscription","",IF($U488="Draw",$H488,0)))</f>
        <v/>
      </c>
      <c r="S488" s="349">
        <f>IF($A488="","",IF($U488="Subscription","",IF($U488="Disqualified",$H488,0)))</f>
        <v/>
      </c>
      <c r="T488" s="380">
        <f>IF($A488="","",IF($U488="Subscription","",IF($H488=0,IF($U488="Profit","N/A",0),IF($U488="Profit",$Q488/$H488,IF($U488="Disqualified",-1,0)))))</f>
        <v/>
      </c>
      <c r="U488" s="351">
        <f>IF($A488="","",IF(OR(LOWER($D488&amp;"")="n/a",ISNUMBER(SEARCH("subscription",LOWER($A488&amp;" "&amp;$M488&amp;""))),ISNUMBER(SEARCH("membership",LOWER($A488&amp;" "&amp;$M488&amp;"")))),"Subscription",IF(LOWER($L488&amp;"")="yes","Disqualified",IF($P488&gt;$H488,"Profit","Draw"))))</f>
        <v/>
      </c>
      <c r="V488" s="383">
        <f>IF(OR($A488="",$B488="",$C488="",$U488="Subscription"),"",IFERROR(ROUNDUP((IF(ISNUMBER($C488),$C488,DATEVALUE($C488))-IF(ISNUMBER($B488),$B488,DATEVALUE($B488)))/7,0),""))</f>
        <v/>
      </c>
      <c r="W488" s="351">
        <f>IF($U488="Subscription","",$Q488-$S488)</f>
        <v/>
      </c>
      <c r="X488" s="384">
        <f>IF(OR($A488="",$U488="Subscription",$J488="",$I488="",$J488=0,$I488=0,$I488&gt;$J488),"",$J488-$I488)</f>
        <v/>
      </c>
      <c r="Y488" s="381">
        <f>IF(OR($A488="",$U488="Subscription",$J488="",$J488=0,$X488=""),"",$X488/$J488)</f>
        <v/>
      </c>
    </row>
    <row r="489" ht="21" customHeight="1" s="270">
      <c r="A489" s="297" t="n"/>
      <c r="B489" s="298" t="n"/>
      <c r="C489" s="298" t="n"/>
      <c r="D489" s="297" t="n"/>
      <c r="E489" s="349" t="n"/>
      <c r="F489" s="349" t="n"/>
      <c r="G489" s="349" t="n"/>
      <c r="H489" s="349" t="n"/>
      <c r="I489" s="382" t="n"/>
      <c r="J489" s="383" t="n"/>
      <c r="K489" s="351" t="n"/>
      <c r="L489" s="296" t="n"/>
      <c r="M489" s="349" t="n"/>
      <c r="N489" s="349">
        <f>IF($A489="","",IF(OR(LOWER($D489&amp;"")="n/a",ISNUMBER(SEARCH("subscription",LOWER($A489&amp;" "&amp;$M489&amp;""))),ISNUMBER(SEARCH("membership",LOWER($A489&amp;" "&amp;$M489&amp;"")))),"",IF($G489="","",IF(ISNUMBER(SEARCH("non",LOWER($E489&amp;""))),$G489*0.85,$G489))))</f>
        <v/>
      </c>
      <c r="O489" s="349">
        <f>IF($A489="","",IF(OR(LOWER($D489&amp;"")="n/a",ISNUMBER(SEARCH("subscription",LOWER($A489&amp;" "&amp;$M489&amp;""))),ISNUMBER(SEARCH("membership",LOWER($A489&amp;" "&amp;$M489&amp;"")))),"",IF(OR($N489="",$I489="",$I489=0),"",$N489/$I489)))</f>
        <v/>
      </c>
      <c r="P489" s="349">
        <f>IF($A489="","",IF(OR(LOWER($D489&amp;"")="n/a",ISNUMBER(SEARCH("subscription",LOWER($A489&amp;" "&amp;$M489&amp;""))),ISNUMBER(SEARCH("membership",LOWER($A489&amp;" "&amp;$M489&amp;"")))),"",IF(LOWER($L489&amp;"")="yes",0,IF($K489&lt;&gt;"",$K489,IF($O489&lt;&gt;"",$O489,"")))))</f>
        <v/>
      </c>
      <c r="Q489" s="351">
        <f>IF($A489="","",IF($U489="Subscription","",IF($U489="Profit",$P489-$H489,0)))</f>
        <v/>
      </c>
      <c r="R489" s="349">
        <f>IF($A489="","",IF($U489="Subscription","",IF($U489="Draw",$H489,0)))</f>
        <v/>
      </c>
      <c r="S489" s="349">
        <f>IF($A489="","",IF($U489="Subscription","",IF($U489="Disqualified",$H489,0)))</f>
        <v/>
      </c>
      <c r="T489" s="380">
        <f>IF($A489="","",IF($U489="Subscription","",IF($H489=0,IF($U489="Profit","N/A",0),IF($U489="Profit",$Q489/$H489,IF($U489="Disqualified",-1,0)))))</f>
        <v/>
      </c>
      <c r="U489" s="351">
        <f>IF($A489="","",IF(OR(LOWER($D489&amp;"")="n/a",ISNUMBER(SEARCH("subscription",LOWER($A489&amp;" "&amp;$M489&amp;""))),ISNUMBER(SEARCH("membership",LOWER($A489&amp;" "&amp;$M489&amp;"")))),"Subscription",IF(LOWER($L489&amp;"")="yes","Disqualified",IF($P489&gt;$H489,"Profit","Draw"))))</f>
        <v/>
      </c>
      <c r="V489" s="383">
        <f>IF(OR($A489="",$B489="",$C489="",$U489="Subscription"),"",IFERROR(ROUNDUP((IF(ISNUMBER($C489),$C489,DATEVALUE($C489))-IF(ISNUMBER($B489),$B489,DATEVALUE($B489)))/7,0),""))</f>
        <v/>
      </c>
      <c r="W489" s="351">
        <f>IF($U489="Subscription","",$Q489-$S489)</f>
        <v/>
      </c>
      <c r="X489" s="384">
        <f>IF(OR($A489="",$U489="Subscription",$J489="",$I489="",$J489=0,$I489=0,$I489&gt;$J489),"",$J489-$I489)</f>
        <v/>
      </c>
      <c r="Y489" s="381">
        <f>IF(OR($A489="",$U489="Subscription",$J489="",$J489=0,$X489=""),"",$X489/$J489)</f>
        <v/>
      </c>
    </row>
    <row r="490" ht="21" customHeight="1" s="270">
      <c r="A490" s="297" t="n"/>
      <c r="B490" s="298" t="n"/>
      <c r="C490" s="298" t="n"/>
      <c r="D490" s="297" t="n"/>
      <c r="E490" s="349" t="n"/>
      <c r="F490" s="349" t="n"/>
      <c r="G490" s="349" t="n"/>
      <c r="H490" s="349" t="n"/>
      <c r="I490" s="382" t="n"/>
      <c r="J490" s="383" t="n"/>
      <c r="K490" s="351" t="n"/>
      <c r="L490" s="296" t="n"/>
      <c r="M490" s="349" t="n"/>
      <c r="N490" s="349">
        <f>IF($A490="","",IF(OR(LOWER($D490&amp;"")="n/a",ISNUMBER(SEARCH("subscription",LOWER($A490&amp;" "&amp;$M490&amp;""))),ISNUMBER(SEARCH("membership",LOWER($A490&amp;" "&amp;$M490&amp;"")))),"",IF($G490="","",IF(ISNUMBER(SEARCH("non",LOWER($E490&amp;""))),$G490*0.85,$G490))))</f>
        <v/>
      </c>
      <c r="O490" s="349">
        <f>IF($A490="","",IF(OR(LOWER($D490&amp;"")="n/a",ISNUMBER(SEARCH("subscription",LOWER($A490&amp;" "&amp;$M490&amp;""))),ISNUMBER(SEARCH("membership",LOWER($A490&amp;" "&amp;$M490&amp;"")))),"",IF(OR($N490="",$I490="",$I490=0),"",$N490/$I490)))</f>
        <v/>
      </c>
      <c r="P490" s="349">
        <f>IF($A490="","",IF(OR(LOWER($D490&amp;"")="n/a",ISNUMBER(SEARCH("subscription",LOWER($A490&amp;" "&amp;$M490&amp;""))),ISNUMBER(SEARCH("membership",LOWER($A490&amp;" "&amp;$M490&amp;"")))),"",IF(LOWER($L490&amp;"")="yes",0,IF($K490&lt;&gt;"",$K490,IF($O490&lt;&gt;"",$O490,"")))))</f>
        <v/>
      </c>
      <c r="Q490" s="351">
        <f>IF($A490="","",IF($U490="Subscription","",IF($U490="Profit",$P490-$H490,0)))</f>
        <v/>
      </c>
      <c r="R490" s="349">
        <f>IF($A490="","",IF($U490="Subscription","",IF($U490="Draw",$H490,0)))</f>
        <v/>
      </c>
      <c r="S490" s="349">
        <f>IF($A490="","",IF($U490="Subscription","",IF($U490="Disqualified",$H490,0)))</f>
        <v/>
      </c>
      <c r="T490" s="380">
        <f>IF($A490="","",IF($U490="Subscription","",IF($H490=0,IF($U490="Profit","N/A",0),IF($U490="Profit",$Q490/$H490,IF($U490="Disqualified",-1,0)))))</f>
        <v/>
      </c>
      <c r="U490" s="351">
        <f>IF($A490="","",IF(OR(LOWER($D490&amp;"")="n/a",ISNUMBER(SEARCH("subscription",LOWER($A490&amp;" "&amp;$M490&amp;""))),ISNUMBER(SEARCH("membership",LOWER($A490&amp;" "&amp;$M490&amp;"")))),"Subscription",IF(LOWER($L490&amp;"")="yes","Disqualified",IF($P490&gt;$H490,"Profit","Draw"))))</f>
        <v/>
      </c>
      <c r="V490" s="383">
        <f>IF(OR($A490="",$B490="",$C490="",$U490="Subscription"),"",IFERROR(ROUNDUP((IF(ISNUMBER($C490),$C490,DATEVALUE($C490))-IF(ISNUMBER($B490),$B490,DATEVALUE($B490)))/7,0),""))</f>
        <v/>
      </c>
      <c r="W490" s="351">
        <f>IF($U490="Subscription","",$Q490-$S490)</f>
        <v/>
      </c>
      <c r="X490" s="384">
        <f>IF(OR($A490="",$U490="Subscription",$J490="",$I490="",$J490=0,$I490=0,$I490&gt;$J490),"",$J490-$I490)</f>
        <v/>
      </c>
      <c r="Y490" s="381">
        <f>IF(OR($A490="",$U490="Subscription",$J490="",$J490=0,$X490=""),"",$X490/$J490)</f>
        <v/>
      </c>
    </row>
    <row r="491" ht="21" customHeight="1" s="270">
      <c r="A491" s="297" t="n"/>
      <c r="B491" s="298" t="n"/>
      <c r="C491" s="298" t="n"/>
      <c r="D491" s="297" t="n"/>
      <c r="E491" s="349" t="n"/>
      <c r="F491" s="349" t="n"/>
      <c r="G491" s="349" t="n"/>
      <c r="H491" s="349" t="n"/>
      <c r="I491" s="382" t="n"/>
      <c r="J491" s="383" t="n"/>
      <c r="K491" s="351" t="n"/>
      <c r="L491" s="296" t="n"/>
      <c r="M491" s="349" t="n"/>
      <c r="N491" s="349">
        <f>IF($A491="","",IF(OR(LOWER($D491&amp;"")="n/a",ISNUMBER(SEARCH("subscription",LOWER($A491&amp;" "&amp;$M491&amp;""))),ISNUMBER(SEARCH("membership",LOWER($A491&amp;" "&amp;$M491&amp;"")))),"",IF($G491="","",IF(ISNUMBER(SEARCH("non",LOWER($E491&amp;""))),$G491*0.85,$G491))))</f>
        <v/>
      </c>
      <c r="O491" s="349">
        <f>IF($A491="","",IF(OR(LOWER($D491&amp;"")="n/a",ISNUMBER(SEARCH("subscription",LOWER($A491&amp;" "&amp;$M491&amp;""))),ISNUMBER(SEARCH("membership",LOWER($A491&amp;" "&amp;$M491&amp;"")))),"",IF(OR($N491="",$I491="",$I491=0),"",$N491/$I491)))</f>
        <v/>
      </c>
      <c r="P491" s="349">
        <f>IF($A491="","",IF(OR(LOWER($D491&amp;"")="n/a",ISNUMBER(SEARCH("subscription",LOWER($A491&amp;" "&amp;$M491&amp;""))),ISNUMBER(SEARCH("membership",LOWER($A491&amp;" "&amp;$M491&amp;"")))),"",IF(LOWER($L491&amp;"")="yes",0,IF($K491&lt;&gt;"",$K491,IF($O491&lt;&gt;"",$O491,"")))))</f>
        <v/>
      </c>
      <c r="Q491" s="351">
        <f>IF($A491="","",IF($U491="Subscription","",IF($U491="Profit",$P491-$H491,0)))</f>
        <v/>
      </c>
      <c r="R491" s="349">
        <f>IF($A491="","",IF($U491="Subscription","",IF($U491="Draw",$H491,0)))</f>
        <v/>
      </c>
      <c r="S491" s="349">
        <f>IF($A491="","",IF($U491="Subscription","",IF($U491="Disqualified",$H491,0)))</f>
        <v/>
      </c>
      <c r="T491" s="380">
        <f>IF($A491="","",IF($U491="Subscription","",IF($H491=0,IF($U491="Profit","N/A",0),IF($U491="Profit",$Q491/$H491,IF($U491="Disqualified",-1,0)))))</f>
        <v/>
      </c>
      <c r="U491" s="351">
        <f>IF($A491="","",IF(OR(LOWER($D491&amp;"")="n/a",ISNUMBER(SEARCH("subscription",LOWER($A491&amp;" "&amp;$M491&amp;""))),ISNUMBER(SEARCH("membership",LOWER($A491&amp;" "&amp;$M491&amp;"")))),"Subscription",IF(LOWER($L491&amp;"")="yes","Disqualified",IF($P491&gt;$H491,"Profit","Draw"))))</f>
        <v/>
      </c>
      <c r="V491" s="383">
        <f>IF(OR($A491="",$B491="",$C491="",$U491="Subscription"),"",IFERROR(ROUNDUP((IF(ISNUMBER($C491),$C491,DATEVALUE($C491))-IF(ISNUMBER($B491),$B491,DATEVALUE($B491)))/7,0),""))</f>
        <v/>
      </c>
      <c r="W491" s="351">
        <f>IF($U491="Subscription","",$Q491-$S491)</f>
        <v/>
      </c>
      <c r="X491" s="384">
        <f>IF(OR($A491="",$U491="Subscription",$J491="",$I491="",$J491=0,$I491=0,$I491&gt;$J491),"",$J491-$I491)</f>
        <v/>
      </c>
      <c r="Y491" s="381">
        <f>IF(OR($A491="",$U491="Subscription",$J491="",$J491=0,$X491=""),"",$X491/$J491)</f>
        <v/>
      </c>
    </row>
    <row r="492" ht="21" customHeight="1" s="270">
      <c r="A492" s="297" t="n"/>
      <c r="B492" s="298" t="n"/>
      <c r="C492" s="298" t="n"/>
      <c r="D492" s="297" t="n"/>
      <c r="E492" s="349" t="n"/>
      <c r="F492" s="349" t="n"/>
      <c r="G492" s="349" t="n"/>
      <c r="H492" s="349" t="n"/>
      <c r="I492" s="382" t="n"/>
      <c r="J492" s="383" t="n"/>
      <c r="K492" s="351" t="n"/>
      <c r="L492" s="296" t="n"/>
      <c r="M492" s="349" t="n"/>
      <c r="N492" s="349">
        <f>IF($A492="","",IF(OR(LOWER($D492&amp;"")="n/a",ISNUMBER(SEARCH("subscription",LOWER($A492&amp;" "&amp;$M492&amp;""))),ISNUMBER(SEARCH("membership",LOWER($A492&amp;" "&amp;$M492&amp;"")))),"",IF($G492="","",IF(ISNUMBER(SEARCH("non",LOWER($E492&amp;""))),$G492*0.85,$G492))))</f>
        <v/>
      </c>
      <c r="O492" s="349">
        <f>IF($A492="","",IF(OR(LOWER($D492&amp;"")="n/a",ISNUMBER(SEARCH("subscription",LOWER($A492&amp;" "&amp;$M492&amp;""))),ISNUMBER(SEARCH("membership",LOWER($A492&amp;" "&amp;$M492&amp;"")))),"",IF(OR($N492="",$I492="",$I492=0),"",$N492/$I492)))</f>
        <v/>
      </c>
      <c r="P492" s="349">
        <f>IF($A492="","",IF(OR(LOWER($D492&amp;"")="n/a",ISNUMBER(SEARCH("subscription",LOWER($A492&amp;" "&amp;$M492&amp;""))),ISNUMBER(SEARCH("membership",LOWER($A492&amp;" "&amp;$M492&amp;"")))),"",IF(LOWER($L492&amp;"")="yes",0,IF($K492&lt;&gt;"",$K492,IF($O492&lt;&gt;"",$O492,"")))))</f>
        <v/>
      </c>
      <c r="Q492" s="351">
        <f>IF($A492="","",IF($U492="Subscription","",IF($U492="Profit",$P492-$H492,0)))</f>
        <v/>
      </c>
      <c r="R492" s="349">
        <f>IF($A492="","",IF($U492="Subscription","",IF($U492="Draw",$H492,0)))</f>
        <v/>
      </c>
      <c r="S492" s="349">
        <f>IF($A492="","",IF($U492="Subscription","",IF($U492="Disqualified",$H492,0)))</f>
        <v/>
      </c>
      <c r="T492" s="380">
        <f>IF($A492="","",IF($U492="Subscription","",IF($H492=0,IF($U492="Profit","N/A",0),IF($U492="Profit",$Q492/$H492,IF($U492="Disqualified",-1,0)))))</f>
        <v/>
      </c>
      <c r="U492" s="351">
        <f>IF($A492="","",IF(OR(LOWER($D492&amp;"")="n/a",ISNUMBER(SEARCH("subscription",LOWER($A492&amp;" "&amp;$M492&amp;""))),ISNUMBER(SEARCH("membership",LOWER($A492&amp;" "&amp;$M492&amp;"")))),"Subscription",IF(LOWER($L492&amp;"")="yes","Disqualified",IF($P492&gt;$H492,"Profit","Draw"))))</f>
        <v/>
      </c>
      <c r="V492" s="383">
        <f>IF(OR($A492="",$B492="",$C492="",$U492="Subscription"),"",IFERROR(ROUNDUP((IF(ISNUMBER($C492),$C492,DATEVALUE($C492))-IF(ISNUMBER($B492),$B492,DATEVALUE($B492)))/7,0),""))</f>
        <v/>
      </c>
      <c r="W492" s="351">
        <f>IF($U492="Subscription","",$Q492-$S492)</f>
        <v/>
      </c>
      <c r="X492" s="384">
        <f>IF(OR($A492="",$U492="Subscription",$J492="",$I492="",$J492=0,$I492=0,$I492&gt;$J492),"",$J492-$I492)</f>
        <v/>
      </c>
      <c r="Y492" s="381">
        <f>IF(OR($A492="",$U492="Subscription",$J492="",$J492=0,$X492=""),"",$X492/$J492)</f>
        <v/>
      </c>
    </row>
    <row r="493" ht="21" customHeight="1" s="270">
      <c r="A493" s="297" t="n"/>
      <c r="B493" s="298" t="n"/>
      <c r="C493" s="298" t="n"/>
      <c r="D493" s="297" t="n"/>
      <c r="E493" s="349" t="n"/>
      <c r="F493" s="349" t="n"/>
      <c r="G493" s="349" t="n"/>
      <c r="H493" s="349" t="n"/>
      <c r="I493" s="382" t="n"/>
      <c r="J493" s="383" t="n"/>
      <c r="K493" s="351" t="n"/>
      <c r="L493" s="296" t="n"/>
      <c r="M493" s="349" t="n"/>
      <c r="N493" s="349">
        <f>IF($A493="","",IF(OR(LOWER($D493&amp;"")="n/a",ISNUMBER(SEARCH("subscription",LOWER($A493&amp;" "&amp;$M493&amp;""))),ISNUMBER(SEARCH("membership",LOWER($A493&amp;" "&amp;$M493&amp;"")))),"",IF($G493="","",IF(ISNUMBER(SEARCH("non",LOWER($E493&amp;""))),$G493*0.85,$G493))))</f>
        <v/>
      </c>
      <c r="O493" s="349">
        <f>IF($A493="","",IF(OR(LOWER($D493&amp;"")="n/a",ISNUMBER(SEARCH("subscription",LOWER($A493&amp;" "&amp;$M493&amp;""))),ISNUMBER(SEARCH("membership",LOWER($A493&amp;" "&amp;$M493&amp;"")))),"",IF(OR($N493="",$I493="",$I493=0),"",$N493/$I493)))</f>
        <v/>
      </c>
      <c r="P493" s="349">
        <f>IF($A493="","",IF(OR(LOWER($D493&amp;"")="n/a",ISNUMBER(SEARCH("subscription",LOWER($A493&amp;" "&amp;$M493&amp;""))),ISNUMBER(SEARCH("membership",LOWER($A493&amp;" "&amp;$M493&amp;"")))),"",IF(LOWER($L493&amp;"")="yes",0,IF($K493&lt;&gt;"",$K493,IF($O493&lt;&gt;"",$O493,"")))))</f>
        <v/>
      </c>
      <c r="Q493" s="351">
        <f>IF($A493="","",IF($U493="Subscription","",IF($U493="Profit",$P493-$H493,0)))</f>
        <v/>
      </c>
      <c r="R493" s="349">
        <f>IF($A493="","",IF($U493="Subscription","",IF($U493="Draw",$H493,0)))</f>
        <v/>
      </c>
      <c r="S493" s="349">
        <f>IF($A493="","",IF($U493="Subscription","",IF($U493="Disqualified",$H493,0)))</f>
        <v/>
      </c>
      <c r="T493" s="380">
        <f>IF($A493="","",IF($U493="Subscription","",IF($H493=0,IF($U493="Profit","N/A",0),IF($U493="Profit",$Q493/$H493,IF($U493="Disqualified",-1,0)))))</f>
        <v/>
      </c>
      <c r="U493" s="351">
        <f>IF($A493="","",IF(OR(LOWER($D493&amp;"")="n/a",ISNUMBER(SEARCH("subscription",LOWER($A493&amp;" "&amp;$M493&amp;""))),ISNUMBER(SEARCH("membership",LOWER($A493&amp;" "&amp;$M493&amp;"")))),"Subscription",IF(LOWER($L493&amp;"")="yes","Disqualified",IF($P493&gt;$H493,"Profit","Draw"))))</f>
        <v/>
      </c>
      <c r="V493" s="383">
        <f>IF(OR($A493="",$B493="",$C493="",$U493="Subscription"),"",IFERROR(ROUNDUP((IF(ISNUMBER($C493),$C493,DATEVALUE($C493))-IF(ISNUMBER($B493),$B493,DATEVALUE($B493)))/7,0),""))</f>
        <v/>
      </c>
      <c r="W493" s="351">
        <f>IF($U493="Subscription","",$Q493-$S493)</f>
        <v/>
      </c>
      <c r="X493" s="384">
        <f>IF(OR($A493="",$U493="Subscription",$J493="",$I493="",$J493=0,$I493=0,$I493&gt;$J493),"",$J493-$I493)</f>
        <v/>
      </c>
      <c r="Y493" s="381">
        <f>IF(OR($A493="",$U493="Subscription",$J493="",$J493=0,$X493=""),"",$X493/$J493)</f>
        <v/>
      </c>
    </row>
    <row r="494" ht="21" customHeight="1" s="270">
      <c r="A494" s="297" t="n"/>
      <c r="B494" s="298" t="n"/>
      <c r="C494" s="298" t="n"/>
      <c r="D494" s="297" t="n"/>
      <c r="E494" s="349" t="n"/>
      <c r="F494" s="349" t="n"/>
      <c r="G494" s="349" t="n"/>
      <c r="H494" s="349" t="n"/>
      <c r="I494" s="382" t="n"/>
      <c r="J494" s="383" t="n"/>
      <c r="K494" s="351" t="n"/>
      <c r="L494" s="296" t="n"/>
      <c r="M494" s="349" t="n"/>
      <c r="N494" s="349">
        <f>IF($A494="","",IF(OR(LOWER($D494&amp;"")="n/a",ISNUMBER(SEARCH("subscription",LOWER($A494&amp;" "&amp;$M494&amp;""))),ISNUMBER(SEARCH("membership",LOWER($A494&amp;" "&amp;$M494&amp;"")))),"",IF($G494="","",IF(ISNUMBER(SEARCH("non",LOWER($E494&amp;""))),$G494*0.85,$G494))))</f>
        <v/>
      </c>
      <c r="O494" s="349">
        <f>IF($A494="","",IF(OR(LOWER($D494&amp;"")="n/a",ISNUMBER(SEARCH("subscription",LOWER($A494&amp;" "&amp;$M494&amp;""))),ISNUMBER(SEARCH("membership",LOWER($A494&amp;" "&amp;$M494&amp;"")))),"",IF(OR($N494="",$I494="",$I494=0),"",$N494/$I494)))</f>
        <v/>
      </c>
      <c r="P494" s="349">
        <f>IF($A494="","",IF(OR(LOWER($D494&amp;"")="n/a",ISNUMBER(SEARCH("subscription",LOWER($A494&amp;" "&amp;$M494&amp;""))),ISNUMBER(SEARCH("membership",LOWER($A494&amp;" "&amp;$M494&amp;"")))),"",IF(LOWER($L494&amp;"")="yes",0,IF($K494&lt;&gt;"",$K494,IF($O494&lt;&gt;"",$O494,"")))))</f>
        <v/>
      </c>
      <c r="Q494" s="351">
        <f>IF($A494="","",IF($U494="Subscription","",IF($U494="Profit",$P494-$H494,0)))</f>
        <v/>
      </c>
      <c r="R494" s="349">
        <f>IF($A494="","",IF($U494="Subscription","",IF($U494="Draw",$H494,0)))</f>
        <v/>
      </c>
      <c r="S494" s="349">
        <f>IF($A494="","",IF($U494="Subscription","",IF($U494="Disqualified",$H494,0)))</f>
        <v/>
      </c>
      <c r="T494" s="380">
        <f>IF($A494="","",IF($U494="Subscription","",IF($H494=0,IF($U494="Profit","N/A",0),IF($U494="Profit",$Q494/$H494,IF($U494="Disqualified",-1,0)))))</f>
        <v/>
      </c>
      <c r="U494" s="351">
        <f>IF($A494="","",IF(OR(LOWER($D494&amp;"")="n/a",ISNUMBER(SEARCH("subscription",LOWER($A494&amp;" "&amp;$M494&amp;""))),ISNUMBER(SEARCH("membership",LOWER($A494&amp;" "&amp;$M494&amp;"")))),"Subscription",IF(LOWER($L494&amp;"")="yes","Disqualified",IF($P494&gt;$H494,"Profit","Draw"))))</f>
        <v/>
      </c>
      <c r="V494" s="383">
        <f>IF(OR($A494="",$B494="",$C494="",$U494="Subscription"),"",IFERROR(ROUNDUP((IF(ISNUMBER($C494),$C494,DATEVALUE($C494))-IF(ISNUMBER($B494),$B494,DATEVALUE($B494)))/7,0),""))</f>
        <v/>
      </c>
      <c r="W494" s="351">
        <f>IF($U494="Subscription","",$Q494-$S494)</f>
        <v/>
      </c>
      <c r="X494" s="384">
        <f>IF(OR($A494="",$U494="Subscription",$J494="",$I494="",$J494=0,$I494=0,$I494&gt;$J494),"",$J494-$I494)</f>
        <v/>
      </c>
      <c r="Y494" s="381">
        <f>IF(OR($A494="",$U494="Subscription",$J494="",$J494=0,$X494=""),"",$X494/$J494)</f>
        <v/>
      </c>
    </row>
    <row r="495" ht="21" customHeight="1" s="270">
      <c r="A495" s="297" t="n"/>
      <c r="B495" s="298" t="n"/>
      <c r="C495" s="298" t="n"/>
      <c r="D495" s="297" t="n"/>
      <c r="E495" s="349" t="n"/>
      <c r="F495" s="349" t="n"/>
      <c r="G495" s="349" t="n"/>
      <c r="H495" s="349" t="n"/>
      <c r="I495" s="382" t="n"/>
      <c r="J495" s="383" t="n"/>
      <c r="K495" s="351" t="n"/>
      <c r="L495" s="296" t="n"/>
      <c r="M495" s="349" t="n"/>
      <c r="N495" s="349">
        <f>IF($A495="","",IF(OR(LOWER($D495&amp;"")="n/a",ISNUMBER(SEARCH("subscription",LOWER($A495&amp;" "&amp;$M495&amp;""))),ISNUMBER(SEARCH("membership",LOWER($A495&amp;" "&amp;$M495&amp;"")))),"",IF($G495="","",IF(ISNUMBER(SEARCH("non",LOWER($E495&amp;""))),$G495*0.85,$G495))))</f>
        <v/>
      </c>
      <c r="O495" s="349">
        <f>IF($A495="","",IF(OR(LOWER($D495&amp;"")="n/a",ISNUMBER(SEARCH("subscription",LOWER($A495&amp;" "&amp;$M495&amp;""))),ISNUMBER(SEARCH("membership",LOWER($A495&amp;" "&amp;$M495&amp;"")))),"",IF(OR($N495="",$I495="",$I495=0),"",$N495/$I495)))</f>
        <v/>
      </c>
      <c r="P495" s="349">
        <f>IF($A495="","",IF(OR(LOWER($D495&amp;"")="n/a",ISNUMBER(SEARCH("subscription",LOWER($A495&amp;" "&amp;$M495&amp;""))),ISNUMBER(SEARCH("membership",LOWER($A495&amp;" "&amp;$M495&amp;"")))),"",IF(LOWER($L495&amp;"")="yes",0,IF($K495&lt;&gt;"",$K495,IF($O495&lt;&gt;"",$O495,"")))))</f>
        <v/>
      </c>
      <c r="Q495" s="351">
        <f>IF($A495="","",IF($U495="Subscription","",IF($U495="Profit",$P495-$H495,0)))</f>
        <v/>
      </c>
      <c r="R495" s="349">
        <f>IF($A495="","",IF($U495="Subscription","",IF($U495="Draw",$H495,0)))</f>
        <v/>
      </c>
      <c r="S495" s="349">
        <f>IF($A495="","",IF($U495="Subscription","",IF($U495="Disqualified",$H495,0)))</f>
        <v/>
      </c>
      <c r="T495" s="380">
        <f>IF($A495="","",IF($U495="Subscription","",IF($H495=0,IF($U495="Profit","N/A",0),IF($U495="Profit",$Q495/$H495,IF($U495="Disqualified",-1,0)))))</f>
        <v/>
      </c>
      <c r="U495" s="351">
        <f>IF($A495="","",IF(OR(LOWER($D495&amp;"")="n/a",ISNUMBER(SEARCH("subscription",LOWER($A495&amp;" "&amp;$M495&amp;""))),ISNUMBER(SEARCH("membership",LOWER($A495&amp;" "&amp;$M495&amp;"")))),"Subscription",IF(LOWER($L495&amp;"")="yes","Disqualified",IF($P495&gt;$H495,"Profit","Draw"))))</f>
        <v/>
      </c>
      <c r="V495" s="383">
        <f>IF(OR($A495="",$B495="",$C495="",$U495="Subscription"),"",IFERROR(ROUNDUP((IF(ISNUMBER($C495),$C495,DATEVALUE($C495))-IF(ISNUMBER($B495),$B495,DATEVALUE($B495)))/7,0),""))</f>
        <v/>
      </c>
      <c r="W495" s="351">
        <f>IF($U495="Subscription","",$Q495-$S495)</f>
        <v/>
      </c>
      <c r="X495" s="384">
        <f>IF(OR($A495="",$U495="Subscription",$J495="",$I495="",$J495=0,$I495=0,$I495&gt;$J495),"",$J495-$I495)</f>
        <v/>
      </c>
      <c r="Y495" s="381">
        <f>IF(OR($A495="",$U495="Subscription",$J495="",$J495=0,$X495=""),"",$X495/$J495)</f>
        <v/>
      </c>
    </row>
    <row r="496" ht="21" customHeight="1" s="270">
      <c r="A496" s="297" t="n"/>
      <c r="B496" s="298" t="n"/>
      <c r="C496" s="298" t="n"/>
      <c r="D496" s="297" t="n"/>
      <c r="E496" s="349" t="n"/>
      <c r="F496" s="349" t="n"/>
      <c r="G496" s="349" t="n"/>
      <c r="H496" s="349" t="n"/>
      <c r="I496" s="382" t="n"/>
      <c r="J496" s="383" t="n"/>
      <c r="K496" s="351" t="n"/>
      <c r="L496" s="296" t="n"/>
      <c r="M496" s="349" t="n"/>
      <c r="N496" s="349">
        <f>IF($A496="","",IF(OR(LOWER($D496&amp;"")="n/a",ISNUMBER(SEARCH("subscription",LOWER($A496&amp;" "&amp;$M496&amp;""))),ISNUMBER(SEARCH("membership",LOWER($A496&amp;" "&amp;$M496&amp;"")))),"",IF($G496="","",IF(ISNUMBER(SEARCH("non",LOWER($E496&amp;""))),$G496*0.85,$G496))))</f>
        <v/>
      </c>
      <c r="O496" s="349">
        <f>IF($A496="","",IF(OR(LOWER($D496&amp;"")="n/a",ISNUMBER(SEARCH("subscription",LOWER($A496&amp;" "&amp;$M496&amp;""))),ISNUMBER(SEARCH("membership",LOWER($A496&amp;" "&amp;$M496&amp;"")))),"",IF(OR($N496="",$I496="",$I496=0),"",$N496/$I496)))</f>
        <v/>
      </c>
      <c r="P496" s="349">
        <f>IF($A496="","",IF(OR(LOWER($D496&amp;"")="n/a",ISNUMBER(SEARCH("subscription",LOWER($A496&amp;" "&amp;$M496&amp;""))),ISNUMBER(SEARCH("membership",LOWER($A496&amp;" "&amp;$M496&amp;"")))),"",IF(LOWER($L496&amp;"")="yes",0,IF($K496&lt;&gt;"",$K496,IF($O496&lt;&gt;"",$O496,"")))))</f>
        <v/>
      </c>
      <c r="Q496" s="351">
        <f>IF($A496="","",IF($U496="Subscription","",IF($U496="Profit",$P496-$H496,0)))</f>
        <v/>
      </c>
      <c r="R496" s="349">
        <f>IF($A496="","",IF($U496="Subscription","",IF($U496="Draw",$H496,0)))</f>
        <v/>
      </c>
      <c r="S496" s="349">
        <f>IF($A496="","",IF($U496="Subscription","",IF($U496="Disqualified",$H496,0)))</f>
        <v/>
      </c>
      <c r="T496" s="380">
        <f>IF($A496="","",IF($U496="Subscription","",IF($H496=0,IF($U496="Profit","N/A",0),IF($U496="Profit",$Q496/$H496,IF($U496="Disqualified",-1,0)))))</f>
        <v/>
      </c>
      <c r="U496" s="351">
        <f>IF($A496="","",IF(OR(LOWER($D496&amp;"")="n/a",ISNUMBER(SEARCH("subscription",LOWER($A496&amp;" "&amp;$M496&amp;""))),ISNUMBER(SEARCH("membership",LOWER($A496&amp;" "&amp;$M496&amp;"")))),"Subscription",IF(LOWER($L496&amp;"")="yes","Disqualified",IF($P496&gt;$H496,"Profit","Draw"))))</f>
        <v/>
      </c>
      <c r="V496" s="383">
        <f>IF(OR($A496="",$B496="",$C496="",$U496="Subscription"),"",IFERROR(ROUNDUP((IF(ISNUMBER($C496),$C496,DATEVALUE($C496))-IF(ISNUMBER($B496),$B496,DATEVALUE($B496)))/7,0),""))</f>
        <v/>
      </c>
      <c r="W496" s="351">
        <f>IF($U496="Subscription","",$Q496-$S496)</f>
        <v/>
      </c>
      <c r="X496" s="384">
        <f>IF(OR($A496="",$U496="Subscription",$J496="",$I496="",$J496=0,$I496=0,$I496&gt;$J496),"",$J496-$I496)</f>
        <v/>
      </c>
      <c r="Y496" s="381">
        <f>IF(OR($A496="",$U496="Subscription",$J496="",$J496=0,$X496=""),"",$X496/$J496)</f>
        <v/>
      </c>
    </row>
    <row r="497" ht="21" customHeight="1" s="270">
      <c r="A497" s="297" t="n"/>
      <c r="B497" s="298" t="n"/>
      <c r="C497" s="298" t="n"/>
      <c r="D497" s="297" t="n"/>
      <c r="E497" s="349" t="n"/>
      <c r="F497" s="349" t="n"/>
      <c r="G497" s="349" t="n"/>
      <c r="H497" s="349" t="n"/>
      <c r="I497" s="382" t="n"/>
      <c r="J497" s="383" t="n"/>
      <c r="K497" s="351" t="n"/>
      <c r="L497" s="296" t="n"/>
      <c r="M497" s="349" t="n"/>
      <c r="N497" s="349">
        <f>IF($A497="","",IF(OR(LOWER($D497&amp;"")="n/a",ISNUMBER(SEARCH("subscription",LOWER($A497&amp;" "&amp;$M497&amp;""))),ISNUMBER(SEARCH("membership",LOWER($A497&amp;" "&amp;$M497&amp;"")))),"",IF($G497="","",IF(ISNUMBER(SEARCH("non",LOWER($E497&amp;""))),$G497*0.85,$G497))))</f>
        <v/>
      </c>
      <c r="O497" s="349">
        <f>IF($A497="","",IF(OR(LOWER($D497&amp;"")="n/a",ISNUMBER(SEARCH("subscription",LOWER($A497&amp;" "&amp;$M497&amp;""))),ISNUMBER(SEARCH("membership",LOWER($A497&amp;" "&amp;$M497&amp;"")))),"",IF(OR($N497="",$I497="",$I497=0),"",$N497/$I497)))</f>
        <v/>
      </c>
      <c r="P497" s="349">
        <f>IF($A497="","",IF(OR(LOWER($D497&amp;"")="n/a",ISNUMBER(SEARCH("subscription",LOWER($A497&amp;" "&amp;$M497&amp;""))),ISNUMBER(SEARCH("membership",LOWER($A497&amp;" "&amp;$M497&amp;"")))),"",IF(LOWER($L497&amp;"")="yes",0,IF($K497&lt;&gt;"",$K497,IF($O497&lt;&gt;"",$O497,"")))))</f>
        <v/>
      </c>
      <c r="Q497" s="351">
        <f>IF($A497="","",IF($U497="Subscription","",IF($U497="Profit",$P497-$H497,0)))</f>
        <v/>
      </c>
      <c r="R497" s="349">
        <f>IF($A497="","",IF($U497="Subscription","",IF($U497="Draw",$H497,0)))</f>
        <v/>
      </c>
      <c r="S497" s="349">
        <f>IF($A497="","",IF($U497="Subscription","",IF($U497="Disqualified",$H497,0)))</f>
        <v/>
      </c>
      <c r="T497" s="380">
        <f>IF($A497="","",IF($U497="Subscription","",IF($H497=0,IF($U497="Profit","N/A",0),IF($U497="Profit",$Q497/$H497,IF($U497="Disqualified",-1,0)))))</f>
        <v/>
      </c>
      <c r="U497" s="351">
        <f>IF($A497="","",IF(OR(LOWER($D497&amp;"")="n/a",ISNUMBER(SEARCH("subscription",LOWER($A497&amp;" "&amp;$M497&amp;""))),ISNUMBER(SEARCH("membership",LOWER($A497&amp;" "&amp;$M497&amp;"")))),"Subscription",IF(LOWER($L497&amp;"")="yes","Disqualified",IF($P497&gt;$H497,"Profit","Draw"))))</f>
        <v/>
      </c>
      <c r="V497" s="383">
        <f>IF(OR($A497="",$B497="",$C497="",$U497="Subscription"),"",IFERROR(ROUNDUP((IF(ISNUMBER($C497),$C497,DATEVALUE($C497))-IF(ISNUMBER($B497),$B497,DATEVALUE($B497)))/7,0),""))</f>
        <v/>
      </c>
      <c r="W497" s="351">
        <f>IF($U497="Subscription","",$Q497-$S497)</f>
        <v/>
      </c>
      <c r="X497" s="384">
        <f>IF(OR($A497="",$U497="Subscription",$J497="",$I497="",$J497=0,$I497=0,$I497&gt;$J497),"",$J497-$I497)</f>
        <v/>
      </c>
      <c r="Y497" s="381">
        <f>IF(OR($A497="",$U497="Subscription",$J497="",$J497=0,$X497=""),"",$X497/$J497)</f>
        <v/>
      </c>
    </row>
    <row r="498" ht="21" customHeight="1" s="270">
      <c r="A498" s="297" t="n"/>
      <c r="B498" s="298" t="n"/>
      <c r="C498" s="298" t="n"/>
      <c r="D498" s="297" t="n"/>
      <c r="E498" s="349" t="n"/>
      <c r="F498" s="349" t="n"/>
      <c r="G498" s="349" t="n"/>
      <c r="H498" s="349" t="n"/>
      <c r="I498" s="382" t="n"/>
      <c r="J498" s="383" t="n"/>
      <c r="K498" s="351" t="n"/>
      <c r="L498" s="296" t="n"/>
      <c r="M498" s="349" t="n"/>
      <c r="N498" s="349">
        <f>IF($A498="","",IF(OR(LOWER($D498&amp;"")="n/a",ISNUMBER(SEARCH("subscription",LOWER($A498&amp;" "&amp;$M498&amp;""))),ISNUMBER(SEARCH("membership",LOWER($A498&amp;" "&amp;$M498&amp;"")))),"",IF($G498="","",IF(ISNUMBER(SEARCH("non",LOWER($E498&amp;""))),$G498*0.85,$G498))))</f>
        <v/>
      </c>
      <c r="O498" s="349">
        <f>IF($A498="","",IF(OR(LOWER($D498&amp;"")="n/a",ISNUMBER(SEARCH("subscription",LOWER($A498&amp;" "&amp;$M498&amp;""))),ISNUMBER(SEARCH("membership",LOWER($A498&amp;" "&amp;$M498&amp;"")))),"",IF(OR($N498="",$I498="",$I498=0),"",$N498/$I498)))</f>
        <v/>
      </c>
      <c r="P498" s="349">
        <f>IF($A498="","",IF(OR(LOWER($D498&amp;"")="n/a",ISNUMBER(SEARCH("subscription",LOWER($A498&amp;" "&amp;$M498&amp;""))),ISNUMBER(SEARCH("membership",LOWER($A498&amp;" "&amp;$M498&amp;"")))),"",IF(LOWER($L498&amp;"")="yes",0,IF($K498&lt;&gt;"",$K498,IF($O498&lt;&gt;"",$O498,"")))))</f>
        <v/>
      </c>
      <c r="Q498" s="351">
        <f>IF($A498="","",IF($U498="Subscription","",IF($U498="Profit",$P498-$H498,0)))</f>
        <v/>
      </c>
      <c r="R498" s="349">
        <f>IF($A498="","",IF($U498="Subscription","",IF($U498="Draw",$H498,0)))</f>
        <v/>
      </c>
      <c r="S498" s="349">
        <f>IF($A498="","",IF($U498="Subscription","",IF($U498="Disqualified",$H498,0)))</f>
        <v/>
      </c>
      <c r="T498" s="380">
        <f>IF($A498="","",IF($U498="Subscription","",IF($H498=0,IF($U498="Profit","N/A",0),IF($U498="Profit",$Q498/$H498,IF($U498="Disqualified",-1,0)))))</f>
        <v/>
      </c>
      <c r="U498" s="351">
        <f>IF($A498="","",IF(OR(LOWER($D498&amp;"")="n/a",ISNUMBER(SEARCH("subscription",LOWER($A498&amp;" "&amp;$M498&amp;""))),ISNUMBER(SEARCH("membership",LOWER($A498&amp;" "&amp;$M498&amp;"")))),"Subscription",IF(LOWER($L498&amp;"")="yes","Disqualified",IF($P498&gt;$H498,"Profit","Draw"))))</f>
        <v/>
      </c>
      <c r="V498" s="383">
        <f>IF(OR($A498="",$B498="",$C498="",$U498="Subscription"),"",IFERROR(ROUNDUP((IF(ISNUMBER($C498),$C498,DATEVALUE($C498))-IF(ISNUMBER($B498),$B498,DATEVALUE($B498)))/7,0),""))</f>
        <v/>
      </c>
      <c r="W498" s="351">
        <f>IF($U498="Subscription","",$Q498-$S498)</f>
        <v/>
      </c>
      <c r="X498" s="384">
        <f>IF(OR($A498="",$U498="Subscription",$J498="",$I498="",$J498=0,$I498=0,$I498&gt;$J498),"",$J498-$I498)</f>
        <v/>
      </c>
      <c r="Y498" s="381">
        <f>IF(OR($A498="",$U498="Subscription",$J498="",$J498=0,$X498=""),"",$X498/$J498)</f>
        <v/>
      </c>
    </row>
    <row r="499" ht="21" customHeight="1" s="270">
      <c r="A499" s="297" t="n"/>
      <c r="B499" s="298" t="n"/>
      <c r="C499" s="298" t="n"/>
      <c r="D499" s="297" t="n"/>
      <c r="E499" s="349" t="n"/>
      <c r="F499" s="349" t="n"/>
      <c r="G499" s="349" t="n"/>
      <c r="H499" s="349" t="n"/>
      <c r="I499" s="382" t="n"/>
      <c r="J499" s="383" t="n"/>
      <c r="K499" s="351" t="n"/>
      <c r="L499" s="296" t="n"/>
      <c r="M499" s="349" t="n"/>
      <c r="N499" s="349">
        <f>IF($A499="","",IF(OR(LOWER($D499&amp;"")="n/a",ISNUMBER(SEARCH("subscription",LOWER($A499&amp;" "&amp;$M499&amp;""))),ISNUMBER(SEARCH("membership",LOWER($A499&amp;" "&amp;$M499&amp;"")))),"",IF($G499="","",IF(ISNUMBER(SEARCH("non",LOWER($E499&amp;""))),$G499*0.85,$G499))))</f>
        <v/>
      </c>
      <c r="O499" s="349">
        <f>IF($A499="","",IF(OR(LOWER($D499&amp;"")="n/a",ISNUMBER(SEARCH("subscription",LOWER($A499&amp;" "&amp;$M499&amp;""))),ISNUMBER(SEARCH("membership",LOWER($A499&amp;" "&amp;$M499&amp;"")))),"",IF(OR($N499="",$I499="",$I499=0),"",$N499/$I499)))</f>
        <v/>
      </c>
      <c r="P499" s="349">
        <f>IF($A499="","",IF(OR(LOWER($D499&amp;"")="n/a",ISNUMBER(SEARCH("subscription",LOWER($A499&amp;" "&amp;$M499&amp;""))),ISNUMBER(SEARCH("membership",LOWER($A499&amp;" "&amp;$M499&amp;"")))),"",IF(LOWER($L499&amp;"")="yes",0,IF($K499&lt;&gt;"",$K499,IF($O499&lt;&gt;"",$O499,"")))))</f>
        <v/>
      </c>
      <c r="Q499" s="351">
        <f>IF($A499="","",IF($U499="Subscription","",IF($U499="Profit",$P499-$H499,0)))</f>
        <v/>
      </c>
      <c r="R499" s="349">
        <f>IF($A499="","",IF($U499="Subscription","",IF($U499="Draw",$H499,0)))</f>
        <v/>
      </c>
      <c r="S499" s="349">
        <f>IF($A499="","",IF($U499="Subscription","",IF($U499="Disqualified",$H499,0)))</f>
        <v/>
      </c>
      <c r="T499" s="380">
        <f>IF($A499="","",IF($U499="Subscription","",IF($H499=0,IF($U499="Profit","N/A",0),IF($U499="Profit",$Q499/$H499,IF($U499="Disqualified",-1,0)))))</f>
        <v/>
      </c>
      <c r="U499" s="351">
        <f>IF($A499="","",IF(OR(LOWER($D499&amp;"")="n/a",ISNUMBER(SEARCH("subscription",LOWER($A499&amp;" "&amp;$M499&amp;""))),ISNUMBER(SEARCH("membership",LOWER($A499&amp;" "&amp;$M499&amp;"")))),"Subscription",IF(LOWER($L499&amp;"")="yes","Disqualified",IF($P499&gt;$H499,"Profit","Draw"))))</f>
        <v/>
      </c>
      <c r="V499" s="383">
        <f>IF(OR($A499="",$B499="",$C499="",$U499="Subscription"),"",IFERROR(ROUNDUP((IF(ISNUMBER($C499),$C499,DATEVALUE($C499))-IF(ISNUMBER($B499),$B499,DATEVALUE($B499)))/7,0),""))</f>
        <v/>
      </c>
      <c r="W499" s="351">
        <f>IF($U499="Subscription","",$Q499-$S499)</f>
        <v/>
      </c>
      <c r="X499" s="384">
        <f>IF(OR($A499="",$U499="Subscription",$J499="",$I499="",$J499=0,$I499=0,$I499&gt;$J499),"",$J499-$I499)</f>
        <v/>
      </c>
      <c r="Y499" s="381">
        <f>IF(OR($A499="",$U499="Subscription",$J499="",$J499=0,$X499=""),"",$X499/$J499)</f>
        <v/>
      </c>
    </row>
    <row r="500" ht="21" customHeight="1" s="270">
      <c r="A500" s="297" t="n"/>
      <c r="B500" s="298" t="n"/>
      <c r="C500" s="298" t="n"/>
      <c r="D500" s="297" t="n"/>
      <c r="E500" s="349" t="n"/>
      <c r="F500" s="349" t="n"/>
      <c r="G500" s="349" t="n"/>
      <c r="H500" s="349" t="n"/>
      <c r="I500" s="382" t="n"/>
      <c r="J500" s="383" t="n"/>
      <c r="K500" s="351" t="n"/>
      <c r="L500" s="296" t="n"/>
      <c r="M500" s="349" t="n"/>
      <c r="N500" s="349">
        <f>IF($A500="","",IF(OR(LOWER($D500&amp;"")="n/a",ISNUMBER(SEARCH("subscription",LOWER($A500&amp;" "&amp;$M500&amp;""))),ISNUMBER(SEARCH("membership",LOWER($A500&amp;" "&amp;$M500&amp;"")))),"",IF($G500="","",IF(ISNUMBER(SEARCH("non",LOWER($E500&amp;""))),$G500*0.85,$G500))))</f>
        <v/>
      </c>
      <c r="O500" s="349">
        <f>IF($A500="","",IF(OR(LOWER($D500&amp;"")="n/a",ISNUMBER(SEARCH("subscription",LOWER($A500&amp;" "&amp;$M500&amp;""))),ISNUMBER(SEARCH("membership",LOWER($A500&amp;" "&amp;$M500&amp;"")))),"",IF(OR($N500="",$I500="",$I500=0),"",$N500/$I500)))</f>
        <v/>
      </c>
      <c r="P500" s="349">
        <f>IF($A500="","",IF(OR(LOWER($D500&amp;"")="n/a",ISNUMBER(SEARCH("subscription",LOWER($A500&amp;" "&amp;$M500&amp;""))),ISNUMBER(SEARCH("membership",LOWER($A500&amp;" "&amp;$M500&amp;"")))),"",IF(LOWER($L500&amp;"")="yes",0,IF($K500&lt;&gt;"",$K500,IF($O500&lt;&gt;"",$O500,"")))))</f>
        <v/>
      </c>
      <c r="Q500" s="351">
        <f>IF($A500="","",IF($U500="Subscription","",IF($U500="Profit",$P500-$H500,0)))</f>
        <v/>
      </c>
      <c r="R500" s="349">
        <f>IF($A500="","",IF($U500="Subscription","",IF($U500="Draw",$H500,0)))</f>
        <v/>
      </c>
      <c r="S500" s="349">
        <f>IF($A500="","",IF($U500="Subscription","",IF($U500="Disqualified",$H500,0)))</f>
        <v/>
      </c>
      <c r="T500" s="380">
        <f>IF($A500="","",IF($U500="Subscription","",IF($H500=0,IF($U500="Profit","N/A",0),IF($U500="Profit",$Q500/$H500,IF($U500="Disqualified",-1,0)))))</f>
        <v/>
      </c>
      <c r="U500" s="351">
        <f>IF($A500="","",IF(OR(LOWER($D500&amp;"")="n/a",ISNUMBER(SEARCH("subscription",LOWER($A500&amp;" "&amp;$M500&amp;""))),ISNUMBER(SEARCH("membership",LOWER($A500&amp;" "&amp;$M500&amp;"")))),"Subscription",IF(LOWER($L500&amp;"")="yes","Disqualified",IF($P500&gt;$H500,"Profit","Draw"))))</f>
        <v/>
      </c>
      <c r="V500" s="383">
        <f>IF(OR($A500="",$B500="",$C500="",$U500="Subscription"),"",IFERROR(ROUNDUP((IF(ISNUMBER($C500),$C500,DATEVALUE($C500))-IF(ISNUMBER($B500),$B500,DATEVALUE($B500)))/7,0),""))</f>
        <v/>
      </c>
      <c r="W500" s="351">
        <f>IF($U500="Subscription","",$Q500-$S500)</f>
        <v/>
      </c>
      <c r="X500" s="384">
        <f>IF(OR($A500="",$U500="Subscription",$J500="",$I500="",$J500=0,$I500=0,$I500&gt;$J500),"",$J500-$I500)</f>
        <v/>
      </c>
      <c r="Y500" s="381">
        <f>IF(OR($A500="",$U500="Subscription",$J500="",$J500=0,$X500=""),"",$X500/$J500)</f>
        <v/>
      </c>
    </row>
    <row r="501" ht="21" customHeight="1" s="270">
      <c r="A501" s="297" t="n"/>
      <c r="B501" s="298" t="n"/>
      <c r="C501" s="298" t="n"/>
      <c r="D501" s="297" t="n"/>
      <c r="E501" s="349" t="n"/>
      <c r="F501" s="349" t="n"/>
      <c r="G501" s="349" t="n"/>
      <c r="H501" s="349" t="n"/>
      <c r="I501" s="382" t="n"/>
      <c r="J501" s="383" t="n"/>
      <c r="K501" s="351" t="n"/>
      <c r="L501" s="296" t="n"/>
      <c r="M501" s="349" t="n"/>
      <c r="N501" s="349">
        <f>IF($A501="","",IF(OR(LOWER($D501&amp;"")="n/a",ISNUMBER(SEARCH("subscription",LOWER($A501&amp;" "&amp;$M501&amp;""))),ISNUMBER(SEARCH("membership",LOWER($A501&amp;" "&amp;$M501&amp;"")))),"",IF($G501="","",IF(ISNUMBER(SEARCH("non",LOWER($E501&amp;""))),$G501*0.85,$G501))))</f>
        <v/>
      </c>
      <c r="O501" s="349">
        <f>IF($A501="","",IF(OR(LOWER($D501&amp;"")="n/a",ISNUMBER(SEARCH("subscription",LOWER($A501&amp;" "&amp;$M501&amp;""))),ISNUMBER(SEARCH("membership",LOWER($A501&amp;" "&amp;$M501&amp;"")))),"",IF(OR($N501="",$I501="",$I501=0),"",$N501/$I501)))</f>
        <v/>
      </c>
      <c r="P501" s="349">
        <f>IF($A501="","",IF(OR(LOWER($D501&amp;"")="n/a",ISNUMBER(SEARCH("subscription",LOWER($A501&amp;" "&amp;$M501&amp;""))),ISNUMBER(SEARCH("membership",LOWER($A501&amp;" "&amp;$M501&amp;"")))),"",IF(LOWER($L501&amp;"")="yes",0,IF($K501&lt;&gt;"",$K501,IF($O501&lt;&gt;"",$O501,"")))))</f>
        <v/>
      </c>
      <c r="Q501" s="351">
        <f>IF($A501="","",IF($U501="Subscription","",IF($U501="Profit",$P501-$H501,0)))</f>
        <v/>
      </c>
      <c r="R501" s="349">
        <f>IF($A501="","",IF($U501="Subscription","",IF($U501="Draw",$H501,0)))</f>
        <v/>
      </c>
      <c r="S501" s="349">
        <f>IF($A501="","",IF($U501="Subscription","",IF($U501="Disqualified",$H501,0)))</f>
        <v/>
      </c>
      <c r="T501" s="380">
        <f>IF($A501="","",IF($U501="Subscription","",IF($H501=0,IF($U501="Profit","N/A",0),IF($U501="Profit",$Q501/$H501,IF($U501="Disqualified",-1,0)))))</f>
        <v/>
      </c>
      <c r="U501" s="351">
        <f>IF($A501="","",IF(OR(LOWER($D501&amp;"")="n/a",ISNUMBER(SEARCH("subscription",LOWER($A501&amp;" "&amp;$M501&amp;""))),ISNUMBER(SEARCH("membership",LOWER($A501&amp;" "&amp;$M501&amp;"")))),"Subscription",IF(LOWER($L501&amp;"")="yes","Disqualified",IF($P501&gt;$H501,"Profit","Draw"))))</f>
        <v/>
      </c>
      <c r="V501" s="383">
        <f>IF(OR($A501="",$B501="",$C501="",$U501="Subscription"),"",IFERROR(ROUNDUP((IF(ISNUMBER($C501),$C501,DATEVALUE($C501))-IF(ISNUMBER($B501),$B501,DATEVALUE($B501)))/7,0),""))</f>
        <v/>
      </c>
      <c r="W501" s="383">
        <f>IF($U501="Subscription","",$Q501-$S501)</f>
        <v/>
      </c>
      <c r="X501" s="384">
        <f>IF(OR($A501="",$U501="Subscription",$J501="",$I501="",$J501=0,$I501=0,$I501&gt;$J501),"",$J501-$I501)</f>
        <v/>
      </c>
      <c r="Y501" s="381">
        <f>IF(OR($A501="",$U501="Subscription",$J501="",$J501=0,$X501=""),"",$X501/$J501)</f>
        <v/>
      </c>
    </row>
    <row r="502" ht="21" customHeight="1" s="270">
      <c r="A502" s="297" t="n"/>
      <c r="B502" s="298" t="n"/>
      <c r="C502" s="298" t="n"/>
      <c r="D502" s="297" t="n"/>
      <c r="E502" s="349" t="n"/>
      <c r="F502" s="349" t="n"/>
      <c r="G502" s="349" t="n"/>
      <c r="H502" s="349" t="n"/>
      <c r="I502" s="382" t="n"/>
      <c r="J502" s="383" t="n"/>
      <c r="K502" s="351" t="n"/>
      <c r="L502" s="296" t="n"/>
      <c r="M502" s="349" t="n"/>
      <c r="N502" s="349">
        <f>IF($A502="","",IF(OR(LOWER($D502&amp;"")="n/a",ISNUMBER(SEARCH("subscription",LOWER($A502&amp;" "&amp;$M502&amp;""))),ISNUMBER(SEARCH("membership",LOWER($A502&amp;" "&amp;$M502&amp;"")))),"",IF($G502="","",IF(ISNUMBER(SEARCH("non",LOWER($E502&amp;""))),$G502*0.85,$G502))))</f>
        <v/>
      </c>
      <c r="O502" s="349">
        <f>IF($A502="","",IF(OR(LOWER($D502&amp;"")="n/a",ISNUMBER(SEARCH("subscription",LOWER($A502&amp;" "&amp;$M502&amp;""))),ISNUMBER(SEARCH("membership",LOWER($A502&amp;" "&amp;$M502&amp;"")))),"",IF(OR($N502="",$I502="",$I502=0),"",$N502/$I502)))</f>
        <v/>
      </c>
      <c r="P502" s="349">
        <f>IF($A502="","",IF(OR(LOWER($D502&amp;"")="n/a",ISNUMBER(SEARCH("subscription",LOWER($A502&amp;" "&amp;$M502&amp;""))),ISNUMBER(SEARCH("membership",LOWER($A502&amp;" "&amp;$M502&amp;"")))),"",IF(LOWER($L502&amp;"")="yes",0,IF($K502&lt;&gt;"",$K502,IF($O502&lt;&gt;"",$O502,"")))))</f>
        <v/>
      </c>
      <c r="Q502" s="351">
        <f>IF($A502="","",IF($U502="Subscription","",IF($U502="Profit",$P502-$H502,0)))</f>
        <v/>
      </c>
      <c r="R502" s="349">
        <f>IF($A502="","",IF($U502="Subscription","",IF($U502="Draw",$H502,0)))</f>
        <v/>
      </c>
      <c r="S502" s="349">
        <f>IF($A502="","",IF($U502="Subscription","",IF($U502="Disqualified",$H502,0)))</f>
        <v/>
      </c>
      <c r="T502" s="380">
        <f>IF($A502="","",IF($U502="Subscription","",IF($H502=0,IF($U502="Profit","N/A",0),IF($U502="Profit",$Q502/$H502,IF($U502="Disqualified",-1,0)))))</f>
        <v/>
      </c>
      <c r="U502" s="351">
        <f>IF($A502="","",IF(OR(LOWER($D502&amp;"")="n/a",ISNUMBER(SEARCH("subscription",LOWER($A502&amp;" "&amp;$M502&amp;""))),ISNUMBER(SEARCH("membership",LOWER($A502&amp;" "&amp;$M502&amp;"")))),"Subscription",IF(LOWER($L502&amp;"")="yes","Disqualified",IF($P502&gt;$H502,"Profit","Draw"))))</f>
        <v/>
      </c>
      <c r="V502" s="383">
        <f>IF(OR($A502="",$B502="",$C502="",$U502="Subscription"),"",IFERROR(ROUNDUP((IF(ISNUMBER($C502),$C502,DATEVALUE($C502))-IF(ISNUMBER($B502),$B502,DATEVALUE($B502)))/7,0),""))</f>
        <v/>
      </c>
      <c r="W502" s="383">
        <f>IF($U502="Subscription","",$Q502-$S502)</f>
        <v/>
      </c>
      <c r="X502" s="384">
        <f>IF(OR($A502="",$U502="Subscription",$J502="",$I502="",$J502=0,$I502=0,$I502&gt;$J502),"",$J502-$I502)</f>
        <v/>
      </c>
      <c r="Y502" s="381">
        <f>IF(OR($A502="",$U502="Subscription",$J502="",$J502=0,$X502=""),"",$X502/$J502)</f>
        <v/>
      </c>
    </row>
    <row r="503" ht="21" customHeight="1" s="270">
      <c r="A503" s="297" t="n"/>
      <c r="B503" s="298" t="n"/>
      <c r="C503" s="298" t="n"/>
      <c r="D503" s="297" t="n"/>
      <c r="E503" s="349" t="n"/>
      <c r="F503" s="349" t="n"/>
      <c r="G503" s="349" t="n"/>
      <c r="H503" s="349" t="n"/>
      <c r="I503" s="382" t="n"/>
      <c r="J503" s="383" t="n"/>
      <c r="K503" s="351" t="n"/>
      <c r="L503" s="296" t="n"/>
      <c r="M503" s="349" t="n"/>
      <c r="N503" s="349">
        <f>IF($A503="","",IF(OR(LOWER($D503&amp;"")="n/a",ISNUMBER(SEARCH("subscription",LOWER($A503&amp;" "&amp;$M503&amp;""))),ISNUMBER(SEARCH("membership",LOWER($A503&amp;" "&amp;$M503&amp;"")))),"",IF($G503="","",IF(ISNUMBER(SEARCH("non",LOWER($E503&amp;""))),$G503*0.85,$G503))))</f>
        <v/>
      </c>
      <c r="O503" s="349">
        <f>IF($A503="","",IF(OR(LOWER($D503&amp;"")="n/a",ISNUMBER(SEARCH("subscription",LOWER($A503&amp;" "&amp;$M503&amp;""))),ISNUMBER(SEARCH("membership",LOWER($A503&amp;" "&amp;$M503&amp;"")))),"",IF(OR($N503="",$I503="",$I503=0),"",$N503/$I503)))</f>
        <v/>
      </c>
      <c r="P503" s="349">
        <f>IF($A503="","",IF(OR(LOWER($D503&amp;"")="n/a",ISNUMBER(SEARCH("subscription",LOWER($A503&amp;" "&amp;$M503&amp;""))),ISNUMBER(SEARCH("membership",LOWER($A503&amp;" "&amp;$M503&amp;"")))),"",IF(LOWER($L503&amp;"")="yes",0,IF($K503&lt;&gt;"",$K503,IF($O503&lt;&gt;"",$O503,"")))))</f>
        <v/>
      </c>
      <c r="Q503" s="351">
        <f>IF($A503="","",IF($U503="Subscription","",IF($U503="Profit",$P503-$H503,0)))</f>
        <v/>
      </c>
      <c r="R503" s="349">
        <f>IF($A503="","",IF($U503="Subscription","",IF($U503="Draw",$H503,0)))</f>
        <v/>
      </c>
      <c r="S503" s="349">
        <f>IF($A503="","",IF($U503="Subscription","",IF($U503="Disqualified",$H503,0)))</f>
        <v/>
      </c>
      <c r="T503" s="380">
        <f>IF($A503="","",IF($U503="Subscription","",IF($H503=0,IF($U503="Profit","N/A",0),IF($U503="Profit",$Q503/$H503,IF($U503="Disqualified",-1,0)))))</f>
        <v/>
      </c>
      <c r="U503" s="351">
        <f>IF($A503="","",IF(OR(LOWER($D503&amp;"")="n/a",ISNUMBER(SEARCH("subscription",LOWER($A503&amp;" "&amp;$M503&amp;""))),ISNUMBER(SEARCH("membership",LOWER($A503&amp;" "&amp;$M503&amp;"")))),"Subscription",IF(LOWER($L503&amp;"")="yes","Disqualified",IF($P503&gt;$H503,"Profit","Draw"))))</f>
        <v/>
      </c>
      <c r="V503" s="383">
        <f>IF(OR($A503="",$B503="",$C503="",$U503="Subscription"),"",IFERROR(ROUNDUP((IF(ISNUMBER($C503),$C503,DATEVALUE($C503))-IF(ISNUMBER($B503),$B503,DATEVALUE($B503)))/7,0),""))</f>
        <v/>
      </c>
      <c r="W503" s="383">
        <f>IF($U503="Subscription","",$Q503-$S503)</f>
        <v/>
      </c>
      <c r="X503" s="384">
        <f>IF(OR($A503="",$U503="Subscription",$J503="",$I503="",$J503=0,$I503=0,$I503&gt;$J503),"",$J503-$I503)</f>
        <v/>
      </c>
      <c r="Y503" s="381">
        <f>IF(OR($A503="",$U503="Subscription",$J503="",$J503=0,$X503=""),"",$X503/$J503)</f>
        <v/>
      </c>
    </row>
    <row r="504" ht="21" customHeight="1" s="270">
      <c r="A504" s="297" t="n"/>
      <c r="B504" s="298" t="n"/>
      <c r="C504" s="298" t="n"/>
      <c r="D504" s="297" t="n"/>
      <c r="E504" s="349" t="n"/>
      <c r="F504" s="349" t="n"/>
      <c r="G504" s="349" t="n"/>
      <c r="H504" s="349" t="n"/>
      <c r="I504" s="382" t="n"/>
      <c r="J504" s="383" t="n"/>
      <c r="K504" s="351" t="n"/>
      <c r="L504" s="296" t="n"/>
      <c r="M504" s="349" t="n"/>
      <c r="N504" s="349">
        <f>IF($A504="","",IF(OR(LOWER($D504&amp;"")="n/a",ISNUMBER(SEARCH("subscription",LOWER($A504&amp;" "&amp;$M504&amp;""))),ISNUMBER(SEARCH("membership",LOWER($A504&amp;" "&amp;$M504&amp;"")))),"",IF($G504="","",IF(ISNUMBER(SEARCH("non",LOWER($E504&amp;""))),$G504*0.85,$G504))))</f>
        <v/>
      </c>
      <c r="O504" s="349">
        <f>IF($A504="","",IF(OR(LOWER($D504&amp;"")="n/a",ISNUMBER(SEARCH("subscription",LOWER($A504&amp;" "&amp;$M504&amp;""))),ISNUMBER(SEARCH("membership",LOWER($A504&amp;" "&amp;$M504&amp;"")))),"",IF(OR($N504="",$I504="",$I504=0),"",$N504/$I504)))</f>
        <v/>
      </c>
      <c r="P504" s="349">
        <f>IF($A504="","",IF(OR(LOWER($D504&amp;"")="n/a",ISNUMBER(SEARCH("subscription",LOWER($A504&amp;" "&amp;$M504&amp;""))),ISNUMBER(SEARCH("membership",LOWER($A504&amp;" "&amp;$M504&amp;"")))),"",IF(LOWER($L504&amp;"")="yes",0,IF($K504&lt;&gt;"",$K504,IF($O504&lt;&gt;"",$O504,"")))))</f>
        <v/>
      </c>
      <c r="Q504" s="351">
        <f>IF($A504="","",IF($U504="Subscription","",IF($U504="Profit",$P504-$H504,0)))</f>
        <v/>
      </c>
      <c r="R504" s="349">
        <f>IF($A504="","",IF($U504="Subscription","",IF($U504="Draw",$H504,0)))</f>
        <v/>
      </c>
      <c r="S504" s="349">
        <f>IF($A504="","",IF($U504="Subscription","",IF($U504="Disqualified",$H504,0)))</f>
        <v/>
      </c>
      <c r="T504" s="380">
        <f>IF($A504="","",IF($U504="Subscription","",IF($H504=0,IF($U504="Profit","N/A",0),IF($U504="Profit",$Q504/$H504,IF($U504="Disqualified",-1,0)))))</f>
        <v/>
      </c>
      <c r="U504" s="351">
        <f>IF($A504="","",IF(OR(LOWER($D504&amp;"")="n/a",ISNUMBER(SEARCH("subscription",LOWER($A504&amp;" "&amp;$M504&amp;""))),ISNUMBER(SEARCH("membership",LOWER($A504&amp;" "&amp;$M504&amp;"")))),"Subscription",IF(LOWER($L504&amp;"")="yes","Disqualified",IF($P504&gt;$H504,"Profit","Draw"))))</f>
        <v/>
      </c>
      <c r="V504" s="383">
        <f>IF(OR($A504="",$B504="",$C504="",$U504="Subscription"),"",IFERROR(ROUNDUP((IF(ISNUMBER($C504),$C504,DATEVALUE($C504))-IF(ISNUMBER($B504),$B504,DATEVALUE($B504)))/7,0),""))</f>
        <v/>
      </c>
      <c r="W504" s="383">
        <f>IF($U504="Subscription","",$Q504-$S504)</f>
        <v/>
      </c>
      <c r="X504" s="384">
        <f>IF(OR($A504="",$U504="Subscription",$J504="",$I504="",$J504=0,$I504=0,$I504&gt;$J504),"",$J504-$I504)</f>
        <v/>
      </c>
      <c r="Y504" s="381">
        <f>IF(OR($A504="",$U504="Subscription",$J504="",$J504=0,$X504=""),"",$X504/$J504)</f>
        <v/>
      </c>
    </row>
    <row r="505">
      <c r="B505" s="354" t="n"/>
      <c r="C505" s="354" t="n"/>
      <c r="E505" s="350" t="n"/>
      <c r="F505" s="350" t="n"/>
      <c r="G505" s="350" t="n"/>
      <c r="H505" s="350" t="n"/>
      <c r="I505" s="350" t="n"/>
      <c r="J505" s="352" t="n"/>
      <c r="M505" s="350" t="n"/>
      <c r="N505" s="350">
        <f>IF($A505="","",IF(OR(LOWER($D505&amp;"")="n/a",ISNUMBER(SEARCH("subscription",LOWER($A505&amp;" "&amp;$M505&amp;""))),ISNUMBER(SEARCH("membership",LOWER($A505&amp;" "&amp;$M505&amp;"")))),"",IF($G505="","",IF(ISNUMBER(SEARCH("non",LOWER($E505&amp;""))),$G505*0.85,$G505))))</f>
        <v/>
      </c>
      <c r="O505">
        <f>IF($A505="","",IF(OR(LOWER($D505&amp;"")="n/a",ISNUMBER(SEARCH("subscription",LOWER($A505&amp;" "&amp;$M505&amp;""))),ISNUMBER(SEARCH("membership",LOWER($A505&amp;" "&amp;$M505&amp;"")))),"",IF(OR($N505="",$I505="",$I505=0),"",$N505/$I505)))</f>
        <v/>
      </c>
      <c r="P505">
        <f>IF($A505="","",IF(OR(LOWER($D505&amp;"")="n/a",ISNUMBER(SEARCH("subscription",LOWER($A505&amp;" "&amp;$M505&amp;""))),ISNUMBER(SEARCH("membership",LOWER($A505&amp;" "&amp;$M505&amp;"")))),"",IF(LOWER($L505&amp;"")="yes",0,IF($K505&lt;&gt;"",$K505,IF($O505&lt;&gt;"",$O505,"")))))</f>
        <v/>
      </c>
      <c r="Q505">
        <f>IF($A505="","",IF($U505="Subscription","",IF($U505="Profit",$P505-$H505,0)))</f>
        <v/>
      </c>
      <c r="R505">
        <f>IF($A505="","",IF($U505="Subscription","",IF($U505="Draw",$H505,0)))</f>
        <v/>
      </c>
      <c r="S505">
        <f>IF($A505="","",IF($U505="Subscription","",IF($U505="Disqualified",$H505,0)))</f>
        <v/>
      </c>
      <c r="T505">
        <f>IF($A505="","",IF($U505="Subscription","",IF($H505=0,IF($U505="Profit","N/A",0),IF($U505="Profit",$Q505/$H505,IF($U505="Disqualified",-1,0)))))</f>
        <v/>
      </c>
      <c r="U505" s="350">
        <f>IF($A505="","",IF(OR(LOWER($D505&amp;"")="n/a",ISNUMBER(SEARCH("subscription",LOWER($A505&amp;" "&amp;$M505&amp;""))),ISNUMBER(SEARCH("membership",LOWER($A505&amp;" "&amp;$M505&amp;"")))),"Subscription",IF(LOWER($L505&amp;"")="yes","Disqualified",IF($P505&gt;$H505,"Profit","Draw"))))</f>
        <v/>
      </c>
      <c r="V505">
        <f>IF(OR($A505="",$B505="",$C505="",$U505="Subscription"),"",IFERROR(ROUNDUP((IF(ISNUMBER($C505),$C505,DATEVALUE($C505))-IF(ISNUMBER($B505),$B505,DATEVALUE($B505)))/7,0),""))</f>
        <v/>
      </c>
      <c r="W505" s="352">
        <f>IF($U505="Subscription","",$Q505-$S505)</f>
        <v/>
      </c>
      <c r="X505">
        <f>IF(OR($A505="",$U505="Subscription",$J505="",$I505="",$J505=0,$I505=0,$I505&gt;$J505),"",$J505-$I505)</f>
        <v/>
      </c>
      <c r="Y505">
        <f>IF(OR($A505="",$U505="Subscription",$J505="",$J505=0,$X505=""),"",$X505/$J505)</f>
        <v/>
      </c>
    </row>
    <row r="506">
      <c r="B506" s="354" t="n"/>
      <c r="C506" s="354" t="n"/>
      <c r="E506" s="350" t="n"/>
      <c r="F506" s="350" t="n"/>
      <c r="G506" s="350" t="n"/>
      <c r="H506" s="350" t="n"/>
      <c r="I506" s="350" t="n"/>
      <c r="J506" s="352" t="n"/>
      <c r="M506" s="350" t="n"/>
      <c r="N506" s="350">
        <f>IF($A506="","",IF(OR(LOWER($D506&amp;"")="n/a",ISNUMBER(SEARCH("subscription",LOWER($A506&amp;" "&amp;$M506&amp;""))),ISNUMBER(SEARCH("membership",LOWER($A506&amp;" "&amp;$M506&amp;"")))),"",IF($G506="","",IF(ISNUMBER(SEARCH("non",LOWER($E506&amp;""))),$G506*0.85,$G506))))</f>
        <v/>
      </c>
      <c r="O506">
        <f>IF($A506="","",IF(OR(LOWER($D506&amp;"")="n/a",ISNUMBER(SEARCH("subscription",LOWER($A506&amp;" "&amp;$M506&amp;""))),ISNUMBER(SEARCH("membership",LOWER($A506&amp;" "&amp;$M506&amp;"")))),"",IF(OR($N506="",$I506="",$I506=0),"",$N506/$I506)))</f>
        <v/>
      </c>
      <c r="P506">
        <f>IF($A506="","",IF(OR(LOWER($D506&amp;"")="n/a",ISNUMBER(SEARCH("subscription",LOWER($A506&amp;" "&amp;$M506&amp;""))),ISNUMBER(SEARCH("membership",LOWER($A506&amp;" "&amp;$M506&amp;"")))),"",IF(LOWER($L506&amp;"")="yes",0,IF($K506&lt;&gt;"",$K506,IF($O506&lt;&gt;"",$O506,"")))))</f>
        <v/>
      </c>
      <c r="Q506">
        <f>IF($A506="","",IF($U506="Subscription","",IF($U506="Profit",$P506-$H506,0)))</f>
        <v/>
      </c>
      <c r="R506">
        <f>IF($A506="","",IF($U506="Subscription","",IF($U506="Draw",$H506,0)))</f>
        <v/>
      </c>
      <c r="S506">
        <f>IF($A506="","",IF($U506="Subscription","",IF($U506="Disqualified",$H506,0)))</f>
        <v/>
      </c>
      <c r="T506">
        <f>IF($A506="","",IF($U506="Subscription","",IF($H506=0,IF($U506="Profit","N/A",0),IF($U506="Profit",$Q506/$H506,IF($U506="Disqualified",-1,0)))))</f>
        <v/>
      </c>
      <c r="U506" s="350">
        <f>IF($A506="","",IF(OR(LOWER($D506&amp;"")="n/a",ISNUMBER(SEARCH("subscription",LOWER($A506&amp;" "&amp;$M506&amp;""))),ISNUMBER(SEARCH("membership",LOWER($A506&amp;" "&amp;$M506&amp;"")))),"Subscription",IF(LOWER($L506&amp;"")="yes","Disqualified",IF($P506&gt;$H506,"Profit","Draw"))))</f>
        <v/>
      </c>
      <c r="V506">
        <f>IF(OR($A506="",$B506="",$C506="",$U506="Subscription"),"",IFERROR(ROUNDUP((IF(ISNUMBER($C506),$C506,DATEVALUE($C506))-IF(ISNUMBER($B506),$B506,DATEVALUE($B506)))/7,0),""))</f>
        <v/>
      </c>
      <c r="W506" s="352">
        <f>IF($U506="Subscription","",$Q506-$S506)</f>
        <v/>
      </c>
      <c r="X506">
        <f>IF(OR($A506="",$U506="Subscription",$J506="",$I506="",$J506=0,$I506=0,$I506&gt;$J506),"",$J506-$I506)</f>
        <v/>
      </c>
      <c r="Y506">
        <f>IF(OR($A506="",$U506="Subscription",$J506="",$J506=0,$X506=""),"",$X506/$J506)</f>
        <v/>
      </c>
    </row>
    <row r="507">
      <c r="B507" s="354" t="n"/>
      <c r="C507" s="354" t="n"/>
      <c r="E507" s="350" t="n"/>
      <c r="F507" s="350" t="n"/>
      <c r="G507" s="350" t="n"/>
      <c r="H507" s="350" t="n"/>
      <c r="I507" s="350" t="n"/>
      <c r="J507" s="352" t="n"/>
      <c r="M507" s="350" t="n"/>
      <c r="N507" s="350">
        <f>IF($A507="","",IF(OR(LOWER($D507&amp;"")="n/a",ISNUMBER(SEARCH("subscription",LOWER($A507&amp;" "&amp;$M507&amp;""))),ISNUMBER(SEARCH("membership",LOWER($A507&amp;" "&amp;$M507&amp;"")))),"",IF($G507="","",IF(ISNUMBER(SEARCH("non",LOWER($E507&amp;""))),$G507*0.85,$G507))))</f>
        <v/>
      </c>
      <c r="O507">
        <f>IF($A507="","",IF(OR(LOWER($D507&amp;"")="n/a",ISNUMBER(SEARCH("subscription",LOWER($A507&amp;" "&amp;$M507&amp;""))),ISNUMBER(SEARCH("membership",LOWER($A507&amp;" "&amp;$M507&amp;"")))),"",IF(OR($N507="",$I507="",$I507=0),"",$N507/$I507)))</f>
        <v/>
      </c>
      <c r="P507">
        <f>IF($A507="","",IF(OR(LOWER($D507&amp;"")="n/a",ISNUMBER(SEARCH("subscription",LOWER($A507&amp;" "&amp;$M507&amp;""))),ISNUMBER(SEARCH("membership",LOWER($A507&amp;" "&amp;$M507&amp;"")))),"",IF(LOWER($L507&amp;"")="yes",0,IF($K507&lt;&gt;"",$K507,IF($O507&lt;&gt;"",$O507,"")))))</f>
        <v/>
      </c>
      <c r="Q507">
        <f>IF($A507="","",IF($U507="Subscription","",IF($U507="Profit",$P507-$H507,0)))</f>
        <v/>
      </c>
      <c r="R507">
        <f>IF($A507="","",IF($U507="Subscription","",IF($U507="Draw",$H507,0)))</f>
        <v/>
      </c>
      <c r="S507">
        <f>IF($A507="","",IF($U507="Subscription","",IF($U507="Disqualified",$H507,0)))</f>
        <v/>
      </c>
      <c r="T507">
        <f>IF($A507="","",IF($U507="Subscription","",IF($H507=0,IF($U507="Profit","N/A",0),IF($U507="Profit",$Q507/$H507,IF($U507="Disqualified",-1,0)))))</f>
        <v/>
      </c>
      <c r="U507" s="350">
        <f>IF($A507="","",IF(OR(LOWER($D507&amp;"")="n/a",ISNUMBER(SEARCH("subscription",LOWER($A507&amp;" "&amp;$M507&amp;""))),ISNUMBER(SEARCH("membership",LOWER($A507&amp;" "&amp;$M507&amp;"")))),"Subscription",IF(LOWER($L507&amp;"")="yes","Disqualified",IF($P507&gt;$H507,"Profit","Draw"))))</f>
        <v/>
      </c>
      <c r="V507">
        <f>IF(OR($A507="",$B507="",$C507="",$U507="Subscription"),"",IFERROR(ROUNDUP((IF(ISNUMBER($C507),$C507,DATEVALUE($C507))-IF(ISNUMBER($B507),$B507,DATEVALUE($B507)))/7,0),""))</f>
        <v/>
      </c>
      <c r="W507" s="352">
        <f>IF($U507="Subscription","",$Q507-$S507)</f>
        <v/>
      </c>
      <c r="X507">
        <f>IF(OR($A507="",$U507="Subscription",$J507="",$I507="",$J507=0,$I507=0,$I507&gt;$J507),"",$J507-$I507)</f>
        <v/>
      </c>
      <c r="Y507">
        <f>IF(OR($A507="",$U507="Subscription",$J507="",$J507=0,$X507=""),"",$X507/$J507)</f>
        <v/>
      </c>
    </row>
    <row r="508">
      <c r="B508" s="354" t="n"/>
      <c r="C508" s="354" t="n"/>
      <c r="E508" s="350" t="n"/>
      <c r="F508" s="350" t="n"/>
      <c r="G508" s="350" t="n"/>
      <c r="H508" s="350" t="n"/>
      <c r="I508" s="350" t="n"/>
      <c r="J508" s="352" t="n"/>
      <c r="M508" s="350" t="n"/>
      <c r="N508" s="350">
        <f>IF($A508="","",IF(OR(LOWER($D508&amp;"")="n/a",ISNUMBER(SEARCH("subscription",LOWER($A508&amp;" "&amp;$M508&amp;""))),ISNUMBER(SEARCH("membership",LOWER($A508&amp;" "&amp;$M508&amp;"")))),"",IF($G508="","",IF(ISNUMBER(SEARCH("non",LOWER($E508&amp;""))),$G508*0.85,$G508))))</f>
        <v/>
      </c>
      <c r="O508">
        <f>IF($A508="","",IF(OR(LOWER($D508&amp;"")="n/a",ISNUMBER(SEARCH("subscription",LOWER($A508&amp;" "&amp;$M508&amp;""))),ISNUMBER(SEARCH("membership",LOWER($A508&amp;" "&amp;$M508&amp;"")))),"",IF(OR($N508="",$I508="",$I508=0),"",$N508/$I508)))</f>
        <v/>
      </c>
      <c r="P508">
        <f>IF($A508="","",IF(OR(LOWER($D508&amp;"")="n/a",ISNUMBER(SEARCH("subscription",LOWER($A508&amp;" "&amp;$M508&amp;""))),ISNUMBER(SEARCH("membership",LOWER($A508&amp;" "&amp;$M508&amp;"")))),"",IF(LOWER($L508&amp;"")="yes",0,IF($K508&lt;&gt;"",$K508,IF($O508&lt;&gt;"",$O508,"")))))</f>
        <v/>
      </c>
      <c r="Q508">
        <f>IF($A508="","",IF($U508="Subscription","",IF($U508="Profit",$P508-$H508,0)))</f>
        <v/>
      </c>
      <c r="R508">
        <f>IF($A508="","",IF($U508="Subscription","",IF($U508="Draw",$H508,0)))</f>
        <v/>
      </c>
      <c r="S508">
        <f>IF($A508="","",IF($U508="Subscription","",IF($U508="Disqualified",$H508,0)))</f>
        <v/>
      </c>
      <c r="T508">
        <f>IF($A508="","",IF($U508="Subscription","",IF($H508=0,IF($U508="Profit","N/A",0),IF($U508="Profit",$Q508/$H508,IF($U508="Disqualified",-1,0)))))</f>
        <v/>
      </c>
      <c r="U508" s="350">
        <f>IF($A508="","",IF(OR(LOWER($D508&amp;"")="n/a",ISNUMBER(SEARCH("subscription",LOWER($A508&amp;" "&amp;$M508&amp;""))),ISNUMBER(SEARCH("membership",LOWER($A508&amp;" "&amp;$M508&amp;"")))),"Subscription",IF(LOWER($L508&amp;"")="yes","Disqualified",IF($P508&gt;$H508,"Profit","Draw"))))</f>
        <v/>
      </c>
      <c r="V508">
        <f>IF(OR($A508="",$B508="",$C508="",$U508="Subscription"),"",IFERROR(ROUNDUP((IF(ISNUMBER($C508),$C508,DATEVALUE($C508))-IF(ISNUMBER($B508),$B508,DATEVALUE($B508)))/7,0),""))</f>
        <v/>
      </c>
      <c r="W508" s="352">
        <f>IF($U508="Subscription","",$Q508-$S508)</f>
        <v/>
      </c>
      <c r="X508">
        <f>IF(OR($A508="",$U508="Subscription",$J508="",$I508="",$J508=0,$I508=0,$I508&gt;$J508),"",$J508-$I508)</f>
        <v/>
      </c>
      <c r="Y508">
        <f>IF(OR($A508="",$U508="Subscription",$J508="",$J508=0,$X508=""),"",$X508/$J508)</f>
        <v/>
      </c>
    </row>
    <row r="509">
      <c r="B509" s="354" t="n"/>
      <c r="C509" s="354" t="n"/>
      <c r="E509" s="350" t="n"/>
      <c r="F509" s="350" t="n"/>
      <c r="G509" s="350" t="n"/>
      <c r="H509" s="350" t="n"/>
      <c r="I509" s="350" t="n"/>
      <c r="J509" s="352" t="n"/>
      <c r="M509" s="350" t="n"/>
      <c r="N509" s="350">
        <f>IF($A509="","",IF(OR(LOWER($D509&amp;"")="n/a",ISNUMBER(SEARCH("subscription",LOWER($A509&amp;" "&amp;$M509&amp;""))),ISNUMBER(SEARCH("membership",LOWER($A509&amp;" "&amp;$M509&amp;"")))),"",IF($G509="","",IF(ISNUMBER(SEARCH("non",LOWER($E509&amp;""))),$G509*0.85,$G509))))</f>
        <v/>
      </c>
      <c r="O509">
        <f>IF($A509="","",IF(OR(LOWER($D509&amp;"")="n/a",ISNUMBER(SEARCH("subscription",LOWER($A509&amp;" "&amp;$M509&amp;""))),ISNUMBER(SEARCH("membership",LOWER($A509&amp;" "&amp;$M509&amp;"")))),"",IF(OR($N509="",$I509="",$I509=0),"",$N509/$I509)))</f>
        <v/>
      </c>
      <c r="P509">
        <f>IF($A509="","",IF(OR(LOWER($D509&amp;"")="n/a",ISNUMBER(SEARCH("subscription",LOWER($A509&amp;" "&amp;$M509&amp;""))),ISNUMBER(SEARCH("membership",LOWER($A509&amp;" "&amp;$M509&amp;"")))),"",IF(LOWER($L509&amp;"")="yes",0,IF($K509&lt;&gt;"",$K509,IF($O509&lt;&gt;"",$O509,"")))))</f>
        <v/>
      </c>
      <c r="Q509">
        <f>IF($A509="","",IF($U509="Subscription","",IF($U509="Profit",$P509-$H509,0)))</f>
        <v/>
      </c>
      <c r="R509">
        <f>IF($A509="","",IF($U509="Subscription","",IF($U509="Draw",$H509,0)))</f>
        <v/>
      </c>
      <c r="S509">
        <f>IF($A509="","",IF($U509="Subscription","",IF($U509="Disqualified",$H509,0)))</f>
        <v/>
      </c>
      <c r="T509">
        <f>IF($A509="","",IF($U509="Subscription","",IF($H509=0,IF($U509="Profit","N/A",0),IF($U509="Profit",$Q509/$H509,IF($U509="Disqualified",-1,0)))))</f>
        <v/>
      </c>
      <c r="U509" s="350">
        <f>IF($A509="","",IF(OR(LOWER($D509&amp;"")="n/a",ISNUMBER(SEARCH("subscription",LOWER($A509&amp;" "&amp;$M509&amp;""))),ISNUMBER(SEARCH("membership",LOWER($A509&amp;" "&amp;$M509&amp;"")))),"Subscription",IF(LOWER($L509&amp;"")="yes","Disqualified",IF($P509&gt;$H509,"Profit","Draw"))))</f>
        <v/>
      </c>
      <c r="V509">
        <f>IF(OR($A509="",$B509="",$C509="",$U509="Subscription"),"",IFERROR(ROUNDUP((IF(ISNUMBER($C509),$C509,DATEVALUE($C509))-IF(ISNUMBER($B509),$B509,DATEVALUE($B509)))/7,0),""))</f>
        <v/>
      </c>
      <c r="W509" s="352">
        <f>IF($U509="Subscription","",$Q509-$S509)</f>
        <v/>
      </c>
      <c r="X509">
        <f>IF(OR($A509="",$U509="Subscription",$J509="",$I509="",$J509=0,$I509=0,$I509&gt;$J509),"",$J509-$I509)</f>
        <v/>
      </c>
      <c r="Y509">
        <f>IF(OR($A509="",$U509="Subscription",$J509="",$J509=0,$X509=""),"",$X509/$J509)</f>
        <v/>
      </c>
    </row>
    <row r="510">
      <c r="B510" s="354" t="n"/>
      <c r="C510" s="354" t="n"/>
      <c r="E510" s="350" t="n"/>
      <c r="F510" s="350" t="n"/>
      <c r="G510" s="350" t="n"/>
      <c r="H510" s="350" t="n"/>
      <c r="I510" s="350" t="n"/>
      <c r="J510" s="352" t="n"/>
      <c r="M510" s="350" t="n"/>
      <c r="N510" s="350">
        <f>IF($A510="","",IF(OR(LOWER($D510&amp;"")="n/a",ISNUMBER(SEARCH("subscription",LOWER($A510&amp;" "&amp;$M510&amp;""))),ISNUMBER(SEARCH("membership",LOWER($A510&amp;" "&amp;$M510&amp;"")))),"",IF($G510="","",IF(ISNUMBER(SEARCH("non",LOWER($E510&amp;""))),$G510*0.85,$G510))))</f>
        <v/>
      </c>
      <c r="O510">
        <f>IF($A510="","",IF(OR(LOWER($D510&amp;"")="n/a",ISNUMBER(SEARCH("subscription",LOWER($A510&amp;" "&amp;$M510&amp;""))),ISNUMBER(SEARCH("membership",LOWER($A510&amp;" "&amp;$M510&amp;"")))),"",IF(OR($N510="",$I510="",$I510=0),"",$N510/$I510)))</f>
        <v/>
      </c>
      <c r="P510">
        <f>IF($A510="","",IF(OR(LOWER($D510&amp;"")="n/a",ISNUMBER(SEARCH("subscription",LOWER($A510&amp;" "&amp;$M510&amp;""))),ISNUMBER(SEARCH("membership",LOWER($A510&amp;" "&amp;$M510&amp;"")))),"",IF(LOWER($L510&amp;"")="yes",0,IF($K510&lt;&gt;"",$K510,IF($O510&lt;&gt;"",$O510,"")))))</f>
        <v/>
      </c>
      <c r="Q510">
        <f>IF($A510="","",IF($U510="Subscription","",IF($U510="Profit",$P510-$H510,0)))</f>
        <v/>
      </c>
      <c r="R510">
        <f>IF($A510="","",IF($U510="Subscription","",IF($U510="Draw",$H510,0)))</f>
        <v/>
      </c>
      <c r="S510">
        <f>IF($A510="","",IF($U510="Subscription","",IF($U510="Disqualified",$H510,0)))</f>
        <v/>
      </c>
      <c r="T510">
        <f>IF($A510="","",IF($U510="Subscription","",IF($H510=0,IF($U510="Profit","N/A",0),IF($U510="Profit",$Q510/$H510,IF($U510="Disqualified",-1,0)))))</f>
        <v/>
      </c>
      <c r="U510" s="350">
        <f>IF($A510="","",IF(OR(LOWER($D510&amp;"")="n/a",ISNUMBER(SEARCH("subscription",LOWER($A510&amp;" "&amp;$M510&amp;""))),ISNUMBER(SEARCH("membership",LOWER($A510&amp;" "&amp;$M510&amp;"")))),"Subscription",IF(LOWER($L510&amp;"")="yes","Disqualified",IF($P510&gt;$H510,"Profit","Draw"))))</f>
        <v/>
      </c>
      <c r="V510">
        <f>IF(OR($A510="",$B510="",$C510="",$U510="Subscription"),"",IFERROR(ROUNDUP((IF(ISNUMBER($C510),$C510,DATEVALUE($C510))-IF(ISNUMBER($B510),$B510,DATEVALUE($B510)))/7,0),""))</f>
        <v/>
      </c>
      <c r="W510" s="352">
        <f>IF($U510="Subscription","",$Q510-$S510)</f>
        <v/>
      </c>
      <c r="X510">
        <f>IF(OR($A510="",$U510="Subscription",$J510="",$I510="",$J510=0,$I510=0,$I510&gt;$J510),"",$J510-$I510)</f>
        <v/>
      </c>
      <c r="Y510">
        <f>IF(OR($A510="",$U510="Subscription",$J510="",$J510=0,$X510=""),"",$X510/$J510)</f>
        <v/>
      </c>
    </row>
    <row r="511">
      <c r="B511" s="354" t="n"/>
      <c r="C511" s="354" t="n"/>
      <c r="E511" s="350" t="n"/>
      <c r="F511" s="350" t="n"/>
      <c r="G511" s="350" t="n"/>
      <c r="H511" s="350" t="n"/>
      <c r="I511" s="350" t="n"/>
      <c r="J511" s="352" t="n"/>
      <c r="M511" s="350" t="n"/>
      <c r="N511" s="350">
        <f>IF($A511="","",IF(OR(LOWER($D511&amp;"")="n/a",ISNUMBER(SEARCH("subscription",LOWER($A511&amp;" "&amp;$M511&amp;""))),ISNUMBER(SEARCH("membership",LOWER($A511&amp;" "&amp;$M511&amp;"")))),"",IF($G511="","",IF(ISNUMBER(SEARCH("non",LOWER($E511&amp;""))),$G511*0.85,$G511))))</f>
        <v/>
      </c>
      <c r="O511">
        <f>IF($A511="","",IF(OR(LOWER($D511&amp;"")="n/a",ISNUMBER(SEARCH("subscription",LOWER($A511&amp;" "&amp;$M511&amp;""))),ISNUMBER(SEARCH("membership",LOWER($A511&amp;" "&amp;$M511&amp;"")))),"",IF(OR($N511="",$I511="",$I511=0),"",$N511/$I511)))</f>
        <v/>
      </c>
      <c r="P511">
        <f>IF($A511="","",IF(OR(LOWER($D511&amp;"")="n/a",ISNUMBER(SEARCH("subscription",LOWER($A511&amp;" "&amp;$M511&amp;""))),ISNUMBER(SEARCH("membership",LOWER($A511&amp;" "&amp;$M511&amp;"")))),"",IF(LOWER($L511&amp;"")="yes",0,IF($K511&lt;&gt;"",$K511,IF($O511&lt;&gt;"",$O511,"")))))</f>
        <v/>
      </c>
      <c r="Q511">
        <f>IF($A511="","",IF($U511="Subscription","",IF($U511="Profit",$P511-$H511,0)))</f>
        <v/>
      </c>
      <c r="R511">
        <f>IF($A511="","",IF($U511="Subscription","",IF($U511="Draw",$H511,0)))</f>
        <v/>
      </c>
      <c r="S511">
        <f>IF($A511="","",IF($U511="Subscription","",IF($U511="Disqualified",$H511,0)))</f>
        <v/>
      </c>
      <c r="T511">
        <f>IF($A511="","",IF($U511="Subscription","",IF($H511=0,IF($U511="Profit","N/A",0),IF($U511="Profit",$Q511/$H511,IF($U511="Disqualified",-1,0)))))</f>
        <v/>
      </c>
      <c r="U511" s="350">
        <f>IF($A511="","",IF(OR(LOWER($D511&amp;"")="n/a",ISNUMBER(SEARCH("subscription",LOWER($A511&amp;" "&amp;$M511&amp;""))),ISNUMBER(SEARCH("membership",LOWER($A511&amp;" "&amp;$M511&amp;"")))),"Subscription",IF(LOWER($L511&amp;"")="yes","Disqualified",IF($P511&gt;$H511,"Profit","Draw"))))</f>
        <v/>
      </c>
      <c r="V511">
        <f>IF(OR($A511="",$B511="",$C511="",$U511="Subscription"),"",IFERROR(ROUNDUP((IF(ISNUMBER($C511),$C511,DATEVALUE($C511))-IF(ISNUMBER($B511),$B511,DATEVALUE($B511)))/7,0),""))</f>
        <v/>
      </c>
      <c r="W511" s="352">
        <f>IF($U511="Subscription","",$Q511-$S511)</f>
        <v/>
      </c>
      <c r="X511">
        <f>IF(OR($A511="",$U511="Subscription",$J511="",$I511="",$J511=0,$I511=0,$I511&gt;$J511),"",$J511-$I511)</f>
        <v/>
      </c>
      <c r="Y511">
        <f>IF(OR($A511="",$U511="Subscription",$J511="",$J511=0,$X511=""),"",$X511/$J511)</f>
        <v/>
      </c>
    </row>
    <row r="512">
      <c r="B512" s="354" t="n"/>
      <c r="C512" s="354" t="n"/>
      <c r="E512" s="350" t="n"/>
      <c r="F512" s="350" t="n"/>
      <c r="G512" s="350" t="n"/>
      <c r="H512" s="350" t="n"/>
      <c r="I512" s="350" t="n"/>
      <c r="J512" s="352" t="n"/>
      <c r="M512" s="350" t="n"/>
      <c r="N512" s="350">
        <f>IF($A512="","",IF(OR(LOWER($D512&amp;"")="n/a",ISNUMBER(SEARCH("subscription",LOWER($A512&amp;" "&amp;$M512&amp;""))),ISNUMBER(SEARCH("membership",LOWER($A512&amp;" "&amp;$M512&amp;"")))),"",IF($G512="","",IF(ISNUMBER(SEARCH("non",LOWER($E512&amp;""))),$G512*0.85,$G512))))</f>
        <v/>
      </c>
      <c r="O512">
        <f>IF($A512="","",IF(OR(LOWER($D512&amp;"")="n/a",ISNUMBER(SEARCH("subscription",LOWER($A512&amp;" "&amp;$M512&amp;""))),ISNUMBER(SEARCH("membership",LOWER($A512&amp;" "&amp;$M512&amp;"")))),"",IF(OR($N512="",$I512="",$I512=0),"",$N512/$I512)))</f>
        <v/>
      </c>
      <c r="P512">
        <f>IF($A512="","",IF(OR(LOWER($D512&amp;"")="n/a",ISNUMBER(SEARCH("subscription",LOWER($A512&amp;" "&amp;$M512&amp;""))),ISNUMBER(SEARCH("membership",LOWER($A512&amp;" "&amp;$M512&amp;"")))),"",IF(LOWER($L512&amp;"")="yes",0,IF($K512&lt;&gt;"",$K512,IF($O512&lt;&gt;"",$O512,"")))))</f>
        <v/>
      </c>
      <c r="Q512">
        <f>IF($A512="","",IF($U512="Subscription","",IF($U512="Profit",$P512-$H512,0)))</f>
        <v/>
      </c>
      <c r="R512">
        <f>IF($A512="","",IF($U512="Subscription","",IF($U512="Draw",$H512,0)))</f>
        <v/>
      </c>
      <c r="S512">
        <f>IF($A512="","",IF($U512="Subscription","",IF($U512="Disqualified",$H512,0)))</f>
        <v/>
      </c>
      <c r="T512">
        <f>IF($A512="","",IF($U512="Subscription","",IF($H512=0,IF($U512="Profit","N/A",0),IF($U512="Profit",$Q512/$H512,IF($U512="Disqualified",-1,0)))))</f>
        <v/>
      </c>
      <c r="U512" s="350">
        <f>IF($A512="","",IF(OR(LOWER($D512&amp;"")="n/a",ISNUMBER(SEARCH("subscription",LOWER($A512&amp;" "&amp;$M512&amp;""))),ISNUMBER(SEARCH("membership",LOWER($A512&amp;" "&amp;$M512&amp;"")))),"Subscription",IF(LOWER($L512&amp;"")="yes","Disqualified",IF($P512&gt;$H512,"Profit","Draw"))))</f>
        <v/>
      </c>
      <c r="V512">
        <f>IF(OR($A512="",$B512="",$C512="",$U512="Subscription"),"",IFERROR(ROUNDUP((IF(ISNUMBER($C512),$C512,DATEVALUE($C512))-IF(ISNUMBER($B512),$B512,DATEVALUE($B512)))/7,0),""))</f>
        <v/>
      </c>
      <c r="W512" s="352">
        <f>IF($U512="Subscription","",$Q512-$S512)</f>
        <v/>
      </c>
      <c r="X512">
        <f>IF(OR($A512="",$U512="Subscription",$J512="",$I512="",$J512=0,$I512=0,$I512&gt;$J512),"",$J512-$I512)</f>
        <v/>
      </c>
      <c r="Y512">
        <f>IF(OR($A512="",$U512="Subscription",$J512="",$J512=0,$X512=""),"",$X512/$J512)</f>
        <v/>
      </c>
    </row>
    <row r="513">
      <c r="B513" s="354" t="n"/>
      <c r="C513" s="354" t="n"/>
      <c r="E513" s="350" t="n"/>
      <c r="F513" s="350" t="n"/>
      <c r="G513" s="350" t="n"/>
      <c r="H513" s="350" t="n"/>
      <c r="I513" s="350" t="n"/>
      <c r="J513" s="352" t="n"/>
      <c r="M513" s="350" t="n"/>
      <c r="N513" s="350">
        <f>IF($A513="","",IF(OR(LOWER($D513&amp;"")="n/a",ISNUMBER(SEARCH("subscription",LOWER($A513&amp;" "&amp;$M513&amp;""))),ISNUMBER(SEARCH("membership",LOWER($A513&amp;" "&amp;$M513&amp;"")))),"",IF($G513="","",IF(ISNUMBER(SEARCH("non",LOWER($E513&amp;""))),$G513*0.85,$G513))))</f>
        <v/>
      </c>
      <c r="O513">
        <f>IF($A513="","",IF(OR(LOWER($D513&amp;"")="n/a",ISNUMBER(SEARCH("subscription",LOWER($A513&amp;" "&amp;$M513&amp;""))),ISNUMBER(SEARCH("membership",LOWER($A513&amp;" "&amp;$M513&amp;"")))),"",IF(OR($N513="",$I513="",$I513=0),"",$N513/$I513)))</f>
        <v/>
      </c>
      <c r="P513">
        <f>IF($A513="","",IF(OR(LOWER($D513&amp;"")="n/a",ISNUMBER(SEARCH("subscription",LOWER($A513&amp;" "&amp;$M513&amp;""))),ISNUMBER(SEARCH("membership",LOWER($A513&amp;" "&amp;$M513&amp;"")))),"",IF(LOWER($L513&amp;"")="yes",0,IF($K513&lt;&gt;"",$K513,IF($O513&lt;&gt;"",$O513,"")))))</f>
        <v/>
      </c>
      <c r="Q513">
        <f>IF($A513="","",IF($U513="Subscription","",IF($U513="Profit",$P513-$H513,0)))</f>
        <v/>
      </c>
      <c r="R513">
        <f>IF($A513="","",IF($U513="Subscription","",IF($U513="Draw",$H513,0)))</f>
        <v/>
      </c>
      <c r="S513">
        <f>IF($A513="","",IF($U513="Subscription","",IF($U513="Disqualified",$H513,0)))</f>
        <v/>
      </c>
      <c r="T513">
        <f>IF($A513="","",IF($U513="Subscription","",IF($H513=0,IF($U513="Profit","N/A",0),IF($U513="Profit",$Q513/$H513,IF($U513="Disqualified",-1,0)))))</f>
        <v/>
      </c>
      <c r="U513" s="350">
        <f>IF($A513="","",IF(OR(LOWER($D513&amp;"")="n/a",ISNUMBER(SEARCH("subscription",LOWER($A513&amp;" "&amp;$M513&amp;""))),ISNUMBER(SEARCH("membership",LOWER($A513&amp;" "&amp;$M513&amp;"")))),"Subscription",IF(LOWER($L513&amp;"")="yes","Disqualified",IF($P513&gt;$H513,"Profit","Draw"))))</f>
        <v/>
      </c>
      <c r="V513">
        <f>IF(OR($A513="",$B513="",$C513="",$U513="Subscription"),"",IFERROR(ROUNDUP((IF(ISNUMBER($C513),$C513,DATEVALUE($C513))-IF(ISNUMBER($B513),$B513,DATEVALUE($B513)))/7,0),""))</f>
        <v/>
      </c>
      <c r="W513" s="352">
        <f>IF($U513="Subscription","",$Q513-$S513)</f>
        <v/>
      </c>
      <c r="X513">
        <f>IF(OR($A513="",$U513="Subscription",$J513="",$I513="",$J513=0,$I513=0,$I513&gt;$J513),"",$J513-$I513)</f>
        <v/>
      </c>
      <c r="Y513">
        <f>IF(OR($A513="",$U513="Subscription",$J513="",$J513=0,$X513=""),"",$X513/$J513)</f>
        <v/>
      </c>
    </row>
    <row r="514">
      <c r="B514" s="354" t="n"/>
      <c r="C514" s="354" t="n"/>
      <c r="E514" s="350" t="n"/>
      <c r="F514" s="350" t="n"/>
      <c r="G514" s="350" t="n"/>
      <c r="H514" s="350" t="n"/>
      <c r="I514" s="350" t="n"/>
      <c r="J514" s="352" t="n"/>
      <c r="M514" s="350" t="n"/>
      <c r="N514" s="350">
        <f>IF($A514="","",IF(OR(LOWER($D514&amp;"")="n/a",ISNUMBER(SEARCH("subscription",LOWER($A514&amp;" "&amp;$M514&amp;""))),ISNUMBER(SEARCH("membership",LOWER($A514&amp;" "&amp;$M514&amp;"")))),"",IF($G514="","",IF(ISNUMBER(SEARCH("non",LOWER($E514&amp;""))),$G514*0.85,$G514))))</f>
        <v/>
      </c>
      <c r="O514">
        <f>IF($A514="","",IF(OR(LOWER($D514&amp;"")="n/a",ISNUMBER(SEARCH("subscription",LOWER($A514&amp;" "&amp;$M514&amp;""))),ISNUMBER(SEARCH("membership",LOWER($A514&amp;" "&amp;$M514&amp;"")))),"",IF(OR($N514="",$I514="",$I514=0),"",$N514/$I514)))</f>
        <v/>
      </c>
      <c r="P514">
        <f>IF($A514="","",IF(OR(LOWER($D514&amp;"")="n/a",ISNUMBER(SEARCH("subscription",LOWER($A514&amp;" "&amp;$M514&amp;""))),ISNUMBER(SEARCH("membership",LOWER($A514&amp;" "&amp;$M514&amp;"")))),"",IF(LOWER($L514&amp;"")="yes",0,IF($K514&lt;&gt;"",$K514,IF($O514&lt;&gt;"",$O514,"")))))</f>
        <v/>
      </c>
      <c r="Q514">
        <f>IF($A514="","",IF($U514="Subscription","",IF($U514="Profit",$P514-$H514,0)))</f>
        <v/>
      </c>
      <c r="R514">
        <f>IF($A514="","",IF($U514="Subscription","",IF($U514="Draw",$H514,0)))</f>
        <v/>
      </c>
      <c r="S514">
        <f>IF($A514="","",IF($U514="Subscription","",IF($U514="Disqualified",$H514,0)))</f>
        <v/>
      </c>
      <c r="T514">
        <f>IF($A514="","",IF($U514="Subscription","",IF($H514=0,IF($U514="Profit","N/A",0),IF($U514="Profit",$Q514/$H514,IF($U514="Disqualified",-1,0)))))</f>
        <v/>
      </c>
      <c r="U514" s="350">
        <f>IF($A514="","",IF(OR(LOWER($D514&amp;"")="n/a",ISNUMBER(SEARCH("subscription",LOWER($A514&amp;" "&amp;$M514&amp;""))),ISNUMBER(SEARCH("membership",LOWER($A514&amp;" "&amp;$M514&amp;"")))),"Subscription",IF(LOWER($L514&amp;"")="yes","Disqualified",IF($P514&gt;$H514,"Profit","Draw"))))</f>
        <v/>
      </c>
      <c r="V514">
        <f>IF(OR($A514="",$B514="",$C514="",$U514="Subscription"),"",IFERROR(ROUNDUP((IF(ISNUMBER($C514),$C514,DATEVALUE($C514))-IF(ISNUMBER($B514),$B514,DATEVALUE($B514)))/7,0),""))</f>
        <v/>
      </c>
      <c r="W514" s="352">
        <f>IF($U514="Subscription","",$Q514-$S514)</f>
        <v/>
      </c>
      <c r="X514">
        <f>IF(OR($A514="",$U514="Subscription",$J514="",$I514="",$J514=0,$I514=0,$I514&gt;$J514),"",$J514-$I514)</f>
        <v/>
      </c>
      <c r="Y514">
        <f>IF(OR($A514="",$U514="Subscription",$J514="",$J514=0,$X514=""),"",$X514/$J514)</f>
        <v/>
      </c>
    </row>
    <row r="515">
      <c r="B515" s="354" t="n"/>
      <c r="C515" s="354" t="n"/>
      <c r="E515" s="350" t="n"/>
      <c r="F515" s="350" t="n"/>
      <c r="G515" s="350" t="n"/>
      <c r="H515" s="350" t="n"/>
      <c r="I515" s="350" t="n"/>
      <c r="J515" s="352" t="n"/>
      <c r="M515" s="350" t="n"/>
      <c r="N515" s="350">
        <f>IF($A515="","",IF(OR(LOWER($D515&amp;"")="n/a",ISNUMBER(SEARCH("subscription",LOWER($A515&amp;" "&amp;$M515&amp;""))),ISNUMBER(SEARCH("membership",LOWER($A515&amp;" "&amp;$M515&amp;"")))),"",IF($G515="","",IF(ISNUMBER(SEARCH("non",LOWER($E515&amp;""))),$G515*0.85,$G515))))</f>
        <v/>
      </c>
      <c r="O515">
        <f>IF($A515="","",IF(OR(LOWER($D515&amp;"")="n/a",ISNUMBER(SEARCH("subscription",LOWER($A515&amp;" "&amp;$M515&amp;""))),ISNUMBER(SEARCH("membership",LOWER($A515&amp;" "&amp;$M515&amp;"")))),"",IF(OR($N515="",$I515="",$I515=0),"",$N515/$I515)))</f>
        <v/>
      </c>
      <c r="P515">
        <f>IF($A515="","",IF(OR(LOWER($D515&amp;"")="n/a",ISNUMBER(SEARCH("subscription",LOWER($A515&amp;" "&amp;$M515&amp;""))),ISNUMBER(SEARCH("membership",LOWER($A515&amp;" "&amp;$M515&amp;"")))),"",IF(LOWER($L515&amp;"")="yes",0,IF($K515&lt;&gt;"",$K515,IF($O515&lt;&gt;"",$O515,"")))))</f>
        <v/>
      </c>
      <c r="Q515">
        <f>IF($A515="","",IF($U515="Subscription","",IF($U515="Profit",$P515-$H515,0)))</f>
        <v/>
      </c>
      <c r="R515">
        <f>IF($A515="","",IF($U515="Subscription","",IF($U515="Draw",$H515,0)))</f>
        <v/>
      </c>
      <c r="S515">
        <f>IF($A515="","",IF($U515="Subscription","",IF($U515="Disqualified",$H515,0)))</f>
        <v/>
      </c>
      <c r="T515">
        <f>IF($A515="","",IF($U515="Subscription","",IF($H515=0,IF($U515="Profit","N/A",0),IF($U515="Profit",$Q515/$H515,IF($U515="Disqualified",-1,0)))))</f>
        <v/>
      </c>
      <c r="U515" s="350">
        <f>IF($A515="","",IF(OR(LOWER($D515&amp;"")="n/a",ISNUMBER(SEARCH("subscription",LOWER($A515&amp;" "&amp;$M515&amp;""))),ISNUMBER(SEARCH("membership",LOWER($A515&amp;" "&amp;$M515&amp;"")))),"Subscription",IF(LOWER($L515&amp;"")="yes","Disqualified",IF($P515&gt;$H515,"Profit","Draw"))))</f>
        <v/>
      </c>
      <c r="V515">
        <f>IF(OR($A515="",$B515="",$C515="",$U515="Subscription"),"",IFERROR(ROUNDUP((IF(ISNUMBER($C515),$C515,DATEVALUE($C515))-IF(ISNUMBER($B515),$B515,DATEVALUE($B515)))/7,0),""))</f>
        <v/>
      </c>
      <c r="W515" s="352">
        <f>IF($U515="Subscription","",$Q515-$S515)</f>
        <v/>
      </c>
      <c r="X515">
        <f>IF(OR($A515="",$U515="Subscription",$J515="",$I515="",$J515=0,$I515=0,$I515&gt;$J515),"",$J515-$I515)</f>
        <v/>
      </c>
      <c r="Y515">
        <f>IF(OR($A515="",$U515="Subscription",$J515="",$J515=0,$X515=""),"",$X515/$J515)</f>
        <v/>
      </c>
    </row>
    <row r="516">
      <c r="B516" s="354" t="n"/>
      <c r="C516" s="354" t="n"/>
      <c r="E516" s="350" t="n"/>
      <c r="F516" s="350" t="n"/>
      <c r="G516" s="350" t="n"/>
      <c r="H516" s="350" t="n"/>
      <c r="I516" s="350" t="n"/>
      <c r="J516" s="352" t="n"/>
      <c r="M516" s="350" t="n"/>
      <c r="N516" s="350">
        <f>IF($A516="","",IF(OR(LOWER($D516&amp;"")="n/a",ISNUMBER(SEARCH("subscription",LOWER($A516&amp;" "&amp;$M516&amp;""))),ISNUMBER(SEARCH("membership",LOWER($A516&amp;" "&amp;$M516&amp;"")))),"",IF($G516="","",IF(ISNUMBER(SEARCH("non",LOWER($E516&amp;""))),$G516*0.85,$G516))))</f>
        <v/>
      </c>
      <c r="O516">
        <f>IF($A516="","",IF(OR(LOWER($D516&amp;"")="n/a",ISNUMBER(SEARCH("subscription",LOWER($A516&amp;" "&amp;$M516&amp;""))),ISNUMBER(SEARCH("membership",LOWER($A516&amp;" "&amp;$M516&amp;"")))),"",IF(OR($N516="",$I516="",$I516=0),"",$N516/$I516)))</f>
        <v/>
      </c>
      <c r="P516">
        <f>IF($A516="","",IF(OR(LOWER($D516&amp;"")="n/a",ISNUMBER(SEARCH("subscription",LOWER($A516&amp;" "&amp;$M516&amp;""))),ISNUMBER(SEARCH("membership",LOWER($A516&amp;" "&amp;$M516&amp;"")))),"",IF(LOWER($L516&amp;"")="yes",0,IF($K516&lt;&gt;"",$K516,IF($O516&lt;&gt;"",$O516,"")))))</f>
        <v/>
      </c>
      <c r="Q516">
        <f>IF($A516="","",IF($U516="Subscription","",IF($U516="Profit",$P516-$H516,0)))</f>
        <v/>
      </c>
      <c r="R516">
        <f>IF($A516="","",IF($U516="Subscription","",IF($U516="Draw",$H516,0)))</f>
        <v/>
      </c>
      <c r="S516">
        <f>IF($A516="","",IF($U516="Subscription","",IF($U516="Disqualified",$H516,0)))</f>
        <v/>
      </c>
      <c r="T516">
        <f>IF($A516="","",IF($U516="Subscription","",IF($H516=0,IF($U516="Profit","N/A",0),IF($U516="Profit",$Q516/$H516,IF($U516="Disqualified",-1,0)))))</f>
        <v/>
      </c>
      <c r="U516" s="350">
        <f>IF($A516="","",IF(OR(LOWER($D516&amp;"")="n/a",ISNUMBER(SEARCH("subscription",LOWER($A516&amp;" "&amp;$M516&amp;""))),ISNUMBER(SEARCH("membership",LOWER($A516&amp;" "&amp;$M516&amp;"")))),"Subscription",IF(LOWER($L516&amp;"")="yes","Disqualified",IF($P516&gt;$H516,"Profit","Draw"))))</f>
        <v/>
      </c>
      <c r="V516">
        <f>IF(OR($A516="",$B516="",$C516="",$U516="Subscription"),"",IFERROR(ROUNDUP((IF(ISNUMBER($C516),$C516,DATEVALUE($C516))-IF(ISNUMBER($B516),$B516,DATEVALUE($B516)))/7,0),""))</f>
        <v/>
      </c>
      <c r="W516" s="352">
        <f>IF($U516="Subscription","",$Q516-$S516)</f>
        <v/>
      </c>
      <c r="X516">
        <f>IF(OR($A516="",$U516="Subscription",$J516="",$I516="",$J516=0,$I516=0,$I516&gt;$J516),"",$J516-$I516)</f>
        <v/>
      </c>
      <c r="Y516">
        <f>IF(OR($A516="",$U516="Subscription",$J516="",$J516=0,$X516=""),"",$X516/$J516)</f>
        <v/>
      </c>
    </row>
    <row r="517">
      <c r="B517" s="354" t="n"/>
      <c r="C517" s="354" t="n"/>
      <c r="E517" s="350" t="n"/>
      <c r="F517" s="350" t="n"/>
      <c r="G517" s="350" t="n"/>
      <c r="H517" s="350" t="n"/>
      <c r="I517" s="350" t="n"/>
      <c r="J517" s="352" t="n"/>
      <c r="M517" s="350" t="n"/>
      <c r="N517" s="350">
        <f>IF($A517="","",IF(OR(LOWER($D517&amp;"")="n/a",ISNUMBER(SEARCH("subscription",LOWER($A517&amp;" "&amp;$M517&amp;""))),ISNUMBER(SEARCH("membership",LOWER($A517&amp;" "&amp;$M517&amp;"")))),"",IF($G517="","",IF(ISNUMBER(SEARCH("non",LOWER($E517&amp;""))),$G517*0.85,$G517))))</f>
        <v/>
      </c>
      <c r="O517">
        <f>IF($A517="","",IF(OR(LOWER($D517&amp;"")="n/a",ISNUMBER(SEARCH("subscription",LOWER($A517&amp;" "&amp;$M517&amp;""))),ISNUMBER(SEARCH("membership",LOWER($A517&amp;" "&amp;$M517&amp;"")))),"",IF(OR($N517="",$I517="",$I517=0),"",$N517/$I517)))</f>
        <v/>
      </c>
      <c r="P517">
        <f>IF($A517="","",IF(OR(LOWER($D517&amp;"")="n/a",ISNUMBER(SEARCH("subscription",LOWER($A517&amp;" "&amp;$M517&amp;""))),ISNUMBER(SEARCH("membership",LOWER($A517&amp;" "&amp;$M517&amp;"")))),"",IF(LOWER($L517&amp;"")="yes",0,IF($K517&lt;&gt;"",$K517,IF($O517&lt;&gt;"",$O517,"")))))</f>
        <v/>
      </c>
      <c r="Q517">
        <f>IF($A517="","",IF($U517="Subscription","",IF($U517="Profit",$P517-$H517,0)))</f>
        <v/>
      </c>
      <c r="R517">
        <f>IF($A517="","",IF($U517="Subscription","",IF($U517="Draw",$H517,0)))</f>
        <v/>
      </c>
      <c r="S517">
        <f>IF($A517="","",IF($U517="Subscription","",IF($U517="Disqualified",$H517,0)))</f>
        <v/>
      </c>
      <c r="T517">
        <f>IF($A517="","",IF($U517="Subscription","",IF($H517=0,IF($U517="Profit","N/A",0),IF($U517="Profit",$Q517/$H517,IF($U517="Disqualified",-1,0)))))</f>
        <v/>
      </c>
      <c r="U517" s="350">
        <f>IF($A517="","",IF(OR(LOWER($D517&amp;"")="n/a",ISNUMBER(SEARCH("subscription",LOWER($A517&amp;" "&amp;$M517&amp;""))),ISNUMBER(SEARCH("membership",LOWER($A517&amp;" "&amp;$M517&amp;"")))),"Subscription",IF(LOWER($L517&amp;"")="yes","Disqualified",IF($P517&gt;$H517,"Profit","Draw"))))</f>
        <v/>
      </c>
      <c r="V517">
        <f>IF(OR($A517="",$B517="",$C517="",$U517="Subscription"),"",IFERROR(ROUNDUP((IF(ISNUMBER($C517),$C517,DATEVALUE($C517))-IF(ISNUMBER($B517),$B517,DATEVALUE($B517)))/7,0),""))</f>
        <v/>
      </c>
      <c r="W517" s="352">
        <f>IF($U517="Subscription","",$Q517-$S517)</f>
        <v/>
      </c>
      <c r="X517">
        <f>IF(OR($A517="",$U517="Subscription",$J517="",$I517="",$J517=0,$I517=0,$I517&gt;$J517),"",$J517-$I517)</f>
        <v/>
      </c>
      <c r="Y517">
        <f>IF(OR($A517="",$U517="Subscription",$J517="",$J517=0,$X517=""),"",$X517/$J517)</f>
        <v/>
      </c>
    </row>
    <row r="518">
      <c r="B518" s="354" t="n"/>
      <c r="C518" s="354" t="n"/>
      <c r="E518" s="350" t="n"/>
      <c r="F518" s="350" t="n"/>
      <c r="G518" s="350" t="n"/>
      <c r="H518" s="350" t="n"/>
      <c r="I518" s="350" t="n"/>
      <c r="J518" s="352" t="n"/>
      <c r="M518" s="350" t="n"/>
      <c r="N518" s="350">
        <f>IF($A518="","",IF(OR(LOWER($D518&amp;"")="n/a",ISNUMBER(SEARCH("subscription",LOWER($A518&amp;" "&amp;$M518&amp;""))),ISNUMBER(SEARCH("membership",LOWER($A518&amp;" "&amp;$M518&amp;"")))),"",IF($G518="","",IF(ISNUMBER(SEARCH("non",LOWER($E518&amp;""))),$G518*0.85,$G518))))</f>
        <v/>
      </c>
      <c r="O518">
        <f>IF($A518="","",IF(OR(LOWER($D518&amp;"")="n/a",ISNUMBER(SEARCH("subscription",LOWER($A518&amp;" "&amp;$M518&amp;""))),ISNUMBER(SEARCH("membership",LOWER($A518&amp;" "&amp;$M518&amp;"")))),"",IF(OR($N518="",$I518="",$I518=0),"",$N518/$I518)))</f>
        <v/>
      </c>
      <c r="P518">
        <f>IF($A518="","",IF(OR(LOWER($D518&amp;"")="n/a",ISNUMBER(SEARCH("subscription",LOWER($A518&amp;" "&amp;$M518&amp;""))),ISNUMBER(SEARCH("membership",LOWER($A518&amp;" "&amp;$M518&amp;"")))),"",IF(LOWER($L518&amp;"")="yes",0,IF($K518&lt;&gt;"",$K518,IF($O518&lt;&gt;"",$O518,"")))))</f>
        <v/>
      </c>
      <c r="Q518">
        <f>IF($A518="","",IF($U518="Subscription","",IF($U518="Profit",$P518-$H518,0)))</f>
        <v/>
      </c>
      <c r="R518">
        <f>IF($A518="","",IF($U518="Subscription","",IF($U518="Draw",$H518,0)))</f>
        <v/>
      </c>
      <c r="S518">
        <f>IF($A518="","",IF($U518="Subscription","",IF($U518="Disqualified",$H518,0)))</f>
        <v/>
      </c>
      <c r="T518">
        <f>IF($A518="","",IF($U518="Subscription","",IF($H518=0,IF($U518="Profit","N/A",0),IF($U518="Profit",$Q518/$H518,IF($U518="Disqualified",-1,0)))))</f>
        <v/>
      </c>
      <c r="U518" s="350">
        <f>IF($A518="","",IF(OR(LOWER($D518&amp;"")="n/a",ISNUMBER(SEARCH("subscription",LOWER($A518&amp;" "&amp;$M518&amp;""))),ISNUMBER(SEARCH("membership",LOWER($A518&amp;" "&amp;$M518&amp;"")))),"Subscription",IF(LOWER($L518&amp;"")="yes","Disqualified",IF($P518&gt;$H518,"Profit","Draw"))))</f>
        <v/>
      </c>
      <c r="V518">
        <f>IF(OR($A518="",$B518="",$C518="",$U518="Subscription"),"",IFERROR(ROUNDUP((IF(ISNUMBER($C518),$C518,DATEVALUE($C518))-IF(ISNUMBER($B518),$B518,DATEVALUE($B518)))/7,0),""))</f>
        <v/>
      </c>
      <c r="W518" s="352">
        <f>IF($U518="Subscription","",$Q518-$S518)</f>
        <v/>
      </c>
      <c r="X518">
        <f>IF(OR($A518="",$U518="Subscription",$J518="",$I518="",$J518=0,$I518=0,$I518&gt;$J518),"",$J518-$I518)</f>
        <v/>
      </c>
      <c r="Y518">
        <f>IF(OR($A518="",$U518="Subscription",$J518="",$J518=0,$X518=""),"",$X518/$J518)</f>
        <v/>
      </c>
    </row>
    <row r="519">
      <c r="B519" s="354" t="n"/>
      <c r="C519" s="354" t="n"/>
      <c r="E519" s="350" t="n"/>
      <c r="F519" s="350" t="n"/>
      <c r="G519" s="350" t="n"/>
      <c r="H519" s="350" t="n"/>
      <c r="I519" s="350" t="n"/>
      <c r="J519" s="352" t="n"/>
      <c r="M519" s="350" t="n"/>
      <c r="N519" s="350">
        <f>IF($A519="","",IF(OR(LOWER($D519&amp;"")="n/a",ISNUMBER(SEARCH("subscription",LOWER($A519&amp;" "&amp;$M519&amp;""))),ISNUMBER(SEARCH("membership",LOWER($A519&amp;" "&amp;$M519&amp;"")))),"",IF($G519="","",IF(ISNUMBER(SEARCH("non",LOWER($E519&amp;""))),$G519*0.85,$G519))))</f>
        <v/>
      </c>
      <c r="O519">
        <f>IF($A519="","",IF(OR(LOWER($D519&amp;"")="n/a",ISNUMBER(SEARCH("subscription",LOWER($A519&amp;" "&amp;$M519&amp;""))),ISNUMBER(SEARCH("membership",LOWER($A519&amp;" "&amp;$M519&amp;"")))),"",IF(OR($N519="",$I519="",$I519=0),"",$N519/$I519)))</f>
        <v/>
      </c>
      <c r="P519">
        <f>IF($A519="","",IF(OR(LOWER($D519&amp;"")="n/a",ISNUMBER(SEARCH("subscription",LOWER($A519&amp;" "&amp;$M519&amp;""))),ISNUMBER(SEARCH("membership",LOWER($A519&amp;" "&amp;$M519&amp;"")))),"",IF(LOWER($L519&amp;"")="yes",0,IF($K519&lt;&gt;"",$K519,IF($O519&lt;&gt;"",$O519,"")))))</f>
        <v/>
      </c>
      <c r="Q519">
        <f>IF($A519="","",IF($U519="Subscription","",IF($U519="Profit",$P519-$H519,0)))</f>
        <v/>
      </c>
      <c r="R519">
        <f>IF($A519="","",IF($U519="Subscription","",IF($U519="Draw",$H519,0)))</f>
        <v/>
      </c>
      <c r="S519">
        <f>IF($A519="","",IF($U519="Subscription","",IF($U519="Disqualified",$H519,0)))</f>
        <v/>
      </c>
      <c r="T519">
        <f>IF($A519="","",IF($U519="Subscription","",IF($H519=0,IF($U519="Profit","N/A",0),IF($U519="Profit",$Q519/$H519,IF($U519="Disqualified",-1,0)))))</f>
        <v/>
      </c>
      <c r="U519" s="350">
        <f>IF($A519="","",IF(OR(LOWER($D519&amp;"")="n/a",ISNUMBER(SEARCH("subscription",LOWER($A519&amp;" "&amp;$M519&amp;""))),ISNUMBER(SEARCH("membership",LOWER($A519&amp;" "&amp;$M519&amp;"")))),"Subscription",IF(LOWER($L519&amp;"")="yes","Disqualified",IF($P519&gt;$H519,"Profit","Draw"))))</f>
        <v/>
      </c>
      <c r="V519">
        <f>IF(OR($A519="",$B519="",$C519="",$U519="Subscription"),"",IFERROR(ROUNDUP((IF(ISNUMBER($C519),$C519,DATEVALUE($C519))-IF(ISNUMBER($B519),$B519,DATEVALUE($B519)))/7,0),""))</f>
        <v/>
      </c>
      <c r="W519" s="352">
        <f>IF($U519="Subscription","",$Q519-$S519)</f>
        <v/>
      </c>
      <c r="X519">
        <f>IF(OR($A519="",$U519="Subscription",$J519="",$I519="",$J519=0,$I519=0,$I519&gt;$J519),"",$J519-$I519)</f>
        <v/>
      </c>
      <c r="Y519">
        <f>IF(OR($A519="",$U519="Subscription",$J519="",$J519=0,$X519=""),"",$X519/$J519)</f>
        <v/>
      </c>
    </row>
    <row r="520">
      <c r="B520" s="354" t="n"/>
      <c r="C520" s="354" t="n"/>
      <c r="E520" s="350" t="n"/>
      <c r="F520" s="350" t="n"/>
      <c r="G520" s="350" t="n"/>
      <c r="H520" s="350" t="n"/>
      <c r="I520" s="350" t="n"/>
      <c r="J520" s="352" t="n"/>
      <c r="M520" s="350" t="n"/>
      <c r="N520" s="350">
        <f>IF($A520="","",IF(OR(LOWER($D520&amp;"")="n/a",ISNUMBER(SEARCH("subscription",LOWER($A520&amp;" "&amp;$M520&amp;""))),ISNUMBER(SEARCH("membership",LOWER($A520&amp;" "&amp;$M520&amp;"")))),"",IF($G520="","",IF(ISNUMBER(SEARCH("non",LOWER($E520&amp;""))),$G520*0.85,$G520))))</f>
        <v/>
      </c>
      <c r="O520">
        <f>IF($A520="","",IF(OR(LOWER($D520&amp;"")="n/a",ISNUMBER(SEARCH("subscription",LOWER($A520&amp;" "&amp;$M520&amp;""))),ISNUMBER(SEARCH("membership",LOWER($A520&amp;" "&amp;$M520&amp;"")))),"",IF(OR($N520="",$I520="",$I520=0),"",$N520/$I520)))</f>
        <v/>
      </c>
      <c r="P520">
        <f>IF($A520="","",IF(OR(LOWER($D520&amp;"")="n/a",ISNUMBER(SEARCH("subscription",LOWER($A520&amp;" "&amp;$M520&amp;""))),ISNUMBER(SEARCH("membership",LOWER($A520&amp;" "&amp;$M520&amp;"")))),"",IF(LOWER($L520&amp;"")="yes",0,IF($K520&lt;&gt;"",$K520,IF($O520&lt;&gt;"",$O520,"")))))</f>
        <v/>
      </c>
      <c r="Q520">
        <f>IF($A520="","",IF($U520="Subscription","",IF($U520="Profit",$P520-$H520,0)))</f>
        <v/>
      </c>
      <c r="R520">
        <f>IF($A520="","",IF($U520="Subscription","",IF($U520="Draw",$H520,0)))</f>
        <v/>
      </c>
      <c r="S520">
        <f>IF($A520="","",IF($U520="Subscription","",IF($U520="Disqualified",$H520,0)))</f>
        <v/>
      </c>
      <c r="T520">
        <f>IF($A520="","",IF($U520="Subscription","",IF($H520=0,IF($U520="Profit","N/A",0),IF($U520="Profit",$Q520/$H520,IF($U520="Disqualified",-1,0)))))</f>
        <v/>
      </c>
      <c r="U520" s="350">
        <f>IF($A520="","",IF(OR(LOWER($D520&amp;"")="n/a",ISNUMBER(SEARCH("subscription",LOWER($A520&amp;" "&amp;$M520&amp;""))),ISNUMBER(SEARCH("membership",LOWER($A520&amp;" "&amp;$M520&amp;"")))),"Subscription",IF(LOWER($L520&amp;"")="yes","Disqualified",IF($P520&gt;$H520,"Profit","Draw"))))</f>
        <v/>
      </c>
      <c r="V520">
        <f>IF(OR($A520="",$B520="",$C520="",$U520="Subscription"),"",IFERROR(ROUNDUP((IF(ISNUMBER($C520),$C520,DATEVALUE($C520))-IF(ISNUMBER($B520),$B520,DATEVALUE($B520)))/7,0),""))</f>
        <v/>
      </c>
      <c r="W520" s="352">
        <f>IF($U520="Subscription","",$Q520-$S520)</f>
        <v/>
      </c>
      <c r="X520">
        <f>IF(OR($A520="",$U520="Subscription",$J520="",$I520="",$J520=0,$I520=0,$I520&gt;$J520),"",$J520-$I520)</f>
        <v/>
      </c>
      <c r="Y520">
        <f>IF(OR($A520="",$U520="Subscription",$J520="",$J520=0,$X520=""),"",$X520/$J520)</f>
        <v/>
      </c>
    </row>
    <row r="521">
      <c r="B521" s="354" t="n"/>
      <c r="C521" s="354" t="n"/>
      <c r="E521" s="350" t="n"/>
      <c r="F521" s="350" t="n"/>
      <c r="G521" s="350" t="n"/>
      <c r="H521" s="350" t="n"/>
      <c r="I521" s="350" t="n"/>
      <c r="J521" s="352" t="n"/>
      <c r="M521" s="350" t="n"/>
      <c r="N521" s="350">
        <f>IF($A521="","",IF(OR(LOWER($D521&amp;"")="n/a",ISNUMBER(SEARCH("subscription",LOWER($A521&amp;" "&amp;$M521&amp;""))),ISNUMBER(SEARCH("membership",LOWER($A521&amp;" "&amp;$M521&amp;"")))),"",IF($G521="","",IF(ISNUMBER(SEARCH("non",LOWER($E521&amp;""))),$G521*0.85,$G521))))</f>
        <v/>
      </c>
      <c r="O521">
        <f>IF($A521="","",IF(OR(LOWER($D521&amp;"")="n/a",ISNUMBER(SEARCH("subscription",LOWER($A521&amp;" "&amp;$M521&amp;""))),ISNUMBER(SEARCH("membership",LOWER($A521&amp;" "&amp;$M521&amp;"")))),"",IF(OR($N521="",$I521="",$I521=0),"",$N521/$I521)))</f>
        <v/>
      </c>
      <c r="P521">
        <f>IF($A521="","",IF(OR(LOWER($D521&amp;"")="n/a",ISNUMBER(SEARCH("subscription",LOWER($A521&amp;" "&amp;$M521&amp;""))),ISNUMBER(SEARCH("membership",LOWER($A521&amp;" "&amp;$M521&amp;"")))),"",IF(LOWER($L521&amp;"")="yes",0,IF($K521&lt;&gt;"",$K521,IF($O521&lt;&gt;"",$O521,"")))))</f>
        <v/>
      </c>
      <c r="Q521">
        <f>IF($A521="","",IF($U521="Subscription","",IF($U521="Profit",$P521-$H521,0)))</f>
        <v/>
      </c>
      <c r="R521">
        <f>IF($A521="","",IF($U521="Subscription","",IF($U521="Draw",$H521,0)))</f>
        <v/>
      </c>
      <c r="S521">
        <f>IF($A521="","",IF($U521="Subscription","",IF($U521="Disqualified",$H521,0)))</f>
        <v/>
      </c>
      <c r="T521">
        <f>IF($A521="","",IF($U521="Subscription","",IF($H521=0,IF($U521="Profit","N/A",0),IF($U521="Profit",$Q521/$H521,IF($U521="Disqualified",-1,0)))))</f>
        <v/>
      </c>
      <c r="U521" s="350">
        <f>IF($A521="","",IF(OR(LOWER($D521&amp;"")="n/a",ISNUMBER(SEARCH("subscription",LOWER($A521&amp;" "&amp;$M521&amp;""))),ISNUMBER(SEARCH("membership",LOWER($A521&amp;" "&amp;$M521&amp;"")))),"Subscription",IF(LOWER($L521&amp;"")="yes","Disqualified",IF($P521&gt;$H521,"Profit","Draw"))))</f>
        <v/>
      </c>
      <c r="V521">
        <f>IF(OR($A521="",$B521="",$C521="",$U521="Subscription"),"",IFERROR(ROUNDUP((IF(ISNUMBER($C521),$C521,DATEVALUE($C521))-IF(ISNUMBER($B521),$B521,DATEVALUE($B521)))/7,0),""))</f>
        <v/>
      </c>
      <c r="W521" s="352">
        <f>IF($U521="Subscription","",$Q521-$S521)</f>
        <v/>
      </c>
      <c r="X521">
        <f>IF(OR($A521="",$U521="Subscription",$J521="",$I521="",$J521=0,$I521=0,$I521&gt;$J521),"",$J521-$I521)</f>
        <v/>
      </c>
      <c r="Y521">
        <f>IF(OR($A521="",$U521="Subscription",$J521="",$J521=0,$X521=""),"",$X521/$J521)</f>
        <v/>
      </c>
    </row>
    <row r="522">
      <c r="B522" s="354" t="n"/>
      <c r="C522" s="354" t="n"/>
      <c r="E522" s="350" t="n"/>
      <c r="F522" s="350" t="n"/>
      <c r="G522" s="350" t="n"/>
      <c r="H522" s="350" t="n"/>
      <c r="I522" s="350" t="n"/>
      <c r="J522" s="352" t="n"/>
      <c r="M522" s="350" t="n"/>
      <c r="N522" s="350">
        <f>IF($A522="","",IF(OR(LOWER($D522&amp;"")="n/a",ISNUMBER(SEARCH("subscription",LOWER($A522&amp;" "&amp;$M522&amp;""))),ISNUMBER(SEARCH("membership",LOWER($A522&amp;" "&amp;$M522&amp;"")))),"",IF($G522="","",IF(ISNUMBER(SEARCH("non",LOWER($E522&amp;""))),$G522*0.85,$G522))))</f>
        <v/>
      </c>
      <c r="O522">
        <f>IF($A522="","",IF(OR(LOWER($D522&amp;"")="n/a",ISNUMBER(SEARCH("subscription",LOWER($A522&amp;" "&amp;$M522&amp;""))),ISNUMBER(SEARCH("membership",LOWER($A522&amp;" "&amp;$M522&amp;"")))),"",IF(OR($N522="",$I522="",$I522=0),"",$N522/$I522)))</f>
        <v/>
      </c>
      <c r="P522">
        <f>IF($A522="","",IF(OR(LOWER($D522&amp;"")="n/a",ISNUMBER(SEARCH("subscription",LOWER($A522&amp;" "&amp;$M522&amp;""))),ISNUMBER(SEARCH("membership",LOWER($A522&amp;" "&amp;$M522&amp;"")))),"",IF(LOWER($L522&amp;"")="yes",0,IF($K522&lt;&gt;"",$K522,IF($O522&lt;&gt;"",$O522,"")))))</f>
        <v/>
      </c>
      <c r="Q522">
        <f>IF($A522="","",IF($U522="Subscription","",IF($U522="Profit",$P522-$H522,0)))</f>
        <v/>
      </c>
      <c r="R522">
        <f>IF($A522="","",IF($U522="Subscription","",IF($U522="Draw",$H522,0)))</f>
        <v/>
      </c>
      <c r="S522">
        <f>IF($A522="","",IF($U522="Subscription","",IF($U522="Disqualified",$H522,0)))</f>
        <v/>
      </c>
      <c r="T522">
        <f>IF($A522="","",IF($U522="Subscription","",IF($H522=0,IF($U522="Profit","N/A",0),IF($U522="Profit",$Q522/$H522,IF($U522="Disqualified",-1,0)))))</f>
        <v/>
      </c>
      <c r="U522" s="350">
        <f>IF($A522="","",IF(OR(LOWER($D522&amp;"")="n/a",ISNUMBER(SEARCH("subscription",LOWER($A522&amp;" "&amp;$M522&amp;""))),ISNUMBER(SEARCH("membership",LOWER($A522&amp;" "&amp;$M522&amp;"")))),"Subscription",IF(LOWER($L522&amp;"")="yes","Disqualified",IF($P522&gt;$H522,"Profit","Draw"))))</f>
        <v/>
      </c>
      <c r="V522">
        <f>IF(OR($A522="",$B522="",$C522="",$U522="Subscription"),"",IFERROR(ROUNDUP((IF(ISNUMBER($C522),$C522,DATEVALUE($C522))-IF(ISNUMBER($B522),$B522,DATEVALUE($B522)))/7,0),""))</f>
        <v/>
      </c>
      <c r="W522" s="352">
        <f>IF($U522="Subscription","",$Q522-$S522)</f>
        <v/>
      </c>
      <c r="X522">
        <f>IF(OR($A522="",$U522="Subscription",$J522="",$I522="",$J522=0,$I522=0,$I522&gt;$J522),"",$J522-$I522)</f>
        <v/>
      </c>
      <c r="Y522">
        <f>IF(OR($A522="",$U522="Subscription",$J522="",$J522=0,$X522=""),"",$X522/$J522)</f>
        <v/>
      </c>
    </row>
    <row r="523">
      <c r="B523" s="354" t="n"/>
      <c r="C523" s="354" t="n"/>
      <c r="E523" s="350" t="n"/>
      <c r="F523" s="350" t="n"/>
      <c r="G523" s="350" t="n"/>
      <c r="H523" s="350" t="n"/>
      <c r="I523" s="350" t="n"/>
      <c r="J523" s="352" t="n"/>
      <c r="M523" s="350" t="n"/>
      <c r="N523" s="350">
        <f>IF($A523="","",IF(OR(LOWER($D523&amp;"")="n/a",ISNUMBER(SEARCH("subscription",LOWER($A523&amp;" "&amp;$M523&amp;""))),ISNUMBER(SEARCH("membership",LOWER($A523&amp;" "&amp;$M523&amp;"")))),"",IF($G523="","",IF(ISNUMBER(SEARCH("non",LOWER($E523&amp;""))),$G523*0.85,$G523))))</f>
        <v/>
      </c>
      <c r="O523">
        <f>IF($A523="","",IF(OR(LOWER($D523&amp;"")="n/a",ISNUMBER(SEARCH("subscription",LOWER($A523&amp;" "&amp;$M523&amp;""))),ISNUMBER(SEARCH("membership",LOWER($A523&amp;" "&amp;$M523&amp;"")))),"",IF(OR($N523="",$I523="",$I523=0),"",$N523/$I523)))</f>
        <v/>
      </c>
      <c r="P523">
        <f>IF($A523="","",IF(OR(LOWER($D523&amp;"")="n/a",ISNUMBER(SEARCH("subscription",LOWER($A523&amp;" "&amp;$M523&amp;""))),ISNUMBER(SEARCH("membership",LOWER($A523&amp;" "&amp;$M523&amp;"")))),"",IF(LOWER($L523&amp;"")="yes",0,IF($K523&lt;&gt;"",$K523,IF($O523&lt;&gt;"",$O523,"")))))</f>
        <v/>
      </c>
      <c r="Q523">
        <f>IF($A523="","",IF($U523="Subscription","",IF($U523="Profit",$P523-$H523,0)))</f>
        <v/>
      </c>
      <c r="R523">
        <f>IF($A523="","",IF($U523="Subscription","",IF($U523="Draw",$H523,0)))</f>
        <v/>
      </c>
      <c r="S523">
        <f>IF($A523="","",IF($U523="Subscription","",IF($U523="Disqualified",$H523,0)))</f>
        <v/>
      </c>
      <c r="T523">
        <f>IF($A523="","",IF($U523="Subscription","",IF($H523=0,IF($U523="Profit","N/A",0),IF($U523="Profit",$Q523/$H523,IF($U523="Disqualified",-1,0)))))</f>
        <v/>
      </c>
      <c r="U523" s="350">
        <f>IF($A523="","",IF(OR(LOWER($D523&amp;"")="n/a",ISNUMBER(SEARCH("subscription",LOWER($A523&amp;" "&amp;$M523&amp;""))),ISNUMBER(SEARCH("membership",LOWER($A523&amp;" "&amp;$M523&amp;"")))),"Subscription",IF(LOWER($L523&amp;"")="yes","Disqualified",IF($P523&gt;$H523,"Profit","Draw"))))</f>
        <v/>
      </c>
      <c r="V523">
        <f>IF(OR($A523="",$B523="",$C523="",$U523="Subscription"),"",IFERROR(ROUNDUP((IF(ISNUMBER($C523),$C523,DATEVALUE($C523))-IF(ISNUMBER($B523),$B523,DATEVALUE($B523)))/7,0),""))</f>
        <v/>
      </c>
      <c r="W523" s="352">
        <f>IF($U523="Subscription","",$Q523-$S523)</f>
        <v/>
      </c>
      <c r="X523">
        <f>IF(OR($A523="",$U523="Subscription",$J523="",$I523="",$J523=0,$I523=0,$I523&gt;$J523),"",$J523-$I523)</f>
        <v/>
      </c>
      <c r="Y523">
        <f>IF(OR($A523="",$U523="Subscription",$J523="",$J523=0,$X523=""),"",$X523/$J523)</f>
        <v/>
      </c>
    </row>
    <row r="524">
      <c r="B524" s="354" t="n"/>
      <c r="C524" s="354" t="n"/>
      <c r="E524" s="350" t="n"/>
      <c r="F524" s="350" t="n"/>
      <c r="G524" s="350" t="n"/>
      <c r="H524" s="350" t="n"/>
      <c r="I524" s="350" t="n"/>
      <c r="J524" s="352" t="n"/>
      <c r="M524" s="350" t="n"/>
      <c r="N524" s="350">
        <f>IF($A524="","",IF(OR(LOWER($D524&amp;"")="n/a",ISNUMBER(SEARCH("subscription",LOWER($A524&amp;" "&amp;$M524&amp;""))),ISNUMBER(SEARCH("membership",LOWER($A524&amp;" "&amp;$M524&amp;"")))),"",IF($G524="","",IF(ISNUMBER(SEARCH("non",LOWER($E524&amp;""))),$G524*0.85,$G524))))</f>
        <v/>
      </c>
      <c r="O524">
        <f>IF($A524="","",IF(OR(LOWER($D524&amp;"")="n/a",ISNUMBER(SEARCH("subscription",LOWER($A524&amp;" "&amp;$M524&amp;""))),ISNUMBER(SEARCH("membership",LOWER($A524&amp;" "&amp;$M524&amp;"")))),"",IF(OR($N524="",$I524="",$I524=0),"",$N524/$I524)))</f>
        <v/>
      </c>
      <c r="P524">
        <f>IF($A524="","",IF(OR(LOWER($D524&amp;"")="n/a",ISNUMBER(SEARCH("subscription",LOWER($A524&amp;" "&amp;$M524&amp;""))),ISNUMBER(SEARCH("membership",LOWER($A524&amp;" "&amp;$M524&amp;"")))),"",IF(LOWER($L524&amp;"")="yes",0,IF($K524&lt;&gt;"",$K524,IF($O524&lt;&gt;"",$O524,"")))))</f>
        <v/>
      </c>
      <c r="Q524">
        <f>IF($A524="","",IF($U524="Subscription","",IF($U524="Profit",$P524-$H524,0)))</f>
        <v/>
      </c>
      <c r="R524">
        <f>IF($A524="","",IF($U524="Subscription","",IF($U524="Draw",$H524,0)))</f>
        <v/>
      </c>
      <c r="S524">
        <f>IF($A524="","",IF($U524="Subscription","",IF($U524="Disqualified",$H524,0)))</f>
        <v/>
      </c>
      <c r="T524">
        <f>IF($A524="","",IF($U524="Subscription","",IF($H524=0,IF($U524="Profit","N/A",0),IF($U524="Profit",$Q524/$H524,IF($U524="Disqualified",-1,0)))))</f>
        <v/>
      </c>
      <c r="U524" s="350">
        <f>IF($A524="","",IF(OR(LOWER($D524&amp;"")="n/a",ISNUMBER(SEARCH("subscription",LOWER($A524&amp;" "&amp;$M524&amp;""))),ISNUMBER(SEARCH("membership",LOWER($A524&amp;" "&amp;$M524&amp;"")))),"Subscription",IF(LOWER($L524&amp;"")="yes","Disqualified",IF($P524&gt;$H524,"Profit","Draw"))))</f>
        <v/>
      </c>
      <c r="V524">
        <f>IF(OR($A524="",$B524="",$C524="",$U524="Subscription"),"",IFERROR(ROUNDUP((IF(ISNUMBER($C524),$C524,DATEVALUE($C524))-IF(ISNUMBER($B524),$B524,DATEVALUE($B524)))/7,0),""))</f>
        <v/>
      </c>
      <c r="W524" s="352">
        <f>IF($U524="Subscription","",$Q524-$S524)</f>
        <v/>
      </c>
      <c r="X524">
        <f>IF(OR($A524="",$U524="Subscription",$J524="",$I524="",$J524=0,$I524=0,$I524&gt;$J524),"",$J524-$I524)</f>
        <v/>
      </c>
      <c r="Y524">
        <f>IF(OR($A524="",$U524="Subscription",$J524="",$J524=0,$X524=""),"",$X524/$J524)</f>
        <v/>
      </c>
    </row>
    <row r="525">
      <c r="B525" s="354" t="n"/>
      <c r="C525" s="354" t="n"/>
      <c r="E525" s="350" t="n"/>
      <c r="F525" s="350" t="n"/>
      <c r="G525" s="350" t="n"/>
      <c r="H525" s="350" t="n"/>
      <c r="I525" s="350" t="n"/>
      <c r="J525" s="352" t="n"/>
      <c r="M525" s="350" t="n"/>
      <c r="N525" s="350">
        <f>IF($A525="","",IF(OR(LOWER($D525&amp;"")="n/a",ISNUMBER(SEARCH("subscription",LOWER($A525&amp;" "&amp;$M525&amp;""))),ISNUMBER(SEARCH("membership",LOWER($A525&amp;" "&amp;$M525&amp;"")))),"",IF($G525="","",IF(ISNUMBER(SEARCH("non",LOWER($E525&amp;""))),$G525*0.85,$G525))))</f>
        <v/>
      </c>
      <c r="O525">
        <f>IF($A525="","",IF(OR(LOWER($D525&amp;"")="n/a",ISNUMBER(SEARCH("subscription",LOWER($A525&amp;" "&amp;$M525&amp;""))),ISNUMBER(SEARCH("membership",LOWER($A525&amp;" "&amp;$M525&amp;"")))),"",IF(OR($N525="",$I525="",$I525=0),"",$N525/$I525)))</f>
        <v/>
      </c>
      <c r="P525">
        <f>IF($A525="","",IF(OR(LOWER($D525&amp;"")="n/a",ISNUMBER(SEARCH("subscription",LOWER($A525&amp;" "&amp;$M525&amp;""))),ISNUMBER(SEARCH("membership",LOWER($A525&amp;" "&amp;$M525&amp;"")))),"",IF(LOWER($L525&amp;"")="yes",0,IF($K525&lt;&gt;"",$K525,IF($O525&lt;&gt;"",$O525,"")))))</f>
        <v/>
      </c>
      <c r="Q525">
        <f>IF($A525="","",IF($U525="Subscription","",IF($U525="Profit",$P525-$H525,0)))</f>
        <v/>
      </c>
      <c r="R525">
        <f>IF($A525="","",IF($U525="Subscription","",IF($U525="Draw",$H525,0)))</f>
        <v/>
      </c>
      <c r="S525">
        <f>IF($A525="","",IF($U525="Subscription","",IF($U525="Disqualified",$H525,0)))</f>
        <v/>
      </c>
      <c r="T525">
        <f>IF($A525="","",IF($U525="Subscription","",IF($H525=0,IF($U525="Profit","N/A",0),IF($U525="Profit",$Q525/$H525,IF($U525="Disqualified",-1,0)))))</f>
        <v/>
      </c>
      <c r="U525" s="350">
        <f>IF($A525="","",IF(OR(LOWER($D525&amp;"")="n/a",ISNUMBER(SEARCH("subscription",LOWER($A525&amp;" "&amp;$M525&amp;""))),ISNUMBER(SEARCH("membership",LOWER($A525&amp;" "&amp;$M525&amp;"")))),"Subscription",IF(LOWER($L525&amp;"")="yes","Disqualified",IF($P525&gt;$H525,"Profit","Draw"))))</f>
        <v/>
      </c>
      <c r="V525">
        <f>IF(OR($A525="",$B525="",$C525="",$U525="Subscription"),"",IFERROR(ROUNDUP((IF(ISNUMBER($C525),$C525,DATEVALUE($C525))-IF(ISNUMBER($B525),$B525,DATEVALUE($B525)))/7,0),""))</f>
        <v/>
      </c>
      <c r="W525" s="352">
        <f>IF($U525="Subscription","",$Q525-$S525)</f>
        <v/>
      </c>
      <c r="X525">
        <f>IF(OR($A525="",$U525="Subscription",$J525="",$I525="",$J525=0,$I525=0,$I525&gt;$J525),"",$J525-$I525)</f>
        <v/>
      </c>
      <c r="Y525">
        <f>IF(OR($A525="",$U525="Subscription",$J525="",$J525=0,$X525=""),"",$X525/$J525)</f>
        <v/>
      </c>
    </row>
    <row r="526">
      <c r="B526" s="354" t="n"/>
      <c r="C526" s="354" t="n"/>
      <c r="E526" s="350" t="n"/>
      <c r="F526" s="350" t="n"/>
      <c r="G526" s="350" t="n"/>
      <c r="H526" s="350" t="n"/>
      <c r="I526" s="350" t="n"/>
      <c r="J526" s="352" t="n"/>
      <c r="M526" s="350" t="n"/>
      <c r="N526" s="350">
        <f>IF($A526="","",IF(OR(LOWER($D526&amp;"")="n/a",ISNUMBER(SEARCH("subscription",LOWER($A526&amp;" "&amp;$M526&amp;""))),ISNUMBER(SEARCH("membership",LOWER($A526&amp;" "&amp;$M526&amp;"")))),"",IF($G526="","",IF(ISNUMBER(SEARCH("non",LOWER($E526&amp;""))),$G526*0.85,$G526))))</f>
        <v/>
      </c>
      <c r="O526">
        <f>IF($A526="","",IF(OR(LOWER($D526&amp;"")="n/a",ISNUMBER(SEARCH("subscription",LOWER($A526&amp;" "&amp;$M526&amp;""))),ISNUMBER(SEARCH("membership",LOWER($A526&amp;" "&amp;$M526&amp;"")))),"",IF(OR($N526="",$I526="",$I526=0),"",$N526/$I526)))</f>
        <v/>
      </c>
      <c r="P526">
        <f>IF($A526="","",IF(OR(LOWER($D526&amp;"")="n/a",ISNUMBER(SEARCH("subscription",LOWER($A526&amp;" "&amp;$M526&amp;""))),ISNUMBER(SEARCH("membership",LOWER($A526&amp;" "&amp;$M526&amp;"")))),"",IF(LOWER($L526&amp;"")="yes",0,IF($K526&lt;&gt;"",$K526,IF($O526&lt;&gt;"",$O526,"")))))</f>
        <v/>
      </c>
      <c r="Q526">
        <f>IF($A526="","",IF($U526="Subscription","",IF($U526="Profit",$P526-$H526,0)))</f>
        <v/>
      </c>
      <c r="R526">
        <f>IF($A526="","",IF($U526="Subscription","",IF($U526="Draw",$H526,0)))</f>
        <v/>
      </c>
      <c r="S526">
        <f>IF($A526="","",IF($U526="Subscription","",IF($U526="Disqualified",$H526,0)))</f>
        <v/>
      </c>
      <c r="T526">
        <f>IF($A526="","",IF($U526="Subscription","",IF($H526=0,IF($U526="Profit","N/A",0),IF($U526="Profit",$Q526/$H526,IF($U526="Disqualified",-1,0)))))</f>
        <v/>
      </c>
      <c r="U526" s="350">
        <f>IF($A526="","",IF(OR(LOWER($D526&amp;"")="n/a",ISNUMBER(SEARCH("subscription",LOWER($A526&amp;" "&amp;$M526&amp;""))),ISNUMBER(SEARCH("membership",LOWER($A526&amp;" "&amp;$M526&amp;"")))),"Subscription",IF(LOWER($L526&amp;"")="yes","Disqualified",IF($P526&gt;$H526,"Profit","Draw"))))</f>
        <v/>
      </c>
      <c r="V526">
        <f>IF(OR($A526="",$B526="",$C526="",$U526="Subscription"),"",IFERROR(ROUNDUP((IF(ISNUMBER($C526),$C526,DATEVALUE($C526))-IF(ISNUMBER($B526),$B526,DATEVALUE($B526)))/7,0),""))</f>
        <v/>
      </c>
      <c r="W526" s="352">
        <f>IF($U526="Subscription","",$Q526-$S526)</f>
        <v/>
      </c>
      <c r="X526">
        <f>IF(OR($A526="",$U526="Subscription",$J526="",$I526="",$J526=0,$I526=0,$I526&gt;$J526),"",$J526-$I526)</f>
        <v/>
      </c>
      <c r="Y526">
        <f>IF(OR($A526="",$U526="Subscription",$J526="",$J526=0,$X526=""),"",$X526/$J526)</f>
        <v/>
      </c>
    </row>
    <row r="527">
      <c r="B527" s="354" t="n"/>
      <c r="C527" s="354" t="n"/>
      <c r="E527" s="350" t="n"/>
      <c r="F527" s="350" t="n"/>
      <c r="G527" s="350" t="n"/>
      <c r="H527" s="350" t="n"/>
      <c r="I527" s="350" t="n"/>
      <c r="J527" s="352" t="n"/>
      <c r="M527" s="350" t="n"/>
      <c r="N527" s="350">
        <f>IF($A527="","",IF(OR(LOWER($D527&amp;"")="n/a",ISNUMBER(SEARCH("subscription",LOWER($A527&amp;" "&amp;$M527&amp;""))),ISNUMBER(SEARCH("membership",LOWER($A527&amp;" "&amp;$M527&amp;"")))),"",IF($G527="","",IF(ISNUMBER(SEARCH("non",LOWER($E527&amp;""))),$G527*0.85,$G527))))</f>
        <v/>
      </c>
      <c r="O527">
        <f>IF($A527="","",IF(OR(LOWER($D527&amp;"")="n/a",ISNUMBER(SEARCH("subscription",LOWER($A527&amp;" "&amp;$M527&amp;""))),ISNUMBER(SEARCH("membership",LOWER($A527&amp;" "&amp;$M527&amp;"")))),"",IF(OR($N527="",$I527="",$I527=0),"",$N527/$I527)))</f>
        <v/>
      </c>
      <c r="P527">
        <f>IF($A527="","",IF(OR(LOWER($D527&amp;"")="n/a",ISNUMBER(SEARCH("subscription",LOWER($A527&amp;" "&amp;$M527&amp;""))),ISNUMBER(SEARCH("membership",LOWER($A527&amp;" "&amp;$M527&amp;"")))),"",IF(LOWER($L527&amp;"")="yes",0,IF($K527&lt;&gt;"",$K527,IF($O527&lt;&gt;"",$O527,"")))))</f>
        <v/>
      </c>
      <c r="Q527">
        <f>IF($A527="","",IF($U527="Subscription","",IF($U527="Profit",$P527-$H527,0)))</f>
        <v/>
      </c>
      <c r="R527">
        <f>IF($A527="","",IF($U527="Subscription","",IF($U527="Draw",$H527,0)))</f>
        <v/>
      </c>
      <c r="S527">
        <f>IF($A527="","",IF($U527="Subscription","",IF($U527="Disqualified",$H527,0)))</f>
        <v/>
      </c>
      <c r="T527">
        <f>IF($A527="","",IF($U527="Subscription","",IF($H527=0,IF($U527="Profit","N/A",0),IF($U527="Profit",$Q527/$H527,IF($U527="Disqualified",-1,0)))))</f>
        <v/>
      </c>
      <c r="U527" s="350">
        <f>IF($A527="","",IF(OR(LOWER($D527&amp;"")="n/a",ISNUMBER(SEARCH("subscription",LOWER($A527&amp;" "&amp;$M527&amp;""))),ISNUMBER(SEARCH("membership",LOWER($A527&amp;" "&amp;$M527&amp;"")))),"Subscription",IF(LOWER($L527&amp;"")="yes","Disqualified",IF($P527&gt;$H527,"Profit","Draw"))))</f>
        <v/>
      </c>
      <c r="V527">
        <f>IF(OR($A527="",$B527="",$C527="",$U527="Subscription"),"",IFERROR(ROUNDUP((IF(ISNUMBER($C527),$C527,DATEVALUE($C527))-IF(ISNUMBER($B527),$B527,DATEVALUE($B527)))/7,0),""))</f>
        <v/>
      </c>
      <c r="W527" s="352">
        <f>IF($U527="Subscription","",$Q527-$S527)</f>
        <v/>
      </c>
      <c r="X527">
        <f>IF(OR($A527="",$U527="Subscription",$J527="",$I527="",$J527=0,$I527=0,$I527&gt;$J527),"",$J527-$I527)</f>
        <v/>
      </c>
      <c r="Y527">
        <f>IF(OR($A527="",$U527="Subscription",$J527="",$J527=0,$X527=""),"",$X527/$J527)</f>
        <v/>
      </c>
    </row>
    <row r="528">
      <c r="B528" s="354" t="n"/>
      <c r="C528" s="354" t="n"/>
      <c r="E528" s="350" t="n"/>
      <c r="F528" s="350" t="n"/>
      <c r="G528" s="350" t="n"/>
      <c r="H528" s="350" t="n"/>
      <c r="I528" s="350" t="n"/>
      <c r="J528" s="352" t="n"/>
      <c r="M528" s="350" t="n"/>
      <c r="N528" s="350">
        <f>IF($A528="","",IF(OR(LOWER($D528&amp;"")="n/a",ISNUMBER(SEARCH("subscription",LOWER($A528&amp;" "&amp;$M528&amp;""))),ISNUMBER(SEARCH("membership",LOWER($A528&amp;" "&amp;$M528&amp;"")))),"",IF($G528="","",IF(ISNUMBER(SEARCH("non",LOWER($E528&amp;""))),$G528*0.85,$G528))))</f>
        <v/>
      </c>
      <c r="O528">
        <f>IF($A528="","",IF(OR(LOWER($D528&amp;"")="n/a",ISNUMBER(SEARCH("subscription",LOWER($A528&amp;" "&amp;$M528&amp;""))),ISNUMBER(SEARCH("membership",LOWER($A528&amp;" "&amp;$M528&amp;"")))),"",IF(OR($N528="",$I528="",$I528=0),"",$N528/$I528)))</f>
        <v/>
      </c>
      <c r="P528">
        <f>IF($A528="","",IF(OR(LOWER($D528&amp;"")="n/a",ISNUMBER(SEARCH("subscription",LOWER($A528&amp;" "&amp;$M528&amp;""))),ISNUMBER(SEARCH("membership",LOWER($A528&amp;" "&amp;$M528&amp;"")))),"",IF(LOWER($L528&amp;"")="yes",0,IF($K528&lt;&gt;"",$K528,IF($O528&lt;&gt;"",$O528,"")))))</f>
        <v/>
      </c>
      <c r="Q528">
        <f>IF($A528="","",IF($U528="Subscription","",IF($U528="Profit",$P528-$H528,0)))</f>
        <v/>
      </c>
      <c r="R528">
        <f>IF($A528="","",IF($U528="Subscription","",IF($U528="Draw",$H528,0)))</f>
        <v/>
      </c>
      <c r="S528">
        <f>IF($A528="","",IF($U528="Subscription","",IF($U528="Disqualified",$H528,0)))</f>
        <v/>
      </c>
      <c r="T528">
        <f>IF($A528="","",IF($U528="Subscription","",IF($H528=0,IF($U528="Profit","N/A",0),IF($U528="Profit",$Q528/$H528,IF($U528="Disqualified",-1,0)))))</f>
        <v/>
      </c>
      <c r="U528" s="350">
        <f>IF($A528="","",IF(OR(LOWER($D528&amp;"")="n/a",ISNUMBER(SEARCH("subscription",LOWER($A528&amp;" "&amp;$M528&amp;""))),ISNUMBER(SEARCH("membership",LOWER($A528&amp;" "&amp;$M528&amp;"")))),"Subscription",IF(LOWER($L528&amp;"")="yes","Disqualified",IF($P528&gt;$H528,"Profit","Draw"))))</f>
        <v/>
      </c>
      <c r="V528">
        <f>IF(OR($A528="",$B528="",$C528="",$U528="Subscription"),"",IFERROR(ROUNDUP((IF(ISNUMBER($C528),$C528,DATEVALUE($C528))-IF(ISNUMBER($B528),$B528,DATEVALUE($B528)))/7,0),""))</f>
        <v/>
      </c>
      <c r="W528" s="352">
        <f>IF($U528="Subscription","",$Q528-$S528)</f>
        <v/>
      </c>
      <c r="X528">
        <f>IF(OR($A528="",$U528="Subscription",$J528="",$I528="",$J528=0,$I528=0,$I528&gt;$J528),"",$J528-$I528)</f>
        <v/>
      </c>
      <c r="Y528">
        <f>IF(OR($A528="",$U528="Subscription",$J528="",$J528=0,$X528=""),"",$X528/$J528)</f>
        <v/>
      </c>
    </row>
    <row r="529">
      <c r="B529" s="354" t="n"/>
      <c r="C529" s="354" t="n"/>
      <c r="E529" s="350" t="n"/>
      <c r="F529" s="350" t="n"/>
      <c r="G529" s="350" t="n"/>
      <c r="H529" s="350" t="n"/>
      <c r="I529" s="350" t="n"/>
      <c r="J529" s="352" t="n"/>
      <c r="M529" s="350" t="n"/>
      <c r="N529" s="350">
        <f>IF($A529="","",IF(OR(LOWER($D529&amp;"")="n/a",ISNUMBER(SEARCH("subscription",LOWER($A529&amp;" "&amp;$M529&amp;""))),ISNUMBER(SEARCH("membership",LOWER($A529&amp;" "&amp;$M529&amp;"")))),"",IF($G529="","",IF(ISNUMBER(SEARCH("non",LOWER($E529&amp;""))),$G529*0.85,$G529))))</f>
        <v/>
      </c>
      <c r="O529">
        <f>IF($A529="","",IF(OR(LOWER($D529&amp;"")="n/a",ISNUMBER(SEARCH("subscription",LOWER($A529&amp;" "&amp;$M529&amp;""))),ISNUMBER(SEARCH("membership",LOWER($A529&amp;" "&amp;$M529&amp;"")))),"",IF(OR($N529="",$I529="",$I529=0),"",$N529/$I529)))</f>
        <v/>
      </c>
      <c r="P529">
        <f>IF($A529="","",IF(OR(LOWER($D529&amp;"")="n/a",ISNUMBER(SEARCH("subscription",LOWER($A529&amp;" "&amp;$M529&amp;""))),ISNUMBER(SEARCH("membership",LOWER($A529&amp;" "&amp;$M529&amp;"")))),"",IF(LOWER($L529&amp;"")="yes",0,IF($K529&lt;&gt;"",$K529,IF($O529&lt;&gt;"",$O529,"")))))</f>
        <v/>
      </c>
      <c r="Q529">
        <f>IF($A529="","",IF($U529="Subscription","",IF($U529="Profit",$P529-$H529,0)))</f>
        <v/>
      </c>
      <c r="R529">
        <f>IF($A529="","",IF($U529="Subscription","",IF($U529="Draw",$H529,0)))</f>
        <v/>
      </c>
      <c r="S529">
        <f>IF($A529="","",IF($U529="Subscription","",IF($U529="Disqualified",$H529,0)))</f>
        <v/>
      </c>
      <c r="T529">
        <f>IF($A529="","",IF($U529="Subscription","",IF($H529=0,IF($U529="Profit","N/A",0),IF($U529="Profit",$Q529/$H529,IF($U529="Disqualified",-1,0)))))</f>
        <v/>
      </c>
      <c r="U529" s="350">
        <f>IF($A529="","",IF(OR(LOWER($D529&amp;"")="n/a",ISNUMBER(SEARCH("subscription",LOWER($A529&amp;" "&amp;$M529&amp;""))),ISNUMBER(SEARCH("membership",LOWER($A529&amp;" "&amp;$M529&amp;"")))),"Subscription",IF(LOWER($L529&amp;"")="yes","Disqualified",IF($P529&gt;$H529,"Profit","Draw"))))</f>
        <v/>
      </c>
      <c r="V529">
        <f>IF(OR($A529="",$B529="",$C529="",$U529="Subscription"),"",IFERROR(ROUNDUP((IF(ISNUMBER($C529),$C529,DATEVALUE($C529))-IF(ISNUMBER($B529),$B529,DATEVALUE($B529)))/7,0),""))</f>
        <v/>
      </c>
      <c r="W529" s="352">
        <f>IF($U529="Subscription","",$Q529-$S529)</f>
        <v/>
      </c>
      <c r="X529">
        <f>IF(OR($A529="",$U529="Subscription",$J529="",$I529="",$J529=0,$I529=0,$I529&gt;$J529),"",$J529-$I529)</f>
        <v/>
      </c>
      <c r="Y529">
        <f>IF(OR($A529="",$U529="Subscription",$J529="",$J529=0,$X529=""),"",$X529/$J529)</f>
        <v/>
      </c>
    </row>
    <row r="530">
      <c r="B530" s="354" t="n"/>
      <c r="C530" s="354" t="n"/>
      <c r="E530" s="350" t="n"/>
      <c r="F530" s="350" t="n"/>
      <c r="G530" s="350" t="n"/>
      <c r="H530" s="350" t="n"/>
      <c r="I530" s="350" t="n"/>
      <c r="J530" s="352" t="n"/>
      <c r="M530" s="350" t="n"/>
      <c r="N530" s="350">
        <f>IF($A530="","",IF(OR(LOWER($D530&amp;"")="n/a",ISNUMBER(SEARCH("subscription",LOWER($A530&amp;" "&amp;$M530&amp;""))),ISNUMBER(SEARCH("membership",LOWER($A530&amp;" "&amp;$M530&amp;"")))),"",IF($G530="","",IF(ISNUMBER(SEARCH("non",LOWER($E530&amp;""))),$G530*0.85,$G530))))</f>
        <v/>
      </c>
      <c r="O530">
        <f>IF($A530="","",IF(OR(LOWER($D530&amp;"")="n/a",ISNUMBER(SEARCH("subscription",LOWER($A530&amp;" "&amp;$M530&amp;""))),ISNUMBER(SEARCH("membership",LOWER($A530&amp;" "&amp;$M530&amp;"")))),"",IF(OR($N530="",$I530="",$I530=0),"",$N530/$I530)))</f>
        <v/>
      </c>
      <c r="P530">
        <f>IF($A530="","",IF(OR(LOWER($D530&amp;"")="n/a",ISNUMBER(SEARCH("subscription",LOWER($A530&amp;" "&amp;$M530&amp;""))),ISNUMBER(SEARCH("membership",LOWER($A530&amp;" "&amp;$M530&amp;"")))),"",IF(LOWER($L530&amp;"")="yes",0,IF($K530&lt;&gt;"",$K530,IF($O530&lt;&gt;"",$O530,"")))))</f>
        <v/>
      </c>
      <c r="Q530">
        <f>IF($A530="","",IF($U530="Subscription","",IF($U530="Profit",$P530-$H530,0)))</f>
        <v/>
      </c>
      <c r="R530">
        <f>IF($A530="","",IF($U530="Subscription","",IF($U530="Draw",$H530,0)))</f>
        <v/>
      </c>
      <c r="S530">
        <f>IF($A530="","",IF($U530="Subscription","",IF($U530="Disqualified",$H530,0)))</f>
        <v/>
      </c>
      <c r="T530">
        <f>IF($A530="","",IF($U530="Subscription","",IF($H530=0,IF($U530="Profit","N/A",0),IF($U530="Profit",$Q530/$H530,IF($U530="Disqualified",-1,0)))))</f>
        <v/>
      </c>
      <c r="U530" s="350">
        <f>IF($A530="","",IF(OR(LOWER($D530&amp;"")="n/a",ISNUMBER(SEARCH("subscription",LOWER($A530&amp;" "&amp;$M530&amp;""))),ISNUMBER(SEARCH("membership",LOWER($A530&amp;" "&amp;$M530&amp;"")))),"Subscription",IF(LOWER($L530&amp;"")="yes","Disqualified",IF($P530&gt;$H530,"Profit","Draw"))))</f>
        <v/>
      </c>
      <c r="V530">
        <f>IF(OR($A530="",$B530="",$C530="",$U530="Subscription"),"",IFERROR(ROUNDUP((IF(ISNUMBER($C530),$C530,DATEVALUE($C530))-IF(ISNUMBER($B530),$B530,DATEVALUE($B530)))/7,0),""))</f>
        <v/>
      </c>
      <c r="W530" s="352">
        <f>IF($U530="Subscription","",$Q530-$S530)</f>
        <v/>
      </c>
      <c r="X530">
        <f>IF(OR($A530="",$U530="Subscription",$J530="",$I530="",$J530=0,$I530=0,$I530&gt;$J530),"",$J530-$I530)</f>
        <v/>
      </c>
      <c r="Y530">
        <f>IF(OR($A530="",$U530="Subscription",$J530="",$J530=0,$X530=""),"",$X530/$J530)</f>
        <v/>
      </c>
    </row>
    <row r="531">
      <c r="B531" s="354" t="n"/>
      <c r="C531" s="354" t="n"/>
      <c r="E531" s="350" t="n"/>
      <c r="F531" s="350" t="n"/>
      <c r="G531" s="350" t="n"/>
      <c r="H531" s="350" t="n"/>
      <c r="I531" s="350" t="n"/>
      <c r="J531" s="352" t="n"/>
      <c r="M531" s="350" t="n"/>
      <c r="N531" s="350">
        <f>IF($A531="","",IF(OR(LOWER($D531&amp;"")="n/a",ISNUMBER(SEARCH("subscription",LOWER($A531&amp;" "&amp;$M531&amp;""))),ISNUMBER(SEARCH("membership",LOWER($A531&amp;" "&amp;$M531&amp;"")))),"",IF($G531="","",IF(ISNUMBER(SEARCH("non",LOWER($E531&amp;""))),$G531*0.85,$G531))))</f>
        <v/>
      </c>
      <c r="O531">
        <f>IF($A531="","",IF(OR(LOWER($D531&amp;"")="n/a",ISNUMBER(SEARCH("subscription",LOWER($A531&amp;" "&amp;$M531&amp;""))),ISNUMBER(SEARCH("membership",LOWER($A531&amp;" "&amp;$M531&amp;"")))),"",IF(OR($N531="",$I531="",$I531=0),"",$N531/$I531)))</f>
        <v/>
      </c>
      <c r="P531">
        <f>IF($A531="","",IF(OR(LOWER($D531&amp;"")="n/a",ISNUMBER(SEARCH("subscription",LOWER($A531&amp;" "&amp;$M531&amp;""))),ISNUMBER(SEARCH("membership",LOWER($A531&amp;" "&amp;$M531&amp;"")))),"",IF(LOWER($L531&amp;"")="yes",0,IF($K531&lt;&gt;"",$K531,IF($O531&lt;&gt;"",$O531,"")))))</f>
        <v/>
      </c>
      <c r="Q531">
        <f>IF($A531="","",IF($U531="Subscription","",IF($U531="Profit",$P531-$H531,0)))</f>
        <v/>
      </c>
      <c r="R531">
        <f>IF($A531="","",IF($U531="Subscription","",IF($U531="Draw",$H531,0)))</f>
        <v/>
      </c>
      <c r="S531">
        <f>IF($A531="","",IF($U531="Subscription","",IF($U531="Disqualified",$H531,0)))</f>
        <v/>
      </c>
      <c r="T531">
        <f>IF($A531="","",IF($U531="Subscription","",IF($H531=0,IF($U531="Profit","N/A",0),IF($U531="Profit",$Q531/$H531,IF($U531="Disqualified",-1,0)))))</f>
        <v/>
      </c>
      <c r="U531" s="350">
        <f>IF($A531="","",IF(OR(LOWER($D531&amp;"")="n/a",ISNUMBER(SEARCH("subscription",LOWER($A531&amp;" "&amp;$M531&amp;""))),ISNUMBER(SEARCH("membership",LOWER($A531&amp;" "&amp;$M531&amp;"")))),"Subscription",IF(LOWER($L531&amp;"")="yes","Disqualified",IF($P531&gt;$H531,"Profit","Draw"))))</f>
        <v/>
      </c>
      <c r="V531">
        <f>IF(OR($A531="",$B531="",$C531="",$U531="Subscription"),"",IFERROR(ROUNDUP((IF(ISNUMBER($C531),$C531,DATEVALUE($C531))-IF(ISNUMBER($B531),$B531,DATEVALUE($B531)))/7,0),""))</f>
        <v/>
      </c>
      <c r="W531" s="352">
        <f>IF($U531="Subscription","",$Q531-$S531)</f>
        <v/>
      </c>
      <c r="X531">
        <f>IF(OR($A531="",$U531="Subscription",$J531="",$I531="",$J531=0,$I531=0,$I531&gt;$J531),"",$J531-$I531)</f>
        <v/>
      </c>
      <c r="Y531">
        <f>IF(OR($A531="",$U531="Subscription",$J531="",$J531=0,$X531=""),"",$X531/$J531)</f>
        <v/>
      </c>
    </row>
    <row r="532">
      <c r="B532" s="354" t="n"/>
      <c r="C532" s="354" t="n"/>
      <c r="E532" s="350" t="n"/>
      <c r="F532" s="350" t="n"/>
      <c r="G532" s="350" t="n"/>
      <c r="H532" s="350" t="n"/>
      <c r="I532" s="350" t="n"/>
      <c r="J532" s="352" t="n"/>
      <c r="M532" s="350" t="n"/>
      <c r="N532" s="350">
        <f>IF($A532="","",IF(OR(LOWER($D532&amp;"")="n/a",ISNUMBER(SEARCH("subscription",LOWER($A532&amp;" "&amp;$M532&amp;""))),ISNUMBER(SEARCH("membership",LOWER($A532&amp;" "&amp;$M532&amp;"")))),"",IF($G532="","",IF(ISNUMBER(SEARCH("non",LOWER($E532&amp;""))),$G532*0.85,$G532))))</f>
        <v/>
      </c>
      <c r="O532">
        <f>IF($A532="","",IF(OR(LOWER($D532&amp;"")="n/a",ISNUMBER(SEARCH("subscription",LOWER($A532&amp;" "&amp;$M532&amp;""))),ISNUMBER(SEARCH("membership",LOWER($A532&amp;" "&amp;$M532&amp;"")))),"",IF(OR($N532="",$I532="",$I532=0),"",$N532/$I532)))</f>
        <v/>
      </c>
      <c r="P532">
        <f>IF($A532="","",IF(OR(LOWER($D532&amp;"")="n/a",ISNUMBER(SEARCH("subscription",LOWER($A532&amp;" "&amp;$M532&amp;""))),ISNUMBER(SEARCH("membership",LOWER($A532&amp;" "&amp;$M532&amp;"")))),"",IF(LOWER($L532&amp;"")="yes",0,IF($K532&lt;&gt;"",$K532,IF($O532&lt;&gt;"",$O532,"")))))</f>
        <v/>
      </c>
      <c r="Q532">
        <f>IF($A532="","",IF($U532="Subscription","",IF($U532="Profit",$P532-$H532,0)))</f>
        <v/>
      </c>
      <c r="R532">
        <f>IF($A532="","",IF($U532="Subscription","",IF($U532="Draw",$H532,0)))</f>
        <v/>
      </c>
      <c r="S532">
        <f>IF($A532="","",IF($U532="Subscription","",IF($U532="Disqualified",$H532,0)))</f>
        <v/>
      </c>
      <c r="T532">
        <f>IF($A532="","",IF($U532="Subscription","",IF($H532=0,IF($U532="Profit","N/A",0),IF($U532="Profit",$Q532/$H532,IF($U532="Disqualified",-1,0)))))</f>
        <v/>
      </c>
      <c r="U532" s="350">
        <f>IF($A532="","",IF(OR(LOWER($D532&amp;"")="n/a",ISNUMBER(SEARCH("subscription",LOWER($A532&amp;" "&amp;$M532&amp;""))),ISNUMBER(SEARCH("membership",LOWER($A532&amp;" "&amp;$M532&amp;"")))),"Subscription",IF(LOWER($L532&amp;"")="yes","Disqualified",IF($P532&gt;$H532,"Profit","Draw"))))</f>
        <v/>
      </c>
      <c r="V532">
        <f>IF(OR($A532="",$B532="",$C532="",$U532="Subscription"),"",IFERROR(ROUNDUP((IF(ISNUMBER($C532),$C532,DATEVALUE($C532))-IF(ISNUMBER($B532),$B532,DATEVALUE($B532)))/7,0),""))</f>
        <v/>
      </c>
      <c r="W532" s="352">
        <f>IF($U532="Subscription","",$Q532-$S532)</f>
        <v/>
      </c>
      <c r="X532">
        <f>IF(OR($A532="",$U532="Subscription",$J532="",$I532="",$J532=0,$I532=0,$I532&gt;$J532),"",$J532-$I532)</f>
        <v/>
      </c>
      <c r="Y532">
        <f>IF(OR($A532="",$U532="Subscription",$J532="",$J532=0,$X532=""),"",$X532/$J532)</f>
        <v/>
      </c>
    </row>
    <row r="533">
      <c r="B533" s="354" t="n"/>
      <c r="C533" s="354" t="n"/>
      <c r="E533" s="350" t="n"/>
      <c r="F533" s="350" t="n"/>
      <c r="G533" s="350" t="n"/>
      <c r="H533" s="350" t="n"/>
      <c r="I533" s="350" t="n"/>
      <c r="J533" s="352" t="n"/>
      <c r="M533" s="350" t="n"/>
      <c r="N533" s="350">
        <f>IF($A533="","",IF(OR(LOWER($D533&amp;"")="n/a",ISNUMBER(SEARCH("subscription",LOWER($A533&amp;" "&amp;$M533&amp;""))),ISNUMBER(SEARCH("membership",LOWER($A533&amp;" "&amp;$M533&amp;"")))),"",IF($G533="","",IF(ISNUMBER(SEARCH("non",LOWER($E533&amp;""))),$G533*0.85,$G533))))</f>
        <v/>
      </c>
      <c r="O533">
        <f>IF($A533="","",IF(OR(LOWER($D533&amp;"")="n/a",ISNUMBER(SEARCH("subscription",LOWER($A533&amp;" "&amp;$M533&amp;""))),ISNUMBER(SEARCH("membership",LOWER($A533&amp;" "&amp;$M533&amp;"")))),"",IF(OR($N533="",$I533="",$I533=0),"",$N533/$I533)))</f>
        <v/>
      </c>
      <c r="P533">
        <f>IF($A533="","",IF(OR(LOWER($D533&amp;"")="n/a",ISNUMBER(SEARCH("subscription",LOWER($A533&amp;" "&amp;$M533&amp;""))),ISNUMBER(SEARCH("membership",LOWER($A533&amp;" "&amp;$M533&amp;"")))),"",IF(LOWER($L533&amp;"")="yes",0,IF($K533&lt;&gt;"",$K533,IF($O533&lt;&gt;"",$O533,"")))))</f>
        <v/>
      </c>
      <c r="Q533">
        <f>IF($A533="","",IF($U533="Subscription","",IF($U533="Profit",$P533-$H533,0)))</f>
        <v/>
      </c>
      <c r="R533">
        <f>IF($A533="","",IF($U533="Subscription","",IF($U533="Draw",$H533,0)))</f>
        <v/>
      </c>
      <c r="S533">
        <f>IF($A533="","",IF($U533="Subscription","",IF($U533="Disqualified",$H533,0)))</f>
        <v/>
      </c>
      <c r="T533">
        <f>IF($A533="","",IF($U533="Subscription","",IF($H533=0,IF($U533="Profit","N/A",0),IF($U533="Profit",$Q533/$H533,IF($U533="Disqualified",-1,0)))))</f>
        <v/>
      </c>
      <c r="U533" s="350">
        <f>IF($A533="","",IF(OR(LOWER($D533&amp;"")="n/a",ISNUMBER(SEARCH("subscription",LOWER($A533&amp;" "&amp;$M533&amp;""))),ISNUMBER(SEARCH("membership",LOWER($A533&amp;" "&amp;$M533&amp;"")))),"Subscription",IF(LOWER($L533&amp;"")="yes","Disqualified",IF($P533&gt;$H533,"Profit","Draw"))))</f>
        <v/>
      </c>
      <c r="V533">
        <f>IF(OR($A533="",$B533="",$C533="",$U533="Subscription"),"",IFERROR(ROUNDUP((IF(ISNUMBER($C533),$C533,DATEVALUE($C533))-IF(ISNUMBER($B533),$B533,DATEVALUE($B533)))/7,0),""))</f>
        <v/>
      </c>
      <c r="W533" s="352">
        <f>IF($U533="Subscription","",$Q533-$S533)</f>
        <v/>
      </c>
      <c r="X533">
        <f>IF(OR($A533="",$U533="Subscription",$J533="",$I533="",$J533=0,$I533=0,$I533&gt;$J533),"",$J533-$I533)</f>
        <v/>
      </c>
      <c r="Y533">
        <f>IF(OR($A533="",$U533="Subscription",$J533="",$J533=0,$X533=""),"",$X533/$J533)</f>
        <v/>
      </c>
    </row>
    <row r="534">
      <c r="B534" s="354" t="n"/>
      <c r="C534" s="354" t="n"/>
      <c r="E534" s="350" t="n"/>
      <c r="F534" s="350" t="n"/>
      <c r="G534" s="350" t="n"/>
      <c r="H534" s="350" t="n"/>
      <c r="I534" s="350" t="n"/>
      <c r="J534" s="352" t="n"/>
      <c r="M534" s="350" t="n"/>
      <c r="N534" s="350">
        <f>IF($A534="","",IF(OR(LOWER($D534&amp;"")="n/a",ISNUMBER(SEARCH("subscription",LOWER($A534&amp;" "&amp;$M534&amp;""))),ISNUMBER(SEARCH("membership",LOWER($A534&amp;" "&amp;$M534&amp;"")))),"",IF($G534="","",IF(ISNUMBER(SEARCH("non",LOWER($E534&amp;""))),$G534*0.85,$G534))))</f>
        <v/>
      </c>
      <c r="O534">
        <f>IF($A534="","",IF(OR(LOWER($D534&amp;"")="n/a",ISNUMBER(SEARCH("subscription",LOWER($A534&amp;" "&amp;$M534&amp;""))),ISNUMBER(SEARCH("membership",LOWER($A534&amp;" "&amp;$M534&amp;"")))),"",IF(OR($N534="",$I534="",$I534=0),"",$N534/$I534)))</f>
        <v/>
      </c>
      <c r="P534">
        <f>IF($A534="","",IF(OR(LOWER($D534&amp;"")="n/a",ISNUMBER(SEARCH("subscription",LOWER($A534&amp;" "&amp;$M534&amp;""))),ISNUMBER(SEARCH("membership",LOWER($A534&amp;" "&amp;$M534&amp;"")))),"",IF(LOWER($L534&amp;"")="yes",0,IF($K534&lt;&gt;"",$K534,IF($O534&lt;&gt;"",$O534,"")))))</f>
        <v/>
      </c>
      <c r="Q534">
        <f>IF($A534="","",IF($U534="Subscription","",IF($U534="Profit",$P534-$H534,0)))</f>
        <v/>
      </c>
      <c r="R534">
        <f>IF($A534="","",IF($U534="Subscription","",IF($U534="Draw",$H534,0)))</f>
        <v/>
      </c>
      <c r="S534">
        <f>IF($A534="","",IF($U534="Subscription","",IF($U534="Disqualified",$H534,0)))</f>
        <v/>
      </c>
      <c r="T534">
        <f>IF($A534="","",IF($U534="Subscription","",IF($H534=0,IF($U534="Profit","N/A",0),IF($U534="Profit",$Q534/$H534,IF($U534="Disqualified",-1,0)))))</f>
        <v/>
      </c>
      <c r="U534" s="350">
        <f>IF($A534="","",IF(OR(LOWER($D534&amp;"")="n/a",ISNUMBER(SEARCH("subscription",LOWER($A534&amp;" "&amp;$M534&amp;""))),ISNUMBER(SEARCH("membership",LOWER($A534&amp;" "&amp;$M534&amp;"")))),"Subscription",IF(LOWER($L534&amp;"")="yes","Disqualified",IF($P534&gt;$H534,"Profit","Draw"))))</f>
        <v/>
      </c>
      <c r="V534">
        <f>IF(OR($A534="",$B534="",$C534="",$U534="Subscription"),"",IFERROR(ROUNDUP((IF(ISNUMBER($C534),$C534,DATEVALUE($C534))-IF(ISNUMBER($B534),$B534,DATEVALUE($B534)))/7,0),""))</f>
        <v/>
      </c>
      <c r="W534" s="352">
        <f>IF($U534="Subscription","",$Q534-$S534)</f>
        <v/>
      </c>
      <c r="X534">
        <f>IF(OR($A534="",$U534="Subscription",$J534="",$I534="",$J534=0,$I534=0,$I534&gt;$J534),"",$J534-$I534)</f>
        <v/>
      </c>
      <c r="Y534">
        <f>IF(OR($A534="",$U534="Subscription",$J534="",$J534=0,$X534=""),"",$X534/$J534)</f>
        <v/>
      </c>
    </row>
    <row r="535">
      <c r="B535" s="354" t="n"/>
      <c r="C535" s="354" t="n"/>
      <c r="E535" s="350" t="n"/>
      <c r="F535" s="350" t="n"/>
      <c r="G535" s="350" t="n"/>
      <c r="H535" s="350" t="n"/>
      <c r="I535" s="350" t="n"/>
      <c r="J535" s="352" t="n"/>
      <c r="M535" s="350" t="n"/>
      <c r="N535" s="350">
        <f>IF($A535="","",IF(OR(LOWER($D535&amp;"")="n/a",ISNUMBER(SEARCH("subscription",LOWER($A535&amp;" "&amp;$M535&amp;""))),ISNUMBER(SEARCH("membership",LOWER($A535&amp;" "&amp;$M535&amp;"")))),"",IF($G535="","",IF(ISNUMBER(SEARCH("non",LOWER($E535&amp;""))),$G535*0.85,$G535))))</f>
        <v/>
      </c>
      <c r="O535">
        <f>IF($A535="","",IF(OR(LOWER($D535&amp;"")="n/a",ISNUMBER(SEARCH("subscription",LOWER($A535&amp;" "&amp;$M535&amp;""))),ISNUMBER(SEARCH("membership",LOWER($A535&amp;" "&amp;$M535&amp;"")))),"",IF(OR($N535="",$I535="",$I535=0),"",$N535/$I535)))</f>
        <v/>
      </c>
      <c r="P535">
        <f>IF($A535="","",IF(OR(LOWER($D535&amp;"")="n/a",ISNUMBER(SEARCH("subscription",LOWER($A535&amp;" "&amp;$M535&amp;""))),ISNUMBER(SEARCH("membership",LOWER($A535&amp;" "&amp;$M535&amp;"")))),"",IF(LOWER($L535&amp;"")="yes",0,IF($K535&lt;&gt;"",$K535,IF($O535&lt;&gt;"",$O535,"")))))</f>
        <v/>
      </c>
      <c r="Q535">
        <f>IF($A535="","",IF($U535="Subscription","",IF($U535="Profit",$P535-$H535,0)))</f>
        <v/>
      </c>
      <c r="R535">
        <f>IF($A535="","",IF($U535="Subscription","",IF($U535="Draw",$H535,0)))</f>
        <v/>
      </c>
      <c r="S535">
        <f>IF($A535="","",IF($U535="Subscription","",IF($U535="Disqualified",$H535,0)))</f>
        <v/>
      </c>
      <c r="T535">
        <f>IF($A535="","",IF($U535="Subscription","",IF($H535=0,IF($U535="Profit","N/A",0),IF($U535="Profit",$Q535/$H535,IF($U535="Disqualified",-1,0)))))</f>
        <v/>
      </c>
      <c r="U535" s="350">
        <f>IF($A535="","",IF(OR(LOWER($D535&amp;"")="n/a",ISNUMBER(SEARCH("subscription",LOWER($A535&amp;" "&amp;$M535&amp;""))),ISNUMBER(SEARCH("membership",LOWER($A535&amp;" "&amp;$M535&amp;"")))),"Subscription",IF(LOWER($L535&amp;"")="yes","Disqualified",IF($P535&gt;$H535,"Profit","Draw"))))</f>
        <v/>
      </c>
      <c r="V535">
        <f>IF(OR($A535="",$B535="",$C535="",$U535="Subscription"),"",IFERROR(ROUNDUP((IF(ISNUMBER($C535),$C535,DATEVALUE($C535))-IF(ISNUMBER($B535),$B535,DATEVALUE($B535)))/7,0),""))</f>
        <v/>
      </c>
      <c r="W535" s="352">
        <f>IF($U535="Subscription","",$Q535-$S535)</f>
        <v/>
      </c>
      <c r="X535">
        <f>IF(OR($A535="",$U535="Subscription",$J535="",$I535="",$J535=0,$I535=0,$I535&gt;$J535),"",$J535-$I535)</f>
        <v/>
      </c>
      <c r="Y535">
        <f>IF(OR($A535="",$U535="Subscription",$J535="",$J535=0,$X535=""),"",$X535/$J535)</f>
        <v/>
      </c>
    </row>
    <row r="536">
      <c r="B536" s="354" t="n"/>
      <c r="C536" s="354" t="n"/>
      <c r="E536" s="350" t="n"/>
      <c r="F536" s="350" t="n"/>
      <c r="G536" s="350" t="n"/>
      <c r="H536" s="350" t="n"/>
      <c r="I536" s="350" t="n"/>
      <c r="J536" s="352" t="n"/>
      <c r="M536" s="350" t="n"/>
      <c r="N536" s="350">
        <f>IF($A536="","",IF(OR(LOWER($D536&amp;"")="n/a",ISNUMBER(SEARCH("subscription",LOWER($A536&amp;" "&amp;$M536&amp;""))),ISNUMBER(SEARCH("membership",LOWER($A536&amp;" "&amp;$M536&amp;"")))),"",IF($G536="","",IF(ISNUMBER(SEARCH("non",LOWER($E536&amp;""))),$G536*0.85,$G536))))</f>
        <v/>
      </c>
      <c r="O536">
        <f>IF($A536="","",IF(OR(LOWER($D536&amp;"")="n/a",ISNUMBER(SEARCH("subscription",LOWER($A536&amp;" "&amp;$M536&amp;""))),ISNUMBER(SEARCH("membership",LOWER($A536&amp;" "&amp;$M536&amp;"")))),"",IF(OR($N536="",$I536="",$I536=0),"",$N536/$I536)))</f>
        <v/>
      </c>
      <c r="P536">
        <f>IF($A536="","",IF(OR(LOWER($D536&amp;"")="n/a",ISNUMBER(SEARCH("subscription",LOWER($A536&amp;" "&amp;$M536&amp;""))),ISNUMBER(SEARCH("membership",LOWER($A536&amp;" "&amp;$M536&amp;"")))),"",IF(LOWER($L536&amp;"")="yes",0,IF($K536&lt;&gt;"",$K536,IF($O536&lt;&gt;"",$O536,"")))))</f>
        <v/>
      </c>
      <c r="Q536">
        <f>IF($A536="","",IF($U536="Subscription","",IF($U536="Profit",$P536-$H536,0)))</f>
        <v/>
      </c>
      <c r="R536">
        <f>IF($A536="","",IF($U536="Subscription","",IF($U536="Draw",$H536,0)))</f>
        <v/>
      </c>
      <c r="S536">
        <f>IF($A536="","",IF($U536="Subscription","",IF($U536="Disqualified",$H536,0)))</f>
        <v/>
      </c>
      <c r="T536">
        <f>IF($A536="","",IF($U536="Subscription","",IF($H536=0,IF($U536="Profit","N/A",0),IF($U536="Profit",$Q536/$H536,IF($U536="Disqualified",-1,0)))))</f>
        <v/>
      </c>
      <c r="U536" s="350">
        <f>IF($A536="","",IF(OR(LOWER($D536&amp;"")="n/a",ISNUMBER(SEARCH("subscription",LOWER($A536&amp;" "&amp;$M536&amp;""))),ISNUMBER(SEARCH("membership",LOWER($A536&amp;" "&amp;$M536&amp;"")))),"Subscription",IF(LOWER($L536&amp;"")="yes","Disqualified",IF($P536&gt;$H536,"Profit","Draw"))))</f>
        <v/>
      </c>
      <c r="V536">
        <f>IF(OR($A536="",$B536="",$C536="",$U536="Subscription"),"",IFERROR(ROUNDUP((IF(ISNUMBER($C536),$C536,DATEVALUE($C536))-IF(ISNUMBER($B536),$B536,DATEVALUE($B536)))/7,0),""))</f>
        <v/>
      </c>
      <c r="W536" s="352">
        <f>IF($U536="Subscription","",$Q536-$S536)</f>
        <v/>
      </c>
      <c r="X536">
        <f>IF(OR($A536="",$U536="Subscription",$J536="",$I536="",$J536=0,$I536=0,$I536&gt;$J536),"",$J536-$I536)</f>
        <v/>
      </c>
      <c r="Y536">
        <f>IF(OR($A536="",$U536="Subscription",$J536="",$J536=0,$X536=""),"",$X536/$J536)</f>
        <v/>
      </c>
    </row>
    <row r="537">
      <c r="B537" s="354" t="n"/>
      <c r="C537" s="354" t="n"/>
      <c r="E537" s="350" t="n"/>
      <c r="F537" s="350" t="n"/>
      <c r="G537" s="350" t="n"/>
      <c r="H537" s="350" t="n"/>
      <c r="I537" s="350" t="n"/>
      <c r="J537" s="352" t="n"/>
      <c r="M537" s="350" t="n"/>
      <c r="N537" s="350">
        <f>IF($A537="","",IF(OR(LOWER($D537&amp;"")="n/a",ISNUMBER(SEARCH("subscription",LOWER($A537&amp;" "&amp;$M537&amp;""))),ISNUMBER(SEARCH("membership",LOWER($A537&amp;" "&amp;$M537&amp;"")))),"",IF($G537="","",IF(ISNUMBER(SEARCH("non",LOWER($E537&amp;""))),$G537*0.85,$G537))))</f>
        <v/>
      </c>
      <c r="O537">
        <f>IF($A537="","",IF(OR(LOWER($D537&amp;"")="n/a",ISNUMBER(SEARCH("subscription",LOWER($A537&amp;" "&amp;$M537&amp;""))),ISNUMBER(SEARCH("membership",LOWER($A537&amp;" "&amp;$M537&amp;"")))),"",IF(OR($N537="",$I537="",$I537=0),"",$N537/$I537)))</f>
        <v/>
      </c>
      <c r="P537">
        <f>IF($A537="","",IF(OR(LOWER($D537&amp;"")="n/a",ISNUMBER(SEARCH("subscription",LOWER($A537&amp;" "&amp;$M537&amp;""))),ISNUMBER(SEARCH("membership",LOWER($A537&amp;" "&amp;$M537&amp;"")))),"",IF(LOWER($L537&amp;"")="yes",0,IF($K537&lt;&gt;"",$K537,IF($O537&lt;&gt;"",$O537,"")))))</f>
        <v/>
      </c>
      <c r="Q537">
        <f>IF($A537="","",IF($U537="Subscription","",IF($U537="Profit",$P537-$H537,0)))</f>
        <v/>
      </c>
      <c r="R537">
        <f>IF($A537="","",IF($U537="Subscription","",IF($U537="Draw",$H537,0)))</f>
        <v/>
      </c>
      <c r="S537">
        <f>IF($A537="","",IF($U537="Subscription","",IF($U537="Disqualified",$H537,0)))</f>
        <v/>
      </c>
      <c r="T537">
        <f>IF($A537="","",IF($U537="Subscription","",IF($H537=0,IF($U537="Profit","N/A",0),IF($U537="Profit",$Q537/$H537,IF($U537="Disqualified",-1,0)))))</f>
        <v/>
      </c>
      <c r="U537" s="350">
        <f>IF($A537="","",IF(OR(LOWER($D537&amp;"")="n/a",ISNUMBER(SEARCH("subscription",LOWER($A537&amp;" "&amp;$M537&amp;""))),ISNUMBER(SEARCH("membership",LOWER($A537&amp;" "&amp;$M537&amp;"")))),"Subscription",IF(LOWER($L537&amp;"")="yes","Disqualified",IF($P537&gt;$H537,"Profit","Draw"))))</f>
        <v/>
      </c>
      <c r="V537">
        <f>IF(OR($A537="",$B537="",$C537="",$U537="Subscription"),"",IFERROR(ROUNDUP((IF(ISNUMBER($C537),$C537,DATEVALUE($C537))-IF(ISNUMBER($B537),$B537,DATEVALUE($B537)))/7,0),""))</f>
        <v/>
      </c>
      <c r="W537" s="352">
        <f>IF($U537="Subscription","",$Q537-$S537)</f>
        <v/>
      </c>
      <c r="X537">
        <f>IF(OR($A537="",$U537="Subscription",$J537="",$I537="",$J537=0,$I537=0,$I537&gt;$J537),"",$J537-$I537)</f>
        <v/>
      </c>
      <c r="Y537">
        <f>IF(OR($A537="",$U537="Subscription",$J537="",$J537=0,$X537=""),"",$X537/$J537)</f>
        <v/>
      </c>
    </row>
    <row r="538">
      <c r="B538" s="354" t="n"/>
      <c r="C538" s="354" t="n"/>
      <c r="E538" s="350" t="n"/>
      <c r="F538" s="350" t="n"/>
      <c r="G538" s="350" t="n"/>
      <c r="H538" s="350" t="n"/>
      <c r="I538" s="350" t="n"/>
      <c r="J538" s="352" t="n"/>
      <c r="M538" s="350" t="n"/>
      <c r="N538" s="350">
        <f>IF($A538="","",IF(OR(LOWER($D538&amp;"")="n/a",ISNUMBER(SEARCH("subscription",LOWER($A538&amp;" "&amp;$M538&amp;""))),ISNUMBER(SEARCH("membership",LOWER($A538&amp;" "&amp;$M538&amp;"")))),"",IF($G538="","",IF(ISNUMBER(SEARCH("non",LOWER($E538&amp;""))),$G538*0.85,$G538))))</f>
        <v/>
      </c>
      <c r="O538">
        <f>IF($A538="","",IF(OR(LOWER($D538&amp;"")="n/a",ISNUMBER(SEARCH("subscription",LOWER($A538&amp;" "&amp;$M538&amp;""))),ISNUMBER(SEARCH("membership",LOWER($A538&amp;" "&amp;$M538&amp;"")))),"",IF(OR($N538="",$I538="",$I538=0),"",$N538/$I538)))</f>
        <v/>
      </c>
      <c r="P538">
        <f>IF($A538="","",IF(OR(LOWER($D538&amp;"")="n/a",ISNUMBER(SEARCH("subscription",LOWER($A538&amp;" "&amp;$M538&amp;""))),ISNUMBER(SEARCH("membership",LOWER($A538&amp;" "&amp;$M538&amp;"")))),"",IF(LOWER($L538&amp;"")="yes",0,IF($K538&lt;&gt;"",$K538,IF($O538&lt;&gt;"",$O538,"")))))</f>
        <v/>
      </c>
      <c r="Q538">
        <f>IF($A538="","",IF($U538="Subscription","",IF($U538="Profit",$P538-$H538,0)))</f>
        <v/>
      </c>
      <c r="R538">
        <f>IF($A538="","",IF($U538="Subscription","",IF($U538="Draw",$H538,0)))</f>
        <v/>
      </c>
      <c r="S538">
        <f>IF($A538="","",IF($U538="Subscription","",IF($U538="Disqualified",$H538,0)))</f>
        <v/>
      </c>
      <c r="T538">
        <f>IF($A538="","",IF($U538="Subscription","",IF($H538=0,IF($U538="Profit","N/A",0),IF($U538="Profit",$Q538/$H538,IF($U538="Disqualified",-1,0)))))</f>
        <v/>
      </c>
      <c r="U538" s="350">
        <f>IF($A538="","",IF(OR(LOWER($D538&amp;"")="n/a",ISNUMBER(SEARCH("subscription",LOWER($A538&amp;" "&amp;$M538&amp;""))),ISNUMBER(SEARCH("membership",LOWER($A538&amp;" "&amp;$M538&amp;"")))),"Subscription",IF(LOWER($L538&amp;"")="yes","Disqualified",IF($P538&gt;$H538,"Profit","Draw"))))</f>
        <v/>
      </c>
      <c r="V538">
        <f>IF(OR($A538="",$B538="",$C538="",$U538="Subscription"),"",IFERROR(ROUNDUP((IF(ISNUMBER($C538),$C538,DATEVALUE($C538))-IF(ISNUMBER($B538),$B538,DATEVALUE($B538)))/7,0),""))</f>
        <v/>
      </c>
      <c r="W538" s="352">
        <f>IF($U538="Subscription","",$Q538-$S538)</f>
        <v/>
      </c>
      <c r="X538">
        <f>IF(OR($A538="",$U538="Subscription",$J538="",$I538="",$J538=0,$I538=0,$I538&gt;$J538),"",$J538-$I538)</f>
        <v/>
      </c>
      <c r="Y538">
        <f>IF(OR($A538="",$U538="Subscription",$J538="",$J538=0,$X538=""),"",$X538/$J538)</f>
        <v/>
      </c>
    </row>
    <row r="539">
      <c r="B539" s="354" t="n"/>
      <c r="C539" s="354" t="n"/>
      <c r="E539" s="350" t="n"/>
      <c r="F539" s="350" t="n"/>
      <c r="G539" s="350" t="n"/>
      <c r="H539" s="350" t="n"/>
      <c r="I539" s="350" t="n"/>
      <c r="J539" s="352" t="n"/>
      <c r="M539" s="350" t="n"/>
      <c r="N539" s="350">
        <f>IF($A539="","",IF(OR(LOWER($D539&amp;"")="n/a",ISNUMBER(SEARCH("subscription",LOWER($A539&amp;" "&amp;$M539&amp;""))),ISNUMBER(SEARCH("membership",LOWER($A539&amp;" "&amp;$M539&amp;"")))),"",IF($G539="","",IF(ISNUMBER(SEARCH("non",LOWER($E539&amp;""))),$G539*0.85,$G539))))</f>
        <v/>
      </c>
      <c r="O539">
        <f>IF($A539="","",IF(OR(LOWER($D539&amp;"")="n/a",ISNUMBER(SEARCH("subscription",LOWER($A539&amp;" "&amp;$M539&amp;""))),ISNUMBER(SEARCH("membership",LOWER($A539&amp;" "&amp;$M539&amp;"")))),"",IF(OR($N539="",$I539="",$I539=0),"",$N539/$I539)))</f>
        <v/>
      </c>
      <c r="P539">
        <f>IF($A539="","",IF(OR(LOWER($D539&amp;"")="n/a",ISNUMBER(SEARCH("subscription",LOWER($A539&amp;" "&amp;$M539&amp;""))),ISNUMBER(SEARCH("membership",LOWER($A539&amp;" "&amp;$M539&amp;"")))),"",IF(LOWER($L539&amp;"")="yes",0,IF($K539&lt;&gt;"",$K539,IF($O539&lt;&gt;"",$O539,"")))))</f>
        <v/>
      </c>
      <c r="Q539">
        <f>IF($A539="","",IF($U539="Subscription","",IF($U539="Profit",$P539-$H539,0)))</f>
        <v/>
      </c>
      <c r="R539">
        <f>IF($A539="","",IF($U539="Subscription","",IF($U539="Draw",$H539,0)))</f>
        <v/>
      </c>
      <c r="S539">
        <f>IF($A539="","",IF($U539="Subscription","",IF($U539="Disqualified",$H539,0)))</f>
        <v/>
      </c>
      <c r="T539">
        <f>IF($A539="","",IF($U539="Subscription","",IF($H539=0,IF($U539="Profit","N/A",0),IF($U539="Profit",$Q539/$H539,IF($U539="Disqualified",-1,0)))))</f>
        <v/>
      </c>
      <c r="U539" s="350">
        <f>IF($A539="","",IF(OR(LOWER($D539&amp;"")="n/a",ISNUMBER(SEARCH("subscription",LOWER($A539&amp;" "&amp;$M539&amp;""))),ISNUMBER(SEARCH("membership",LOWER($A539&amp;" "&amp;$M539&amp;"")))),"Subscription",IF(LOWER($L539&amp;"")="yes","Disqualified",IF($P539&gt;$H539,"Profit","Draw"))))</f>
        <v/>
      </c>
      <c r="V539">
        <f>IF(OR($A539="",$B539="",$C539="",$U539="Subscription"),"",IFERROR(ROUNDUP((IF(ISNUMBER($C539),$C539,DATEVALUE($C539))-IF(ISNUMBER($B539),$B539,DATEVALUE($B539)))/7,0),""))</f>
        <v/>
      </c>
      <c r="W539" s="352">
        <f>IF($U539="Subscription","",$Q539-$S539)</f>
        <v/>
      </c>
      <c r="X539">
        <f>IF(OR($A539="",$U539="Subscription",$J539="",$I539="",$J539=0,$I539=0,$I539&gt;$J539),"",$J539-$I539)</f>
        <v/>
      </c>
      <c r="Y539">
        <f>IF(OR($A539="",$U539="Subscription",$J539="",$J539=0,$X539=""),"",$X539/$J539)</f>
        <v/>
      </c>
    </row>
    <row r="540">
      <c r="B540" s="354" t="n"/>
      <c r="C540" s="354" t="n"/>
      <c r="E540" s="350" t="n"/>
      <c r="F540" s="350" t="n"/>
      <c r="G540" s="350" t="n"/>
      <c r="H540" s="350" t="n"/>
      <c r="I540" s="350" t="n"/>
      <c r="J540" s="352" t="n"/>
      <c r="M540" s="350" t="n"/>
      <c r="N540" s="350">
        <f>IF($A540="","",IF(OR(LOWER($D540&amp;"")="n/a",ISNUMBER(SEARCH("subscription",LOWER($A540&amp;" "&amp;$M540&amp;""))),ISNUMBER(SEARCH("membership",LOWER($A540&amp;" "&amp;$M540&amp;"")))),"",IF($G540="","",IF(ISNUMBER(SEARCH("non",LOWER($E540&amp;""))),$G540*0.85,$G540))))</f>
        <v/>
      </c>
      <c r="O540">
        <f>IF($A540="","",IF(OR(LOWER($D540&amp;"")="n/a",ISNUMBER(SEARCH("subscription",LOWER($A540&amp;" "&amp;$M540&amp;""))),ISNUMBER(SEARCH("membership",LOWER($A540&amp;" "&amp;$M540&amp;"")))),"",IF(OR($N540="",$I540="",$I540=0),"",$N540/$I540)))</f>
        <v/>
      </c>
      <c r="P540">
        <f>IF($A540="","",IF(OR(LOWER($D540&amp;"")="n/a",ISNUMBER(SEARCH("subscription",LOWER($A540&amp;" "&amp;$M540&amp;""))),ISNUMBER(SEARCH("membership",LOWER($A540&amp;" "&amp;$M540&amp;"")))),"",IF(LOWER($L540&amp;"")="yes",0,IF($K540&lt;&gt;"",$K540,IF($O540&lt;&gt;"",$O540,"")))))</f>
        <v/>
      </c>
      <c r="Q540">
        <f>IF($A540="","",IF($U540="Subscription","",IF($U540="Profit",$P540-$H540,0)))</f>
        <v/>
      </c>
      <c r="R540">
        <f>IF($A540="","",IF($U540="Subscription","",IF($U540="Draw",$H540,0)))</f>
        <v/>
      </c>
      <c r="S540">
        <f>IF($A540="","",IF($U540="Subscription","",IF($U540="Disqualified",$H540,0)))</f>
        <v/>
      </c>
      <c r="T540">
        <f>IF($A540="","",IF($U540="Subscription","",IF($H540=0,IF($U540="Profit","N/A",0),IF($U540="Profit",$Q540/$H540,IF($U540="Disqualified",-1,0)))))</f>
        <v/>
      </c>
      <c r="U540" s="350">
        <f>IF($A540="","",IF(OR(LOWER($D540&amp;"")="n/a",ISNUMBER(SEARCH("subscription",LOWER($A540&amp;" "&amp;$M540&amp;""))),ISNUMBER(SEARCH("membership",LOWER($A540&amp;" "&amp;$M540&amp;"")))),"Subscription",IF(LOWER($L540&amp;"")="yes","Disqualified",IF($P540&gt;$H540,"Profit","Draw"))))</f>
        <v/>
      </c>
      <c r="V540">
        <f>IF(OR($A540="",$B540="",$C540="",$U540="Subscription"),"",IFERROR(ROUNDUP((IF(ISNUMBER($C540),$C540,DATEVALUE($C540))-IF(ISNUMBER($B540),$B540,DATEVALUE($B540)))/7,0),""))</f>
        <v/>
      </c>
      <c r="W540" s="352">
        <f>IF($U540="Subscription","",$Q540-$S540)</f>
        <v/>
      </c>
      <c r="X540">
        <f>IF(OR($A540="",$U540="Subscription",$J540="",$I540="",$J540=0,$I540=0,$I540&gt;$J540),"",$J540-$I540)</f>
        <v/>
      </c>
      <c r="Y540">
        <f>IF(OR($A540="",$U540="Subscription",$J540="",$J540=0,$X540=""),"",$X540/$J540)</f>
        <v/>
      </c>
    </row>
    <row r="541">
      <c r="B541" s="354" t="n"/>
      <c r="C541" s="354" t="n"/>
      <c r="E541" s="350" t="n"/>
      <c r="F541" s="350" t="n"/>
      <c r="G541" s="350" t="n"/>
      <c r="H541" s="350" t="n"/>
      <c r="I541" s="350" t="n"/>
      <c r="J541" s="352" t="n"/>
      <c r="M541" s="350" t="n"/>
      <c r="N541" s="350">
        <f>IF($A541="","",IF(OR(LOWER($D541&amp;"")="n/a",ISNUMBER(SEARCH("subscription",LOWER($A541&amp;" "&amp;$M541&amp;""))),ISNUMBER(SEARCH("membership",LOWER($A541&amp;" "&amp;$M541&amp;"")))),"",IF($G541="","",IF(ISNUMBER(SEARCH("non",LOWER($E541&amp;""))),$G541*0.85,$G541))))</f>
        <v/>
      </c>
      <c r="O541">
        <f>IF($A541="","",IF(OR(LOWER($D541&amp;"")="n/a",ISNUMBER(SEARCH("subscription",LOWER($A541&amp;" "&amp;$M541&amp;""))),ISNUMBER(SEARCH("membership",LOWER($A541&amp;" "&amp;$M541&amp;"")))),"",IF(OR($N541="",$I541="",$I541=0),"",$N541/$I541)))</f>
        <v/>
      </c>
      <c r="P541">
        <f>IF($A541="","",IF(OR(LOWER($D541&amp;"")="n/a",ISNUMBER(SEARCH("subscription",LOWER($A541&amp;" "&amp;$M541&amp;""))),ISNUMBER(SEARCH("membership",LOWER($A541&amp;" "&amp;$M541&amp;"")))),"",IF(LOWER($L541&amp;"")="yes",0,IF($K541&lt;&gt;"",$K541,IF($O541&lt;&gt;"",$O541,"")))))</f>
        <v/>
      </c>
      <c r="Q541">
        <f>IF($A541="","",IF($U541="Subscription","",IF($U541="Profit",$P541-$H541,0)))</f>
        <v/>
      </c>
      <c r="R541">
        <f>IF($A541="","",IF($U541="Subscription","",IF($U541="Draw",$H541,0)))</f>
        <v/>
      </c>
      <c r="S541">
        <f>IF($A541="","",IF($U541="Subscription","",IF($U541="Disqualified",$H541,0)))</f>
        <v/>
      </c>
      <c r="T541">
        <f>IF($A541="","",IF($U541="Subscription","",IF($H541=0,IF($U541="Profit","N/A",0),IF($U541="Profit",$Q541/$H541,IF($U541="Disqualified",-1,0)))))</f>
        <v/>
      </c>
      <c r="U541" s="350">
        <f>IF($A541="","",IF(OR(LOWER($D541&amp;"")="n/a",ISNUMBER(SEARCH("subscription",LOWER($A541&amp;" "&amp;$M541&amp;""))),ISNUMBER(SEARCH("membership",LOWER($A541&amp;" "&amp;$M541&amp;"")))),"Subscription",IF(LOWER($L541&amp;"")="yes","Disqualified",IF($P541&gt;$H541,"Profit","Draw"))))</f>
        <v/>
      </c>
      <c r="V541">
        <f>IF(OR($A541="",$B541="",$C541="",$U541="Subscription"),"",IFERROR(ROUNDUP((IF(ISNUMBER($C541),$C541,DATEVALUE($C541))-IF(ISNUMBER($B541),$B541,DATEVALUE($B541)))/7,0),""))</f>
        <v/>
      </c>
      <c r="W541" s="352">
        <f>IF($U541="Subscription","",$Q541-$S541)</f>
        <v/>
      </c>
      <c r="X541">
        <f>IF(OR($A541="",$U541="Subscription",$J541="",$I541="",$J541=0,$I541=0,$I541&gt;$J541),"",$J541-$I541)</f>
        <v/>
      </c>
      <c r="Y541">
        <f>IF(OR($A541="",$U541="Subscription",$J541="",$J541=0,$X541=""),"",$X541/$J541)</f>
        <v/>
      </c>
    </row>
    <row r="542">
      <c r="B542" s="354" t="n"/>
      <c r="C542" s="354" t="n"/>
      <c r="E542" s="350" t="n"/>
      <c r="F542" s="350" t="n"/>
      <c r="G542" s="350" t="n"/>
      <c r="H542" s="350" t="n"/>
      <c r="I542" s="350" t="n"/>
      <c r="J542" s="352" t="n"/>
      <c r="M542" s="350" t="n"/>
      <c r="N542" s="350">
        <f>IF($A542="","",IF(OR(LOWER($D542&amp;"")="n/a",ISNUMBER(SEARCH("subscription",LOWER($A542&amp;" "&amp;$M542&amp;""))),ISNUMBER(SEARCH("membership",LOWER($A542&amp;" "&amp;$M542&amp;"")))),"",IF($G542="","",IF(ISNUMBER(SEARCH("non",LOWER($E542&amp;""))),$G542*0.85,$G542))))</f>
        <v/>
      </c>
      <c r="O542">
        <f>IF($A542="","",IF(OR(LOWER($D542&amp;"")="n/a",ISNUMBER(SEARCH("subscription",LOWER($A542&amp;" "&amp;$M542&amp;""))),ISNUMBER(SEARCH("membership",LOWER($A542&amp;" "&amp;$M542&amp;"")))),"",IF(OR($N542="",$I542="",$I542=0),"",$N542/$I542)))</f>
        <v/>
      </c>
      <c r="P542">
        <f>IF($A542="","",IF(OR(LOWER($D542&amp;"")="n/a",ISNUMBER(SEARCH("subscription",LOWER($A542&amp;" "&amp;$M542&amp;""))),ISNUMBER(SEARCH("membership",LOWER($A542&amp;" "&amp;$M542&amp;"")))),"",IF(LOWER($L542&amp;"")="yes",0,IF($K542&lt;&gt;"",$K542,IF($O542&lt;&gt;"",$O542,"")))))</f>
        <v/>
      </c>
      <c r="Q542">
        <f>IF($A542="","",IF($U542="Subscription","",IF($U542="Profit",$P542-$H542,0)))</f>
        <v/>
      </c>
      <c r="R542">
        <f>IF($A542="","",IF($U542="Subscription","",IF($U542="Draw",$H542,0)))</f>
        <v/>
      </c>
      <c r="S542">
        <f>IF($A542="","",IF($U542="Subscription","",IF($U542="Disqualified",$H542,0)))</f>
        <v/>
      </c>
      <c r="T542">
        <f>IF($A542="","",IF($U542="Subscription","",IF($H542=0,IF($U542="Profit","N/A",0),IF($U542="Profit",$Q542/$H542,IF($U542="Disqualified",-1,0)))))</f>
        <v/>
      </c>
      <c r="U542" s="350">
        <f>IF($A542="","",IF(OR(LOWER($D542&amp;"")="n/a",ISNUMBER(SEARCH("subscription",LOWER($A542&amp;" "&amp;$M542&amp;""))),ISNUMBER(SEARCH("membership",LOWER($A542&amp;" "&amp;$M542&amp;"")))),"Subscription",IF(LOWER($L542&amp;"")="yes","Disqualified",IF($P542&gt;$H542,"Profit","Draw"))))</f>
        <v/>
      </c>
      <c r="V542">
        <f>IF(OR($A542="",$B542="",$C542="",$U542="Subscription"),"",IFERROR(ROUNDUP((IF(ISNUMBER($C542),$C542,DATEVALUE($C542))-IF(ISNUMBER($B542),$B542,DATEVALUE($B542)))/7,0),""))</f>
        <v/>
      </c>
      <c r="W542" s="352">
        <f>IF($U542="Subscription","",$Q542-$S542)</f>
        <v/>
      </c>
      <c r="X542">
        <f>IF(OR($A542="",$U542="Subscription",$J542="",$I542="",$J542=0,$I542=0,$I542&gt;$J542),"",$J542-$I542)</f>
        <v/>
      </c>
      <c r="Y542">
        <f>IF(OR($A542="",$U542="Subscription",$J542="",$J542=0,$X542=""),"",$X542/$J542)</f>
        <v/>
      </c>
    </row>
    <row r="543">
      <c r="B543" s="354" t="n"/>
      <c r="C543" s="354" t="n"/>
      <c r="E543" s="350" t="n"/>
      <c r="F543" s="350" t="n"/>
      <c r="G543" s="350" t="n"/>
      <c r="H543" s="350" t="n"/>
      <c r="I543" s="350" t="n"/>
      <c r="J543" s="352" t="n"/>
      <c r="M543" s="350" t="n"/>
      <c r="N543" s="350">
        <f>IF($A543="","",IF(OR(LOWER($D543&amp;"")="n/a",ISNUMBER(SEARCH("subscription",LOWER($A543&amp;" "&amp;$M543&amp;""))),ISNUMBER(SEARCH("membership",LOWER($A543&amp;" "&amp;$M543&amp;"")))),"",IF($G543="","",IF(ISNUMBER(SEARCH("non",LOWER($E543&amp;""))),$G543*0.85,$G543))))</f>
        <v/>
      </c>
      <c r="O543">
        <f>IF($A543="","",IF(OR(LOWER($D543&amp;"")="n/a",ISNUMBER(SEARCH("subscription",LOWER($A543&amp;" "&amp;$M543&amp;""))),ISNUMBER(SEARCH("membership",LOWER($A543&amp;" "&amp;$M543&amp;"")))),"",IF(OR($N543="",$I543="",$I543=0),"",$N543/$I543)))</f>
        <v/>
      </c>
      <c r="P543">
        <f>IF($A543="","",IF(OR(LOWER($D543&amp;"")="n/a",ISNUMBER(SEARCH("subscription",LOWER($A543&amp;" "&amp;$M543&amp;""))),ISNUMBER(SEARCH("membership",LOWER($A543&amp;" "&amp;$M543&amp;"")))),"",IF(LOWER($L543&amp;"")="yes",0,IF($K543&lt;&gt;"",$K543,IF($O543&lt;&gt;"",$O543,"")))))</f>
        <v/>
      </c>
      <c r="Q543">
        <f>IF($A543="","",IF($U543="Subscription","",IF($U543="Profit",$P543-$H543,0)))</f>
        <v/>
      </c>
      <c r="R543">
        <f>IF($A543="","",IF($U543="Subscription","",IF($U543="Draw",$H543,0)))</f>
        <v/>
      </c>
      <c r="S543">
        <f>IF($A543="","",IF($U543="Subscription","",IF($U543="Disqualified",$H543,0)))</f>
        <v/>
      </c>
      <c r="T543">
        <f>IF($A543="","",IF($U543="Subscription","",IF($H543=0,IF($U543="Profit","N/A",0),IF($U543="Profit",$Q543/$H543,IF($U543="Disqualified",-1,0)))))</f>
        <v/>
      </c>
      <c r="U543" s="350">
        <f>IF($A543="","",IF(OR(LOWER($D543&amp;"")="n/a",ISNUMBER(SEARCH("subscription",LOWER($A543&amp;" "&amp;$M543&amp;""))),ISNUMBER(SEARCH("membership",LOWER($A543&amp;" "&amp;$M543&amp;"")))),"Subscription",IF(LOWER($L543&amp;"")="yes","Disqualified",IF($P543&gt;$H543,"Profit","Draw"))))</f>
        <v/>
      </c>
      <c r="V543">
        <f>IF(OR($A543="",$B543="",$C543="",$U543="Subscription"),"",IFERROR(ROUNDUP((IF(ISNUMBER($C543),$C543,DATEVALUE($C543))-IF(ISNUMBER($B543),$B543,DATEVALUE($B543)))/7,0),""))</f>
        <v/>
      </c>
      <c r="W543" s="352">
        <f>IF($U543="Subscription","",$Q543-$S543)</f>
        <v/>
      </c>
      <c r="X543">
        <f>IF(OR($A543="",$U543="Subscription",$J543="",$I543="",$J543=0,$I543=0,$I543&gt;$J543),"",$J543-$I543)</f>
        <v/>
      </c>
      <c r="Y543">
        <f>IF(OR($A543="",$U543="Subscription",$J543="",$J543=0,$X543=""),"",$X543/$J543)</f>
        <v/>
      </c>
    </row>
    <row r="544">
      <c r="B544" s="354" t="n"/>
      <c r="C544" s="354" t="n"/>
      <c r="E544" s="350" t="n"/>
      <c r="F544" s="350" t="n"/>
      <c r="G544" s="350" t="n"/>
      <c r="H544" s="350" t="n"/>
      <c r="I544" s="350" t="n"/>
      <c r="J544" s="352" t="n"/>
      <c r="M544" s="350" t="n"/>
      <c r="N544" s="350">
        <f>IF($A544="","",IF(OR(LOWER($D544&amp;"")="n/a",ISNUMBER(SEARCH("subscription",LOWER($A544&amp;" "&amp;$M544&amp;""))),ISNUMBER(SEARCH("membership",LOWER($A544&amp;" "&amp;$M544&amp;"")))),"",IF($G544="","",IF(ISNUMBER(SEARCH("non",LOWER($E544&amp;""))),$G544*0.85,$G544))))</f>
        <v/>
      </c>
      <c r="O544">
        <f>IF($A544="","",IF(OR(LOWER($D544&amp;"")="n/a",ISNUMBER(SEARCH("subscription",LOWER($A544&amp;" "&amp;$M544&amp;""))),ISNUMBER(SEARCH("membership",LOWER($A544&amp;" "&amp;$M544&amp;"")))),"",IF(OR($N544="",$I544="",$I544=0),"",$N544/$I544)))</f>
        <v/>
      </c>
      <c r="P544">
        <f>IF($A544="","",IF(OR(LOWER($D544&amp;"")="n/a",ISNUMBER(SEARCH("subscription",LOWER($A544&amp;" "&amp;$M544&amp;""))),ISNUMBER(SEARCH("membership",LOWER($A544&amp;" "&amp;$M544&amp;"")))),"",IF(LOWER($L544&amp;"")="yes",0,IF($K544&lt;&gt;"",$K544,IF($O544&lt;&gt;"",$O544,"")))))</f>
        <v/>
      </c>
      <c r="Q544">
        <f>IF($A544="","",IF($U544="Subscription","",IF($U544="Profit",$P544-$H544,0)))</f>
        <v/>
      </c>
      <c r="R544">
        <f>IF($A544="","",IF($U544="Subscription","",IF($U544="Draw",$H544,0)))</f>
        <v/>
      </c>
      <c r="S544">
        <f>IF($A544="","",IF($U544="Subscription","",IF($U544="Disqualified",$H544,0)))</f>
        <v/>
      </c>
      <c r="T544">
        <f>IF($A544="","",IF($U544="Subscription","",IF($H544=0,IF($U544="Profit","N/A",0),IF($U544="Profit",$Q544/$H544,IF($U544="Disqualified",-1,0)))))</f>
        <v/>
      </c>
      <c r="U544" s="350">
        <f>IF($A544="","",IF(OR(LOWER($D544&amp;"")="n/a",ISNUMBER(SEARCH("subscription",LOWER($A544&amp;" "&amp;$M544&amp;""))),ISNUMBER(SEARCH("membership",LOWER($A544&amp;" "&amp;$M544&amp;"")))),"Subscription",IF(LOWER($L544&amp;"")="yes","Disqualified",IF($P544&gt;$H544,"Profit","Draw"))))</f>
        <v/>
      </c>
      <c r="V544">
        <f>IF(OR($A544="",$B544="",$C544="",$U544="Subscription"),"",IFERROR(ROUNDUP((IF(ISNUMBER($C544),$C544,DATEVALUE($C544))-IF(ISNUMBER($B544),$B544,DATEVALUE($B544)))/7,0),""))</f>
        <v/>
      </c>
      <c r="W544" s="352">
        <f>IF($U544="Subscription","",$Q544-$S544)</f>
        <v/>
      </c>
      <c r="X544">
        <f>IF(OR($A544="",$U544="Subscription",$J544="",$I544="",$J544=0,$I544=0,$I544&gt;$J544),"",$J544-$I544)</f>
        <v/>
      </c>
      <c r="Y544">
        <f>IF(OR($A544="",$U544="Subscription",$J544="",$J544=0,$X544=""),"",$X544/$J544)</f>
        <v/>
      </c>
    </row>
    <row r="545">
      <c r="B545" s="354" t="n"/>
      <c r="C545" s="354" t="n"/>
      <c r="E545" s="350" t="n"/>
      <c r="F545" s="350" t="n"/>
      <c r="G545" s="350" t="n"/>
      <c r="H545" s="350" t="n"/>
      <c r="I545" s="350" t="n"/>
      <c r="J545" s="352" t="n"/>
      <c r="M545" s="350" t="n"/>
      <c r="N545" s="350">
        <f>IF($A545="","",IF(OR(LOWER($D545&amp;"")="n/a",ISNUMBER(SEARCH("subscription",LOWER($A545&amp;" "&amp;$M545&amp;""))),ISNUMBER(SEARCH("membership",LOWER($A545&amp;" "&amp;$M545&amp;"")))),"",IF($G545="","",IF(ISNUMBER(SEARCH("non",LOWER($E545&amp;""))),$G545*0.85,$G545))))</f>
        <v/>
      </c>
      <c r="O545">
        <f>IF($A545="","",IF(OR(LOWER($D545&amp;"")="n/a",ISNUMBER(SEARCH("subscription",LOWER($A545&amp;" "&amp;$M545&amp;""))),ISNUMBER(SEARCH("membership",LOWER($A545&amp;" "&amp;$M545&amp;"")))),"",IF(OR($N545="",$I545="",$I545=0),"",$N545/$I545)))</f>
        <v/>
      </c>
      <c r="P545">
        <f>IF($A545="","",IF(OR(LOWER($D545&amp;"")="n/a",ISNUMBER(SEARCH("subscription",LOWER($A545&amp;" "&amp;$M545&amp;""))),ISNUMBER(SEARCH("membership",LOWER($A545&amp;" "&amp;$M545&amp;"")))),"",IF(LOWER($L545&amp;"")="yes",0,IF($K545&lt;&gt;"",$K545,IF($O545&lt;&gt;"",$O545,"")))))</f>
        <v/>
      </c>
      <c r="Q545">
        <f>IF($A545="","",IF($U545="Subscription","",IF($U545="Profit",$P545-$H545,0)))</f>
        <v/>
      </c>
      <c r="R545">
        <f>IF($A545="","",IF($U545="Subscription","",IF($U545="Draw",$H545,0)))</f>
        <v/>
      </c>
      <c r="S545">
        <f>IF($A545="","",IF($U545="Subscription","",IF($U545="Disqualified",$H545,0)))</f>
        <v/>
      </c>
      <c r="T545">
        <f>IF($A545="","",IF($U545="Subscription","",IF($H545=0,IF($U545="Profit","N/A",0),IF($U545="Profit",$Q545/$H545,IF($U545="Disqualified",-1,0)))))</f>
        <v/>
      </c>
      <c r="U545" s="350">
        <f>IF($A545="","",IF(OR(LOWER($D545&amp;"")="n/a",ISNUMBER(SEARCH("subscription",LOWER($A545&amp;" "&amp;$M545&amp;""))),ISNUMBER(SEARCH("membership",LOWER($A545&amp;" "&amp;$M545&amp;"")))),"Subscription",IF(LOWER($L545&amp;"")="yes","Disqualified",IF($P545&gt;$H545,"Profit","Draw"))))</f>
        <v/>
      </c>
      <c r="V545">
        <f>IF(OR($A545="",$B545="",$C545="",$U545="Subscription"),"",IFERROR(ROUNDUP((IF(ISNUMBER($C545),$C545,DATEVALUE($C545))-IF(ISNUMBER($B545),$B545,DATEVALUE($B545)))/7,0),""))</f>
        <v/>
      </c>
      <c r="W545" s="352">
        <f>IF($U545="Subscription","",$Q545-$S545)</f>
        <v/>
      </c>
      <c r="X545">
        <f>IF(OR($A545="",$U545="Subscription",$J545="",$I545="",$J545=0,$I545=0,$I545&gt;$J545),"",$J545-$I545)</f>
        <v/>
      </c>
      <c r="Y545">
        <f>IF(OR($A545="",$U545="Subscription",$J545="",$J545=0,$X545=""),"",$X545/$J545)</f>
        <v/>
      </c>
    </row>
    <row r="546">
      <c r="B546" s="354" t="n"/>
      <c r="C546" s="354" t="n"/>
      <c r="E546" s="350" t="n"/>
      <c r="F546" s="350" t="n"/>
      <c r="G546" s="350" t="n"/>
      <c r="H546" s="350" t="n"/>
      <c r="I546" s="350" t="n"/>
      <c r="J546" s="352" t="n"/>
      <c r="M546" s="350" t="n"/>
      <c r="N546" s="350">
        <f>IF($A546="","",IF(OR(LOWER($D546&amp;"")="n/a",ISNUMBER(SEARCH("subscription",LOWER($A546&amp;" "&amp;$M546&amp;""))),ISNUMBER(SEARCH("membership",LOWER($A546&amp;" "&amp;$M546&amp;"")))),"",IF($G546="","",IF(ISNUMBER(SEARCH("non",LOWER($E546&amp;""))),$G546*0.85,$G546))))</f>
        <v/>
      </c>
      <c r="O546">
        <f>IF($A546="","",IF(OR(LOWER($D546&amp;"")="n/a",ISNUMBER(SEARCH("subscription",LOWER($A546&amp;" "&amp;$M546&amp;""))),ISNUMBER(SEARCH("membership",LOWER($A546&amp;" "&amp;$M546&amp;"")))),"",IF(OR($N546="",$I546="",$I546=0),"",$N546/$I546)))</f>
        <v/>
      </c>
      <c r="P546">
        <f>IF($A546="","",IF(OR(LOWER($D546&amp;"")="n/a",ISNUMBER(SEARCH("subscription",LOWER($A546&amp;" "&amp;$M546&amp;""))),ISNUMBER(SEARCH("membership",LOWER($A546&amp;" "&amp;$M546&amp;"")))),"",IF(LOWER($L546&amp;"")="yes",0,IF($K546&lt;&gt;"",$K546,IF($O546&lt;&gt;"",$O546,"")))))</f>
        <v/>
      </c>
      <c r="Q546">
        <f>IF($A546="","",IF($U546="Subscription","",IF($U546="Profit",$P546-$H546,0)))</f>
        <v/>
      </c>
      <c r="R546">
        <f>IF($A546="","",IF($U546="Subscription","",IF($U546="Draw",$H546,0)))</f>
        <v/>
      </c>
      <c r="S546">
        <f>IF($A546="","",IF($U546="Subscription","",IF($U546="Disqualified",$H546,0)))</f>
        <v/>
      </c>
      <c r="T546">
        <f>IF($A546="","",IF($U546="Subscription","",IF($H546=0,IF($U546="Profit","N/A",0),IF($U546="Profit",$Q546/$H546,IF($U546="Disqualified",-1,0)))))</f>
        <v/>
      </c>
      <c r="U546" s="350">
        <f>IF($A546="","",IF(OR(LOWER($D546&amp;"")="n/a",ISNUMBER(SEARCH("subscription",LOWER($A546&amp;" "&amp;$M546&amp;""))),ISNUMBER(SEARCH("membership",LOWER($A546&amp;" "&amp;$M546&amp;"")))),"Subscription",IF(LOWER($L546&amp;"")="yes","Disqualified",IF($P546&gt;$H546,"Profit","Draw"))))</f>
        <v/>
      </c>
      <c r="V546">
        <f>IF(OR($A546="",$B546="",$C546="",$U546="Subscription"),"",IFERROR(ROUNDUP((IF(ISNUMBER($C546),$C546,DATEVALUE($C546))-IF(ISNUMBER($B546),$B546,DATEVALUE($B546)))/7,0),""))</f>
        <v/>
      </c>
      <c r="W546" s="352">
        <f>IF($U546="Subscription","",$Q546-$S546)</f>
        <v/>
      </c>
      <c r="X546">
        <f>IF(OR($A546="",$U546="Subscription",$J546="",$I546="",$J546=0,$I546=0,$I546&gt;$J546),"",$J546-$I546)</f>
        <v/>
      </c>
      <c r="Y546">
        <f>IF(OR($A546="",$U546="Subscription",$J546="",$J546=0,$X546=""),"",$X546/$J546)</f>
        <v/>
      </c>
    </row>
    <row r="547">
      <c r="B547" s="354" t="n"/>
      <c r="C547" s="354" t="n"/>
      <c r="E547" s="350" t="n"/>
      <c r="F547" s="350" t="n"/>
      <c r="G547" s="350" t="n"/>
      <c r="H547" s="350" t="n"/>
      <c r="I547" s="350" t="n"/>
      <c r="J547" s="352" t="n"/>
      <c r="M547" s="350" t="n"/>
      <c r="N547" s="350">
        <f>IF($A547="","",IF(OR(LOWER($D547&amp;"")="n/a",ISNUMBER(SEARCH("subscription",LOWER($A547&amp;" "&amp;$M547&amp;""))),ISNUMBER(SEARCH("membership",LOWER($A547&amp;" "&amp;$M547&amp;"")))),"",IF($G547="","",IF(ISNUMBER(SEARCH("non",LOWER($E547&amp;""))),$G547*0.85,$G547))))</f>
        <v/>
      </c>
      <c r="O547">
        <f>IF($A547="","",IF(OR(LOWER($D547&amp;"")="n/a",ISNUMBER(SEARCH("subscription",LOWER($A547&amp;" "&amp;$M547&amp;""))),ISNUMBER(SEARCH("membership",LOWER($A547&amp;" "&amp;$M547&amp;"")))),"",IF(OR($N547="",$I547="",$I547=0),"",$N547/$I547)))</f>
        <v/>
      </c>
      <c r="P547">
        <f>IF($A547="","",IF(OR(LOWER($D547&amp;"")="n/a",ISNUMBER(SEARCH("subscription",LOWER($A547&amp;" "&amp;$M547&amp;""))),ISNUMBER(SEARCH("membership",LOWER($A547&amp;" "&amp;$M547&amp;"")))),"",IF(LOWER($L547&amp;"")="yes",0,IF($K547&lt;&gt;"",$K547,IF($O547&lt;&gt;"",$O547,"")))))</f>
        <v/>
      </c>
      <c r="Q547">
        <f>IF($A547="","",IF($U547="Subscription","",IF($U547="Profit",$P547-$H547,0)))</f>
        <v/>
      </c>
      <c r="R547">
        <f>IF($A547="","",IF($U547="Subscription","",IF($U547="Draw",$H547,0)))</f>
        <v/>
      </c>
      <c r="S547">
        <f>IF($A547="","",IF($U547="Subscription","",IF($U547="Disqualified",$H547,0)))</f>
        <v/>
      </c>
      <c r="T547">
        <f>IF($A547="","",IF($U547="Subscription","",IF($H547=0,IF($U547="Profit","N/A",0),IF($U547="Profit",$Q547/$H547,IF($U547="Disqualified",-1,0)))))</f>
        <v/>
      </c>
      <c r="U547" s="350">
        <f>IF($A547="","",IF(OR(LOWER($D547&amp;"")="n/a",ISNUMBER(SEARCH("subscription",LOWER($A547&amp;" "&amp;$M547&amp;""))),ISNUMBER(SEARCH("membership",LOWER($A547&amp;" "&amp;$M547&amp;"")))),"Subscription",IF(LOWER($L547&amp;"")="yes","Disqualified",IF($P547&gt;$H547,"Profit","Draw"))))</f>
        <v/>
      </c>
      <c r="V547">
        <f>IF(OR($A547="",$B547="",$C547="",$U547="Subscription"),"",IFERROR(ROUNDUP((IF(ISNUMBER($C547),$C547,DATEVALUE($C547))-IF(ISNUMBER($B547),$B547,DATEVALUE($B547)))/7,0),""))</f>
        <v/>
      </c>
      <c r="W547" s="352">
        <f>IF($U547="Subscription","",$Q547-$S547)</f>
        <v/>
      </c>
      <c r="X547">
        <f>IF(OR($A547="",$U547="Subscription",$J547="",$I547="",$J547=0,$I547=0,$I547&gt;$J547),"",$J547-$I547)</f>
        <v/>
      </c>
      <c r="Y547">
        <f>IF(OR($A547="",$U547="Subscription",$J547="",$J547=0,$X547=""),"",$X547/$J547)</f>
        <v/>
      </c>
    </row>
    <row r="548">
      <c r="B548" s="354" t="n"/>
      <c r="C548" s="354" t="n"/>
      <c r="E548" s="350" t="n"/>
      <c r="F548" s="350" t="n"/>
      <c r="G548" s="350" t="n"/>
      <c r="H548" s="350" t="n"/>
      <c r="I548" s="350" t="n"/>
      <c r="J548" s="352" t="n"/>
      <c r="M548" s="350" t="n"/>
      <c r="N548" s="350">
        <f>IF($A548="","",IF(OR(LOWER($D548&amp;"")="n/a",ISNUMBER(SEARCH("subscription",LOWER($A548&amp;" "&amp;$M548&amp;""))),ISNUMBER(SEARCH("membership",LOWER($A548&amp;" "&amp;$M548&amp;"")))),"",IF($G548="","",IF(ISNUMBER(SEARCH("non",LOWER($E548&amp;""))),$G548*0.85,$G548))))</f>
        <v/>
      </c>
      <c r="O548">
        <f>IF($A548="","",IF(OR(LOWER($D548&amp;"")="n/a",ISNUMBER(SEARCH("subscription",LOWER($A548&amp;" "&amp;$M548&amp;""))),ISNUMBER(SEARCH("membership",LOWER($A548&amp;" "&amp;$M548&amp;"")))),"",IF(OR($N548="",$I548="",$I548=0),"",$N548/$I548)))</f>
        <v/>
      </c>
      <c r="P548">
        <f>IF($A548="","",IF(OR(LOWER($D548&amp;"")="n/a",ISNUMBER(SEARCH("subscription",LOWER($A548&amp;" "&amp;$M548&amp;""))),ISNUMBER(SEARCH("membership",LOWER($A548&amp;" "&amp;$M548&amp;"")))),"",IF(LOWER($L548&amp;"")="yes",0,IF($K548&lt;&gt;"",$K548,IF($O548&lt;&gt;"",$O548,"")))))</f>
        <v/>
      </c>
      <c r="Q548">
        <f>IF($A548="","",IF($U548="Subscription","",IF($U548="Profit",$P548-$H548,0)))</f>
        <v/>
      </c>
      <c r="R548">
        <f>IF($A548="","",IF($U548="Subscription","",IF($U548="Draw",$H548,0)))</f>
        <v/>
      </c>
      <c r="S548">
        <f>IF($A548="","",IF($U548="Subscription","",IF($U548="Disqualified",$H548,0)))</f>
        <v/>
      </c>
      <c r="T548">
        <f>IF($A548="","",IF($U548="Subscription","",IF($H548=0,IF($U548="Profit","N/A",0),IF($U548="Profit",$Q548/$H548,IF($U548="Disqualified",-1,0)))))</f>
        <v/>
      </c>
      <c r="U548" s="350">
        <f>IF($A548="","",IF(OR(LOWER($D548&amp;"")="n/a",ISNUMBER(SEARCH("subscription",LOWER($A548&amp;" "&amp;$M548&amp;""))),ISNUMBER(SEARCH("membership",LOWER($A548&amp;" "&amp;$M548&amp;"")))),"Subscription",IF(LOWER($L548&amp;"")="yes","Disqualified",IF($P548&gt;$H548,"Profit","Draw"))))</f>
        <v/>
      </c>
      <c r="V548">
        <f>IF(OR($A548="",$B548="",$C548="",$U548="Subscription"),"",IFERROR(ROUNDUP((IF(ISNUMBER($C548),$C548,DATEVALUE($C548))-IF(ISNUMBER($B548),$B548,DATEVALUE($B548)))/7,0),""))</f>
        <v/>
      </c>
      <c r="W548" s="352">
        <f>IF($U548="Subscription","",$Q548-$S548)</f>
        <v/>
      </c>
      <c r="X548">
        <f>IF(OR($A548="",$U548="Subscription",$J548="",$I548="",$J548=0,$I548=0,$I548&gt;$J548),"",$J548-$I548)</f>
        <v/>
      </c>
      <c r="Y548">
        <f>IF(OR($A548="",$U548="Subscription",$J548="",$J548=0,$X548=""),"",$X548/$J548)</f>
        <v/>
      </c>
    </row>
    <row r="549">
      <c r="B549" s="354" t="n"/>
      <c r="C549" s="354" t="n"/>
      <c r="E549" s="350" t="n"/>
      <c r="F549" s="350" t="n"/>
      <c r="G549" s="350" t="n"/>
      <c r="H549" s="350" t="n"/>
      <c r="I549" s="350" t="n"/>
      <c r="J549" s="352" t="n"/>
      <c r="M549" s="350" t="n"/>
      <c r="N549" s="350">
        <f>IF($A549="","",IF(OR(LOWER($D549&amp;"")="n/a",ISNUMBER(SEARCH("subscription",LOWER($A549&amp;" "&amp;$M549&amp;""))),ISNUMBER(SEARCH("membership",LOWER($A549&amp;" "&amp;$M549&amp;"")))),"",IF($G549="","",IF(ISNUMBER(SEARCH("non",LOWER($E549&amp;""))),$G549*0.85,$G549))))</f>
        <v/>
      </c>
      <c r="O549">
        <f>IF($A549="","",IF(OR(LOWER($D549&amp;"")="n/a",ISNUMBER(SEARCH("subscription",LOWER($A549&amp;" "&amp;$M549&amp;""))),ISNUMBER(SEARCH("membership",LOWER($A549&amp;" "&amp;$M549&amp;"")))),"",IF(OR($N549="",$I549="",$I549=0),"",$N549/$I549)))</f>
        <v/>
      </c>
      <c r="P549">
        <f>IF($A549="","",IF(OR(LOWER($D549&amp;"")="n/a",ISNUMBER(SEARCH("subscription",LOWER($A549&amp;" "&amp;$M549&amp;""))),ISNUMBER(SEARCH("membership",LOWER($A549&amp;" "&amp;$M549&amp;"")))),"",IF(LOWER($L549&amp;"")="yes",0,IF($K549&lt;&gt;"",$K549,IF($O549&lt;&gt;"",$O549,"")))))</f>
        <v/>
      </c>
      <c r="Q549">
        <f>IF($A549="","",IF($U549="Subscription","",IF($U549="Profit",$P549-$H549,0)))</f>
        <v/>
      </c>
      <c r="R549">
        <f>IF($A549="","",IF($U549="Subscription","",IF($U549="Draw",$H549,0)))</f>
        <v/>
      </c>
      <c r="S549">
        <f>IF($A549="","",IF($U549="Subscription","",IF($U549="Disqualified",$H549,0)))</f>
        <v/>
      </c>
      <c r="T549">
        <f>IF($A549="","",IF($U549="Subscription","",IF($H549=0,IF($U549="Profit","N/A",0),IF($U549="Profit",$Q549/$H549,IF($U549="Disqualified",-1,0)))))</f>
        <v/>
      </c>
      <c r="U549" s="350">
        <f>IF($A549="","",IF(OR(LOWER($D549&amp;"")="n/a",ISNUMBER(SEARCH("subscription",LOWER($A549&amp;" "&amp;$M549&amp;""))),ISNUMBER(SEARCH("membership",LOWER($A549&amp;" "&amp;$M549&amp;"")))),"Subscription",IF(LOWER($L549&amp;"")="yes","Disqualified",IF($P549&gt;$H549,"Profit","Draw"))))</f>
        <v/>
      </c>
      <c r="V549">
        <f>IF(OR($A549="",$B549="",$C549="",$U549="Subscription"),"",IFERROR(ROUNDUP((IF(ISNUMBER($C549),$C549,DATEVALUE($C549))-IF(ISNUMBER($B549),$B549,DATEVALUE($B549)))/7,0),""))</f>
        <v/>
      </c>
      <c r="W549" s="352">
        <f>IF($U549="Subscription","",$Q549-$S549)</f>
        <v/>
      </c>
      <c r="X549">
        <f>IF(OR($A549="",$U549="Subscription",$J549="",$I549="",$J549=0,$I549=0,$I549&gt;$J549),"",$J549-$I549)</f>
        <v/>
      </c>
      <c r="Y549">
        <f>IF(OR($A549="",$U549="Subscription",$J549="",$J549=0,$X549=""),"",$X549/$J549)</f>
        <v/>
      </c>
    </row>
    <row r="550">
      <c r="B550" s="354" t="n"/>
      <c r="C550" s="354" t="n"/>
      <c r="E550" s="350" t="n"/>
      <c r="F550" s="350" t="n"/>
      <c r="G550" s="350" t="n"/>
      <c r="H550" s="350" t="n"/>
      <c r="I550" s="350" t="n"/>
      <c r="J550" s="352" t="n"/>
      <c r="M550" s="350" t="n"/>
      <c r="N550" s="350">
        <f>IF($A550="","",IF(OR(LOWER($D550&amp;"")="n/a",ISNUMBER(SEARCH("subscription",LOWER($A550&amp;" "&amp;$M550&amp;""))),ISNUMBER(SEARCH("membership",LOWER($A550&amp;" "&amp;$M550&amp;"")))),"",IF($G550="","",IF(ISNUMBER(SEARCH("non",LOWER($E550&amp;""))),$G550*0.85,$G550))))</f>
        <v/>
      </c>
      <c r="O550">
        <f>IF($A550="","",IF(OR(LOWER($D550&amp;"")="n/a",ISNUMBER(SEARCH("subscription",LOWER($A550&amp;" "&amp;$M550&amp;""))),ISNUMBER(SEARCH("membership",LOWER($A550&amp;" "&amp;$M550&amp;"")))),"",IF(OR($N550="",$I550="",$I550=0),"",$N550/$I550)))</f>
        <v/>
      </c>
      <c r="P550">
        <f>IF($A550="","",IF(OR(LOWER($D550&amp;"")="n/a",ISNUMBER(SEARCH("subscription",LOWER($A550&amp;" "&amp;$M550&amp;""))),ISNUMBER(SEARCH("membership",LOWER($A550&amp;" "&amp;$M550&amp;"")))),"",IF(LOWER($L550&amp;"")="yes",0,IF($K550&lt;&gt;"",$K550,IF($O550&lt;&gt;"",$O550,"")))))</f>
        <v/>
      </c>
      <c r="Q550">
        <f>IF($A550="","",IF($U550="Subscription","",IF($U550="Profit",$P550-$H550,0)))</f>
        <v/>
      </c>
      <c r="R550">
        <f>IF($A550="","",IF($U550="Subscription","",IF($U550="Draw",$H550,0)))</f>
        <v/>
      </c>
      <c r="S550">
        <f>IF($A550="","",IF($U550="Subscription","",IF($U550="Disqualified",$H550,0)))</f>
        <v/>
      </c>
      <c r="T550">
        <f>IF($A550="","",IF($U550="Subscription","",IF($H550=0,IF($U550="Profit","N/A",0),IF($U550="Profit",$Q550/$H550,IF($U550="Disqualified",-1,0)))))</f>
        <v/>
      </c>
      <c r="U550" s="350">
        <f>IF($A550="","",IF(OR(LOWER($D550&amp;"")="n/a",ISNUMBER(SEARCH("subscription",LOWER($A550&amp;" "&amp;$M550&amp;""))),ISNUMBER(SEARCH("membership",LOWER($A550&amp;" "&amp;$M550&amp;"")))),"Subscription",IF(LOWER($L550&amp;"")="yes","Disqualified",IF($P550&gt;$H550,"Profit","Draw"))))</f>
        <v/>
      </c>
      <c r="V550">
        <f>IF(OR($A550="",$B550="",$C550="",$U550="Subscription"),"",IFERROR(ROUNDUP((IF(ISNUMBER($C550),$C550,DATEVALUE($C550))-IF(ISNUMBER($B550),$B550,DATEVALUE($B550)))/7,0),""))</f>
        <v/>
      </c>
      <c r="W550" s="352">
        <f>IF($U550="Subscription","",$Q550-$S550)</f>
        <v/>
      </c>
      <c r="X550">
        <f>IF(OR($A550="",$U550="Subscription",$J550="",$I550="",$J550=0,$I550=0,$I550&gt;$J550),"",$J550-$I550)</f>
        <v/>
      </c>
      <c r="Y550">
        <f>IF(OR($A550="",$U550="Subscription",$J550="",$J550=0,$X550=""),"",$X550/$J550)</f>
        <v/>
      </c>
    </row>
    <row r="551">
      <c r="B551" s="354" t="n"/>
      <c r="C551" s="354" t="n"/>
      <c r="E551" s="350" t="n"/>
      <c r="F551" s="350" t="n"/>
      <c r="G551" s="350" t="n"/>
      <c r="H551" s="350" t="n"/>
      <c r="I551" s="350" t="n"/>
      <c r="J551" s="352" t="n"/>
      <c r="M551" s="350" t="n"/>
      <c r="N551" s="350">
        <f>IF($A551="","",IF(OR(LOWER($D551&amp;"")="n/a",ISNUMBER(SEARCH("subscription",LOWER($A551&amp;" "&amp;$M551&amp;""))),ISNUMBER(SEARCH("membership",LOWER($A551&amp;" "&amp;$M551&amp;"")))),"",IF($G551="","",IF(ISNUMBER(SEARCH("non",LOWER($E551&amp;""))),$G551*0.85,$G551))))</f>
        <v/>
      </c>
      <c r="O551">
        <f>IF($A551="","",IF(OR(LOWER($D551&amp;"")="n/a",ISNUMBER(SEARCH("subscription",LOWER($A551&amp;" "&amp;$M551&amp;""))),ISNUMBER(SEARCH("membership",LOWER($A551&amp;" "&amp;$M551&amp;"")))),"",IF(OR($N551="",$I551="",$I551=0),"",$N551/$I551)))</f>
        <v/>
      </c>
      <c r="P551">
        <f>IF($A551="","",IF(OR(LOWER($D551&amp;"")="n/a",ISNUMBER(SEARCH("subscription",LOWER($A551&amp;" "&amp;$M551&amp;""))),ISNUMBER(SEARCH("membership",LOWER($A551&amp;" "&amp;$M551&amp;"")))),"",IF(LOWER($L551&amp;"")="yes",0,IF($K551&lt;&gt;"",$K551,IF($O551&lt;&gt;"",$O551,"")))))</f>
        <v/>
      </c>
      <c r="Q551">
        <f>IF($A551="","",IF($U551="Subscription","",IF($U551="Profit",$P551-$H551,0)))</f>
        <v/>
      </c>
      <c r="R551">
        <f>IF($A551="","",IF($U551="Subscription","",IF($U551="Draw",$H551,0)))</f>
        <v/>
      </c>
      <c r="S551">
        <f>IF($A551="","",IF($U551="Subscription","",IF($U551="Disqualified",$H551,0)))</f>
        <v/>
      </c>
      <c r="T551">
        <f>IF($A551="","",IF($U551="Subscription","",IF($H551=0,IF($U551="Profit","N/A",0),IF($U551="Profit",$Q551/$H551,IF($U551="Disqualified",-1,0)))))</f>
        <v/>
      </c>
      <c r="U551" s="350">
        <f>IF($A551="","",IF(OR(LOWER($D551&amp;"")="n/a",ISNUMBER(SEARCH("subscription",LOWER($A551&amp;" "&amp;$M551&amp;""))),ISNUMBER(SEARCH("membership",LOWER($A551&amp;" "&amp;$M551&amp;"")))),"Subscription",IF(LOWER($L551&amp;"")="yes","Disqualified",IF($P551&gt;$H551,"Profit","Draw"))))</f>
        <v/>
      </c>
      <c r="V551">
        <f>IF(OR($A551="",$B551="",$C551="",$U551="Subscription"),"",IFERROR(ROUNDUP((IF(ISNUMBER($C551),$C551,DATEVALUE($C551))-IF(ISNUMBER($B551),$B551,DATEVALUE($B551)))/7,0),""))</f>
        <v/>
      </c>
      <c r="W551" s="352">
        <f>IF($U551="Subscription","",$Q551-$S551)</f>
        <v/>
      </c>
      <c r="X551">
        <f>IF(OR($A551="",$U551="Subscription",$J551="",$I551="",$J551=0,$I551=0,$I551&gt;$J551),"",$J551-$I551)</f>
        <v/>
      </c>
      <c r="Y551">
        <f>IF(OR($A551="",$U551="Subscription",$J551="",$J551=0,$X551=""),"",$X551/$J551)</f>
        <v/>
      </c>
    </row>
    <row r="552">
      <c r="B552" s="354" t="n"/>
      <c r="C552" s="354" t="n"/>
      <c r="E552" s="350" t="n"/>
      <c r="F552" s="350" t="n"/>
      <c r="G552" s="350" t="n"/>
      <c r="H552" s="350" t="n"/>
      <c r="I552" s="350" t="n"/>
      <c r="J552" s="352" t="n"/>
      <c r="M552" s="350" t="n"/>
      <c r="N552" s="350">
        <f>IF($A552="","",IF(OR(LOWER($D552&amp;"")="n/a",ISNUMBER(SEARCH("subscription",LOWER($A552&amp;" "&amp;$M552&amp;""))),ISNUMBER(SEARCH("membership",LOWER($A552&amp;" "&amp;$M552&amp;"")))),"",IF($G552="","",IF(ISNUMBER(SEARCH("non",LOWER($E552&amp;""))),$G552*0.85,$G552))))</f>
        <v/>
      </c>
      <c r="O552">
        <f>IF($A552="","",IF(OR(LOWER($D552&amp;"")="n/a",ISNUMBER(SEARCH("subscription",LOWER($A552&amp;" "&amp;$M552&amp;""))),ISNUMBER(SEARCH("membership",LOWER($A552&amp;" "&amp;$M552&amp;"")))),"",IF(OR($N552="",$I552="",$I552=0),"",$N552/$I552)))</f>
        <v/>
      </c>
      <c r="P552">
        <f>IF($A552="","",IF(OR(LOWER($D552&amp;"")="n/a",ISNUMBER(SEARCH("subscription",LOWER($A552&amp;" "&amp;$M552&amp;""))),ISNUMBER(SEARCH("membership",LOWER($A552&amp;" "&amp;$M552&amp;"")))),"",IF(LOWER($L552&amp;"")="yes",0,IF($K552&lt;&gt;"",$K552,IF($O552&lt;&gt;"",$O552,"")))))</f>
        <v/>
      </c>
      <c r="Q552">
        <f>IF($A552="","",IF($U552="Subscription","",IF($U552="Profit",$P552-$H552,0)))</f>
        <v/>
      </c>
      <c r="R552">
        <f>IF($A552="","",IF($U552="Subscription","",IF($U552="Draw",$H552,0)))</f>
        <v/>
      </c>
      <c r="S552">
        <f>IF($A552="","",IF($U552="Subscription","",IF($U552="Disqualified",$H552,0)))</f>
        <v/>
      </c>
      <c r="T552">
        <f>IF($A552="","",IF($U552="Subscription","",IF($H552=0,IF($U552="Profit","N/A",0),IF($U552="Profit",$Q552/$H552,IF($U552="Disqualified",-1,0)))))</f>
        <v/>
      </c>
      <c r="U552" s="350">
        <f>IF($A552="","",IF(OR(LOWER($D552&amp;"")="n/a",ISNUMBER(SEARCH("subscription",LOWER($A552&amp;" "&amp;$M552&amp;""))),ISNUMBER(SEARCH("membership",LOWER($A552&amp;" "&amp;$M552&amp;"")))),"Subscription",IF(LOWER($L552&amp;"")="yes","Disqualified",IF($P552&gt;$H552,"Profit","Draw"))))</f>
        <v/>
      </c>
      <c r="V552">
        <f>IF(OR($A552="",$B552="",$C552="",$U552="Subscription"),"",IFERROR(ROUNDUP((IF(ISNUMBER($C552),$C552,DATEVALUE($C552))-IF(ISNUMBER($B552),$B552,DATEVALUE($B552)))/7,0),""))</f>
        <v/>
      </c>
      <c r="W552" s="352">
        <f>IF($U552="Subscription","",$Q552-$S552)</f>
        <v/>
      </c>
      <c r="X552">
        <f>IF(OR($A552="",$U552="Subscription",$J552="",$I552="",$J552=0,$I552=0,$I552&gt;$J552),"",$J552-$I552)</f>
        <v/>
      </c>
      <c r="Y552">
        <f>IF(OR($A552="",$U552="Subscription",$J552="",$J552=0,$X552=""),"",$X552/$J552)</f>
        <v/>
      </c>
    </row>
    <row r="553">
      <c r="B553" s="354" t="n"/>
      <c r="C553" s="354" t="n"/>
      <c r="E553" s="350" t="n"/>
      <c r="F553" s="350" t="n"/>
      <c r="G553" s="350" t="n"/>
      <c r="H553" s="350" t="n"/>
      <c r="I553" s="350" t="n"/>
      <c r="J553" s="352" t="n"/>
      <c r="M553" s="350" t="n"/>
      <c r="N553" s="350">
        <f>IF($A553="","",IF(OR(LOWER($D553&amp;"")="n/a",ISNUMBER(SEARCH("subscription",LOWER($A553&amp;" "&amp;$M553&amp;""))),ISNUMBER(SEARCH("membership",LOWER($A553&amp;" "&amp;$M553&amp;"")))),"",IF($G553="","",IF(ISNUMBER(SEARCH("non",LOWER($E553&amp;""))),$G553*0.85,$G553))))</f>
        <v/>
      </c>
      <c r="O553">
        <f>IF($A553="","",IF(OR(LOWER($D553&amp;"")="n/a",ISNUMBER(SEARCH("subscription",LOWER($A553&amp;" "&amp;$M553&amp;""))),ISNUMBER(SEARCH("membership",LOWER($A553&amp;" "&amp;$M553&amp;"")))),"",IF(OR($N553="",$I553="",$I553=0),"",$N553/$I553)))</f>
        <v/>
      </c>
      <c r="P553">
        <f>IF($A553="","",IF(OR(LOWER($D553&amp;"")="n/a",ISNUMBER(SEARCH("subscription",LOWER($A553&amp;" "&amp;$M553&amp;""))),ISNUMBER(SEARCH("membership",LOWER($A553&amp;" "&amp;$M553&amp;"")))),"",IF(LOWER($L553&amp;"")="yes",0,IF($K553&lt;&gt;"",$K553,IF($O553&lt;&gt;"",$O553,"")))))</f>
        <v/>
      </c>
      <c r="Q553">
        <f>IF($A553="","",IF($U553="Subscription","",IF($U553="Profit",$P553-$H553,0)))</f>
        <v/>
      </c>
      <c r="R553">
        <f>IF($A553="","",IF($U553="Subscription","",IF($U553="Draw",$H553,0)))</f>
        <v/>
      </c>
      <c r="S553">
        <f>IF($A553="","",IF($U553="Subscription","",IF($U553="Disqualified",$H553,0)))</f>
        <v/>
      </c>
      <c r="T553">
        <f>IF($A553="","",IF($U553="Subscription","",IF($H553=0,IF($U553="Profit","N/A",0),IF($U553="Profit",$Q553/$H553,IF($U553="Disqualified",-1,0)))))</f>
        <v/>
      </c>
      <c r="U553" s="350">
        <f>IF($A553="","",IF(OR(LOWER($D553&amp;"")="n/a",ISNUMBER(SEARCH("subscription",LOWER($A553&amp;" "&amp;$M553&amp;""))),ISNUMBER(SEARCH("membership",LOWER($A553&amp;" "&amp;$M553&amp;"")))),"Subscription",IF(LOWER($L553&amp;"")="yes","Disqualified",IF($P553&gt;$H553,"Profit","Draw"))))</f>
        <v/>
      </c>
      <c r="V553">
        <f>IF(OR($A553="",$B553="",$C553="",$U553="Subscription"),"",IFERROR(ROUNDUP((IF(ISNUMBER($C553),$C553,DATEVALUE($C553))-IF(ISNUMBER($B553),$B553,DATEVALUE($B553)))/7,0),""))</f>
        <v/>
      </c>
      <c r="W553" s="352">
        <f>IF($U553="Subscription","",$Q553-$S553)</f>
        <v/>
      </c>
      <c r="X553">
        <f>IF(OR($A553="",$U553="Subscription",$J553="",$I553="",$J553=0,$I553=0,$I553&gt;$J553),"",$J553-$I553)</f>
        <v/>
      </c>
      <c r="Y553">
        <f>IF(OR($A553="",$U553="Subscription",$J553="",$J553=0,$X553=""),"",$X553/$J553)</f>
        <v/>
      </c>
    </row>
    <row r="554">
      <c r="B554" s="354" t="n"/>
      <c r="C554" s="354" t="n"/>
      <c r="E554" s="350" t="n"/>
      <c r="F554" s="350" t="n"/>
      <c r="G554" s="350" t="n"/>
      <c r="H554" s="350" t="n"/>
      <c r="I554" s="350" t="n"/>
      <c r="J554" s="352" t="n"/>
      <c r="M554" s="350" t="n"/>
      <c r="N554" s="350">
        <f>IF($A554="","",IF(OR(LOWER($D554&amp;"")="n/a",ISNUMBER(SEARCH("subscription",LOWER($A554&amp;" "&amp;$M554&amp;""))),ISNUMBER(SEARCH("membership",LOWER($A554&amp;" "&amp;$M554&amp;"")))),"",IF($G554="","",IF(ISNUMBER(SEARCH("non",LOWER($E554&amp;""))),$G554*0.85,$G554))))</f>
        <v/>
      </c>
      <c r="O554">
        <f>IF($A554="","",IF(OR(LOWER($D554&amp;"")="n/a",ISNUMBER(SEARCH("subscription",LOWER($A554&amp;" "&amp;$M554&amp;""))),ISNUMBER(SEARCH("membership",LOWER($A554&amp;" "&amp;$M554&amp;"")))),"",IF(OR($N554="",$I554="",$I554=0),"",$N554/$I554)))</f>
        <v/>
      </c>
      <c r="P554">
        <f>IF($A554="","",IF(OR(LOWER($D554&amp;"")="n/a",ISNUMBER(SEARCH("subscription",LOWER($A554&amp;" "&amp;$M554&amp;""))),ISNUMBER(SEARCH("membership",LOWER($A554&amp;" "&amp;$M554&amp;"")))),"",IF(LOWER($L554&amp;"")="yes",0,IF($K554&lt;&gt;"",$K554,IF($O554&lt;&gt;"",$O554,"")))))</f>
        <v/>
      </c>
      <c r="Q554">
        <f>IF($A554="","",IF($U554="Subscription","",IF($U554="Profit",$P554-$H554,0)))</f>
        <v/>
      </c>
      <c r="R554">
        <f>IF($A554="","",IF($U554="Subscription","",IF($U554="Draw",$H554,0)))</f>
        <v/>
      </c>
      <c r="S554">
        <f>IF($A554="","",IF($U554="Subscription","",IF($U554="Disqualified",$H554,0)))</f>
        <v/>
      </c>
      <c r="T554">
        <f>IF($A554="","",IF($U554="Subscription","",IF($H554=0,IF($U554="Profit","N/A",0),IF($U554="Profit",$Q554/$H554,IF($U554="Disqualified",-1,0)))))</f>
        <v/>
      </c>
      <c r="U554" s="350">
        <f>IF($A554="","",IF(OR(LOWER($D554&amp;"")="n/a",ISNUMBER(SEARCH("subscription",LOWER($A554&amp;" "&amp;$M554&amp;""))),ISNUMBER(SEARCH("membership",LOWER($A554&amp;" "&amp;$M554&amp;"")))),"Subscription",IF(LOWER($L554&amp;"")="yes","Disqualified",IF($P554&gt;$H554,"Profit","Draw"))))</f>
        <v/>
      </c>
      <c r="V554">
        <f>IF(OR($A554="",$B554="",$C554="",$U554="Subscription"),"",IFERROR(ROUNDUP((IF(ISNUMBER($C554),$C554,DATEVALUE($C554))-IF(ISNUMBER($B554),$B554,DATEVALUE($B554)))/7,0),""))</f>
        <v/>
      </c>
      <c r="W554" s="352">
        <f>IF($U554="Subscription","",$Q554-$S554)</f>
        <v/>
      </c>
      <c r="X554">
        <f>IF(OR($A554="",$U554="Subscription",$J554="",$I554="",$J554=0,$I554=0,$I554&gt;$J554),"",$J554-$I554)</f>
        <v/>
      </c>
      <c r="Y554">
        <f>IF(OR($A554="",$U554="Subscription",$J554="",$J554=0,$X554=""),"",$X554/$J554)</f>
        <v/>
      </c>
    </row>
    <row r="555">
      <c r="B555" s="354" t="n"/>
      <c r="C555" s="354" t="n"/>
      <c r="E555" s="350" t="n"/>
      <c r="F555" s="350" t="n"/>
      <c r="G555" s="350" t="n"/>
      <c r="H555" s="350" t="n"/>
      <c r="I555" s="350" t="n"/>
      <c r="J555" s="352" t="n"/>
      <c r="M555" s="350" t="n"/>
      <c r="N555" s="350">
        <f>IF($A555="","",IF(OR(LOWER($D555&amp;"")="n/a",ISNUMBER(SEARCH("subscription",LOWER($A555&amp;" "&amp;$M555&amp;""))),ISNUMBER(SEARCH("membership",LOWER($A555&amp;" "&amp;$M555&amp;"")))),"",IF($G555="","",IF(ISNUMBER(SEARCH("non",LOWER($E555&amp;""))),$G555*0.85,$G555))))</f>
        <v/>
      </c>
      <c r="O555">
        <f>IF($A555="","",IF(OR(LOWER($D555&amp;"")="n/a",ISNUMBER(SEARCH("subscription",LOWER($A555&amp;" "&amp;$M555&amp;""))),ISNUMBER(SEARCH("membership",LOWER($A555&amp;" "&amp;$M555&amp;"")))),"",IF(OR($N555="",$I555="",$I555=0),"",$N555/$I555)))</f>
        <v/>
      </c>
      <c r="P555">
        <f>IF($A555="","",IF(OR(LOWER($D555&amp;"")="n/a",ISNUMBER(SEARCH("subscription",LOWER($A555&amp;" "&amp;$M555&amp;""))),ISNUMBER(SEARCH("membership",LOWER($A555&amp;" "&amp;$M555&amp;"")))),"",IF(LOWER($L555&amp;"")="yes",0,IF($K555&lt;&gt;"",$K555,IF($O555&lt;&gt;"",$O555,"")))))</f>
        <v/>
      </c>
      <c r="Q555">
        <f>IF($A555="","",IF($U555="Subscription","",IF($U555="Profit",$P555-$H555,0)))</f>
        <v/>
      </c>
      <c r="R555">
        <f>IF($A555="","",IF($U555="Subscription","",IF($U555="Draw",$H555,0)))</f>
        <v/>
      </c>
      <c r="S555">
        <f>IF($A555="","",IF($U555="Subscription","",IF($U555="Disqualified",$H555,0)))</f>
        <v/>
      </c>
      <c r="T555">
        <f>IF($A555="","",IF($U555="Subscription","",IF($H555=0,IF($U555="Profit","N/A",0),IF($U555="Profit",$Q555/$H555,IF($U555="Disqualified",-1,0)))))</f>
        <v/>
      </c>
      <c r="U555" s="350">
        <f>IF($A555="","",IF(OR(LOWER($D555&amp;"")="n/a",ISNUMBER(SEARCH("subscription",LOWER($A555&amp;" "&amp;$M555&amp;""))),ISNUMBER(SEARCH("membership",LOWER($A555&amp;" "&amp;$M555&amp;"")))),"Subscription",IF(LOWER($L555&amp;"")="yes","Disqualified",IF($P555&gt;$H555,"Profit","Draw"))))</f>
        <v/>
      </c>
      <c r="V555">
        <f>IF(OR($A555="",$B555="",$C555="",$U555="Subscription"),"",IFERROR(ROUNDUP((IF(ISNUMBER($C555),$C555,DATEVALUE($C555))-IF(ISNUMBER($B555),$B555,DATEVALUE($B555)))/7,0),""))</f>
        <v/>
      </c>
      <c r="W555" s="352">
        <f>IF($U555="Subscription","",$Q555-$S555)</f>
        <v/>
      </c>
      <c r="X555">
        <f>IF(OR($A555="",$U555="Subscription",$J555="",$I555="",$J555=0,$I555=0,$I555&gt;$J555),"",$J555-$I555)</f>
        <v/>
      </c>
      <c r="Y555">
        <f>IF(OR($A555="",$U555="Subscription",$J555="",$J555=0,$X555=""),"",$X555/$J555)</f>
        <v/>
      </c>
    </row>
    <row r="556">
      <c r="B556" s="354" t="n"/>
      <c r="C556" s="354" t="n"/>
      <c r="E556" s="350" t="n"/>
      <c r="F556" s="350" t="n"/>
      <c r="G556" s="350" t="n"/>
      <c r="H556" s="350" t="n"/>
      <c r="I556" s="350" t="n"/>
      <c r="J556" s="352" t="n"/>
      <c r="M556" s="350" t="n"/>
      <c r="N556" s="350">
        <f>IF($A556="","",IF(OR(LOWER($D556&amp;"")="n/a",ISNUMBER(SEARCH("subscription",LOWER($A556&amp;" "&amp;$M556&amp;""))),ISNUMBER(SEARCH("membership",LOWER($A556&amp;" "&amp;$M556&amp;"")))),"",IF($G556="","",IF(ISNUMBER(SEARCH("non",LOWER($E556&amp;""))),$G556*0.85,$G556))))</f>
        <v/>
      </c>
      <c r="O556">
        <f>IF($A556="","",IF(OR(LOWER($D556&amp;"")="n/a",ISNUMBER(SEARCH("subscription",LOWER($A556&amp;" "&amp;$M556&amp;""))),ISNUMBER(SEARCH("membership",LOWER($A556&amp;" "&amp;$M556&amp;"")))),"",IF(OR($N556="",$I556="",$I556=0),"",$N556/$I556)))</f>
        <v/>
      </c>
      <c r="P556">
        <f>IF($A556="","",IF(OR(LOWER($D556&amp;"")="n/a",ISNUMBER(SEARCH("subscription",LOWER($A556&amp;" "&amp;$M556&amp;""))),ISNUMBER(SEARCH("membership",LOWER($A556&amp;" "&amp;$M556&amp;"")))),"",IF(LOWER($L556&amp;"")="yes",0,IF($K556&lt;&gt;"",$K556,IF($O556&lt;&gt;"",$O556,"")))))</f>
        <v/>
      </c>
      <c r="Q556">
        <f>IF($A556="","",IF($U556="Subscription","",IF($U556="Profit",$P556-$H556,0)))</f>
        <v/>
      </c>
      <c r="R556">
        <f>IF($A556="","",IF($U556="Subscription","",IF($U556="Draw",$H556,0)))</f>
        <v/>
      </c>
      <c r="S556">
        <f>IF($A556="","",IF($U556="Subscription","",IF($U556="Disqualified",$H556,0)))</f>
        <v/>
      </c>
      <c r="T556">
        <f>IF($A556="","",IF($U556="Subscription","",IF($H556=0,IF($U556="Profit","N/A",0),IF($U556="Profit",$Q556/$H556,IF($U556="Disqualified",-1,0)))))</f>
        <v/>
      </c>
      <c r="U556" s="350">
        <f>IF($A556="","",IF(OR(LOWER($D556&amp;"")="n/a",ISNUMBER(SEARCH("subscription",LOWER($A556&amp;" "&amp;$M556&amp;""))),ISNUMBER(SEARCH("membership",LOWER($A556&amp;" "&amp;$M556&amp;"")))),"Subscription",IF(LOWER($L556&amp;"")="yes","Disqualified",IF($P556&gt;$H556,"Profit","Draw"))))</f>
        <v/>
      </c>
      <c r="V556">
        <f>IF(OR($A556="",$B556="",$C556="",$U556="Subscription"),"",IFERROR(ROUNDUP((IF(ISNUMBER($C556),$C556,DATEVALUE($C556))-IF(ISNUMBER($B556),$B556,DATEVALUE($B556)))/7,0),""))</f>
        <v/>
      </c>
      <c r="W556" s="352">
        <f>IF($U556="Subscription","",$Q556-$S556)</f>
        <v/>
      </c>
      <c r="X556">
        <f>IF(OR($A556="",$U556="Subscription",$J556="",$I556="",$J556=0,$I556=0,$I556&gt;$J556),"",$J556-$I556)</f>
        <v/>
      </c>
      <c r="Y556">
        <f>IF(OR($A556="",$U556="Subscription",$J556="",$J556=0,$X556=""),"",$X556/$J556)</f>
        <v/>
      </c>
    </row>
    <row r="557">
      <c r="B557" s="354" t="n"/>
      <c r="C557" s="354" t="n"/>
      <c r="E557" s="350" t="n"/>
      <c r="F557" s="350" t="n"/>
      <c r="G557" s="350" t="n"/>
      <c r="H557" s="350" t="n"/>
      <c r="I557" s="350" t="n"/>
      <c r="J557" s="352" t="n"/>
      <c r="M557" s="350" t="n"/>
      <c r="N557" s="350">
        <f>IF($A557="","",IF(OR(LOWER($D557&amp;"")="n/a",ISNUMBER(SEARCH("subscription",LOWER($A557&amp;" "&amp;$M557&amp;""))),ISNUMBER(SEARCH("membership",LOWER($A557&amp;" "&amp;$M557&amp;"")))),"",IF($G557="","",IF(ISNUMBER(SEARCH("non",LOWER($E557&amp;""))),$G557*0.85,$G557))))</f>
        <v/>
      </c>
      <c r="O557">
        <f>IF($A557="","",IF(OR(LOWER($D557&amp;"")="n/a",ISNUMBER(SEARCH("subscription",LOWER($A557&amp;" "&amp;$M557&amp;""))),ISNUMBER(SEARCH("membership",LOWER($A557&amp;" "&amp;$M557&amp;"")))),"",IF(OR($N557="",$I557="",$I557=0),"",$N557/$I557)))</f>
        <v/>
      </c>
      <c r="P557">
        <f>IF($A557="","",IF(OR(LOWER($D557&amp;"")="n/a",ISNUMBER(SEARCH("subscription",LOWER($A557&amp;" "&amp;$M557&amp;""))),ISNUMBER(SEARCH("membership",LOWER($A557&amp;" "&amp;$M557&amp;"")))),"",IF(LOWER($L557&amp;"")="yes",0,IF($K557&lt;&gt;"",$K557,IF($O557&lt;&gt;"",$O557,"")))))</f>
        <v/>
      </c>
      <c r="Q557">
        <f>IF($A557="","",IF($U557="Subscription","",IF($U557="Profit",$P557-$H557,0)))</f>
        <v/>
      </c>
      <c r="R557">
        <f>IF($A557="","",IF($U557="Subscription","",IF($U557="Draw",$H557,0)))</f>
        <v/>
      </c>
      <c r="S557">
        <f>IF($A557="","",IF($U557="Subscription","",IF($U557="Disqualified",$H557,0)))</f>
        <v/>
      </c>
      <c r="T557">
        <f>IF($A557="","",IF($U557="Subscription","",IF($H557=0,IF($U557="Profit","N/A",0),IF($U557="Profit",$Q557/$H557,IF($U557="Disqualified",-1,0)))))</f>
        <v/>
      </c>
      <c r="U557" s="350">
        <f>IF($A557="","",IF(OR(LOWER($D557&amp;"")="n/a",ISNUMBER(SEARCH("subscription",LOWER($A557&amp;" "&amp;$M557&amp;""))),ISNUMBER(SEARCH("membership",LOWER($A557&amp;" "&amp;$M557&amp;"")))),"Subscription",IF(LOWER($L557&amp;"")="yes","Disqualified",IF($P557&gt;$H557,"Profit","Draw"))))</f>
        <v/>
      </c>
      <c r="V557">
        <f>IF(OR($A557="",$B557="",$C557="",$U557="Subscription"),"",IFERROR(ROUNDUP((IF(ISNUMBER($C557),$C557,DATEVALUE($C557))-IF(ISNUMBER($B557),$B557,DATEVALUE($B557)))/7,0),""))</f>
        <v/>
      </c>
      <c r="W557" s="352">
        <f>IF($U557="Subscription","",$Q557-$S557)</f>
        <v/>
      </c>
      <c r="X557">
        <f>IF(OR($A557="",$U557="Subscription",$J557="",$I557="",$J557=0,$I557=0,$I557&gt;$J557),"",$J557-$I557)</f>
        <v/>
      </c>
      <c r="Y557">
        <f>IF(OR($A557="",$U557="Subscription",$J557="",$J557=0,$X557=""),"",$X557/$J557)</f>
        <v/>
      </c>
    </row>
    <row r="558">
      <c r="B558" s="354" t="n"/>
      <c r="C558" s="354" t="n"/>
      <c r="E558" s="350" t="n"/>
      <c r="F558" s="350" t="n"/>
      <c r="G558" s="350" t="n"/>
      <c r="H558" s="350" t="n"/>
      <c r="I558" s="350" t="n"/>
      <c r="J558" s="352" t="n"/>
      <c r="M558" s="350" t="n"/>
      <c r="N558" s="350">
        <f>IF($A558="","",IF(OR(LOWER($D558&amp;"")="n/a",ISNUMBER(SEARCH("subscription",LOWER($A558&amp;" "&amp;$M558&amp;""))),ISNUMBER(SEARCH("membership",LOWER($A558&amp;" "&amp;$M558&amp;"")))),"",IF($G558="","",IF(ISNUMBER(SEARCH("non",LOWER($E558&amp;""))),$G558*0.85,$G558))))</f>
        <v/>
      </c>
      <c r="O558">
        <f>IF($A558="","",IF(OR(LOWER($D558&amp;"")="n/a",ISNUMBER(SEARCH("subscription",LOWER($A558&amp;" "&amp;$M558&amp;""))),ISNUMBER(SEARCH("membership",LOWER($A558&amp;" "&amp;$M558&amp;"")))),"",IF(OR($N558="",$I558="",$I558=0),"",$N558/$I558)))</f>
        <v/>
      </c>
      <c r="P558">
        <f>IF($A558="","",IF(OR(LOWER($D558&amp;"")="n/a",ISNUMBER(SEARCH("subscription",LOWER($A558&amp;" "&amp;$M558&amp;""))),ISNUMBER(SEARCH("membership",LOWER($A558&amp;" "&amp;$M558&amp;"")))),"",IF(LOWER($L558&amp;"")="yes",0,IF($K558&lt;&gt;"",$K558,IF($O558&lt;&gt;"",$O558,"")))))</f>
        <v/>
      </c>
      <c r="Q558">
        <f>IF($A558="","",IF($U558="Subscription","",IF($U558="Profit",$P558-$H558,0)))</f>
        <v/>
      </c>
      <c r="R558">
        <f>IF($A558="","",IF($U558="Subscription","",IF($U558="Draw",$H558,0)))</f>
        <v/>
      </c>
      <c r="S558">
        <f>IF($A558="","",IF($U558="Subscription","",IF($U558="Disqualified",$H558,0)))</f>
        <v/>
      </c>
      <c r="T558">
        <f>IF($A558="","",IF($U558="Subscription","",IF($H558=0,IF($U558="Profit","N/A",0),IF($U558="Profit",$Q558/$H558,IF($U558="Disqualified",-1,0)))))</f>
        <v/>
      </c>
      <c r="U558" s="350">
        <f>IF($A558="","",IF(OR(LOWER($D558&amp;"")="n/a",ISNUMBER(SEARCH("subscription",LOWER($A558&amp;" "&amp;$M558&amp;""))),ISNUMBER(SEARCH("membership",LOWER($A558&amp;" "&amp;$M558&amp;"")))),"Subscription",IF(LOWER($L558&amp;"")="yes","Disqualified",IF($P558&gt;$H558,"Profit","Draw"))))</f>
        <v/>
      </c>
      <c r="V558">
        <f>IF(OR($A558="",$B558="",$C558="",$U558="Subscription"),"",IFERROR(ROUNDUP((IF(ISNUMBER($C558),$C558,DATEVALUE($C558))-IF(ISNUMBER($B558),$B558,DATEVALUE($B558)))/7,0),""))</f>
        <v/>
      </c>
      <c r="W558" s="352">
        <f>IF($U558="Subscription","",$Q558-$S558)</f>
        <v/>
      </c>
      <c r="X558">
        <f>IF(OR($A558="",$U558="Subscription",$J558="",$I558="",$J558=0,$I558=0,$I558&gt;$J558),"",$J558-$I558)</f>
        <v/>
      </c>
      <c r="Y558">
        <f>IF(OR($A558="",$U558="Subscription",$J558="",$J558=0,$X558=""),"",$X558/$J558)</f>
        <v/>
      </c>
    </row>
    <row r="559">
      <c r="B559" s="354" t="n"/>
      <c r="C559" s="354" t="n"/>
      <c r="E559" s="350" t="n"/>
      <c r="F559" s="350" t="n"/>
      <c r="G559" s="350" t="n"/>
      <c r="H559" s="350" t="n"/>
      <c r="I559" s="350" t="n"/>
      <c r="J559" s="352" t="n"/>
      <c r="M559" s="350" t="n"/>
      <c r="N559" s="350">
        <f>IF($A559="","",IF(OR(LOWER($D559&amp;"")="n/a",ISNUMBER(SEARCH("subscription",LOWER($A559&amp;" "&amp;$M559&amp;""))),ISNUMBER(SEARCH("membership",LOWER($A559&amp;" "&amp;$M559&amp;"")))),"",IF($G559="","",IF(ISNUMBER(SEARCH("non",LOWER($E559&amp;""))),$G559*0.85,$G559))))</f>
        <v/>
      </c>
      <c r="O559">
        <f>IF($A559="","",IF(OR(LOWER($D559&amp;"")="n/a",ISNUMBER(SEARCH("subscription",LOWER($A559&amp;" "&amp;$M559&amp;""))),ISNUMBER(SEARCH("membership",LOWER($A559&amp;" "&amp;$M559&amp;"")))),"",IF(OR($N559="",$I559="",$I559=0),"",$N559/$I559)))</f>
        <v/>
      </c>
      <c r="P559">
        <f>IF($A559="","",IF(OR(LOWER($D559&amp;"")="n/a",ISNUMBER(SEARCH("subscription",LOWER($A559&amp;" "&amp;$M559&amp;""))),ISNUMBER(SEARCH("membership",LOWER($A559&amp;" "&amp;$M559&amp;"")))),"",IF(LOWER($L559&amp;"")="yes",0,IF($K559&lt;&gt;"",$K559,IF($O559&lt;&gt;"",$O559,"")))))</f>
        <v/>
      </c>
      <c r="Q559">
        <f>IF($A559="","",IF($U559="Subscription","",IF($U559="Profit",$P559-$H559,0)))</f>
        <v/>
      </c>
      <c r="R559">
        <f>IF($A559="","",IF($U559="Subscription","",IF($U559="Draw",$H559,0)))</f>
        <v/>
      </c>
      <c r="S559">
        <f>IF($A559="","",IF($U559="Subscription","",IF($U559="Disqualified",$H559,0)))</f>
        <v/>
      </c>
      <c r="T559">
        <f>IF($A559="","",IF($U559="Subscription","",IF($H559=0,IF($U559="Profit","N/A",0),IF($U559="Profit",$Q559/$H559,IF($U559="Disqualified",-1,0)))))</f>
        <v/>
      </c>
      <c r="U559" s="350">
        <f>IF($A559="","",IF(OR(LOWER($D559&amp;"")="n/a",ISNUMBER(SEARCH("subscription",LOWER($A559&amp;" "&amp;$M559&amp;""))),ISNUMBER(SEARCH("membership",LOWER($A559&amp;" "&amp;$M559&amp;"")))),"Subscription",IF(LOWER($L559&amp;"")="yes","Disqualified",IF($P559&gt;$H559,"Profit","Draw"))))</f>
        <v/>
      </c>
      <c r="V559">
        <f>IF(OR($A559="",$B559="",$C559="",$U559="Subscription"),"",IFERROR(ROUNDUP((IF(ISNUMBER($C559),$C559,DATEVALUE($C559))-IF(ISNUMBER($B559),$B559,DATEVALUE($B559)))/7,0),""))</f>
        <v/>
      </c>
      <c r="W559" s="352">
        <f>IF($U559="Subscription","",$Q559-$S559)</f>
        <v/>
      </c>
      <c r="X559">
        <f>IF(OR($A559="",$U559="Subscription",$J559="",$I559="",$J559=0,$I559=0,$I559&gt;$J559),"",$J559-$I559)</f>
        <v/>
      </c>
      <c r="Y559">
        <f>IF(OR($A559="",$U559="Subscription",$J559="",$J559=0,$X559=""),"",$X559/$J559)</f>
        <v/>
      </c>
    </row>
    <row r="560">
      <c r="B560" s="354" t="n"/>
      <c r="C560" s="354" t="n"/>
      <c r="E560" s="350" t="n"/>
      <c r="F560" s="350" t="n"/>
      <c r="G560" s="350" t="n"/>
      <c r="H560" s="350" t="n"/>
      <c r="I560" s="350" t="n"/>
      <c r="J560" s="352" t="n"/>
      <c r="M560" s="350" t="n"/>
      <c r="N560" s="350">
        <f>IF($A560="","",IF(OR(LOWER($D560&amp;"")="n/a",ISNUMBER(SEARCH("subscription",LOWER($A560&amp;" "&amp;$M560&amp;""))),ISNUMBER(SEARCH("membership",LOWER($A560&amp;" "&amp;$M560&amp;"")))),"",IF($G560="","",IF(ISNUMBER(SEARCH("non",LOWER($E560&amp;""))),$G560*0.85,$G560))))</f>
        <v/>
      </c>
      <c r="O560">
        <f>IF($A560="","",IF(OR(LOWER($D560&amp;"")="n/a",ISNUMBER(SEARCH("subscription",LOWER($A560&amp;" "&amp;$M560&amp;""))),ISNUMBER(SEARCH("membership",LOWER($A560&amp;" "&amp;$M560&amp;"")))),"",IF(OR($N560="",$I560="",$I560=0),"",$N560/$I560)))</f>
        <v/>
      </c>
      <c r="P560">
        <f>IF($A560="","",IF(OR(LOWER($D560&amp;"")="n/a",ISNUMBER(SEARCH("subscription",LOWER($A560&amp;" "&amp;$M560&amp;""))),ISNUMBER(SEARCH("membership",LOWER($A560&amp;" "&amp;$M560&amp;"")))),"",IF(LOWER($L560&amp;"")="yes",0,IF($K560&lt;&gt;"",$K560,IF($O560&lt;&gt;"",$O560,"")))))</f>
        <v/>
      </c>
      <c r="Q560">
        <f>IF($A560="","",IF($U560="Subscription","",IF($U560="Profit",$P560-$H560,0)))</f>
        <v/>
      </c>
      <c r="R560">
        <f>IF($A560="","",IF($U560="Subscription","",IF($U560="Draw",$H560,0)))</f>
        <v/>
      </c>
      <c r="S560">
        <f>IF($A560="","",IF($U560="Subscription","",IF($U560="Disqualified",$H560,0)))</f>
        <v/>
      </c>
      <c r="T560">
        <f>IF($A560="","",IF($U560="Subscription","",IF($H560=0,IF($U560="Profit","N/A",0),IF($U560="Profit",$Q560/$H560,IF($U560="Disqualified",-1,0)))))</f>
        <v/>
      </c>
      <c r="U560" s="350">
        <f>IF($A560="","",IF(OR(LOWER($D560&amp;"")="n/a",ISNUMBER(SEARCH("subscription",LOWER($A560&amp;" "&amp;$M560&amp;""))),ISNUMBER(SEARCH("membership",LOWER($A560&amp;" "&amp;$M560&amp;"")))),"Subscription",IF(LOWER($L560&amp;"")="yes","Disqualified",IF($P560&gt;$H560,"Profit","Draw"))))</f>
        <v/>
      </c>
      <c r="V560">
        <f>IF(OR($A560="",$B560="",$C560="",$U560="Subscription"),"",IFERROR(ROUNDUP((IF(ISNUMBER($C560),$C560,DATEVALUE($C560))-IF(ISNUMBER($B560),$B560,DATEVALUE($B560)))/7,0),""))</f>
        <v/>
      </c>
      <c r="W560" s="352">
        <f>IF($U560="Subscription","",$Q560-$S560)</f>
        <v/>
      </c>
      <c r="X560">
        <f>IF(OR($A560="",$U560="Subscription",$J560="",$I560="",$J560=0,$I560=0,$I560&gt;$J560),"",$J560-$I560)</f>
        <v/>
      </c>
      <c r="Y560">
        <f>IF(OR($A560="",$U560="Subscription",$J560="",$J560=0,$X560=""),"",$X560/$J560)</f>
        <v/>
      </c>
    </row>
    <row r="561">
      <c r="B561" s="354" t="n"/>
      <c r="C561" s="354" t="n"/>
      <c r="E561" s="350" t="n"/>
      <c r="F561" s="350" t="n"/>
      <c r="G561" s="350" t="n"/>
      <c r="H561" s="350" t="n"/>
      <c r="I561" s="350" t="n"/>
      <c r="J561" s="352" t="n"/>
      <c r="M561" s="350" t="n"/>
      <c r="N561" s="350">
        <f>IF($A561="","",IF(OR(LOWER($D561&amp;"")="n/a",ISNUMBER(SEARCH("subscription",LOWER($A561&amp;" "&amp;$M561&amp;""))),ISNUMBER(SEARCH("membership",LOWER($A561&amp;" "&amp;$M561&amp;"")))),"",IF($G561="","",IF(ISNUMBER(SEARCH("non",LOWER($E561&amp;""))),$G561*0.85,$G561))))</f>
        <v/>
      </c>
      <c r="O561">
        <f>IF($A561="","",IF(OR(LOWER($D561&amp;"")="n/a",ISNUMBER(SEARCH("subscription",LOWER($A561&amp;" "&amp;$M561&amp;""))),ISNUMBER(SEARCH("membership",LOWER($A561&amp;" "&amp;$M561&amp;"")))),"",IF(OR($N561="",$I561="",$I561=0),"",$N561/$I561)))</f>
        <v/>
      </c>
      <c r="P561">
        <f>IF($A561="","",IF(OR(LOWER($D561&amp;"")="n/a",ISNUMBER(SEARCH("subscription",LOWER($A561&amp;" "&amp;$M561&amp;""))),ISNUMBER(SEARCH("membership",LOWER($A561&amp;" "&amp;$M561&amp;"")))),"",IF(LOWER($L561&amp;"")="yes",0,IF($K561&lt;&gt;"",$K561,IF($O561&lt;&gt;"",$O561,"")))))</f>
        <v/>
      </c>
      <c r="Q561">
        <f>IF($A561="","",IF($U561="Subscription","",IF($U561="Profit",$P561-$H561,0)))</f>
        <v/>
      </c>
      <c r="R561">
        <f>IF($A561="","",IF($U561="Subscription","",IF($U561="Draw",$H561,0)))</f>
        <v/>
      </c>
      <c r="S561">
        <f>IF($A561="","",IF($U561="Subscription","",IF($U561="Disqualified",$H561,0)))</f>
        <v/>
      </c>
      <c r="T561">
        <f>IF($A561="","",IF($U561="Subscription","",IF($H561=0,IF($U561="Profit","N/A",0),IF($U561="Profit",$Q561/$H561,IF($U561="Disqualified",-1,0)))))</f>
        <v/>
      </c>
      <c r="U561" s="350">
        <f>IF($A561="","",IF(OR(LOWER($D561&amp;"")="n/a",ISNUMBER(SEARCH("subscription",LOWER($A561&amp;" "&amp;$M561&amp;""))),ISNUMBER(SEARCH("membership",LOWER($A561&amp;" "&amp;$M561&amp;"")))),"Subscription",IF(LOWER($L561&amp;"")="yes","Disqualified",IF($P561&gt;$H561,"Profit","Draw"))))</f>
        <v/>
      </c>
      <c r="V561">
        <f>IF(OR($A561="",$B561="",$C561="",$U561="Subscription"),"",IFERROR(ROUNDUP((IF(ISNUMBER($C561),$C561,DATEVALUE($C561))-IF(ISNUMBER($B561),$B561,DATEVALUE($B561)))/7,0),""))</f>
        <v/>
      </c>
      <c r="W561" s="352">
        <f>IF($U561="Subscription","",$Q561-$S561)</f>
        <v/>
      </c>
      <c r="X561">
        <f>IF(OR($A561="",$U561="Subscription",$J561="",$I561="",$J561=0,$I561=0,$I561&gt;$J561),"",$J561-$I561)</f>
        <v/>
      </c>
      <c r="Y561">
        <f>IF(OR($A561="",$U561="Subscription",$J561="",$J561=0,$X561=""),"",$X561/$J561)</f>
        <v/>
      </c>
    </row>
    <row r="562">
      <c r="B562" s="354" t="n"/>
      <c r="C562" s="354" t="n"/>
      <c r="E562" s="350" t="n"/>
      <c r="F562" s="350" t="n"/>
      <c r="G562" s="350" t="n"/>
      <c r="H562" s="350" t="n"/>
      <c r="I562" s="350" t="n"/>
      <c r="J562" s="352" t="n"/>
      <c r="M562" s="350" t="n"/>
      <c r="N562" s="350">
        <f>IF($A562="","",IF(OR(LOWER($D562&amp;"")="n/a",ISNUMBER(SEARCH("subscription",LOWER($A562&amp;" "&amp;$M562&amp;""))),ISNUMBER(SEARCH("membership",LOWER($A562&amp;" "&amp;$M562&amp;"")))),"",IF($G562="","",IF(ISNUMBER(SEARCH("non",LOWER($E562&amp;""))),$G562*0.85,$G562))))</f>
        <v/>
      </c>
      <c r="O562">
        <f>IF($A562="","",IF(OR(LOWER($D562&amp;"")="n/a",ISNUMBER(SEARCH("subscription",LOWER($A562&amp;" "&amp;$M562&amp;""))),ISNUMBER(SEARCH("membership",LOWER($A562&amp;" "&amp;$M562&amp;"")))),"",IF(OR($N562="",$I562="",$I562=0),"",$N562/$I562)))</f>
        <v/>
      </c>
      <c r="P562">
        <f>IF($A562="","",IF(OR(LOWER($D562&amp;"")="n/a",ISNUMBER(SEARCH("subscription",LOWER($A562&amp;" "&amp;$M562&amp;""))),ISNUMBER(SEARCH("membership",LOWER($A562&amp;" "&amp;$M562&amp;"")))),"",IF(LOWER($L562&amp;"")="yes",0,IF($K562&lt;&gt;"",$K562,IF($O562&lt;&gt;"",$O562,"")))))</f>
        <v/>
      </c>
      <c r="Q562">
        <f>IF($A562="","",IF($U562="Subscription","",IF($U562="Profit",$P562-$H562,0)))</f>
        <v/>
      </c>
      <c r="R562">
        <f>IF($A562="","",IF($U562="Subscription","",IF($U562="Draw",$H562,0)))</f>
        <v/>
      </c>
      <c r="S562">
        <f>IF($A562="","",IF($U562="Subscription","",IF($U562="Disqualified",$H562,0)))</f>
        <v/>
      </c>
      <c r="T562">
        <f>IF($A562="","",IF($U562="Subscription","",IF($H562=0,IF($U562="Profit","N/A",0),IF($U562="Profit",$Q562/$H562,IF($U562="Disqualified",-1,0)))))</f>
        <v/>
      </c>
      <c r="U562" s="350">
        <f>IF($A562="","",IF(OR(LOWER($D562&amp;"")="n/a",ISNUMBER(SEARCH("subscription",LOWER($A562&amp;" "&amp;$M562&amp;""))),ISNUMBER(SEARCH("membership",LOWER($A562&amp;" "&amp;$M562&amp;"")))),"Subscription",IF(LOWER($L562&amp;"")="yes","Disqualified",IF($P562&gt;$H562,"Profit","Draw"))))</f>
        <v/>
      </c>
      <c r="V562">
        <f>IF(OR($A562="",$B562="",$C562="",$U562="Subscription"),"",IFERROR(ROUNDUP((IF(ISNUMBER($C562),$C562,DATEVALUE($C562))-IF(ISNUMBER($B562),$B562,DATEVALUE($B562)))/7,0),""))</f>
        <v/>
      </c>
      <c r="W562" s="352">
        <f>IF($U562="Subscription","",$Q562-$S562)</f>
        <v/>
      </c>
      <c r="X562">
        <f>IF(OR($A562="",$U562="Subscription",$J562="",$I562="",$J562=0,$I562=0,$I562&gt;$J562),"",$J562-$I562)</f>
        <v/>
      </c>
      <c r="Y562">
        <f>IF(OR($A562="",$U562="Subscription",$J562="",$J562=0,$X562=""),"",$X562/$J562)</f>
        <v/>
      </c>
    </row>
    <row r="563">
      <c r="B563" s="354" t="n"/>
      <c r="C563" s="354" t="n"/>
      <c r="E563" s="350" t="n"/>
      <c r="F563" s="350" t="n"/>
      <c r="G563" s="350" t="n"/>
      <c r="H563" s="350" t="n"/>
      <c r="I563" s="350" t="n"/>
      <c r="J563" s="352" t="n"/>
      <c r="M563" s="350" t="n"/>
      <c r="N563" s="350">
        <f>IF($A563="","",IF(OR(LOWER($D563&amp;"")="n/a",ISNUMBER(SEARCH("subscription",LOWER($A563&amp;" "&amp;$M563&amp;""))),ISNUMBER(SEARCH("membership",LOWER($A563&amp;" "&amp;$M563&amp;"")))),"",IF($G563="","",IF(ISNUMBER(SEARCH("non",LOWER($E563&amp;""))),$G563*0.85,$G563))))</f>
        <v/>
      </c>
      <c r="O563">
        <f>IF($A563="","",IF(OR(LOWER($D563&amp;"")="n/a",ISNUMBER(SEARCH("subscription",LOWER($A563&amp;" "&amp;$M563&amp;""))),ISNUMBER(SEARCH("membership",LOWER($A563&amp;" "&amp;$M563&amp;"")))),"",IF(OR($N563="",$I563="",$I563=0),"",$N563/$I563)))</f>
        <v/>
      </c>
      <c r="P563">
        <f>IF($A563="","",IF(OR(LOWER($D563&amp;"")="n/a",ISNUMBER(SEARCH("subscription",LOWER($A563&amp;" "&amp;$M563&amp;""))),ISNUMBER(SEARCH("membership",LOWER($A563&amp;" "&amp;$M563&amp;"")))),"",IF(LOWER($L563&amp;"")="yes",0,IF($K563&lt;&gt;"",$K563,IF($O563&lt;&gt;"",$O563,"")))))</f>
        <v/>
      </c>
      <c r="Q563">
        <f>IF($A563="","",IF($U563="Subscription","",IF($U563="Profit",$P563-$H563,0)))</f>
        <v/>
      </c>
      <c r="R563">
        <f>IF($A563="","",IF($U563="Subscription","",IF($U563="Draw",$H563,0)))</f>
        <v/>
      </c>
      <c r="S563">
        <f>IF($A563="","",IF($U563="Subscription","",IF($U563="Disqualified",$H563,0)))</f>
        <v/>
      </c>
      <c r="T563">
        <f>IF($A563="","",IF($U563="Subscription","",IF($H563=0,IF($U563="Profit","N/A",0),IF($U563="Profit",$Q563/$H563,IF($U563="Disqualified",-1,0)))))</f>
        <v/>
      </c>
      <c r="U563" s="350">
        <f>IF($A563="","",IF(OR(LOWER($D563&amp;"")="n/a",ISNUMBER(SEARCH("subscription",LOWER($A563&amp;" "&amp;$M563&amp;""))),ISNUMBER(SEARCH("membership",LOWER($A563&amp;" "&amp;$M563&amp;"")))),"Subscription",IF(LOWER($L563&amp;"")="yes","Disqualified",IF($P563&gt;$H563,"Profit","Draw"))))</f>
        <v/>
      </c>
      <c r="V563">
        <f>IF(OR($A563="",$B563="",$C563="",$U563="Subscription"),"",IFERROR(ROUNDUP((IF(ISNUMBER($C563),$C563,DATEVALUE($C563))-IF(ISNUMBER($B563),$B563,DATEVALUE($B563)))/7,0),""))</f>
        <v/>
      </c>
      <c r="W563" s="352">
        <f>IF($U563="Subscription","",$Q563-$S563)</f>
        <v/>
      </c>
      <c r="X563">
        <f>IF(OR($A563="",$U563="Subscription",$J563="",$I563="",$J563=0,$I563=0,$I563&gt;$J563),"",$J563-$I563)</f>
        <v/>
      </c>
      <c r="Y563">
        <f>IF(OR($A563="",$U563="Subscription",$J563="",$J563=0,$X563=""),"",$X563/$J563)</f>
        <v/>
      </c>
    </row>
    <row r="564">
      <c r="B564" s="354" t="n"/>
      <c r="C564" s="354" t="n"/>
      <c r="E564" s="350" t="n"/>
      <c r="F564" s="350" t="n"/>
      <c r="G564" s="350" t="n"/>
      <c r="H564" s="350" t="n"/>
      <c r="I564" s="350" t="n"/>
      <c r="J564" s="352" t="n"/>
      <c r="M564" s="350" t="n"/>
      <c r="N564" s="350">
        <f>IF($A564="","",IF(OR(LOWER($D564&amp;"")="n/a",ISNUMBER(SEARCH("subscription",LOWER($A564&amp;" "&amp;$M564&amp;""))),ISNUMBER(SEARCH("membership",LOWER($A564&amp;" "&amp;$M564&amp;"")))),"",IF($G564="","",IF(ISNUMBER(SEARCH("non",LOWER($E564&amp;""))),$G564*0.85,$G564))))</f>
        <v/>
      </c>
      <c r="O564">
        <f>IF($A564="","",IF(OR(LOWER($D564&amp;"")="n/a",ISNUMBER(SEARCH("subscription",LOWER($A564&amp;" "&amp;$M564&amp;""))),ISNUMBER(SEARCH("membership",LOWER($A564&amp;" "&amp;$M564&amp;"")))),"",IF(OR($N564="",$I564="",$I564=0),"",$N564/$I564)))</f>
        <v/>
      </c>
      <c r="P564">
        <f>IF($A564="","",IF(OR(LOWER($D564&amp;"")="n/a",ISNUMBER(SEARCH("subscription",LOWER($A564&amp;" "&amp;$M564&amp;""))),ISNUMBER(SEARCH("membership",LOWER($A564&amp;" "&amp;$M564&amp;"")))),"",IF(LOWER($L564&amp;"")="yes",0,IF($K564&lt;&gt;"",$K564,IF($O564&lt;&gt;"",$O564,"")))))</f>
        <v/>
      </c>
      <c r="Q564">
        <f>IF($A564="","",IF($U564="Subscription","",IF($U564="Profit",$P564-$H564,0)))</f>
        <v/>
      </c>
      <c r="R564">
        <f>IF($A564="","",IF($U564="Subscription","",IF($U564="Draw",$H564,0)))</f>
        <v/>
      </c>
      <c r="S564">
        <f>IF($A564="","",IF($U564="Subscription","",IF($U564="Disqualified",$H564,0)))</f>
        <v/>
      </c>
      <c r="T564">
        <f>IF($A564="","",IF($U564="Subscription","",IF($H564=0,IF($U564="Profit","N/A",0),IF($U564="Profit",$Q564/$H564,IF($U564="Disqualified",-1,0)))))</f>
        <v/>
      </c>
      <c r="U564" s="350">
        <f>IF($A564="","",IF(OR(LOWER($D564&amp;"")="n/a",ISNUMBER(SEARCH("subscription",LOWER($A564&amp;" "&amp;$M564&amp;""))),ISNUMBER(SEARCH("membership",LOWER($A564&amp;" "&amp;$M564&amp;"")))),"Subscription",IF(LOWER($L564&amp;"")="yes","Disqualified",IF($P564&gt;$H564,"Profit","Draw"))))</f>
        <v/>
      </c>
      <c r="V564">
        <f>IF(OR($A564="",$B564="",$C564="",$U564="Subscription"),"",IFERROR(ROUNDUP((IF(ISNUMBER($C564),$C564,DATEVALUE($C564))-IF(ISNUMBER($B564),$B564,DATEVALUE($B564)))/7,0),""))</f>
        <v/>
      </c>
      <c r="W564" s="352">
        <f>IF($U564="Subscription","",$Q564-$S564)</f>
        <v/>
      </c>
      <c r="X564">
        <f>IF(OR($A564="",$U564="Subscription",$J564="",$I564="",$J564=0,$I564=0,$I564&gt;$J564),"",$J564-$I564)</f>
        <v/>
      </c>
      <c r="Y564">
        <f>IF(OR($A564="",$U564="Subscription",$J564="",$J564=0,$X564=""),"",$X564/$J564)</f>
        <v/>
      </c>
    </row>
    <row r="565">
      <c r="B565" s="354" t="n"/>
      <c r="C565" s="354" t="n"/>
      <c r="E565" s="350" t="n"/>
      <c r="F565" s="350" t="n"/>
      <c r="G565" s="350" t="n"/>
      <c r="H565" s="350" t="n"/>
      <c r="I565" s="350" t="n"/>
      <c r="J565" s="352" t="n"/>
      <c r="M565" s="350" t="n"/>
      <c r="N565" s="350">
        <f>IF($A565="","",IF(OR(LOWER($D565&amp;"")="n/a",ISNUMBER(SEARCH("subscription",LOWER($A565&amp;" "&amp;$M565&amp;""))),ISNUMBER(SEARCH("membership",LOWER($A565&amp;" "&amp;$M565&amp;"")))),"",IF($G565="","",IF(ISNUMBER(SEARCH("non",LOWER($E565&amp;""))),$G565*0.85,$G565))))</f>
        <v/>
      </c>
      <c r="O565">
        <f>IF($A565="","",IF(OR(LOWER($D565&amp;"")="n/a",ISNUMBER(SEARCH("subscription",LOWER($A565&amp;" "&amp;$M565&amp;""))),ISNUMBER(SEARCH("membership",LOWER($A565&amp;" "&amp;$M565&amp;"")))),"",IF(OR($N565="",$I565="",$I565=0),"",$N565/$I565)))</f>
        <v/>
      </c>
      <c r="P565">
        <f>IF($A565="","",IF(OR(LOWER($D565&amp;"")="n/a",ISNUMBER(SEARCH("subscription",LOWER($A565&amp;" "&amp;$M565&amp;""))),ISNUMBER(SEARCH("membership",LOWER($A565&amp;" "&amp;$M565&amp;"")))),"",IF(LOWER($L565&amp;"")="yes",0,IF($K565&lt;&gt;"",$K565,IF($O565&lt;&gt;"",$O565,"")))))</f>
        <v/>
      </c>
      <c r="Q565">
        <f>IF($A565="","",IF($U565="Subscription","",IF($U565="Profit",$P565-$H565,0)))</f>
        <v/>
      </c>
      <c r="R565">
        <f>IF($A565="","",IF($U565="Subscription","",IF($U565="Draw",$H565,0)))</f>
        <v/>
      </c>
      <c r="S565">
        <f>IF($A565="","",IF($U565="Subscription","",IF($U565="Disqualified",$H565,0)))</f>
        <v/>
      </c>
      <c r="T565">
        <f>IF($A565="","",IF($U565="Subscription","",IF($H565=0,IF($U565="Profit","N/A",0),IF($U565="Profit",$Q565/$H565,IF($U565="Disqualified",-1,0)))))</f>
        <v/>
      </c>
      <c r="U565" s="350">
        <f>IF($A565="","",IF(OR(LOWER($D565&amp;"")="n/a",ISNUMBER(SEARCH("subscription",LOWER($A565&amp;" "&amp;$M565&amp;""))),ISNUMBER(SEARCH("membership",LOWER($A565&amp;" "&amp;$M565&amp;"")))),"Subscription",IF(LOWER($L565&amp;"")="yes","Disqualified",IF($P565&gt;$H565,"Profit","Draw"))))</f>
        <v/>
      </c>
      <c r="V565">
        <f>IF(OR($A565="",$B565="",$C565="",$U565="Subscription"),"",IFERROR(ROUNDUP((IF(ISNUMBER($C565),$C565,DATEVALUE($C565))-IF(ISNUMBER($B565),$B565,DATEVALUE($B565)))/7,0),""))</f>
        <v/>
      </c>
      <c r="W565" s="352">
        <f>IF($U565="Subscription","",$Q565-$S565)</f>
        <v/>
      </c>
      <c r="X565">
        <f>IF(OR($A565="",$U565="Subscription",$J565="",$I565="",$J565=0,$I565=0,$I565&gt;$J565),"",$J565-$I565)</f>
        <v/>
      </c>
      <c r="Y565">
        <f>IF(OR($A565="",$U565="Subscription",$J565="",$J565=0,$X565=""),"",$X565/$J565)</f>
        <v/>
      </c>
    </row>
    <row r="566">
      <c r="B566" s="354" t="n"/>
      <c r="C566" s="354" t="n"/>
      <c r="E566" s="350" t="n"/>
      <c r="F566" s="350" t="n"/>
      <c r="G566" s="350" t="n"/>
      <c r="H566" s="350" t="n"/>
      <c r="I566" s="350" t="n"/>
      <c r="J566" s="352" t="n"/>
      <c r="M566" s="350" t="n"/>
      <c r="N566" s="350">
        <f>IF($A566="","",IF(OR(LOWER($D566&amp;"")="n/a",ISNUMBER(SEARCH("subscription",LOWER($A566&amp;" "&amp;$M566&amp;""))),ISNUMBER(SEARCH("membership",LOWER($A566&amp;" "&amp;$M566&amp;"")))),"",IF($G566="","",IF(ISNUMBER(SEARCH("non",LOWER($E566&amp;""))),$G566*0.85,$G566))))</f>
        <v/>
      </c>
      <c r="O566">
        <f>IF($A566="","",IF(OR(LOWER($D566&amp;"")="n/a",ISNUMBER(SEARCH("subscription",LOWER($A566&amp;" "&amp;$M566&amp;""))),ISNUMBER(SEARCH("membership",LOWER($A566&amp;" "&amp;$M566&amp;"")))),"",IF(OR($N566="",$I566="",$I566=0),"",$N566/$I566)))</f>
        <v/>
      </c>
      <c r="P566">
        <f>IF($A566="","",IF(OR(LOWER($D566&amp;"")="n/a",ISNUMBER(SEARCH("subscription",LOWER($A566&amp;" "&amp;$M566&amp;""))),ISNUMBER(SEARCH("membership",LOWER($A566&amp;" "&amp;$M566&amp;"")))),"",IF(LOWER($L566&amp;"")="yes",0,IF($K566&lt;&gt;"",$K566,IF($O566&lt;&gt;"",$O566,"")))))</f>
        <v/>
      </c>
      <c r="Q566">
        <f>IF($A566="","",IF($U566="Subscription","",IF($U566="Profit",$P566-$H566,0)))</f>
        <v/>
      </c>
      <c r="R566">
        <f>IF($A566="","",IF($U566="Subscription","",IF($U566="Draw",$H566,0)))</f>
        <v/>
      </c>
      <c r="S566">
        <f>IF($A566="","",IF($U566="Subscription","",IF($U566="Disqualified",$H566,0)))</f>
        <v/>
      </c>
      <c r="T566">
        <f>IF($A566="","",IF($U566="Subscription","",IF($H566=0,IF($U566="Profit","N/A",0),IF($U566="Profit",$Q566/$H566,IF($U566="Disqualified",-1,0)))))</f>
        <v/>
      </c>
      <c r="U566" s="350">
        <f>IF($A566="","",IF(OR(LOWER($D566&amp;"")="n/a",ISNUMBER(SEARCH("subscription",LOWER($A566&amp;" "&amp;$M566&amp;""))),ISNUMBER(SEARCH("membership",LOWER($A566&amp;" "&amp;$M566&amp;"")))),"Subscription",IF(LOWER($L566&amp;"")="yes","Disqualified",IF($P566&gt;$H566,"Profit","Draw"))))</f>
        <v/>
      </c>
      <c r="V566">
        <f>IF(OR($A566="",$B566="",$C566="",$U566="Subscription"),"",IFERROR(ROUNDUP((IF(ISNUMBER($C566),$C566,DATEVALUE($C566))-IF(ISNUMBER($B566),$B566,DATEVALUE($B566)))/7,0),""))</f>
        <v/>
      </c>
      <c r="W566" s="352">
        <f>IF($U566="Subscription","",$Q566-$S566)</f>
        <v/>
      </c>
      <c r="X566">
        <f>IF(OR($A566="",$U566="Subscription",$J566="",$I566="",$J566=0,$I566=0,$I566&gt;$J566),"",$J566-$I566)</f>
        <v/>
      </c>
      <c r="Y566">
        <f>IF(OR($A566="",$U566="Subscription",$J566="",$J566=0,$X566=""),"",$X566/$J566)</f>
        <v/>
      </c>
    </row>
    <row r="567">
      <c r="B567" s="354" t="n"/>
      <c r="C567" s="354" t="n"/>
      <c r="E567" s="350" t="n"/>
      <c r="F567" s="350" t="n"/>
      <c r="G567" s="350" t="n"/>
      <c r="H567" s="350" t="n"/>
      <c r="I567" s="350" t="n"/>
      <c r="J567" s="352" t="n"/>
      <c r="M567" s="350" t="n"/>
      <c r="N567" s="350">
        <f>IF($A567="","",IF(OR(LOWER($D567&amp;"")="n/a",ISNUMBER(SEARCH("subscription",LOWER($A567&amp;" "&amp;$M567&amp;""))),ISNUMBER(SEARCH("membership",LOWER($A567&amp;" "&amp;$M567&amp;"")))),"",IF($G567="","",IF(ISNUMBER(SEARCH("non",LOWER($E567&amp;""))),$G567*0.85,$G567))))</f>
        <v/>
      </c>
      <c r="O567">
        <f>IF($A567="","",IF(OR(LOWER($D567&amp;"")="n/a",ISNUMBER(SEARCH("subscription",LOWER($A567&amp;" "&amp;$M567&amp;""))),ISNUMBER(SEARCH("membership",LOWER($A567&amp;" "&amp;$M567&amp;"")))),"",IF(OR($N567="",$I567="",$I567=0),"",$N567/$I567)))</f>
        <v/>
      </c>
      <c r="P567">
        <f>IF($A567="","",IF(OR(LOWER($D567&amp;"")="n/a",ISNUMBER(SEARCH("subscription",LOWER($A567&amp;" "&amp;$M567&amp;""))),ISNUMBER(SEARCH("membership",LOWER($A567&amp;" "&amp;$M567&amp;"")))),"",IF(LOWER($L567&amp;"")="yes",0,IF($K567&lt;&gt;"",$K567,IF($O567&lt;&gt;"",$O567,"")))))</f>
        <v/>
      </c>
      <c r="Q567">
        <f>IF($A567="","",IF($U567="Subscription","",IF($U567="Profit",$P567-$H567,0)))</f>
        <v/>
      </c>
      <c r="R567">
        <f>IF($A567="","",IF($U567="Subscription","",IF($U567="Draw",$H567,0)))</f>
        <v/>
      </c>
      <c r="S567">
        <f>IF($A567="","",IF($U567="Subscription","",IF($U567="Disqualified",$H567,0)))</f>
        <v/>
      </c>
      <c r="T567">
        <f>IF($A567="","",IF($U567="Subscription","",IF($H567=0,IF($U567="Profit","N/A",0),IF($U567="Profit",$Q567/$H567,IF($U567="Disqualified",-1,0)))))</f>
        <v/>
      </c>
      <c r="U567" s="350">
        <f>IF($A567="","",IF(OR(LOWER($D567&amp;"")="n/a",ISNUMBER(SEARCH("subscription",LOWER($A567&amp;" "&amp;$M567&amp;""))),ISNUMBER(SEARCH("membership",LOWER($A567&amp;" "&amp;$M567&amp;"")))),"Subscription",IF(LOWER($L567&amp;"")="yes","Disqualified",IF($P567&gt;$H567,"Profit","Draw"))))</f>
        <v/>
      </c>
      <c r="V567">
        <f>IF(OR($A567="",$B567="",$C567="",$U567="Subscription"),"",IFERROR(ROUNDUP((IF(ISNUMBER($C567),$C567,DATEVALUE($C567))-IF(ISNUMBER($B567),$B567,DATEVALUE($B567)))/7,0),""))</f>
        <v/>
      </c>
      <c r="W567" s="352">
        <f>IF($U567="Subscription","",$Q567-$S567)</f>
        <v/>
      </c>
      <c r="X567">
        <f>IF(OR($A567="",$U567="Subscription",$J567="",$I567="",$J567=0,$I567=0,$I567&gt;$J567),"",$J567-$I567)</f>
        <v/>
      </c>
      <c r="Y567">
        <f>IF(OR($A567="",$U567="Subscription",$J567="",$J567=0,$X567=""),"",$X567/$J567)</f>
        <v/>
      </c>
    </row>
    <row r="568">
      <c r="B568" s="354" t="n"/>
      <c r="C568" s="354" t="n"/>
      <c r="E568" s="350" t="n"/>
      <c r="F568" s="350" t="n"/>
      <c r="G568" s="350" t="n"/>
      <c r="H568" s="350" t="n"/>
      <c r="I568" s="350" t="n"/>
      <c r="J568" s="352" t="n"/>
      <c r="M568" s="350" t="n"/>
      <c r="N568" s="350">
        <f>IF($A568="","",IF(OR(LOWER($D568&amp;"")="n/a",ISNUMBER(SEARCH("subscription",LOWER($A568&amp;" "&amp;$M568&amp;""))),ISNUMBER(SEARCH("membership",LOWER($A568&amp;" "&amp;$M568&amp;"")))),"",IF($G568="","",IF(ISNUMBER(SEARCH("non",LOWER($E568&amp;""))),$G568*0.85,$G568))))</f>
        <v/>
      </c>
      <c r="O568">
        <f>IF($A568="","",IF(OR(LOWER($D568&amp;"")="n/a",ISNUMBER(SEARCH("subscription",LOWER($A568&amp;" "&amp;$M568&amp;""))),ISNUMBER(SEARCH("membership",LOWER($A568&amp;" "&amp;$M568&amp;"")))),"",IF(OR($N568="",$I568="",$I568=0),"",$N568/$I568)))</f>
        <v/>
      </c>
      <c r="P568">
        <f>IF($A568="","",IF(OR(LOWER($D568&amp;"")="n/a",ISNUMBER(SEARCH("subscription",LOWER($A568&amp;" "&amp;$M568&amp;""))),ISNUMBER(SEARCH("membership",LOWER($A568&amp;" "&amp;$M568&amp;"")))),"",IF(LOWER($L568&amp;"")="yes",0,IF($K568&lt;&gt;"",$K568,IF($O568&lt;&gt;"",$O568,"")))))</f>
        <v/>
      </c>
      <c r="Q568">
        <f>IF($A568="","",IF($U568="Subscription","",IF($U568="Profit",$P568-$H568,0)))</f>
        <v/>
      </c>
      <c r="R568">
        <f>IF($A568="","",IF($U568="Subscription","",IF($U568="Draw",$H568,0)))</f>
        <v/>
      </c>
      <c r="S568">
        <f>IF($A568="","",IF($U568="Subscription","",IF($U568="Disqualified",$H568,0)))</f>
        <v/>
      </c>
      <c r="T568">
        <f>IF($A568="","",IF($U568="Subscription","",IF($H568=0,IF($U568="Profit","N/A",0),IF($U568="Profit",$Q568/$H568,IF($U568="Disqualified",-1,0)))))</f>
        <v/>
      </c>
      <c r="U568" s="350">
        <f>IF($A568="","",IF(OR(LOWER($D568&amp;"")="n/a",ISNUMBER(SEARCH("subscription",LOWER($A568&amp;" "&amp;$M568&amp;""))),ISNUMBER(SEARCH("membership",LOWER($A568&amp;" "&amp;$M568&amp;"")))),"Subscription",IF(LOWER($L568&amp;"")="yes","Disqualified",IF($P568&gt;$H568,"Profit","Draw"))))</f>
        <v/>
      </c>
      <c r="V568">
        <f>IF(OR($A568="",$B568="",$C568="",$U568="Subscription"),"",IFERROR(ROUNDUP((IF(ISNUMBER($C568),$C568,DATEVALUE($C568))-IF(ISNUMBER($B568),$B568,DATEVALUE($B568)))/7,0),""))</f>
        <v/>
      </c>
      <c r="W568" s="352">
        <f>IF($U568="Subscription","",$Q568-$S568)</f>
        <v/>
      </c>
      <c r="X568">
        <f>IF(OR($A568="",$U568="Subscription",$J568="",$I568="",$J568=0,$I568=0,$I568&gt;$J568),"",$J568-$I568)</f>
        <v/>
      </c>
      <c r="Y568">
        <f>IF(OR($A568="",$U568="Subscription",$J568="",$J568=0,$X568=""),"",$X568/$J568)</f>
        <v/>
      </c>
    </row>
    <row r="569">
      <c r="B569" s="354" t="n"/>
      <c r="C569" s="354" t="n"/>
      <c r="E569" s="350" t="n"/>
      <c r="F569" s="350" t="n"/>
      <c r="G569" s="350" t="n"/>
      <c r="H569" s="350" t="n"/>
      <c r="I569" s="350" t="n"/>
      <c r="J569" s="352" t="n"/>
      <c r="M569" s="350" t="n"/>
      <c r="N569" s="350">
        <f>IF($A569="","",IF(OR(LOWER($D569&amp;"")="n/a",ISNUMBER(SEARCH("subscription",LOWER($A569&amp;" "&amp;$M569&amp;""))),ISNUMBER(SEARCH("membership",LOWER($A569&amp;" "&amp;$M569&amp;"")))),"",IF($G569="","",IF(ISNUMBER(SEARCH("non",LOWER($E569&amp;""))),$G569*0.85,$G569))))</f>
        <v/>
      </c>
      <c r="O569">
        <f>IF($A569="","",IF(OR(LOWER($D569&amp;"")="n/a",ISNUMBER(SEARCH("subscription",LOWER($A569&amp;" "&amp;$M569&amp;""))),ISNUMBER(SEARCH("membership",LOWER($A569&amp;" "&amp;$M569&amp;"")))),"",IF(OR($N569="",$I569="",$I569=0),"",$N569/$I569)))</f>
        <v/>
      </c>
      <c r="P569">
        <f>IF($A569="","",IF(OR(LOWER($D569&amp;"")="n/a",ISNUMBER(SEARCH("subscription",LOWER($A569&amp;" "&amp;$M569&amp;""))),ISNUMBER(SEARCH("membership",LOWER($A569&amp;" "&amp;$M569&amp;"")))),"",IF(LOWER($L569&amp;"")="yes",0,IF($K569&lt;&gt;"",$K569,IF($O569&lt;&gt;"",$O569,"")))))</f>
        <v/>
      </c>
      <c r="Q569">
        <f>IF($A569="","",IF($U569="Subscription","",IF($U569="Profit",$P569-$H569,0)))</f>
        <v/>
      </c>
      <c r="R569">
        <f>IF($A569="","",IF($U569="Subscription","",IF($U569="Draw",$H569,0)))</f>
        <v/>
      </c>
      <c r="S569">
        <f>IF($A569="","",IF($U569="Subscription","",IF($U569="Disqualified",$H569,0)))</f>
        <v/>
      </c>
      <c r="T569">
        <f>IF($A569="","",IF($U569="Subscription","",IF($H569=0,IF($U569="Profit","N/A",0),IF($U569="Profit",$Q569/$H569,IF($U569="Disqualified",-1,0)))))</f>
        <v/>
      </c>
      <c r="U569" s="350">
        <f>IF($A569="","",IF(OR(LOWER($D569&amp;"")="n/a",ISNUMBER(SEARCH("subscription",LOWER($A569&amp;" "&amp;$M569&amp;""))),ISNUMBER(SEARCH("membership",LOWER($A569&amp;" "&amp;$M569&amp;"")))),"Subscription",IF(LOWER($L569&amp;"")="yes","Disqualified",IF($P569&gt;$H569,"Profit","Draw"))))</f>
        <v/>
      </c>
      <c r="V569">
        <f>IF(OR($A569="",$B569="",$C569="",$U569="Subscription"),"",IFERROR(ROUNDUP((IF(ISNUMBER($C569),$C569,DATEVALUE($C569))-IF(ISNUMBER($B569),$B569,DATEVALUE($B569)))/7,0),""))</f>
        <v/>
      </c>
      <c r="W569" s="352">
        <f>IF($U569="Subscription","",$Q569-$S569)</f>
        <v/>
      </c>
      <c r="X569">
        <f>IF(OR($A569="",$U569="Subscription",$J569="",$I569="",$J569=0,$I569=0,$I569&gt;$J569),"",$J569-$I569)</f>
        <v/>
      </c>
      <c r="Y569">
        <f>IF(OR($A569="",$U569="Subscription",$J569="",$J569=0,$X569=""),"",$X569/$J569)</f>
        <v/>
      </c>
    </row>
    <row r="570">
      <c r="B570" s="354" t="n"/>
      <c r="C570" s="354" t="n"/>
      <c r="E570" s="350" t="n"/>
      <c r="F570" s="350" t="n"/>
      <c r="G570" s="350" t="n"/>
      <c r="H570" s="350" t="n"/>
      <c r="I570" s="350" t="n"/>
      <c r="J570" s="352" t="n"/>
      <c r="M570" s="350" t="n"/>
      <c r="N570" s="350">
        <f>IF($A570="","",IF(OR(LOWER($D570&amp;"")="n/a",ISNUMBER(SEARCH("subscription",LOWER($A570&amp;" "&amp;$M570&amp;""))),ISNUMBER(SEARCH("membership",LOWER($A570&amp;" "&amp;$M570&amp;"")))),"",IF($G570="","",IF(ISNUMBER(SEARCH("non",LOWER($E570&amp;""))),$G570*0.85,$G570))))</f>
        <v/>
      </c>
      <c r="O570">
        <f>IF($A570="","",IF(OR(LOWER($D570&amp;"")="n/a",ISNUMBER(SEARCH("subscription",LOWER($A570&amp;" "&amp;$M570&amp;""))),ISNUMBER(SEARCH("membership",LOWER($A570&amp;" "&amp;$M570&amp;"")))),"",IF(OR($N570="",$I570="",$I570=0),"",$N570/$I570)))</f>
        <v/>
      </c>
      <c r="P570">
        <f>IF($A570="","",IF(OR(LOWER($D570&amp;"")="n/a",ISNUMBER(SEARCH("subscription",LOWER($A570&amp;" "&amp;$M570&amp;""))),ISNUMBER(SEARCH("membership",LOWER($A570&amp;" "&amp;$M570&amp;"")))),"",IF(LOWER($L570&amp;"")="yes",0,IF($K570&lt;&gt;"",$K570,IF($O570&lt;&gt;"",$O570,"")))))</f>
        <v/>
      </c>
      <c r="Q570">
        <f>IF($A570="","",IF($U570="Subscription","",IF($U570="Profit",$P570-$H570,0)))</f>
        <v/>
      </c>
      <c r="R570">
        <f>IF($A570="","",IF($U570="Subscription","",IF($U570="Draw",$H570,0)))</f>
        <v/>
      </c>
      <c r="S570">
        <f>IF($A570="","",IF($U570="Subscription","",IF($U570="Disqualified",$H570,0)))</f>
        <v/>
      </c>
      <c r="T570">
        <f>IF($A570="","",IF($U570="Subscription","",IF($H570=0,IF($U570="Profit","N/A",0),IF($U570="Profit",$Q570/$H570,IF($U570="Disqualified",-1,0)))))</f>
        <v/>
      </c>
      <c r="U570" s="350">
        <f>IF($A570="","",IF(OR(LOWER($D570&amp;"")="n/a",ISNUMBER(SEARCH("subscription",LOWER($A570&amp;" "&amp;$M570&amp;""))),ISNUMBER(SEARCH("membership",LOWER($A570&amp;" "&amp;$M570&amp;"")))),"Subscription",IF(LOWER($L570&amp;"")="yes","Disqualified",IF($P570&gt;$H570,"Profit","Draw"))))</f>
        <v/>
      </c>
      <c r="V570">
        <f>IF(OR($A570="",$B570="",$C570="",$U570="Subscription"),"",IFERROR(ROUNDUP((IF(ISNUMBER($C570),$C570,DATEVALUE($C570))-IF(ISNUMBER($B570),$B570,DATEVALUE($B570)))/7,0),""))</f>
        <v/>
      </c>
      <c r="W570" s="352">
        <f>IF($U570="Subscription","",$Q570-$S570)</f>
        <v/>
      </c>
      <c r="X570">
        <f>IF(OR($A570="",$U570="Subscription",$J570="",$I570="",$J570=0,$I570=0,$I570&gt;$J570),"",$J570-$I570)</f>
        <v/>
      </c>
      <c r="Y570">
        <f>IF(OR($A570="",$U570="Subscription",$J570="",$J570=0,$X570=""),"",$X570/$J570)</f>
        <v/>
      </c>
    </row>
    <row r="571">
      <c r="B571" s="354" t="n"/>
      <c r="C571" s="354" t="n"/>
      <c r="E571" s="350" t="n"/>
      <c r="F571" s="350" t="n"/>
      <c r="G571" s="350" t="n"/>
      <c r="H571" s="350" t="n"/>
      <c r="I571" s="350" t="n"/>
      <c r="J571" s="352" t="n"/>
      <c r="M571" s="350" t="n"/>
      <c r="N571" s="350">
        <f>IF($A571="","",IF(OR(LOWER($D571&amp;"")="n/a",ISNUMBER(SEARCH("subscription",LOWER($A571&amp;" "&amp;$M571&amp;""))),ISNUMBER(SEARCH("membership",LOWER($A571&amp;" "&amp;$M571&amp;"")))),"",IF($G571="","",IF(ISNUMBER(SEARCH("non",LOWER($E571&amp;""))),$G571*0.85,$G571))))</f>
        <v/>
      </c>
      <c r="O571">
        <f>IF($A571="","",IF(OR(LOWER($D571&amp;"")="n/a",ISNUMBER(SEARCH("subscription",LOWER($A571&amp;" "&amp;$M571&amp;""))),ISNUMBER(SEARCH("membership",LOWER($A571&amp;" "&amp;$M571&amp;"")))),"",IF(OR($N571="",$I571="",$I571=0),"",$N571/$I571)))</f>
        <v/>
      </c>
      <c r="P571">
        <f>IF($A571="","",IF(OR(LOWER($D571&amp;"")="n/a",ISNUMBER(SEARCH("subscription",LOWER($A571&amp;" "&amp;$M571&amp;""))),ISNUMBER(SEARCH("membership",LOWER($A571&amp;" "&amp;$M571&amp;"")))),"",IF(LOWER($L571&amp;"")="yes",0,IF($K571&lt;&gt;"",$K571,IF($O571&lt;&gt;"",$O571,"")))))</f>
        <v/>
      </c>
      <c r="Q571">
        <f>IF($A571="","",IF($U571="Subscription","",IF($U571="Profit",$P571-$H571,0)))</f>
        <v/>
      </c>
      <c r="R571">
        <f>IF($A571="","",IF($U571="Subscription","",IF($U571="Draw",$H571,0)))</f>
        <v/>
      </c>
      <c r="S571">
        <f>IF($A571="","",IF($U571="Subscription","",IF($U571="Disqualified",$H571,0)))</f>
        <v/>
      </c>
      <c r="T571">
        <f>IF($A571="","",IF($U571="Subscription","",IF($H571=0,IF($U571="Profit","N/A",0),IF($U571="Profit",$Q571/$H571,IF($U571="Disqualified",-1,0)))))</f>
        <v/>
      </c>
      <c r="U571" s="350">
        <f>IF($A571="","",IF(OR(LOWER($D571&amp;"")="n/a",ISNUMBER(SEARCH("subscription",LOWER($A571&amp;" "&amp;$M571&amp;""))),ISNUMBER(SEARCH("membership",LOWER($A571&amp;" "&amp;$M571&amp;"")))),"Subscription",IF(LOWER($L571&amp;"")="yes","Disqualified",IF($P571&gt;$H571,"Profit","Draw"))))</f>
        <v/>
      </c>
      <c r="V571">
        <f>IF(OR($A571="",$B571="",$C571="",$U571="Subscription"),"",IFERROR(ROUNDUP((IF(ISNUMBER($C571),$C571,DATEVALUE($C571))-IF(ISNUMBER($B571),$B571,DATEVALUE($B571)))/7,0),""))</f>
        <v/>
      </c>
      <c r="W571" s="352">
        <f>IF($U571="Subscription","",$Q571-$S571)</f>
        <v/>
      </c>
      <c r="X571">
        <f>IF(OR($A571="",$U571="Subscription",$J571="",$I571="",$J571=0,$I571=0,$I571&gt;$J571),"",$J571-$I571)</f>
        <v/>
      </c>
      <c r="Y571">
        <f>IF(OR($A571="",$U571="Subscription",$J571="",$J571=0,$X571=""),"",$X571/$J571)</f>
        <v/>
      </c>
    </row>
    <row r="572">
      <c r="B572" s="354" t="n"/>
      <c r="C572" s="354" t="n"/>
      <c r="E572" s="350" t="n"/>
      <c r="F572" s="350" t="n"/>
      <c r="G572" s="350" t="n"/>
      <c r="H572" s="350" t="n"/>
      <c r="I572" s="350" t="n"/>
      <c r="J572" s="352" t="n"/>
      <c r="M572" s="350" t="n"/>
      <c r="N572" s="350">
        <f>IF($A572="","",IF(OR(LOWER($D572&amp;"")="n/a",ISNUMBER(SEARCH("subscription",LOWER($A572&amp;" "&amp;$M572&amp;""))),ISNUMBER(SEARCH("membership",LOWER($A572&amp;" "&amp;$M572&amp;"")))),"",IF($G572="","",IF(ISNUMBER(SEARCH("non",LOWER($E572&amp;""))),$G572*0.85,$G572))))</f>
        <v/>
      </c>
      <c r="O572">
        <f>IF($A572="","",IF(OR(LOWER($D572&amp;"")="n/a",ISNUMBER(SEARCH("subscription",LOWER($A572&amp;" "&amp;$M572&amp;""))),ISNUMBER(SEARCH("membership",LOWER($A572&amp;" "&amp;$M572&amp;"")))),"",IF(OR($N572="",$I572="",$I572=0),"",$N572/$I572)))</f>
        <v/>
      </c>
      <c r="P572">
        <f>IF($A572="","",IF(OR(LOWER($D572&amp;"")="n/a",ISNUMBER(SEARCH("subscription",LOWER($A572&amp;" "&amp;$M572&amp;""))),ISNUMBER(SEARCH("membership",LOWER($A572&amp;" "&amp;$M572&amp;"")))),"",IF(LOWER($L572&amp;"")="yes",0,IF($K572&lt;&gt;"",$K572,IF($O572&lt;&gt;"",$O572,"")))))</f>
        <v/>
      </c>
      <c r="Q572">
        <f>IF($A572="","",IF($U572="Subscription","",IF($U572="Profit",$P572-$H572,0)))</f>
        <v/>
      </c>
      <c r="R572">
        <f>IF($A572="","",IF($U572="Subscription","",IF($U572="Draw",$H572,0)))</f>
        <v/>
      </c>
      <c r="S572">
        <f>IF($A572="","",IF($U572="Subscription","",IF($U572="Disqualified",$H572,0)))</f>
        <v/>
      </c>
      <c r="T572">
        <f>IF($A572="","",IF($U572="Subscription","",IF($H572=0,IF($U572="Profit","N/A",0),IF($U572="Profit",$Q572/$H572,IF($U572="Disqualified",-1,0)))))</f>
        <v/>
      </c>
      <c r="U572" s="350">
        <f>IF($A572="","",IF(OR(LOWER($D572&amp;"")="n/a",ISNUMBER(SEARCH("subscription",LOWER($A572&amp;" "&amp;$M572&amp;""))),ISNUMBER(SEARCH("membership",LOWER($A572&amp;" "&amp;$M572&amp;"")))),"Subscription",IF(LOWER($L572&amp;"")="yes","Disqualified",IF($P572&gt;$H572,"Profit","Draw"))))</f>
        <v/>
      </c>
      <c r="V572">
        <f>IF(OR($A572="",$B572="",$C572="",$U572="Subscription"),"",IFERROR(ROUNDUP((IF(ISNUMBER($C572),$C572,DATEVALUE($C572))-IF(ISNUMBER($B572),$B572,DATEVALUE($B572)))/7,0),""))</f>
        <v/>
      </c>
      <c r="W572" s="352">
        <f>IF($U572="Subscription","",$Q572-$S572)</f>
        <v/>
      </c>
      <c r="X572">
        <f>IF(OR($A572="",$U572="Subscription",$J572="",$I572="",$J572=0,$I572=0,$I572&gt;$J572),"",$J572-$I572)</f>
        <v/>
      </c>
      <c r="Y572">
        <f>IF(OR($A572="",$U572="Subscription",$J572="",$J572=0,$X572=""),"",$X572/$J572)</f>
        <v/>
      </c>
    </row>
    <row r="573">
      <c r="B573" s="354" t="n"/>
      <c r="C573" s="354" t="n"/>
      <c r="E573" s="350" t="n"/>
      <c r="F573" s="350" t="n"/>
      <c r="G573" s="350" t="n"/>
      <c r="H573" s="350" t="n"/>
      <c r="I573" s="350" t="n"/>
      <c r="J573" s="352" t="n"/>
      <c r="M573" s="350" t="n"/>
      <c r="N573" s="350">
        <f>IF($A573="","",IF(OR(LOWER($D573&amp;"")="n/a",ISNUMBER(SEARCH("subscription",LOWER($A573&amp;" "&amp;$M573&amp;""))),ISNUMBER(SEARCH("membership",LOWER($A573&amp;" "&amp;$M573&amp;"")))),"",IF($G573="","",IF(ISNUMBER(SEARCH("non",LOWER($E573&amp;""))),$G573*0.85,$G573))))</f>
        <v/>
      </c>
      <c r="O573">
        <f>IF($A573="","",IF(OR(LOWER($D573&amp;"")="n/a",ISNUMBER(SEARCH("subscription",LOWER($A573&amp;" "&amp;$M573&amp;""))),ISNUMBER(SEARCH("membership",LOWER($A573&amp;" "&amp;$M573&amp;"")))),"",IF(OR($N573="",$I573="",$I573=0),"",$N573/$I573)))</f>
        <v/>
      </c>
      <c r="P573">
        <f>IF($A573="","",IF(OR(LOWER($D573&amp;"")="n/a",ISNUMBER(SEARCH("subscription",LOWER($A573&amp;" "&amp;$M573&amp;""))),ISNUMBER(SEARCH("membership",LOWER($A573&amp;" "&amp;$M573&amp;"")))),"",IF(LOWER($L573&amp;"")="yes",0,IF($K573&lt;&gt;"",$K573,IF($O573&lt;&gt;"",$O573,"")))))</f>
        <v/>
      </c>
      <c r="Q573">
        <f>IF($A573="","",IF($U573="Subscription","",IF($U573="Profit",$P573-$H573,0)))</f>
        <v/>
      </c>
      <c r="R573">
        <f>IF($A573="","",IF($U573="Subscription","",IF($U573="Draw",$H573,0)))</f>
        <v/>
      </c>
      <c r="S573">
        <f>IF($A573="","",IF($U573="Subscription","",IF($U573="Disqualified",$H573,0)))</f>
        <v/>
      </c>
      <c r="T573">
        <f>IF($A573="","",IF($U573="Subscription","",IF($H573=0,IF($U573="Profit","N/A",0),IF($U573="Profit",$Q573/$H573,IF($U573="Disqualified",-1,0)))))</f>
        <v/>
      </c>
      <c r="U573" s="350">
        <f>IF($A573="","",IF(OR(LOWER($D573&amp;"")="n/a",ISNUMBER(SEARCH("subscription",LOWER($A573&amp;" "&amp;$M573&amp;""))),ISNUMBER(SEARCH("membership",LOWER($A573&amp;" "&amp;$M573&amp;"")))),"Subscription",IF(LOWER($L573&amp;"")="yes","Disqualified",IF($P573&gt;$H573,"Profit","Draw"))))</f>
        <v/>
      </c>
      <c r="V573">
        <f>IF(OR($A573="",$B573="",$C573="",$U573="Subscription"),"",IFERROR(ROUNDUP((IF(ISNUMBER($C573),$C573,DATEVALUE($C573))-IF(ISNUMBER($B573),$B573,DATEVALUE($B573)))/7,0),""))</f>
        <v/>
      </c>
      <c r="W573" s="352">
        <f>IF($U573="Subscription","",$Q573-$S573)</f>
        <v/>
      </c>
      <c r="X573">
        <f>IF(OR($A573="",$U573="Subscription",$J573="",$I573="",$J573=0,$I573=0,$I573&gt;$J573),"",$J573-$I573)</f>
        <v/>
      </c>
      <c r="Y573">
        <f>IF(OR($A573="",$U573="Subscription",$J573="",$J573=0,$X573=""),"",$X573/$J573)</f>
        <v/>
      </c>
    </row>
    <row r="574">
      <c r="B574" s="354" t="n"/>
      <c r="C574" s="354" t="n"/>
      <c r="E574" s="350" t="n"/>
      <c r="F574" s="350" t="n"/>
      <c r="G574" s="350" t="n"/>
      <c r="H574" s="350" t="n"/>
      <c r="I574" s="350" t="n"/>
      <c r="J574" s="352" t="n"/>
      <c r="M574" s="350" t="n"/>
      <c r="N574" s="350">
        <f>IF($A574="","",IF(OR(LOWER($D574&amp;"")="n/a",ISNUMBER(SEARCH("subscription",LOWER($A574&amp;" "&amp;$M574&amp;""))),ISNUMBER(SEARCH("membership",LOWER($A574&amp;" "&amp;$M574&amp;"")))),"",IF($G574="","",IF(ISNUMBER(SEARCH("non",LOWER($E574&amp;""))),$G574*0.85,$G574))))</f>
        <v/>
      </c>
      <c r="O574">
        <f>IF($A574="","",IF(OR(LOWER($D574&amp;"")="n/a",ISNUMBER(SEARCH("subscription",LOWER($A574&amp;" "&amp;$M574&amp;""))),ISNUMBER(SEARCH("membership",LOWER($A574&amp;" "&amp;$M574&amp;"")))),"",IF(OR($N574="",$I574="",$I574=0),"",$N574/$I574)))</f>
        <v/>
      </c>
      <c r="P574">
        <f>IF($A574="","",IF(OR(LOWER($D574&amp;"")="n/a",ISNUMBER(SEARCH("subscription",LOWER($A574&amp;" "&amp;$M574&amp;""))),ISNUMBER(SEARCH("membership",LOWER($A574&amp;" "&amp;$M574&amp;"")))),"",IF(LOWER($L574&amp;"")="yes",0,IF($K574&lt;&gt;"",$K574,IF($O574&lt;&gt;"",$O574,"")))))</f>
        <v/>
      </c>
      <c r="Q574">
        <f>IF($A574="","",IF($U574="Subscription","",IF($U574="Profit",$P574-$H574,0)))</f>
        <v/>
      </c>
      <c r="R574">
        <f>IF($A574="","",IF($U574="Subscription","",IF($U574="Draw",$H574,0)))</f>
        <v/>
      </c>
      <c r="S574">
        <f>IF($A574="","",IF($U574="Subscription","",IF($U574="Disqualified",$H574,0)))</f>
        <v/>
      </c>
      <c r="T574">
        <f>IF($A574="","",IF($U574="Subscription","",IF($H574=0,IF($U574="Profit","N/A",0),IF($U574="Profit",$Q574/$H574,IF($U574="Disqualified",-1,0)))))</f>
        <v/>
      </c>
      <c r="U574" s="350">
        <f>IF($A574="","",IF(OR(LOWER($D574&amp;"")="n/a",ISNUMBER(SEARCH("subscription",LOWER($A574&amp;" "&amp;$M574&amp;""))),ISNUMBER(SEARCH("membership",LOWER($A574&amp;" "&amp;$M574&amp;"")))),"Subscription",IF(LOWER($L574&amp;"")="yes","Disqualified",IF($P574&gt;$H574,"Profit","Draw"))))</f>
        <v/>
      </c>
      <c r="V574">
        <f>IF(OR($A574="",$B574="",$C574="",$U574="Subscription"),"",IFERROR(ROUNDUP((IF(ISNUMBER($C574),$C574,DATEVALUE($C574))-IF(ISNUMBER($B574),$B574,DATEVALUE($B574)))/7,0),""))</f>
        <v/>
      </c>
      <c r="W574" s="352">
        <f>IF($U574="Subscription","",$Q574-$S574)</f>
        <v/>
      </c>
      <c r="X574">
        <f>IF(OR($A574="",$U574="Subscription",$J574="",$I574="",$J574=0,$I574=0,$I574&gt;$J574),"",$J574-$I574)</f>
        <v/>
      </c>
      <c r="Y574">
        <f>IF(OR($A574="",$U574="Subscription",$J574="",$J574=0,$X574=""),"",$X574/$J574)</f>
        <v/>
      </c>
    </row>
    <row r="575">
      <c r="B575" s="354" t="n"/>
      <c r="C575" s="354" t="n"/>
      <c r="E575" s="350" t="n"/>
      <c r="F575" s="350" t="n"/>
      <c r="G575" s="350" t="n"/>
      <c r="H575" s="350" t="n"/>
      <c r="I575" s="350" t="n"/>
      <c r="J575" s="352" t="n"/>
      <c r="M575" s="350" t="n"/>
      <c r="N575" s="350">
        <f>IF($A575="","",IF(OR(LOWER($D575&amp;"")="n/a",ISNUMBER(SEARCH("subscription",LOWER($A575&amp;" "&amp;$M575&amp;""))),ISNUMBER(SEARCH("membership",LOWER($A575&amp;" "&amp;$M575&amp;"")))),"",IF($G575="","",IF(ISNUMBER(SEARCH("non",LOWER($E575&amp;""))),$G575*0.85,$G575))))</f>
        <v/>
      </c>
      <c r="O575">
        <f>IF($A575="","",IF(OR(LOWER($D575&amp;"")="n/a",ISNUMBER(SEARCH("subscription",LOWER($A575&amp;" "&amp;$M575&amp;""))),ISNUMBER(SEARCH("membership",LOWER($A575&amp;" "&amp;$M575&amp;"")))),"",IF(OR($N575="",$I575="",$I575=0),"",$N575/$I575)))</f>
        <v/>
      </c>
      <c r="P575">
        <f>IF($A575="","",IF(OR(LOWER($D575&amp;"")="n/a",ISNUMBER(SEARCH("subscription",LOWER($A575&amp;" "&amp;$M575&amp;""))),ISNUMBER(SEARCH("membership",LOWER($A575&amp;" "&amp;$M575&amp;"")))),"",IF(LOWER($L575&amp;"")="yes",0,IF($K575&lt;&gt;"",$K575,IF($O575&lt;&gt;"",$O575,"")))))</f>
        <v/>
      </c>
      <c r="Q575">
        <f>IF($A575="","",IF($U575="Subscription","",IF($U575="Profit",$P575-$H575,0)))</f>
        <v/>
      </c>
      <c r="R575">
        <f>IF($A575="","",IF($U575="Subscription","",IF($U575="Draw",$H575,0)))</f>
        <v/>
      </c>
      <c r="S575">
        <f>IF($A575="","",IF($U575="Subscription","",IF($U575="Disqualified",$H575,0)))</f>
        <v/>
      </c>
      <c r="T575">
        <f>IF($A575="","",IF($U575="Subscription","",IF($H575=0,IF($U575="Profit","N/A",0),IF($U575="Profit",$Q575/$H575,IF($U575="Disqualified",-1,0)))))</f>
        <v/>
      </c>
      <c r="U575" s="350">
        <f>IF($A575="","",IF(OR(LOWER($D575&amp;"")="n/a",ISNUMBER(SEARCH("subscription",LOWER($A575&amp;" "&amp;$M575&amp;""))),ISNUMBER(SEARCH("membership",LOWER($A575&amp;" "&amp;$M575&amp;"")))),"Subscription",IF(LOWER($L575&amp;"")="yes","Disqualified",IF($P575&gt;$H575,"Profit","Draw"))))</f>
        <v/>
      </c>
      <c r="V575">
        <f>IF(OR($A575="",$B575="",$C575="",$U575="Subscription"),"",IFERROR(ROUNDUP((IF(ISNUMBER($C575),$C575,DATEVALUE($C575))-IF(ISNUMBER($B575),$B575,DATEVALUE($B575)))/7,0),""))</f>
        <v/>
      </c>
      <c r="W575" s="352">
        <f>IF($U575="Subscription","",$Q575-$S575)</f>
        <v/>
      </c>
      <c r="X575">
        <f>IF(OR($A575="",$U575="Subscription",$J575="",$I575="",$J575=0,$I575=0,$I575&gt;$J575),"",$J575-$I575)</f>
        <v/>
      </c>
      <c r="Y575">
        <f>IF(OR($A575="",$U575="Subscription",$J575="",$J575=0,$X575=""),"",$X575/$J575)</f>
        <v/>
      </c>
    </row>
    <row r="576">
      <c r="B576" s="354" t="n"/>
      <c r="C576" s="354" t="n"/>
      <c r="E576" s="350" t="n"/>
      <c r="F576" s="350" t="n"/>
      <c r="G576" s="350" t="n"/>
      <c r="H576" s="350" t="n"/>
      <c r="I576" s="350" t="n"/>
      <c r="J576" s="352" t="n"/>
      <c r="M576" s="350" t="n"/>
      <c r="N576" s="350">
        <f>IF($A576="","",IF(OR(LOWER($D576&amp;"")="n/a",ISNUMBER(SEARCH("subscription",LOWER($A576&amp;" "&amp;$M576&amp;""))),ISNUMBER(SEARCH("membership",LOWER($A576&amp;" "&amp;$M576&amp;"")))),"",IF($G576="","",IF(ISNUMBER(SEARCH("non",LOWER($E576&amp;""))),$G576*0.85,$G576))))</f>
        <v/>
      </c>
      <c r="O576">
        <f>IF($A576="","",IF(OR(LOWER($D576&amp;"")="n/a",ISNUMBER(SEARCH("subscription",LOWER($A576&amp;" "&amp;$M576&amp;""))),ISNUMBER(SEARCH("membership",LOWER($A576&amp;" "&amp;$M576&amp;"")))),"",IF(OR($N576="",$I576="",$I576=0),"",$N576/$I576)))</f>
        <v/>
      </c>
      <c r="P576">
        <f>IF($A576="","",IF(OR(LOWER($D576&amp;"")="n/a",ISNUMBER(SEARCH("subscription",LOWER($A576&amp;" "&amp;$M576&amp;""))),ISNUMBER(SEARCH("membership",LOWER($A576&amp;" "&amp;$M576&amp;"")))),"",IF(LOWER($L576&amp;"")="yes",0,IF($K576&lt;&gt;"",$K576,IF($O576&lt;&gt;"",$O576,"")))))</f>
        <v/>
      </c>
      <c r="Q576">
        <f>IF($A576="","",IF($U576="Subscription","",IF($U576="Profit",$P576-$H576,0)))</f>
        <v/>
      </c>
      <c r="R576">
        <f>IF($A576="","",IF($U576="Subscription","",IF($U576="Draw",$H576,0)))</f>
        <v/>
      </c>
      <c r="S576">
        <f>IF($A576="","",IF($U576="Subscription","",IF($U576="Disqualified",$H576,0)))</f>
        <v/>
      </c>
      <c r="T576">
        <f>IF($A576="","",IF($U576="Subscription","",IF($H576=0,IF($U576="Profit","N/A",0),IF($U576="Profit",$Q576/$H576,IF($U576="Disqualified",-1,0)))))</f>
        <v/>
      </c>
      <c r="U576" s="350">
        <f>IF($A576="","",IF(OR(LOWER($D576&amp;"")="n/a",ISNUMBER(SEARCH("subscription",LOWER($A576&amp;" "&amp;$M576&amp;""))),ISNUMBER(SEARCH("membership",LOWER($A576&amp;" "&amp;$M576&amp;"")))),"Subscription",IF(LOWER($L576&amp;"")="yes","Disqualified",IF($P576&gt;$H576,"Profit","Draw"))))</f>
        <v/>
      </c>
      <c r="V576">
        <f>IF(OR($A576="",$B576="",$C576="",$U576="Subscription"),"",IFERROR(ROUNDUP((IF(ISNUMBER($C576),$C576,DATEVALUE($C576))-IF(ISNUMBER($B576),$B576,DATEVALUE($B576)))/7,0),""))</f>
        <v/>
      </c>
      <c r="W576" s="352">
        <f>IF($U576="Subscription","",$Q576-$S576)</f>
        <v/>
      </c>
      <c r="X576">
        <f>IF(OR($A576="",$U576="Subscription",$J576="",$I576="",$J576=0,$I576=0,$I576&gt;$J576),"",$J576-$I576)</f>
        <v/>
      </c>
      <c r="Y576">
        <f>IF(OR($A576="",$U576="Subscription",$J576="",$J576=0,$X576=""),"",$X576/$J576)</f>
        <v/>
      </c>
    </row>
    <row r="577">
      <c r="B577" s="354" t="n"/>
      <c r="C577" s="354" t="n"/>
      <c r="E577" s="350" t="n"/>
      <c r="F577" s="350" t="n"/>
      <c r="G577" s="350" t="n"/>
      <c r="H577" s="350" t="n"/>
      <c r="I577" s="350" t="n"/>
      <c r="J577" s="352" t="n"/>
      <c r="M577" s="350" t="n"/>
      <c r="N577" s="350">
        <f>IF($A577="","",IF(OR(LOWER($D577&amp;"")="n/a",ISNUMBER(SEARCH("subscription",LOWER($A577&amp;" "&amp;$M577&amp;""))),ISNUMBER(SEARCH("membership",LOWER($A577&amp;" "&amp;$M577&amp;"")))),"",IF($G577="","",IF(ISNUMBER(SEARCH("non",LOWER($E577&amp;""))),$G577*0.85,$G577))))</f>
        <v/>
      </c>
      <c r="O577">
        <f>IF($A577="","",IF(OR(LOWER($D577&amp;"")="n/a",ISNUMBER(SEARCH("subscription",LOWER($A577&amp;" "&amp;$M577&amp;""))),ISNUMBER(SEARCH("membership",LOWER($A577&amp;" "&amp;$M577&amp;"")))),"",IF(OR($N577="",$I577="",$I577=0),"",$N577/$I577)))</f>
        <v/>
      </c>
      <c r="P577">
        <f>IF($A577="","",IF(OR(LOWER($D577&amp;"")="n/a",ISNUMBER(SEARCH("subscription",LOWER($A577&amp;" "&amp;$M577&amp;""))),ISNUMBER(SEARCH("membership",LOWER($A577&amp;" "&amp;$M577&amp;"")))),"",IF(LOWER($L577&amp;"")="yes",0,IF($K577&lt;&gt;"",$K577,IF($O577&lt;&gt;"",$O577,"")))))</f>
        <v/>
      </c>
      <c r="Q577">
        <f>IF($A577="","",IF($U577="Subscription","",IF($U577="Profit",$P577-$H577,0)))</f>
        <v/>
      </c>
      <c r="R577">
        <f>IF($A577="","",IF($U577="Subscription","",IF($U577="Draw",$H577,0)))</f>
        <v/>
      </c>
      <c r="S577">
        <f>IF($A577="","",IF($U577="Subscription","",IF($U577="Disqualified",$H577,0)))</f>
        <v/>
      </c>
      <c r="T577">
        <f>IF($A577="","",IF($U577="Subscription","",IF($H577=0,IF($U577="Profit","N/A",0),IF($U577="Profit",$Q577/$H577,IF($U577="Disqualified",-1,0)))))</f>
        <v/>
      </c>
      <c r="U577" s="350">
        <f>IF($A577="","",IF(OR(LOWER($D577&amp;"")="n/a",ISNUMBER(SEARCH("subscription",LOWER($A577&amp;" "&amp;$M577&amp;""))),ISNUMBER(SEARCH("membership",LOWER($A577&amp;" "&amp;$M577&amp;"")))),"Subscription",IF(LOWER($L577&amp;"")="yes","Disqualified",IF($P577&gt;$H577,"Profit","Draw"))))</f>
        <v/>
      </c>
      <c r="V577">
        <f>IF(OR($A577="",$B577="",$C577="",$U577="Subscription"),"",IFERROR(ROUNDUP((IF(ISNUMBER($C577),$C577,DATEVALUE($C577))-IF(ISNUMBER($B577),$B577,DATEVALUE($B577)))/7,0),""))</f>
        <v/>
      </c>
      <c r="W577" s="352">
        <f>IF($U577="Subscription","",$Q577-$S577)</f>
        <v/>
      </c>
      <c r="X577">
        <f>IF(OR($A577="",$U577="Subscription",$J577="",$I577="",$J577=0,$I577=0,$I577&gt;$J577),"",$J577-$I577)</f>
        <v/>
      </c>
      <c r="Y577">
        <f>IF(OR($A577="",$U577="Subscription",$J577="",$J577=0,$X577=""),"",$X577/$J577)</f>
        <v/>
      </c>
    </row>
    <row r="578">
      <c r="B578" s="354" t="n"/>
      <c r="C578" s="354" t="n"/>
      <c r="E578" s="350" t="n"/>
      <c r="F578" s="350" t="n"/>
      <c r="G578" s="350" t="n"/>
      <c r="H578" s="350" t="n"/>
      <c r="I578" s="350" t="n"/>
      <c r="J578" s="352" t="n"/>
      <c r="M578" s="350" t="n"/>
      <c r="N578" s="350">
        <f>IF($A578="","",IF(OR(LOWER($D578&amp;"")="n/a",ISNUMBER(SEARCH("subscription",LOWER($A578&amp;" "&amp;$M578&amp;""))),ISNUMBER(SEARCH("membership",LOWER($A578&amp;" "&amp;$M578&amp;"")))),"",IF($G578="","",IF(ISNUMBER(SEARCH("non",LOWER($E578&amp;""))),$G578*0.85,$G578))))</f>
        <v/>
      </c>
      <c r="O578">
        <f>IF($A578="","",IF(OR(LOWER($D578&amp;"")="n/a",ISNUMBER(SEARCH("subscription",LOWER($A578&amp;" "&amp;$M578&amp;""))),ISNUMBER(SEARCH("membership",LOWER($A578&amp;" "&amp;$M578&amp;"")))),"",IF(OR($N578="",$I578="",$I578=0),"",$N578/$I578)))</f>
        <v/>
      </c>
      <c r="P578">
        <f>IF($A578="","",IF(OR(LOWER($D578&amp;"")="n/a",ISNUMBER(SEARCH("subscription",LOWER($A578&amp;" "&amp;$M578&amp;""))),ISNUMBER(SEARCH("membership",LOWER($A578&amp;" "&amp;$M578&amp;"")))),"",IF(LOWER($L578&amp;"")="yes",0,IF($K578&lt;&gt;"",$K578,IF($O578&lt;&gt;"",$O578,"")))))</f>
        <v/>
      </c>
      <c r="Q578">
        <f>IF($A578="","",IF($U578="Subscription","",IF($U578="Profit",$P578-$H578,0)))</f>
        <v/>
      </c>
      <c r="R578">
        <f>IF($A578="","",IF($U578="Subscription","",IF($U578="Draw",$H578,0)))</f>
        <v/>
      </c>
      <c r="S578">
        <f>IF($A578="","",IF($U578="Subscription","",IF($U578="Disqualified",$H578,0)))</f>
        <v/>
      </c>
      <c r="T578">
        <f>IF($A578="","",IF($U578="Subscription","",IF($H578=0,IF($U578="Profit","N/A",0),IF($U578="Profit",$Q578/$H578,IF($U578="Disqualified",-1,0)))))</f>
        <v/>
      </c>
      <c r="U578" s="350">
        <f>IF($A578="","",IF(OR(LOWER($D578&amp;"")="n/a",ISNUMBER(SEARCH("subscription",LOWER($A578&amp;" "&amp;$M578&amp;""))),ISNUMBER(SEARCH("membership",LOWER($A578&amp;" "&amp;$M578&amp;"")))),"Subscription",IF(LOWER($L578&amp;"")="yes","Disqualified",IF($P578&gt;$H578,"Profit","Draw"))))</f>
        <v/>
      </c>
      <c r="V578">
        <f>IF(OR($A578="",$B578="",$C578="",$U578="Subscription"),"",IFERROR(ROUNDUP((IF(ISNUMBER($C578),$C578,DATEVALUE($C578))-IF(ISNUMBER($B578),$B578,DATEVALUE($B578)))/7,0),""))</f>
        <v/>
      </c>
      <c r="W578" s="352">
        <f>IF($U578="Subscription","",$Q578-$S578)</f>
        <v/>
      </c>
      <c r="X578">
        <f>IF(OR($A578="",$U578="Subscription",$J578="",$I578="",$J578=0,$I578=0,$I578&gt;$J578),"",$J578-$I578)</f>
        <v/>
      </c>
      <c r="Y578">
        <f>IF(OR($A578="",$U578="Subscription",$J578="",$J578=0,$X578=""),"",$X578/$J578)</f>
        <v/>
      </c>
    </row>
    <row r="579">
      <c r="B579" s="354" t="n"/>
      <c r="C579" s="354" t="n"/>
      <c r="E579" s="350" t="n"/>
      <c r="F579" s="350" t="n"/>
      <c r="G579" s="350" t="n"/>
      <c r="H579" s="350" t="n"/>
      <c r="I579" s="350" t="n"/>
      <c r="J579" s="352" t="n"/>
      <c r="M579" s="350" t="n"/>
      <c r="N579" s="350">
        <f>IF($A579="","",IF(OR(LOWER($D579&amp;"")="n/a",ISNUMBER(SEARCH("subscription",LOWER($A579&amp;" "&amp;$M579&amp;""))),ISNUMBER(SEARCH("membership",LOWER($A579&amp;" "&amp;$M579&amp;"")))),"",IF($G579="","",IF(ISNUMBER(SEARCH("non",LOWER($E579&amp;""))),$G579*0.85,$G579))))</f>
        <v/>
      </c>
      <c r="O579">
        <f>IF($A579="","",IF(OR(LOWER($D579&amp;"")="n/a",ISNUMBER(SEARCH("subscription",LOWER($A579&amp;" "&amp;$M579&amp;""))),ISNUMBER(SEARCH("membership",LOWER($A579&amp;" "&amp;$M579&amp;"")))),"",IF(OR($N579="",$I579="",$I579=0),"",$N579/$I579)))</f>
        <v/>
      </c>
      <c r="P579">
        <f>IF($A579="","",IF(OR(LOWER($D579&amp;"")="n/a",ISNUMBER(SEARCH("subscription",LOWER($A579&amp;" "&amp;$M579&amp;""))),ISNUMBER(SEARCH("membership",LOWER($A579&amp;" "&amp;$M579&amp;"")))),"",IF(LOWER($L579&amp;"")="yes",0,IF($K579&lt;&gt;"",$K579,IF($O579&lt;&gt;"",$O579,"")))))</f>
        <v/>
      </c>
      <c r="Q579">
        <f>IF($A579="","",IF($U579="Subscription","",IF($U579="Profit",$P579-$H579,0)))</f>
        <v/>
      </c>
      <c r="R579">
        <f>IF($A579="","",IF($U579="Subscription","",IF($U579="Draw",$H579,0)))</f>
        <v/>
      </c>
      <c r="S579">
        <f>IF($A579="","",IF($U579="Subscription","",IF($U579="Disqualified",$H579,0)))</f>
        <v/>
      </c>
      <c r="T579">
        <f>IF($A579="","",IF($U579="Subscription","",IF($H579=0,IF($U579="Profit","N/A",0),IF($U579="Profit",$Q579/$H579,IF($U579="Disqualified",-1,0)))))</f>
        <v/>
      </c>
      <c r="U579" s="350">
        <f>IF($A579="","",IF(OR(LOWER($D579&amp;"")="n/a",ISNUMBER(SEARCH("subscription",LOWER($A579&amp;" "&amp;$M579&amp;""))),ISNUMBER(SEARCH("membership",LOWER($A579&amp;" "&amp;$M579&amp;"")))),"Subscription",IF(LOWER($L579&amp;"")="yes","Disqualified",IF($P579&gt;$H579,"Profit","Draw"))))</f>
        <v/>
      </c>
      <c r="V579">
        <f>IF(OR($A579="",$B579="",$C579="",$U579="Subscription"),"",IFERROR(ROUNDUP((IF(ISNUMBER($C579),$C579,DATEVALUE($C579))-IF(ISNUMBER($B579),$B579,DATEVALUE($B579)))/7,0),""))</f>
        <v/>
      </c>
      <c r="W579" s="352">
        <f>IF($U579="Subscription","",$Q579-$S579)</f>
        <v/>
      </c>
      <c r="X579">
        <f>IF(OR($A579="",$U579="Subscription",$J579="",$I579="",$J579=0,$I579=0,$I579&gt;$J579),"",$J579-$I579)</f>
        <v/>
      </c>
      <c r="Y579">
        <f>IF(OR($A579="",$U579="Subscription",$J579="",$J579=0,$X579=""),"",$X579/$J579)</f>
        <v/>
      </c>
    </row>
    <row r="580">
      <c r="B580" s="354" t="n"/>
      <c r="C580" s="354" t="n"/>
      <c r="E580" s="350" t="n"/>
      <c r="F580" s="350" t="n"/>
      <c r="G580" s="350" t="n"/>
      <c r="H580" s="350" t="n"/>
      <c r="I580" s="350" t="n"/>
      <c r="J580" s="352" t="n"/>
      <c r="M580" s="350" t="n"/>
      <c r="N580" s="350">
        <f>IF($A580="","",IF(OR(LOWER($D580&amp;"")="n/a",ISNUMBER(SEARCH("subscription",LOWER($A580&amp;" "&amp;$M580&amp;""))),ISNUMBER(SEARCH("membership",LOWER($A580&amp;" "&amp;$M580&amp;"")))),"",IF($G580="","",IF(ISNUMBER(SEARCH("non",LOWER($E580&amp;""))),$G580*0.85,$G580))))</f>
        <v/>
      </c>
      <c r="O580">
        <f>IF($A580="","",IF(OR(LOWER($D580&amp;"")="n/a",ISNUMBER(SEARCH("subscription",LOWER($A580&amp;" "&amp;$M580&amp;""))),ISNUMBER(SEARCH("membership",LOWER($A580&amp;" "&amp;$M580&amp;"")))),"",IF(OR($N580="",$I580="",$I580=0),"",$N580/$I580)))</f>
        <v/>
      </c>
      <c r="P580">
        <f>IF($A580="","",IF(OR(LOWER($D580&amp;"")="n/a",ISNUMBER(SEARCH("subscription",LOWER($A580&amp;" "&amp;$M580&amp;""))),ISNUMBER(SEARCH("membership",LOWER($A580&amp;" "&amp;$M580&amp;"")))),"",IF(LOWER($L580&amp;"")="yes",0,IF($K580&lt;&gt;"",$K580,IF($O580&lt;&gt;"",$O580,"")))))</f>
        <v/>
      </c>
      <c r="Q580">
        <f>IF($A580="","",IF($U580="Subscription","",IF($U580="Profit",$P580-$H580,0)))</f>
        <v/>
      </c>
      <c r="R580">
        <f>IF($A580="","",IF($U580="Subscription","",IF($U580="Draw",$H580,0)))</f>
        <v/>
      </c>
      <c r="S580">
        <f>IF($A580="","",IF($U580="Subscription","",IF($U580="Disqualified",$H580,0)))</f>
        <v/>
      </c>
      <c r="T580">
        <f>IF($A580="","",IF($U580="Subscription","",IF($H580=0,IF($U580="Profit","N/A",0),IF($U580="Profit",$Q580/$H580,IF($U580="Disqualified",-1,0)))))</f>
        <v/>
      </c>
      <c r="U580" s="350">
        <f>IF($A580="","",IF(OR(LOWER($D580&amp;"")="n/a",ISNUMBER(SEARCH("subscription",LOWER($A580&amp;" "&amp;$M580&amp;""))),ISNUMBER(SEARCH("membership",LOWER($A580&amp;" "&amp;$M580&amp;"")))),"Subscription",IF(LOWER($L580&amp;"")="yes","Disqualified",IF($P580&gt;$H580,"Profit","Draw"))))</f>
        <v/>
      </c>
      <c r="V580">
        <f>IF(OR($A580="",$B580="",$C580="",$U580="Subscription"),"",IFERROR(ROUNDUP((IF(ISNUMBER($C580),$C580,DATEVALUE($C580))-IF(ISNUMBER($B580),$B580,DATEVALUE($B580)))/7,0),""))</f>
        <v/>
      </c>
      <c r="W580" s="352">
        <f>IF($U580="Subscription","",$Q580-$S580)</f>
        <v/>
      </c>
      <c r="X580">
        <f>IF(OR($A580="",$U580="Subscription",$J580="",$I580="",$J580=0,$I580=0,$I580&gt;$J580),"",$J580-$I580)</f>
        <v/>
      </c>
      <c r="Y580">
        <f>IF(OR($A580="",$U580="Subscription",$J580="",$J580=0,$X580=""),"",$X580/$J580)</f>
        <v/>
      </c>
    </row>
    <row r="581">
      <c r="B581" s="354" t="n"/>
      <c r="C581" s="354" t="n"/>
      <c r="E581" s="350" t="n"/>
      <c r="F581" s="350" t="n"/>
      <c r="G581" s="350" t="n"/>
      <c r="H581" s="350" t="n"/>
      <c r="I581" s="350" t="n"/>
      <c r="J581" s="352" t="n"/>
      <c r="M581" s="350" t="n"/>
      <c r="N581" s="350">
        <f>IF($A581="","",IF(OR(LOWER($D581&amp;"")="n/a",ISNUMBER(SEARCH("subscription",LOWER($A581&amp;" "&amp;$M581&amp;""))),ISNUMBER(SEARCH("membership",LOWER($A581&amp;" "&amp;$M581&amp;"")))),"",IF($G581="","",IF(ISNUMBER(SEARCH("non",LOWER($E581&amp;""))),$G581*0.85,$G581))))</f>
        <v/>
      </c>
      <c r="O581">
        <f>IF($A581="","",IF(OR(LOWER($D581&amp;"")="n/a",ISNUMBER(SEARCH("subscription",LOWER($A581&amp;" "&amp;$M581&amp;""))),ISNUMBER(SEARCH("membership",LOWER($A581&amp;" "&amp;$M581&amp;"")))),"",IF(OR($N581="",$I581="",$I581=0),"",$N581/$I581)))</f>
        <v/>
      </c>
      <c r="P581">
        <f>IF($A581="","",IF(OR(LOWER($D581&amp;"")="n/a",ISNUMBER(SEARCH("subscription",LOWER($A581&amp;" "&amp;$M581&amp;""))),ISNUMBER(SEARCH("membership",LOWER($A581&amp;" "&amp;$M581&amp;"")))),"",IF(LOWER($L581&amp;"")="yes",0,IF($K581&lt;&gt;"",$K581,IF($O581&lt;&gt;"",$O581,"")))))</f>
        <v/>
      </c>
      <c r="Q581">
        <f>IF($A581="","",IF($U581="Subscription","",IF($U581="Profit",$P581-$H581,0)))</f>
        <v/>
      </c>
      <c r="R581">
        <f>IF($A581="","",IF($U581="Subscription","",IF($U581="Draw",$H581,0)))</f>
        <v/>
      </c>
      <c r="S581">
        <f>IF($A581="","",IF($U581="Subscription","",IF($U581="Disqualified",$H581,0)))</f>
        <v/>
      </c>
      <c r="T581">
        <f>IF($A581="","",IF($U581="Subscription","",IF($H581=0,IF($U581="Profit","N/A",0),IF($U581="Profit",$Q581/$H581,IF($U581="Disqualified",-1,0)))))</f>
        <v/>
      </c>
      <c r="U581" s="350">
        <f>IF($A581="","",IF(OR(LOWER($D581&amp;"")="n/a",ISNUMBER(SEARCH("subscription",LOWER($A581&amp;" "&amp;$M581&amp;""))),ISNUMBER(SEARCH("membership",LOWER($A581&amp;" "&amp;$M581&amp;"")))),"Subscription",IF(LOWER($L581&amp;"")="yes","Disqualified",IF($P581&gt;$H581,"Profit","Draw"))))</f>
        <v/>
      </c>
      <c r="V581">
        <f>IF(OR($A581="",$B581="",$C581="",$U581="Subscription"),"",IFERROR(ROUNDUP((IF(ISNUMBER($C581),$C581,DATEVALUE($C581))-IF(ISNUMBER($B581),$B581,DATEVALUE($B581)))/7,0),""))</f>
        <v/>
      </c>
      <c r="W581" s="352">
        <f>IF($U581="Subscription","",$Q581-$S581)</f>
        <v/>
      </c>
      <c r="X581">
        <f>IF(OR($A581="",$U581="Subscription",$J581="",$I581="",$J581=0,$I581=0,$I581&gt;$J581),"",$J581-$I581)</f>
        <v/>
      </c>
      <c r="Y581">
        <f>IF(OR($A581="",$U581="Subscription",$J581="",$J581=0,$X581=""),"",$X581/$J581)</f>
        <v/>
      </c>
    </row>
    <row r="582">
      <c r="B582" s="354" t="n"/>
      <c r="C582" s="354" t="n"/>
      <c r="E582" s="350" t="n"/>
      <c r="F582" s="350" t="n"/>
      <c r="G582" s="350" t="n"/>
      <c r="H582" s="350" t="n"/>
      <c r="I582" s="350" t="n"/>
      <c r="J582" s="352" t="n"/>
      <c r="M582" s="350" t="n"/>
      <c r="N582" s="350">
        <f>IF($A582="","",IF(OR(LOWER($D582&amp;"")="n/a",ISNUMBER(SEARCH("subscription",LOWER($A582&amp;" "&amp;$M582&amp;""))),ISNUMBER(SEARCH("membership",LOWER($A582&amp;" "&amp;$M582&amp;"")))),"",IF($G582="","",IF(ISNUMBER(SEARCH("non",LOWER($E582&amp;""))),$G582*0.85,$G582))))</f>
        <v/>
      </c>
      <c r="O582">
        <f>IF($A582="","",IF(OR(LOWER($D582&amp;"")="n/a",ISNUMBER(SEARCH("subscription",LOWER($A582&amp;" "&amp;$M582&amp;""))),ISNUMBER(SEARCH("membership",LOWER($A582&amp;" "&amp;$M582&amp;"")))),"",IF(OR($N582="",$I582="",$I582=0),"",$N582/$I582)))</f>
        <v/>
      </c>
      <c r="P582">
        <f>IF($A582="","",IF(OR(LOWER($D582&amp;"")="n/a",ISNUMBER(SEARCH("subscription",LOWER($A582&amp;" "&amp;$M582&amp;""))),ISNUMBER(SEARCH("membership",LOWER($A582&amp;" "&amp;$M582&amp;"")))),"",IF(LOWER($L582&amp;"")="yes",0,IF($K582&lt;&gt;"",$K582,IF($O582&lt;&gt;"",$O582,"")))))</f>
        <v/>
      </c>
      <c r="Q582">
        <f>IF($A582="","",IF($U582="Subscription","",IF($U582="Profit",$P582-$H582,0)))</f>
        <v/>
      </c>
      <c r="R582">
        <f>IF($A582="","",IF($U582="Subscription","",IF($U582="Draw",$H582,0)))</f>
        <v/>
      </c>
      <c r="S582">
        <f>IF($A582="","",IF($U582="Subscription","",IF($U582="Disqualified",$H582,0)))</f>
        <v/>
      </c>
      <c r="T582">
        <f>IF($A582="","",IF($U582="Subscription","",IF($H582=0,IF($U582="Profit","N/A",0),IF($U582="Profit",$Q582/$H582,IF($U582="Disqualified",-1,0)))))</f>
        <v/>
      </c>
      <c r="U582" s="350">
        <f>IF($A582="","",IF(OR(LOWER($D582&amp;"")="n/a",ISNUMBER(SEARCH("subscription",LOWER($A582&amp;" "&amp;$M582&amp;""))),ISNUMBER(SEARCH("membership",LOWER($A582&amp;" "&amp;$M582&amp;"")))),"Subscription",IF(LOWER($L582&amp;"")="yes","Disqualified",IF($P582&gt;$H582,"Profit","Draw"))))</f>
        <v/>
      </c>
      <c r="V582">
        <f>IF(OR($A582="",$B582="",$C582="",$U582="Subscription"),"",IFERROR(ROUNDUP((IF(ISNUMBER($C582),$C582,DATEVALUE($C582))-IF(ISNUMBER($B582),$B582,DATEVALUE($B582)))/7,0),""))</f>
        <v/>
      </c>
      <c r="W582" s="352">
        <f>IF($U582="Subscription","",$Q582-$S582)</f>
        <v/>
      </c>
      <c r="X582">
        <f>IF(OR($A582="",$U582="Subscription",$J582="",$I582="",$J582=0,$I582=0,$I582&gt;$J582),"",$J582-$I582)</f>
        <v/>
      </c>
      <c r="Y582">
        <f>IF(OR($A582="",$U582="Subscription",$J582="",$J582=0,$X582=""),"",$X582/$J582)</f>
        <v/>
      </c>
    </row>
    <row r="583">
      <c r="B583" s="354" t="n"/>
      <c r="C583" s="354" t="n"/>
      <c r="E583" s="350" t="n"/>
      <c r="F583" s="350" t="n"/>
      <c r="G583" s="350" t="n"/>
      <c r="H583" s="350" t="n"/>
      <c r="I583" s="350" t="n"/>
      <c r="J583" s="352" t="n"/>
      <c r="M583" s="350" t="n"/>
      <c r="N583" s="350">
        <f>IF($A583="","",IF(OR(LOWER($D583&amp;"")="n/a",ISNUMBER(SEARCH("subscription",LOWER($A583&amp;" "&amp;$M583&amp;""))),ISNUMBER(SEARCH("membership",LOWER($A583&amp;" "&amp;$M583&amp;"")))),"",IF($G583="","",IF(ISNUMBER(SEARCH("non",LOWER($E583&amp;""))),$G583*0.85,$G583))))</f>
        <v/>
      </c>
      <c r="O583">
        <f>IF($A583="","",IF(OR(LOWER($D583&amp;"")="n/a",ISNUMBER(SEARCH("subscription",LOWER($A583&amp;" "&amp;$M583&amp;""))),ISNUMBER(SEARCH("membership",LOWER($A583&amp;" "&amp;$M583&amp;"")))),"",IF(OR($N583="",$I583="",$I583=0),"",$N583/$I583)))</f>
        <v/>
      </c>
      <c r="P583">
        <f>IF($A583="","",IF(OR(LOWER($D583&amp;"")="n/a",ISNUMBER(SEARCH("subscription",LOWER($A583&amp;" "&amp;$M583&amp;""))),ISNUMBER(SEARCH("membership",LOWER($A583&amp;" "&amp;$M583&amp;"")))),"",IF(LOWER($L583&amp;"")="yes",0,IF($K583&lt;&gt;"",$K583,IF($O583&lt;&gt;"",$O583,"")))))</f>
        <v/>
      </c>
      <c r="Q583">
        <f>IF($A583="","",IF($U583="Subscription","",IF($U583="Profit",$P583-$H583,0)))</f>
        <v/>
      </c>
      <c r="R583">
        <f>IF($A583="","",IF($U583="Subscription","",IF($U583="Draw",$H583,0)))</f>
        <v/>
      </c>
      <c r="S583">
        <f>IF($A583="","",IF($U583="Subscription","",IF($U583="Disqualified",$H583,0)))</f>
        <v/>
      </c>
      <c r="T583">
        <f>IF($A583="","",IF($U583="Subscription","",IF($H583=0,IF($U583="Profit","N/A",0),IF($U583="Profit",$Q583/$H583,IF($U583="Disqualified",-1,0)))))</f>
        <v/>
      </c>
      <c r="U583" s="350">
        <f>IF($A583="","",IF(OR(LOWER($D583&amp;"")="n/a",ISNUMBER(SEARCH("subscription",LOWER($A583&amp;" "&amp;$M583&amp;""))),ISNUMBER(SEARCH("membership",LOWER($A583&amp;" "&amp;$M583&amp;"")))),"Subscription",IF(LOWER($L583&amp;"")="yes","Disqualified",IF($P583&gt;$H583,"Profit","Draw"))))</f>
        <v/>
      </c>
      <c r="V583">
        <f>IF(OR($A583="",$B583="",$C583="",$U583="Subscription"),"",IFERROR(ROUNDUP((IF(ISNUMBER($C583),$C583,DATEVALUE($C583))-IF(ISNUMBER($B583),$B583,DATEVALUE($B583)))/7,0),""))</f>
        <v/>
      </c>
      <c r="W583" s="352">
        <f>IF($U583="Subscription","",$Q583-$S583)</f>
        <v/>
      </c>
      <c r="X583">
        <f>IF(OR($A583="",$U583="Subscription",$J583="",$I583="",$J583=0,$I583=0,$I583&gt;$J583),"",$J583-$I583)</f>
        <v/>
      </c>
      <c r="Y583">
        <f>IF(OR($A583="",$U583="Subscription",$J583="",$J583=0,$X583=""),"",$X583/$J583)</f>
        <v/>
      </c>
    </row>
    <row r="584">
      <c r="B584" s="354" t="n"/>
      <c r="C584" s="354" t="n"/>
      <c r="E584" s="350" t="n"/>
      <c r="F584" s="350" t="n"/>
      <c r="G584" s="350" t="n"/>
      <c r="H584" s="350" t="n"/>
      <c r="I584" s="350" t="n"/>
      <c r="J584" s="352" t="n"/>
      <c r="M584" s="350" t="n"/>
      <c r="N584" s="350">
        <f>IF($A584="","",IF(OR(LOWER($D584&amp;"")="n/a",ISNUMBER(SEARCH("subscription",LOWER($A584&amp;" "&amp;$M584&amp;""))),ISNUMBER(SEARCH("membership",LOWER($A584&amp;" "&amp;$M584&amp;"")))),"",IF($G584="","",IF(ISNUMBER(SEARCH("non",LOWER($E584&amp;""))),$G584*0.85,$G584))))</f>
        <v/>
      </c>
      <c r="O584">
        <f>IF($A584="","",IF(OR(LOWER($D584&amp;"")="n/a",ISNUMBER(SEARCH("subscription",LOWER($A584&amp;" "&amp;$M584&amp;""))),ISNUMBER(SEARCH("membership",LOWER($A584&amp;" "&amp;$M584&amp;"")))),"",IF(OR($N584="",$I584="",$I584=0),"",$N584/$I584)))</f>
        <v/>
      </c>
      <c r="P584">
        <f>IF($A584="","",IF(OR(LOWER($D584&amp;"")="n/a",ISNUMBER(SEARCH("subscription",LOWER($A584&amp;" "&amp;$M584&amp;""))),ISNUMBER(SEARCH("membership",LOWER($A584&amp;" "&amp;$M584&amp;"")))),"",IF(LOWER($L584&amp;"")="yes",0,IF($K584&lt;&gt;"",$K584,IF($O584&lt;&gt;"",$O584,"")))))</f>
        <v/>
      </c>
      <c r="Q584">
        <f>IF($A584="","",IF($U584="Subscription","",IF($U584="Profit",$P584-$H584,0)))</f>
        <v/>
      </c>
      <c r="R584">
        <f>IF($A584="","",IF($U584="Subscription","",IF($U584="Draw",$H584,0)))</f>
        <v/>
      </c>
      <c r="S584">
        <f>IF($A584="","",IF($U584="Subscription","",IF($U584="Disqualified",$H584,0)))</f>
        <v/>
      </c>
      <c r="T584">
        <f>IF($A584="","",IF($U584="Subscription","",IF($H584=0,IF($U584="Profit","N/A",0),IF($U584="Profit",$Q584/$H584,IF($U584="Disqualified",-1,0)))))</f>
        <v/>
      </c>
      <c r="U584" s="350">
        <f>IF($A584="","",IF(OR(LOWER($D584&amp;"")="n/a",ISNUMBER(SEARCH("subscription",LOWER($A584&amp;" "&amp;$M584&amp;""))),ISNUMBER(SEARCH("membership",LOWER($A584&amp;" "&amp;$M584&amp;"")))),"Subscription",IF(LOWER($L584&amp;"")="yes","Disqualified",IF($P584&gt;$H584,"Profit","Draw"))))</f>
        <v/>
      </c>
      <c r="V584">
        <f>IF(OR($A584="",$B584="",$C584="",$U584="Subscription"),"",IFERROR(ROUNDUP((IF(ISNUMBER($C584),$C584,DATEVALUE($C584))-IF(ISNUMBER($B584),$B584,DATEVALUE($B584)))/7,0),""))</f>
        <v/>
      </c>
      <c r="W584" s="352">
        <f>IF($U584="Subscription","",$Q584-$S584)</f>
        <v/>
      </c>
      <c r="X584">
        <f>IF(OR($A584="",$U584="Subscription",$J584="",$I584="",$J584=0,$I584=0,$I584&gt;$J584),"",$J584-$I584)</f>
        <v/>
      </c>
      <c r="Y584">
        <f>IF(OR($A584="",$U584="Subscription",$J584="",$J584=0,$X584=""),"",$X584/$J584)</f>
        <v/>
      </c>
    </row>
    <row r="585">
      <c r="B585" s="354" t="n"/>
      <c r="C585" s="354" t="n"/>
      <c r="E585" s="350" t="n"/>
      <c r="F585" s="350" t="n"/>
      <c r="G585" s="350" t="n"/>
      <c r="H585" s="350" t="n"/>
      <c r="I585" s="350" t="n"/>
      <c r="J585" s="352" t="n"/>
      <c r="M585" s="350" t="n"/>
      <c r="N585" s="350">
        <f>IF($A585="","",IF(OR(LOWER($D585&amp;"")="n/a",ISNUMBER(SEARCH("subscription",LOWER($A585&amp;" "&amp;$M585&amp;""))),ISNUMBER(SEARCH("membership",LOWER($A585&amp;" "&amp;$M585&amp;"")))),"",IF($G585="","",IF(ISNUMBER(SEARCH("non",LOWER($E585&amp;""))),$G585*0.85,$G585))))</f>
        <v/>
      </c>
      <c r="O585">
        <f>IF($A585="","",IF(OR(LOWER($D585&amp;"")="n/a",ISNUMBER(SEARCH("subscription",LOWER($A585&amp;" "&amp;$M585&amp;""))),ISNUMBER(SEARCH("membership",LOWER($A585&amp;" "&amp;$M585&amp;"")))),"",IF(OR($N585="",$I585="",$I585=0),"",$N585/$I585)))</f>
        <v/>
      </c>
      <c r="P585">
        <f>IF($A585="","",IF(OR(LOWER($D585&amp;"")="n/a",ISNUMBER(SEARCH("subscription",LOWER($A585&amp;" "&amp;$M585&amp;""))),ISNUMBER(SEARCH("membership",LOWER($A585&amp;" "&amp;$M585&amp;"")))),"",IF(LOWER($L585&amp;"")="yes",0,IF($K585&lt;&gt;"",$K585,IF($O585&lt;&gt;"",$O585,"")))))</f>
        <v/>
      </c>
      <c r="Q585">
        <f>IF($A585="","",IF($U585="Subscription","",IF($U585="Profit",$P585-$H585,0)))</f>
        <v/>
      </c>
      <c r="R585">
        <f>IF($A585="","",IF($U585="Subscription","",IF($U585="Draw",$H585,0)))</f>
        <v/>
      </c>
      <c r="S585">
        <f>IF($A585="","",IF($U585="Subscription","",IF($U585="Disqualified",$H585,0)))</f>
        <v/>
      </c>
      <c r="T585">
        <f>IF($A585="","",IF($U585="Subscription","",IF($H585=0,IF($U585="Profit","N/A",0),IF($U585="Profit",$Q585/$H585,IF($U585="Disqualified",-1,0)))))</f>
        <v/>
      </c>
      <c r="U585" s="350">
        <f>IF($A585="","",IF(OR(LOWER($D585&amp;"")="n/a",ISNUMBER(SEARCH("subscription",LOWER($A585&amp;" "&amp;$M585&amp;""))),ISNUMBER(SEARCH("membership",LOWER($A585&amp;" "&amp;$M585&amp;"")))),"Subscription",IF(LOWER($L585&amp;"")="yes","Disqualified",IF($P585&gt;$H585,"Profit","Draw"))))</f>
        <v/>
      </c>
      <c r="V585">
        <f>IF(OR($A585="",$B585="",$C585="",$U585="Subscription"),"",IFERROR(ROUNDUP((IF(ISNUMBER($C585),$C585,DATEVALUE($C585))-IF(ISNUMBER($B585),$B585,DATEVALUE($B585)))/7,0),""))</f>
        <v/>
      </c>
      <c r="W585" s="352">
        <f>IF($U585="Subscription","",$Q585-$S585)</f>
        <v/>
      </c>
      <c r="X585">
        <f>IF(OR($A585="",$U585="Subscription",$J585="",$I585="",$J585=0,$I585=0,$I585&gt;$J585),"",$J585-$I585)</f>
        <v/>
      </c>
      <c r="Y585">
        <f>IF(OR($A585="",$U585="Subscription",$J585="",$J585=0,$X585=""),"",$X585/$J585)</f>
        <v/>
      </c>
    </row>
    <row r="586">
      <c r="B586" s="354" t="n"/>
      <c r="C586" s="354" t="n"/>
      <c r="E586" s="350" t="n"/>
      <c r="F586" s="350" t="n"/>
      <c r="G586" s="350" t="n"/>
      <c r="H586" s="350" t="n"/>
      <c r="I586" s="350" t="n"/>
      <c r="J586" s="352" t="n"/>
      <c r="M586" s="350" t="n"/>
      <c r="N586" s="350">
        <f>IF($A586="","",IF(OR(LOWER($D586&amp;"")="n/a",ISNUMBER(SEARCH("subscription",LOWER($A586&amp;" "&amp;$M586&amp;""))),ISNUMBER(SEARCH("membership",LOWER($A586&amp;" "&amp;$M586&amp;"")))),"",IF($G586="","",IF(ISNUMBER(SEARCH("non",LOWER($E586&amp;""))),$G586*0.85,$G586))))</f>
        <v/>
      </c>
      <c r="O586">
        <f>IF($A586="","",IF(OR(LOWER($D586&amp;"")="n/a",ISNUMBER(SEARCH("subscription",LOWER($A586&amp;" "&amp;$M586&amp;""))),ISNUMBER(SEARCH("membership",LOWER($A586&amp;" "&amp;$M586&amp;"")))),"",IF(OR($N586="",$I586="",$I586=0),"",$N586/$I586)))</f>
        <v/>
      </c>
      <c r="P586">
        <f>IF($A586="","",IF(OR(LOWER($D586&amp;"")="n/a",ISNUMBER(SEARCH("subscription",LOWER($A586&amp;" "&amp;$M586&amp;""))),ISNUMBER(SEARCH("membership",LOWER($A586&amp;" "&amp;$M586&amp;"")))),"",IF(LOWER($L586&amp;"")="yes",0,IF($K586&lt;&gt;"",$K586,IF($O586&lt;&gt;"",$O586,"")))))</f>
        <v/>
      </c>
      <c r="Q586">
        <f>IF($A586="","",IF($U586="Subscription","",IF($U586="Profit",$P586-$H586,0)))</f>
        <v/>
      </c>
      <c r="R586">
        <f>IF($A586="","",IF($U586="Subscription","",IF($U586="Draw",$H586,0)))</f>
        <v/>
      </c>
      <c r="S586">
        <f>IF($A586="","",IF($U586="Subscription","",IF($U586="Disqualified",$H586,0)))</f>
        <v/>
      </c>
      <c r="T586">
        <f>IF($A586="","",IF($U586="Subscription","",IF($H586=0,IF($U586="Profit","N/A",0),IF($U586="Profit",$Q586/$H586,IF($U586="Disqualified",-1,0)))))</f>
        <v/>
      </c>
      <c r="U586" s="350">
        <f>IF($A586="","",IF(OR(LOWER($D586&amp;"")="n/a",ISNUMBER(SEARCH("subscription",LOWER($A586&amp;" "&amp;$M586&amp;""))),ISNUMBER(SEARCH("membership",LOWER($A586&amp;" "&amp;$M586&amp;"")))),"Subscription",IF(LOWER($L586&amp;"")="yes","Disqualified",IF($P586&gt;$H586,"Profit","Draw"))))</f>
        <v/>
      </c>
      <c r="V586">
        <f>IF(OR($A586="",$B586="",$C586="",$U586="Subscription"),"",IFERROR(ROUNDUP((IF(ISNUMBER($C586),$C586,DATEVALUE($C586))-IF(ISNUMBER($B586),$B586,DATEVALUE($B586)))/7,0),""))</f>
        <v/>
      </c>
      <c r="W586" s="352">
        <f>IF($U586="Subscription","",$Q586-$S586)</f>
        <v/>
      </c>
      <c r="X586">
        <f>IF(OR($A586="",$U586="Subscription",$J586="",$I586="",$J586=0,$I586=0,$I586&gt;$J586),"",$J586-$I586)</f>
        <v/>
      </c>
      <c r="Y586">
        <f>IF(OR($A586="",$U586="Subscription",$J586="",$J586=0,$X586=""),"",$X586/$J586)</f>
        <v/>
      </c>
    </row>
    <row r="587">
      <c r="B587" s="354" t="n"/>
      <c r="C587" s="354" t="n"/>
      <c r="E587" s="350" t="n"/>
      <c r="F587" s="350" t="n"/>
      <c r="G587" s="350" t="n"/>
      <c r="H587" s="350" t="n"/>
      <c r="I587" s="350" t="n"/>
      <c r="J587" s="352" t="n"/>
      <c r="M587" s="350" t="n"/>
      <c r="N587" s="350">
        <f>IF($A587="","",IF(OR(LOWER($D587&amp;"")="n/a",ISNUMBER(SEARCH("subscription",LOWER($A587&amp;" "&amp;$M587&amp;""))),ISNUMBER(SEARCH("membership",LOWER($A587&amp;" "&amp;$M587&amp;"")))),"",IF($G587="","",IF(ISNUMBER(SEARCH("non",LOWER($E587&amp;""))),$G587*0.85,$G587))))</f>
        <v/>
      </c>
      <c r="O587">
        <f>IF($A587="","",IF(OR(LOWER($D587&amp;"")="n/a",ISNUMBER(SEARCH("subscription",LOWER($A587&amp;" "&amp;$M587&amp;""))),ISNUMBER(SEARCH("membership",LOWER($A587&amp;" "&amp;$M587&amp;"")))),"",IF(OR($N587="",$I587="",$I587=0),"",$N587/$I587)))</f>
        <v/>
      </c>
      <c r="P587">
        <f>IF($A587="","",IF(OR(LOWER($D587&amp;"")="n/a",ISNUMBER(SEARCH("subscription",LOWER($A587&amp;" "&amp;$M587&amp;""))),ISNUMBER(SEARCH("membership",LOWER($A587&amp;" "&amp;$M587&amp;"")))),"",IF(LOWER($L587&amp;"")="yes",0,IF($K587&lt;&gt;"",$K587,IF($O587&lt;&gt;"",$O587,"")))))</f>
        <v/>
      </c>
      <c r="Q587">
        <f>IF($A587="","",IF($U587="Subscription","",IF($U587="Profit",$P587-$H587,0)))</f>
        <v/>
      </c>
      <c r="R587">
        <f>IF($A587="","",IF($U587="Subscription","",IF($U587="Draw",$H587,0)))</f>
        <v/>
      </c>
      <c r="S587">
        <f>IF($A587="","",IF($U587="Subscription","",IF($U587="Disqualified",$H587,0)))</f>
        <v/>
      </c>
      <c r="T587">
        <f>IF($A587="","",IF($U587="Subscription","",IF($H587=0,IF($U587="Profit","N/A",0),IF($U587="Profit",$Q587/$H587,IF($U587="Disqualified",-1,0)))))</f>
        <v/>
      </c>
      <c r="U587" s="350">
        <f>IF($A587="","",IF(OR(LOWER($D587&amp;"")="n/a",ISNUMBER(SEARCH("subscription",LOWER($A587&amp;" "&amp;$M587&amp;""))),ISNUMBER(SEARCH("membership",LOWER($A587&amp;" "&amp;$M587&amp;"")))),"Subscription",IF(LOWER($L587&amp;"")="yes","Disqualified",IF($P587&gt;$H587,"Profit","Draw"))))</f>
        <v/>
      </c>
      <c r="V587">
        <f>IF(OR($A587="",$B587="",$C587="",$U587="Subscription"),"",IFERROR(ROUNDUP((IF(ISNUMBER($C587),$C587,DATEVALUE($C587))-IF(ISNUMBER($B587),$B587,DATEVALUE($B587)))/7,0),""))</f>
        <v/>
      </c>
      <c r="W587" s="352">
        <f>IF($U587="Subscription","",$Q587-$S587)</f>
        <v/>
      </c>
      <c r="X587">
        <f>IF(OR($A587="",$U587="Subscription",$J587="",$I587="",$J587=0,$I587=0,$I587&gt;$J587),"",$J587-$I587)</f>
        <v/>
      </c>
      <c r="Y587">
        <f>IF(OR($A587="",$U587="Subscription",$J587="",$J587=0,$X587=""),"",$X587/$J587)</f>
        <v/>
      </c>
    </row>
    <row r="588">
      <c r="B588" s="354" t="n"/>
      <c r="C588" s="354" t="n"/>
      <c r="E588" s="350" t="n"/>
      <c r="F588" s="350" t="n"/>
      <c r="G588" s="350" t="n"/>
      <c r="H588" s="350" t="n"/>
      <c r="I588" s="350" t="n"/>
      <c r="J588" s="352" t="n"/>
      <c r="M588" s="350" t="n"/>
      <c r="N588" s="350">
        <f>IF($A588="","",IF(OR(LOWER($D588&amp;"")="n/a",ISNUMBER(SEARCH("subscription",LOWER($A588&amp;" "&amp;$M588&amp;""))),ISNUMBER(SEARCH("membership",LOWER($A588&amp;" "&amp;$M588&amp;"")))),"",IF($G588="","",IF(ISNUMBER(SEARCH("non",LOWER($E588&amp;""))),$G588*0.85,$G588))))</f>
        <v/>
      </c>
      <c r="O588">
        <f>IF($A588="","",IF(OR(LOWER($D588&amp;"")="n/a",ISNUMBER(SEARCH("subscription",LOWER($A588&amp;" "&amp;$M588&amp;""))),ISNUMBER(SEARCH("membership",LOWER($A588&amp;" "&amp;$M588&amp;"")))),"",IF(OR($N588="",$I588="",$I588=0),"",$N588/$I588)))</f>
        <v/>
      </c>
      <c r="P588">
        <f>IF($A588="","",IF(OR(LOWER($D588&amp;"")="n/a",ISNUMBER(SEARCH("subscription",LOWER($A588&amp;" "&amp;$M588&amp;""))),ISNUMBER(SEARCH("membership",LOWER($A588&amp;" "&amp;$M588&amp;"")))),"",IF(LOWER($L588&amp;"")="yes",0,IF($K588&lt;&gt;"",$K588,IF($O588&lt;&gt;"",$O588,"")))))</f>
        <v/>
      </c>
      <c r="Q588">
        <f>IF($A588="","",IF($U588="Subscription","",IF($U588="Profit",$P588-$H588,0)))</f>
        <v/>
      </c>
      <c r="R588">
        <f>IF($A588="","",IF($U588="Subscription","",IF($U588="Draw",$H588,0)))</f>
        <v/>
      </c>
      <c r="S588">
        <f>IF($A588="","",IF($U588="Subscription","",IF($U588="Disqualified",$H588,0)))</f>
        <v/>
      </c>
      <c r="T588">
        <f>IF($A588="","",IF($U588="Subscription","",IF($H588=0,IF($U588="Profit","N/A",0),IF($U588="Profit",$Q588/$H588,IF($U588="Disqualified",-1,0)))))</f>
        <v/>
      </c>
      <c r="U588" s="350">
        <f>IF($A588="","",IF(OR(LOWER($D588&amp;"")="n/a",ISNUMBER(SEARCH("subscription",LOWER($A588&amp;" "&amp;$M588&amp;""))),ISNUMBER(SEARCH("membership",LOWER($A588&amp;" "&amp;$M588&amp;"")))),"Subscription",IF(LOWER($L588&amp;"")="yes","Disqualified",IF($P588&gt;$H588,"Profit","Draw"))))</f>
        <v/>
      </c>
      <c r="V588">
        <f>IF(OR($A588="",$B588="",$C588="",$U588="Subscription"),"",IFERROR(ROUNDUP((IF(ISNUMBER($C588),$C588,DATEVALUE($C588))-IF(ISNUMBER($B588),$B588,DATEVALUE($B588)))/7,0),""))</f>
        <v/>
      </c>
      <c r="W588" s="352">
        <f>IF($U588="Subscription","",$Q588-$S588)</f>
        <v/>
      </c>
      <c r="X588">
        <f>IF(OR($A588="",$U588="Subscription",$J588="",$I588="",$J588=0,$I588=0,$I588&gt;$J588),"",$J588-$I588)</f>
        <v/>
      </c>
      <c r="Y588">
        <f>IF(OR($A588="",$U588="Subscription",$J588="",$J588=0,$X588=""),"",$X588/$J588)</f>
        <v/>
      </c>
    </row>
    <row r="589">
      <c r="B589" s="354" t="n"/>
      <c r="C589" s="354" t="n"/>
      <c r="E589" s="350" t="n"/>
      <c r="F589" s="350" t="n"/>
      <c r="G589" s="350" t="n"/>
      <c r="H589" s="350" t="n"/>
      <c r="I589" s="350" t="n"/>
      <c r="J589" s="352" t="n"/>
      <c r="M589" s="350" t="n"/>
      <c r="N589" s="350">
        <f>IF($A589="","",IF(OR(LOWER($D589&amp;"")="n/a",ISNUMBER(SEARCH("subscription",LOWER($A589&amp;" "&amp;$M589&amp;""))),ISNUMBER(SEARCH("membership",LOWER($A589&amp;" "&amp;$M589&amp;"")))),"",IF($G589="","",IF(ISNUMBER(SEARCH("non",LOWER($E589&amp;""))),$G589*0.85,$G589))))</f>
        <v/>
      </c>
      <c r="O589">
        <f>IF($A589="","",IF(OR(LOWER($D589&amp;"")="n/a",ISNUMBER(SEARCH("subscription",LOWER($A589&amp;" "&amp;$M589&amp;""))),ISNUMBER(SEARCH("membership",LOWER($A589&amp;" "&amp;$M589&amp;"")))),"",IF(OR($N589="",$I589="",$I589=0),"",$N589/$I589)))</f>
        <v/>
      </c>
      <c r="P589">
        <f>IF($A589="","",IF(OR(LOWER($D589&amp;"")="n/a",ISNUMBER(SEARCH("subscription",LOWER($A589&amp;" "&amp;$M589&amp;""))),ISNUMBER(SEARCH("membership",LOWER($A589&amp;" "&amp;$M589&amp;"")))),"",IF(LOWER($L589&amp;"")="yes",0,IF($K589&lt;&gt;"",$K589,IF($O589&lt;&gt;"",$O589,"")))))</f>
        <v/>
      </c>
      <c r="Q589">
        <f>IF($A589="","",IF($U589="Subscription","",IF($U589="Profit",$P589-$H589,0)))</f>
        <v/>
      </c>
      <c r="R589">
        <f>IF($A589="","",IF($U589="Subscription","",IF($U589="Draw",$H589,0)))</f>
        <v/>
      </c>
      <c r="S589">
        <f>IF($A589="","",IF($U589="Subscription","",IF($U589="Disqualified",$H589,0)))</f>
        <v/>
      </c>
      <c r="T589">
        <f>IF($A589="","",IF($U589="Subscription","",IF($H589=0,IF($U589="Profit","N/A",0),IF($U589="Profit",$Q589/$H589,IF($U589="Disqualified",-1,0)))))</f>
        <v/>
      </c>
      <c r="U589" s="350">
        <f>IF($A589="","",IF(OR(LOWER($D589&amp;"")="n/a",ISNUMBER(SEARCH("subscription",LOWER($A589&amp;" "&amp;$M589&amp;""))),ISNUMBER(SEARCH("membership",LOWER($A589&amp;" "&amp;$M589&amp;"")))),"Subscription",IF(LOWER($L589&amp;"")="yes","Disqualified",IF($P589&gt;$H589,"Profit","Draw"))))</f>
        <v/>
      </c>
      <c r="V589">
        <f>IF(OR($A589="",$B589="",$C589="",$U589="Subscription"),"",IFERROR(ROUNDUP((IF(ISNUMBER($C589),$C589,DATEVALUE($C589))-IF(ISNUMBER($B589),$B589,DATEVALUE($B589)))/7,0),""))</f>
        <v/>
      </c>
      <c r="W589" s="352">
        <f>IF($U589="Subscription","",$Q589-$S589)</f>
        <v/>
      </c>
      <c r="X589">
        <f>IF(OR($A589="",$U589="Subscription",$J589="",$I589="",$J589=0,$I589=0,$I589&gt;$J589),"",$J589-$I589)</f>
        <v/>
      </c>
      <c r="Y589">
        <f>IF(OR($A589="",$U589="Subscription",$J589="",$J589=0,$X589=""),"",$X589/$J589)</f>
        <v/>
      </c>
    </row>
    <row r="590">
      <c r="B590" s="354" t="n"/>
      <c r="C590" s="354" t="n"/>
      <c r="E590" s="350" t="n"/>
      <c r="F590" s="350" t="n"/>
      <c r="G590" s="350" t="n"/>
      <c r="H590" s="350" t="n"/>
      <c r="I590" s="350" t="n"/>
      <c r="J590" s="352" t="n"/>
      <c r="M590" s="350" t="n"/>
      <c r="N590" s="350">
        <f>IF($A590="","",IF(OR(LOWER($D590&amp;"")="n/a",ISNUMBER(SEARCH("subscription",LOWER($A590&amp;" "&amp;$M590&amp;""))),ISNUMBER(SEARCH("membership",LOWER($A590&amp;" "&amp;$M590&amp;"")))),"",IF($G590="","",IF(ISNUMBER(SEARCH("non",LOWER($E590&amp;""))),$G590*0.85,$G590))))</f>
        <v/>
      </c>
      <c r="O590">
        <f>IF($A590="","",IF(OR(LOWER($D590&amp;"")="n/a",ISNUMBER(SEARCH("subscription",LOWER($A590&amp;" "&amp;$M590&amp;""))),ISNUMBER(SEARCH("membership",LOWER($A590&amp;" "&amp;$M590&amp;"")))),"",IF(OR($N590="",$I590="",$I590=0),"",$N590/$I590)))</f>
        <v/>
      </c>
      <c r="P590">
        <f>IF($A590="","",IF(OR(LOWER($D590&amp;"")="n/a",ISNUMBER(SEARCH("subscription",LOWER($A590&amp;" "&amp;$M590&amp;""))),ISNUMBER(SEARCH("membership",LOWER($A590&amp;" "&amp;$M590&amp;"")))),"",IF(LOWER($L590&amp;"")="yes",0,IF($K590&lt;&gt;"",$K590,IF($O590&lt;&gt;"",$O590,"")))))</f>
        <v/>
      </c>
      <c r="Q590">
        <f>IF($A590="","",IF($U590="Subscription","",IF($U590="Profit",$P590-$H590,0)))</f>
        <v/>
      </c>
      <c r="R590">
        <f>IF($A590="","",IF($U590="Subscription","",IF($U590="Draw",$H590,0)))</f>
        <v/>
      </c>
      <c r="S590">
        <f>IF($A590="","",IF($U590="Subscription","",IF($U590="Disqualified",$H590,0)))</f>
        <v/>
      </c>
      <c r="T590">
        <f>IF($A590="","",IF($U590="Subscription","",IF($H590=0,IF($U590="Profit","N/A",0),IF($U590="Profit",$Q590/$H590,IF($U590="Disqualified",-1,0)))))</f>
        <v/>
      </c>
      <c r="U590" s="350">
        <f>IF($A590="","",IF(OR(LOWER($D590&amp;"")="n/a",ISNUMBER(SEARCH("subscription",LOWER($A590&amp;" "&amp;$M590&amp;""))),ISNUMBER(SEARCH("membership",LOWER($A590&amp;" "&amp;$M590&amp;"")))),"Subscription",IF(LOWER($L590&amp;"")="yes","Disqualified",IF($P590&gt;$H590,"Profit","Draw"))))</f>
        <v/>
      </c>
      <c r="V590">
        <f>IF(OR($A590="",$B590="",$C590="",$U590="Subscription"),"",IFERROR(ROUNDUP((IF(ISNUMBER($C590),$C590,DATEVALUE($C590))-IF(ISNUMBER($B590),$B590,DATEVALUE($B590)))/7,0),""))</f>
        <v/>
      </c>
      <c r="W590" s="352">
        <f>IF($U590="Subscription","",$Q590-$S590)</f>
        <v/>
      </c>
      <c r="X590">
        <f>IF(OR($A590="",$U590="Subscription",$J590="",$I590="",$J590=0,$I590=0,$I590&gt;$J590),"",$J590-$I590)</f>
        <v/>
      </c>
      <c r="Y590">
        <f>IF(OR($A590="",$U590="Subscription",$J590="",$J590=0,$X590=""),"",$X590/$J590)</f>
        <v/>
      </c>
    </row>
    <row r="591">
      <c r="B591" s="354" t="n"/>
      <c r="C591" s="354" t="n"/>
      <c r="E591" s="350" t="n"/>
      <c r="F591" s="350" t="n"/>
      <c r="G591" s="350" t="n"/>
      <c r="H591" s="350" t="n"/>
      <c r="I591" s="350" t="n"/>
      <c r="J591" s="352" t="n"/>
      <c r="M591" s="350" t="n"/>
      <c r="N591" s="350">
        <f>IF($A591="","",IF(OR(LOWER($D591&amp;"")="n/a",ISNUMBER(SEARCH("subscription",LOWER($A591&amp;" "&amp;$M591&amp;""))),ISNUMBER(SEARCH("membership",LOWER($A591&amp;" "&amp;$M591&amp;"")))),"",IF($G591="","",IF(ISNUMBER(SEARCH("non",LOWER($E591&amp;""))),$G591*0.85,$G591))))</f>
        <v/>
      </c>
      <c r="O591">
        <f>IF($A591="","",IF(OR(LOWER($D591&amp;"")="n/a",ISNUMBER(SEARCH("subscription",LOWER($A591&amp;" "&amp;$M591&amp;""))),ISNUMBER(SEARCH("membership",LOWER($A591&amp;" "&amp;$M591&amp;"")))),"",IF(OR($N591="",$I591="",$I591=0),"",$N591/$I591)))</f>
        <v/>
      </c>
      <c r="P591">
        <f>IF($A591="","",IF(OR(LOWER($D591&amp;"")="n/a",ISNUMBER(SEARCH("subscription",LOWER($A591&amp;" "&amp;$M591&amp;""))),ISNUMBER(SEARCH("membership",LOWER($A591&amp;" "&amp;$M591&amp;"")))),"",IF(LOWER($L591&amp;"")="yes",0,IF($K591&lt;&gt;"",$K591,IF($O591&lt;&gt;"",$O591,"")))))</f>
        <v/>
      </c>
      <c r="Q591">
        <f>IF($A591="","",IF($U591="Subscription","",IF($U591="Profit",$P591-$H591,0)))</f>
        <v/>
      </c>
      <c r="R591">
        <f>IF($A591="","",IF($U591="Subscription","",IF($U591="Draw",$H591,0)))</f>
        <v/>
      </c>
      <c r="S591">
        <f>IF($A591="","",IF($U591="Subscription","",IF($U591="Disqualified",$H591,0)))</f>
        <v/>
      </c>
      <c r="T591">
        <f>IF($A591="","",IF($U591="Subscription","",IF($H591=0,IF($U591="Profit","N/A",0),IF($U591="Profit",$Q591/$H591,IF($U591="Disqualified",-1,0)))))</f>
        <v/>
      </c>
      <c r="U591" s="350">
        <f>IF($A591="","",IF(OR(LOWER($D591&amp;"")="n/a",ISNUMBER(SEARCH("subscription",LOWER($A591&amp;" "&amp;$M591&amp;""))),ISNUMBER(SEARCH("membership",LOWER($A591&amp;" "&amp;$M591&amp;"")))),"Subscription",IF(LOWER($L591&amp;"")="yes","Disqualified",IF($P591&gt;$H591,"Profit","Draw"))))</f>
        <v/>
      </c>
      <c r="V591">
        <f>IF(OR($A591="",$B591="",$C591="",$U591="Subscription"),"",IFERROR(ROUNDUP((IF(ISNUMBER($C591),$C591,DATEVALUE($C591))-IF(ISNUMBER($B591),$B591,DATEVALUE($B591)))/7,0),""))</f>
        <v/>
      </c>
      <c r="W591" s="352">
        <f>IF($U591="Subscription","",$Q591-$S591)</f>
        <v/>
      </c>
      <c r="X591">
        <f>IF(OR($A591="",$U591="Subscription",$J591="",$I591="",$J591=0,$I591=0,$I591&gt;$J591),"",$J591-$I591)</f>
        <v/>
      </c>
      <c r="Y591">
        <f>IF(OR($A591="",$U591="Subscription",$J591="",$J591=0,$X591=""),"",$X591/$J591)</f>
        <v/>
      </c>
    </row>
    <row r="592">
      <c r="B592" s="354" t="n"/>
      <c r="C592" s="354" t="n"/>
      <c r="E592" s="350" t="n"/>
      <c r="F592" s="350" t="n"/>
      <c r="G592" s="350" t="n"/>
      <c r="H592" s="350" t="n"/>
      <c r="I592" s="350" t="n"/>
      <c r="J592" s="352" t="n"/>
      <c r="M592" s="350" t="n"/>
      <c r="N592" s="350">
        <f>IF($A592="","",IF(OR(LOWER($D592&amp;"")="n/a",ISNUMBER(SEARCH("subscription",LOWER($A592&amp;" "&amp;$M592&amp;""))),ISNUMBER(SEARCH("membership",LOWER($A592&amp;" "&amp;$M592&amp;"")))),"",IF($G592="","",IF(ISNUMBER(SEARCH("non",LOWER($E592&amp;""))),$G592*0.85,$G592))))</f>
        <v/>
      </c>
      <c r="O592">
        <f>IF($A592="","",IF(OR(LOWER($D592&amp;"")="n/a",ISNUMBER(SEARCH("subscription",LOWER($A592&amp;" "&amp;$M592&amp;""))),ISNUMBER(SEARCH("membership",LOWER($A592&amp;" "&amp;$M592&amp;"")))),"",IF(OR($N592="",$I592="",$I592=0),"",$N592/$I592)))</f>
        <v/>
      </c>
      <c r="P592">
        <f>IF($A592="","",IF(OR(LOWER($D592&amp;"")="n/a",ISNUMBER(SEARCH("subscription",LOWER($A592&amp;" "&amp;$M592&amp;""))),ISNUMBER(SEARCH("membership",LOWER($A592&amp;" "&amp;$M592&amp;"")))),"",IF(LOWER($L592&amp;"")="yes",0,IF($K592&lt;&gt;"",$K592,IF($O592&lt;&gt;"",$O592,"")))))</f>
        <v/>
      </c>
      <c r="Q592">
        <f>IF($A592="","",IF($U592="Subscription","",IF($U592="Profit",$P592-$H592,0)))</f>
        <v/>
      </c>
      <c r="R592">
        <f>IF($A592="","",IF($U592="Subscription","",IF($U592="Draw",$H592,0)))</f>
        <v/>
      </c>
      <c r="S592">
        <f>IF($A592="","",IF($U592="Subscription","",IF($U592="Disqualified",$H592,0)))</f>
        <v/>
      </c>
      <c r="T592">
        <f>IF($A592="","",IF($U592="Subscription","",IF($H592=0,IF($U592="Profit","N/A",0),IF($U592="Profit",$Q592/$H592,IF($U592="Disqualified",-1,0)))))</f>
        <v/>
      </c>
      <c r="U592" s="350">
        <f>IF($A592="","",IF(OR(LOWER($D592&amp;"")="n/a",ISNUMBER(SEARCH("subscription",LOWER($A592&amp;" "&amp;$M592&amp;""))),ISNUMBER(SEARCH("membership",LOWER($A592&amp;" "&amp;$M592&amp;"")))),"Subscription",IF(LOWER($L592&amp;"")="yes","Disqualified",IF($P592&gt;$H592,"Profit","Draw"))))</f>
        <v/>
      </c>
      <c r="V592">
        <f>IF(OR($A592="",$B592="",$C592="",$U592="Subscription"),"",IFERROR(ROUNDUP((IF(ISNUMBER($C592),$C592,DATEVALUE($C592))-IF(ISNUMBER($B592),$B592,DATEVALUE($B592)))/7,0),""))</f>
        <v/>
      </c>
      <c r="W592" s="352">
        <f>IF($U592="Subscription","",$Q592-$S592)</f>
        <v/>
      </c>
      <c r="X592">
        <f>IF(OR($A592="",$U592="Subscription",$J592="",$I592="",$J592=0,$I592=0,$I592&gt;$J592),"",$J592-$I592)</f>
        <v/>
      </c>
      <c r="Y592">
        <f>IF(OR($A592="",$U592="Subscription",$J592="",$J592=0,$X592=""),"",$X592/$J592)</f>
        <v/>
      </c>
    </row>
    <row r="593">
      <c r="B593" s="354" t="n"/>
      <c r="C593" s="354" t="n"/>
      <c r="E593" s="350" t="n"/>
      <c r="F593" s="350" t="n"/>
      <c r="G593" s="350" t="n"/>
      <c r="H593" s="350" t="n"/>
      <c r="I593" s="350" t="n"/>
      <c r="J593" s="352" t="n"/>
      <c r="M593" s="350" t="n"/>
      <c r="N593" s="350">
        <f>IF($A593="","",IF(OR(LOWER($D593&amp;"")="n/a",ISNUMBER(SEARCH("subscription",LOWER($A593&amp;" "&amp;$M593&amp;""))),ISNUMBER(SEARCH("membership",LOWER($A593&amp;" "&amp;$M593&amp;"")))),"",IF($G593="","",IF(ISNUMBER(SEARCH("non",LOWER($E593&amp;""))),$G593*0.85,$G593))))</f>
        <v/>
      </c>
      <c r="O593">
        <f>IF($A593="","",IF(OR(LOWER($D593&amp;"")="n/a",ISNUMBER(SEARCH("subscription",LOWER($A593&amp;" "&amp;$M593&amp;""))),ISNUMBER(SEARCH("membership",LOWER($A593&amp;" "&amp;$M593&amp;"")))),"",IF(OR($N593="",$I593="",$I593=0),"",$N593/$I593)))</f>
        <v/>
      </c>
      <c r="P593">
        <f>IF($A593="","",IF(OR(LOWER($D593&amp;"")="n/a",ISNUMBER(SEARCH("subscription",LOWER($A593&amp;" "&amp;$M593&amp;""))),ISNUMBER(SEARCH("membership",LOWER($A593&amp;" "&amp;$M593&amp;"")))),"",IF(LOWER($L593&amp;"")="yes",0,IF($K593&lt;&gt;"",$K593,IF($O593&lt;&gt;"",$O593,"")))))</f>
        <v/>
      </c>
      <c r="Q593">
        <f>IF($A593="","",IF($U593="Subscription","",IF($U593="Profit",$P593-$H593,0)))</f>
        <v/>
      </c>
      <c r="R593">
        <f>IF($A593="","",IF($U593="Subscription","",IF($U593="Draw",$H593,0)))</f>
        <v/>
      </c>
      <c r="S593">
        <f>IF($A593="","",IF($U593="Subscription","",IF($U593="Disqualified",$H593,0)))</f>
        <v/>
      </c>
      <c r="T593">
        <f>IF($A593="","",IF($U593="Subscription","",IF($H593=0,IF($U593="Profit","N/A",0),IF($U593="Profit",$Q593/$H593,IF($U593="Disqualified",-1,0)))))</f>
        <v/>
      </c>
      <c r="U593" s="350">
        <f>IF($A593="","",IF(OR(LOWER($D593&amp;"")="n/a",ISNUMBER(SEARCH("subscription",LOWER($A593&amp;" "&amp;$M593&amp;""))),ISNUMBER(SEARCH("membership",LOWER($A593&amp;" "&amp;$M593&amp;"")))),"Subscription",IF(LOWER($L593&amp;"")="yes","Disqualified",IF($P593&gt;$H593,"Profit","Draw"))))</f>
        <v/>
      </c>
      <c r="V593">
        <f>IF(OR($A593="",$B593="",$C593="",$U593="Subscription"),"",IFERROR(ROUNDUP((IF(ISNUMBER($C593),$C593,DATEVALUE($C593))-IF(ISNUMBER($B593),$B593,DATEVALUE($B593)))/7,0),""))</f>
        <v/>
      </c>
      <c r="W593" s="352">
        <f>IF($U593="Subscription","",$Q593-$S593)</f>
        <v/>
      </c>
      <c r="X593">
        <f>IF(OR($A593="",$U593="Subscription",$J593="",$I593="",$J593=0,$I593=0,$I593&gt;$J593),"",$J593-$I593)</f>
        <v/>
      </c>
      <c r="Y593">
        <f>IF(OR($A593="",$U593="Subscription",$J593="",$J593=0,$X593=""),"",$X593/$J593)</f>
        <v/>
      </c>
    </row>
    <row r="594">
      <c r="B594" s="354" t="n"/>
      <c r="C594" s="354" t="n"/>
      <c r="E594" s="350" t="n"/>
      <c r="F594" s="350" t="n"/>
      <c r="G594" s="350" t="n"/>
      <c r="H594" s="350" t="n"/>
      <c r="I594" s="350" t="n"/>
      <c r="J594" s="352" t="n"/>
      <c r="M594" s="350" t="n"/>
      <c r="N594" s="350">
        <f>IF($A594="","",IF(OR(LOWER($D594&amp;"")="n/a",ISNUMBER(SEARCH("subscription",LOWER($A594&amp;" "&amp;$M594&amp;""))),ISNUMBER(SEARCH("membership",LOWER($A594&amp;" "&amp;$M594&amp;"")))),"",IF($G594="","",IF(ISNUMBER(SEARCH("non",LOWER($E594&amp;""))),$G594*0.85,$G594))))</f>
        <v/>
      </c>
      <c r="O594">
        <f>IF($A594="","",IF(OR(LOWER($D594&amp;"")="n/a",ISNUMBER(SEARCH("subscription",LOWER($A594&amp;" "&amp;$M594&amp;""))),ISNUMBER(SEARCH("membership",LOWER($A594&amp;" "&amp;$M594&amp;"")))),"",IF(OR($N594="",$I594="",$I594=0),"",$N594/$I594)))</f>
        <v/>
      </c>
      <c r="P594">
        <f>IF($A594="","",IF(OR(LOWER($D594&amp;"")="n/a",ISNUMBER(SEARCH("subscription",LOWER($A594&amp;" "&amp;$M594&amp;""))),ISNUMBER(SEARCH("membership",LOWER($A594&amp;" "&amp;$M594&amp;"")))),"",IF(LOWER($L594&amp;"")="yes",0,IF($K594&lt;&gt;"",$K594,IF($O594&lt;&gt;"",$O594,"")))))</f>
        <v/>
      </c>
      <c r="Q594">
        <f>IF($A594="","",IF($U594="Subscription","",IF($U594="Profit",$P594-$H594,0)))</f>
        <v/>
      </c>
      <c r="R594">
        <f>IF($A594="","",IF($U594="Subscription","",IF($U594="Draw",$H594,0)))</f>
        <v/>
      </c>
      <c r="S594">
        <f>IF($A594="","",IF($U594="Subscription","",IF($U594="Disqualified",$H594,0)))</f>
        <v/>
      </c>
      <c r="T594">
        <f>IF($A594="","",IF($U594="Subscription","",IF($H594=0,IF($U594="Profit","N/A",0),IF($U594="Profit",$Q594/$H594,IF($U594="Disqualified",-1,0)))))</f>
        <v/>
      </c>
      <c r="U594" s="350">
        <f>IF($A594="","",IF(OR(LOWER($D594&amp;"")="n/a",ISNUMBER(SEARCH("subscription",LOWER($A594&amp;" "&amp;$M594&amp;""))),ISNUMBER(SEARCH("membership",LOWER($A594&amp;" "&amp;$M594&amp;"")))),"Subscription",IF(LOWER($L594&amp;"")="yes","Disqualified",IF($P594&gt;$H594,"Profit","Draw"))))</f>
        <v/>
      </c>
      <c r="V594">
        <f>IF(OR($A594="",$B594="",$C594="",$U594="Subscription"),"",IFERROR(ROUNDUP((IF(ISNUMBER($C594),$C594,DATEVALUE($C594))-IF(ISNUMBER($B594),$B594,DATEVALUE($B594)))/7,0),""))</f>
        <v/>
      </c>
      <c r="W594" s="352">
        <f>IF($U594="Subscription","",$Q594-$S594)</f>
        <v/>
      </c>
      <c r="X594">
        <f>IF(OR($A594="",$U594="Subscription",$J594="",$I594="",$J594=0,$I594=0,$I594&gt;$J594),"",$J594-$I594)</f>
        <v/>
      </c>
      <c r="Y594">
        <f>IF(OR($A594="",$U594="Subscription",$J594="",$J594=0,$X594=""),"",$X594/$J594)</f>
        <v/>
      </c>
    </row>
    <row r="595">
      <c r="B595" s="354" t="n"/>
      <c r="C595" s="354" t="n"/>
      <c r="E595" s="350" t="n"/>
      <c r="F595" s="350" t="n"/>
      <c r="G595" s="350" t="n"/>
      <c r="H595" s="350" t="n"/>
      <c r="I595" s="350" t="n"/>
      <c r="J595" s="352" t="n"/>
      <c r="M595" s="350" t="n"/>
      <c r="N595" s="350">
        <f>IF($A595="","",IF(OR(LOWER($D595&amp;"")="n/a",ISNUMBER(SEARCH("subscription",LOWER($A595&amp;" "&amp;$M595&amp;""))),ISNUMBER(SEARCH("membership",LOWER($A595&amp;" "&amp;$M595&amp;"")))),"",IF($G595="","",IF(ISNUMBER(SEARCH("non",LOWER($E595&amp;""))),$G595*0.85,$G595))))</f>
        <v/>
      </c>
      <c r="O595">
        <f>IF($A595="","",IF(OR(LOWER($D595&amp;"")="n/a",ISNUMBER(SEARCH("subscription",LOWER($A595&amp;" "&amp;$M595&amp;""))),ISNUMBER(SEARCH("membership",LOWER($A595&amp;" "&amp;$M595&amp;"")))),"",IF(OR($N595="",$I595="",$I595=0),"",$N595/$I595)))</f>
        <v/>
      </c>
      <c r="P595">
        <f>IF($A595="","",IF(OR(LOWER($D595&amp;"")="n/a",ISNUMBER(SEARCH("subscription",LOWER($A595&amp;" "&amp;$M595&amp;""))),ISNUMBER(SEARCH("membership",LOWER($A595&amp;" "&amp;$M595&amp;"")))),"",IF(LOWER($L595&amp;"")="yes",0,IF($K595&lt;&gt;"",$K595,IF($O595&lt;&gt;"",$O595,"")))))</f>
        <v/>
      </c>
      <c r="Q595">
        <f>IF($A595="","",IF($U595="Subscription","",IF($U595="Profit",$P595-$H595,0)))</f>
        <v/>
      </c>
      <c r="R595">
        <f>IF($A595="","",IF($U595="Subscription","",IF($U595="Draw",$H595,0)))</f>
        <v/>
      </c>
      <c r="S595">
        <f>IF($A595="","",IF($U595="Subscription","",IF($U595="Disqualified",$H595,0)))</f>
        <v/>
      </c>
      <c r="T595">
        <f>IF($A595="","",IF($U595="Subscription","",IF($H595=0,IF($U595="Profit","N/A",0),IF($U595="Profit",$Q595/$H595,IF($U595="Disqualified",-1,0)))))</f>
        <v/>
      </c>
      <c r="U595" s="350">
        <f>IF($A595="","",IF(OR(LOWER($D595&amp;"")="n/a",ISNUMBER(SEARCH("subscription",LOWER($A595&amp;" "&amp;$M595&amp;""))),ISNUMBER(SEARCH("membership",LOWER($A595&amp;" "&amp;$M595&amp;"")))),"Subscription",IF(LOWER($L595&amp;"")="yes","Disqualified",IF($P595&gt;$H595,"Profit","Draw"))))</f>
        <v/>
      </c>
      <c r="V595">
        <f>IF(OR($A595="",$B595="",$C595="",$U595="Subscription"),"",IFERROR(ROUNDUP((IF(ISNUMBER($C595),$C595,DATEVALUE($C595))-IF(ISNUMBER($B595),$B595,DATEVALUE($B595)))/7,0),""))</f>
        <v/>
      </c>
      <c r="W595" s="352">
        <f>IF($U595="Subscription","",$Q595-$S595)</f>
        <v/>
      </c>
      <c r="X595">
        <f>IF(OR($A595="",$U595="Subscription",$J595="",$I595="",$J595=0,$I595=0,$I595&gt;$J595),"",$J595-$I595)</f>
        <v/>
      </c>
      <c r="Y595">
        <f>IF(OR($A595="",$U595="Subscription",$J595="",$J595=0,$X595=""),"",$X595/$J595)</f>
        <v/>
      </c>
    </row>
    <row r="596">
      <c r="B596" s="354" t="n"/>
      <c r="C596" s="354" t="n"/>
      <c r="E596" s="350" t="n"/>
      <c r="F596" s="350" t="n"/>
      <c r="G596" s="350" t="n"/>
      <c r="H596" s="350" t="n"/>
      <c r="I596" s="350" t="n"/>
      <c r="J596" s="352" t="n"/>
      <c r="M596" s="350" t="n"/>
      <c r="N596" s="350">
        <f>IF($A596="","",IF(OR(LOWER($D596&amp;"")="n/a",ISNUMBER(SEARCH("subscription",LOWER($A596&amp;" "&amp;$M596&amp;""))),ISNUMBER(SEARCH("membership",LOWER($A596&amp;" "&amp;$M596&amp;"")))),"",IF($G596="","",IF(ISNUMBER(SEARCH("non",LOWER($E596&amp;""))),$G596*0.85,$G596))))</f>
        <v/>
      </c>
      <c r="O596">
        <f>IF($A596="","",IF(OR(LOWER($D596&amp;"")="n/a",ISNUMBER(SEARCH("subscription",LOWER($A596&amp;" "&amp;$M596&amp;""))),ISNUMBER(SEARCH("membership",LOWER($A596&amp;" "&amp;$M596&amp;"")))),"",IF(OR($N596="",$I596="",$I596=0),"",$N596/$I596)))</f>
        <v/>
      </c>
      <c r="P596">
        <f>IF($A596="","",IF(OR(LOWER($D596&amp;"")="n/a",ISNUMBER(SEARCH("subscription",LOWER($A596&amp;" "&amp;$M596&amp;""))),ISNUMBER(SEARCH("membership",LOWER($A596&amp;" "&amp;$M596&amp;"")))),"",IF(LOWER($L596&amp;"")="yes",0,IF($K596&lt;&gt;"",$K596,IF($O596&lt;&gt;"",$O596,"")))))</f>
        <v/>
      </c>
      <c r="Q596">
        <f>IF($A596="","",IF($U596="Subscription","",IF($U596="Profit",$P596-$H596,0)))</f>
        <v/>
      </c>
      <c r="R596">
        <f>IF($A596="","",IF($U596="Subscription","",IF($U596="Draw",$H596,0)))</f>
        <v/>
      </c>
      <c r="S596">
        <f>IF($A596="","",IF($U596="Subscription","",IF($U596="Disqualified",$H596,0)))</f>
        <v/>
      </c>
      <c r="T596">
        <f>IF($A596="","",IF($U596="Subscription","",IF($H596=0,IF($U596="Profit","N/A",0),IF($U596="Profit",$Q596/$H596,IF($U596="Disqualified",-1,0)))))</f>
        <v/>
      </c>
      <c r="U596" s="350">
        <f>IF($A596="","",IF(OR(LOWER($D596&amp;"")="n/a",ISNUMBER(SEARCH("subscription",LOWER($A596&amp;" "&amp;$M596&amp;""))),ISNUMBER(SEARCH("membership",LOWER($A596&amp;" "&amp;$M596&amp;"")))),"Subscription",IF(LOWER($L596&amp;"")="yes","Disqualified",IF($P596&gt;$H596,"Profit","Draw"))))</f>
        <v/>
      </c>
      <c r="V596">
        <f>IF(OR($A596="",$B596="",$C596="",$U596="Subscription"),"",IFERROR(ROUNDUP((IF(ISNUMBER($C596),$C596,DATEVALUE($C596))-IF(ISNUMBER($B596),$B596,DATEVALUE($B596)))/7,0),""))</f>
        <v/>
      </c>
      <c r="W596" s="352">
        <f>IF($U596="Subscription","",$Q596-$S596)</f>
        <v/>
      </c>
      <c r="X596">
        <f>IF(OR($A596="",$U596="Subscription",$J596="",$I596="",$J596=0,$I596=0,$I596&gt;$J596),"",$J596-$I596)</f>
        <v/>
      </c>
      <c r="Y596">
        <f>IF(OR($A596="",$U596="Subscription",$J596="",$J596=0,$X596=""),"",$X596/$J596)</f>
        <v/>
      </c>
    </row>
    <row r="597">
      <c r="B597" s="354" t="n"/>
      <c r="C597" s="354" t="n"/>
      <c r="E597" s="350" t="n"/>
      <c r="F597" s="350" t="n"/>
      <c r="G597" s="350" t="n"/>
      <c r="H597" s="350" t="n"/>
      <c r="I597" s="350" t="n"/>
      <c r="J597" s="352" t="n"/>
      <c r="M597" s="350" t="n"/>
      <c r="N597" s="350">
        <f>IF($A597="","",IF(OR(LOWER($D597&amp;"")="n/a",ISNUMBER(SEARCH("subscription",LOWER($A597&amp;" "&amp;$M597&amp;""))),ISNUMBER(SEARCH("membership",LOWER($A597&amp;" "&amp;$M597&amp;"")))),"",IF($G597="","",IF(ISNUMBER(SEARCH("non",LOWER($E597&amp;""))),$G597*0.85,$G597))))</f>
        <v/>
      </c>
      <c r="O597">
        <f>IF($A597="","",IF(OR(LOWER($D597&amp;"")="n/a",ISNUMBER(SEARCH("subscription",LOWER($A597&amp;" "&amp;$M597&amp;""))),ISNUMBER(SEARCH("membership",LOWER($A597&amp;" "&amp;$M597&amp;"")))),"",IF(OR($N597="",$I597="",$I597=0),"",$N597/$I597)))</f>
        <v/>
      </c>
      <c r="P597">
        <f>IF($A597="","",IF(OR(LOWER($D597&amp;"")="n/a",ISNUMBER(SEARCH("subscription",LOWER($A597&amp;" "&amp;$M597&amp;""))),ISNUMBER(SEARCH("membership",LOWER($A597&amp;" "&amp;$M597&amp;"")))),"",IF(LOWER($L597&amp;"")="yes",0,IF($K597&lt;&gt;"",$K597,IF($O597&lt;&gt;"",$O597,"")))))</f>
        <v/>
      </c>
      <c r="Q597">
        <f>IF($A597="","",IF($U597="Subscription","",IF($U597="Profit",$P597-$H597,0)))</f>
        <v/>
      </c>
      <c r="R597">
        <f>IF($A597="","",IF($U597="Subscription","",IF($U597="Draw",$H597,0)))</f>
        <v/>
      </c>
      <c r="S597">
        <f>IF($A597="","",IF($U597="Subscription","",IF($U597="Disqualified",$H597,0)))</f>
        <v/>
      </c>
      <c r="T597">
        <f>IF($A597="","",IF($U597="Subscription","",IF($H597=0,IF($U597="Profit","N/A",0),IF($U597="Profit",$Q597/$H597,IF($U597="Disqualified",-1,0)))))</f>
        <v/>
      </c>
      <c r="U597" s="350">
        <f>IF($A597="","",IF(OR(LOWER($D597&amp;"")="n/a",ISNUMBER(SEARCH("subscription",LOWER($A597&amp;" "&amp;$M597&amp;""))),ISNUMBER(SEARCH("membership",LOWER($A597&amp;" "&amp;$M597&amp;"")))),"Subscription",IF(LOWER($L597&amp;"")="yes","Disqualified",IF($P597&gt;$H597,"Profit","Draw"))))</f>
        <v/>
      </c>
      <c r="V597">
        <f>IF(OR($A597="",$B597="",$C597="",$U597="Subscription"),"",IFERROR(ROUNDUP((IF(ISNUMBER($C597),$C597,DATEVALUE($C597))-IF(ISNUMBER($B597),$B597,DATEVALUE($B597)))/7,0),""))</f>
        <v/>
      </c>
      <c r="W597" s="352">
        <f>IF($U597="Subscription","",$Q597-$S597)</f>
        <v/>
      </c>
      <c r="X597">
        <f>IF(OR($A597="",$U597="Subscription",$J597="",$I597="",$J597=0,$I597=0,$I597&gt;$J597),"",$J597-$I597)</f>
        <v/>
      </c>
      <c r="Y597">
        <f>IF(OR($A597="",$U597="Subscription",$J597="",$J597=0,$X597=""),"",$X597/$J597)</f>
        <v/>
      </c>
    </row>
    <row r="598">
      <c r="B598" s="354" t="n"/>
      <c r="C598" s="354" t="n"/>
      <c r="E598" s="350" t="n"/>
      <c r="F598" s="350" t="n"/>
      <c r="G598" s="350" t="n"/>
      <c r="H598" s="350" t="n"/>
      <c r="I598" s="350" t="n"/>
      <c r="J598" s="352" t="n"/>
      <c r="M598" s="350" t="n"/>
      <c r="N598" s="350">
        <f>IF($A598="","",IF(OR(LOWER($D598&amp;"")="n/a",ISNUMBER(SEARCH("subscription",LOWER($A598&amp;" "&amp;$M598&amp;""))),ISNUMBER(SEARCH("membership",LOWER($A598&amp;" "&amp;$M598&amp;"")))),"",IF($G598="","",IF(ISNUMBER(SEARCH("non",LOWER($E598&amp;""))),$G598*0.85,$G598))))</f>
        <v/>
      </c>
      <c r="O598">
        <f>IF($A598="","",IF(OR(LOWER($D598&amp;"")="n/a",ISNUMBER(SEARCH("subscription",LOWER($A598&amp;" "&amp;$M598&amp;""))),ISNUMBER(SEARCH("membership",LOWER($A598&amp;" "&amp;$M598&amp;"")))),"",IF(OR($N598="",$I598="",$I598=0),"",$N598/$I598)))</f>
        <v/>
      </c>
      <c r="P598">
        <f>IF($A598="","",IF(OR(LOWER($D598&amp;"")="n/a",ISNUMBER(SEARCH("subscription",LOWER($A598&amp;" "&amp;$M598&amp;""))),ISNUMBER(SEARCH("membership",LOWER($A598&amp;" "&amp;$M598&amp;"")))),"",IF(LOWER($L598&amp;"")="yes",0,IF($K598&lt;&gt;"",$K598,IF($O598&lt;&gt;"",$O598,"")))))</f>
        <v/>
      </c>
      <c r="Q598">
        <f>IF($A598="","",IF($U598="Subscription","",IF($U598="Profit",$P598-$H598,0)))</f>
        <v/>
      </c>
      <c r="R598">
        <f>IF($A598="","",IF($U598="Subscription","",IF($U598="Draw",$H598,0)))</f>
        <v/>
      </c>
      <c r="S598">
        <f>IF($A598="","",IF($U598="Subscription","",IF($U598="Disqualified",$H598,0)))</f>
        <v/>
      </c>
      <c r="T598">
        <f>IF($A598="","",IF($U598="Subscription","",IF($H598=0,IF($U598="Profit","N/A",0),IF($U598="Profit",$Q598/$H598,IF($U598="Disqualified",-1,0)))))</f>
        <v/>
      </c>
      <c r="U598" s="350">
        <f>IF($A598="","",IF(OR(LOWER($D598&amp;"")="n/a",ISNUMBER(SEARCH("subscription",LOWER($A598&amp;" "&amp;$M598&amp;""))),ISNUMBER(SEARCH("membership",LOWER($A598&amp;" "&amp;$M598&amp;"")))),"Subscription",IF(LOWER($L598&amp;"")="yes","Disqualified",IF($P598&gt;$H598,"Profit","Draw"))))</f>
        <v/>
      </c>
      <c r="V598">
        <f>IF(OR($A598="",$B598="",$C598="",$U598="Subscription"),"",IFERROR(ROUNDUP((IF(ISNUMBER($C598),$C598,DATEVALUE($C598))-IF(ISNUMBER($B598),$B598,DATEVALUE($B598)))/7,0),""))</f>
        <v/>
      </c>
      <c r="W598" s="352">
        <f>IF($U598="Subscription","",$Q598-$S598)</f>
        <v/>
      </c>
      <c r="X598">
        <f>IF(OR($A598="",$U598="Subscription",$J598="",$I598="",$J598=0,$I598=0,$I598&gt;$J598),"",$J598-$I598)</f>
        <v/>
      </c>
      <c r="Y598">
        <f>IF(OR($A598="",$U598="Subscription",$J598="",$J598=0,$X598=""),"",$X598/$J598)</f>
        <v/>
      </c>
    </row>
    <row r="599">
      <c r="B599" s="354" t="n"/>
      <c r="C599" s="354" t="n"/>
      <c r="E599" s="350" t="n"/>
      <c r="F599" s="350" t="n"/>
      <c r="G599" s="350" t="n"/>
      <c r="H599" s="350" t="n"/>
      <c r="I599" s="350" t="n"/>
      <c r="J599" s="352" t="n"/>
      <c r="M599" s="350" t="n"/>
      <c r="N599" s="350">
        <f>IF($A599="","",IF(OR(LOWER($D599&amp;"")="n/a",ISNUMBER(SEARCH("subscription",LOWER($A599&amp;" "&amp;$M599&amp;""))),ISNUMBER(SEARCH("membership",LOWER($A599&amp;" "&amp;$M599&amp;"")))),"",IF($G599="","",IF(ISNUMBER(SEARCH("non",LOWER($E599&amp;""))),$G599*0.85,$G599))))</f>
        <v/>
      </c>
      <c r="O599">
        <f>IF($A599="","",IF(OR(LOWER($D599&amp;"")="n/a",ISNUMBER(SEARCH("subscription",LOWER($A599&amp;" "&amp;$M599&amp;""))),ISNUMBER(SEARCH("membership",LOWER($A599&amp;" "&amp;$M599&amp;"")))),"",IF(OR($N599="",$I599="",$I599=0),"",$N599/$I599)))</f>
        <v/>
      </c>
      <c r="P599">
        <f>IF($A599="","",IF(OR(LOWER($D599&amp;"")="n/a",ISNUMBER(SEARCH("subscription",LOWER($A599&amp;" "&amp;$M599&amp;""))),ISNUMBER(SEARCH("membership",LOWER($A599&amp;" "&amp;$M599&amp;"")))),"",IF(LOWER($L599&amp;"")="yes",0,IF($K599&lt;&gt;"",$K599,IF($O599&lt;&gt;"",$O599,"")))))</f>
        <v/>
      </c>
      <c r="Q599">
        <f>IF($A599="","",IF($U599="Subscription","",IF($U599="Profit",$P599-$H599,0)))</f>
        <v/>
      </c>
      <c r="R599">
        <f>IF($A599="","",IF($U599="Subscription","",IF($U599="Draw",$H599,0)))</f>
        <v/>
      </c>
      <c r="S599">
        <f>IF($A599="","",IF($U599="Subscription","",IF($U599="Disqualified",$H599,0)))</f>
        <v/>
      </c>
      <c r="T599">
        <f>IF($A599="","",IF($U599="Subscription","",IF($H599=0,IF($U599="Profit","N/A",0),IF($U599="Profit",$Q599/$H599,IF($U599="Disqualified",-1,0)))))</f>
        <v/>
      </c>
      <c r="U599" s="350">
        <f>IF($A599="","",IF(OR(LOWER($D599&amp;"")="n/a",ISNUMBER(SEARCH("subscription",LOWER($A599&amp;" "&amp;$M599&amp;""))),ISNUMBER(SEARCH("membership",LOWER($A599&amp;" "&amp;$M599&amp;"")))),"Subscription",IF(LOWER($L599&amp;"")="yes","Disqualified",IF($P599&gt;$H599,"Profit","Draw"))))</f>
        <v/>
      </c>
      <c r="V599">
        <f>IF(OR($A599="",$B599="",$C599="",$U599="Subscription"),"",IFERROR(ROUNDUP((IF(ISNUMBER($C599),$C599,DATEVALUE($C599))-IF(ISNUMBER($B599),$B599,DATEVALUE($B599)))/7,0),""))</f>
        <v/>
      </c>
      <c r="W599" s="352">
        <f>IF($U599="Subscription","",$Q599-$S599)</f>
        <v/>
      </c>
      <c r="X599">
        <f>IF(OR($A599="",$U599="Subscription",$J599="",$I599="",$J599=0,$I599=0,$I599&gt;$J599),"",$J599-$I599)</f>
        <v/>
      </c>
      <c r="Y599">
        <f>IF(OR($A599="",$U599="Subscription",$J599="",$J599=0,$X599=""),"",$X599/$J599)</f>
        <v/>
      </c>
    </row>
    <row r="600">
      <c r="B600" s="354" t="n"/>
      <c r="C600" s="354" t="n"/>
      <c r="E600" s="350" t="n"/>
      <c r="F600" s="350" t="n"/>
      <c r="G600" s="350" t="n"/>
      <c r="H600" s="350" t="n"/>
      <c r="I600" s="350" t="n"/>
      <c r="J600" s="352" t="n"/>
      <c r="M600" s="350" t="n"/>
      <c r="N600" s="350">
        <f>IF($A600="","",IF(OR(LOWER($D600&amp;"")="n/a",ISNUMBER(SEARCH("subscription",LOWER($A600&amp;" "&amp;$M600&amp;""))),ISNUMBER(SEARCH("membership",LOWER($A600&amp;" "&amp;$M600&amp;"")))),"",IF($G600="","",IF(ISNUMBER(SEARCH("non",LOWER($E600&amp;""))),$G600*0.85,$G600))))</f>
        <v/>
      </c>
      <c r="O600">
        <f>IF($A600="","",IF(OR(LOWER($D600&amp;"")="n/a",ISNUMBER(SEARCH("subscription",LOWER($A600&amp;" "&amp;$M600&amp;""))),ISNUMBER(SEARCH("membership",LOWER($A600&amp;" "&amp;$M600&amp;"")))),"",IF(OR($N600="",$I600="",$I600=0),"",$N600/$I600)))</f>
        <v/>
      </c>
      <c r="P600">
        <f>IF($A600="","",IF(OR(LOWER($D600&amp;"")="n/a",ISNUMBER(SEARCH("subscription",LOWER($A600&amp;" "&amp;$M600&amp;""))),ISNUMBER(SEARCH("membership",LOWER($A600&amp;" "&amp;$M600&amp;"")))),"",IF(LOWER($L600&amp;"")="yes",0,IF($K600&lt;&gt;"",$K600,IF($O600&lt;&gt;"",$O600,"")))))</f>
        <v/>
      </c>
      <c r="Q600">
        <f>IF($A600="","",IF($U600="Subscription","",IF($U600="Profit",$P600-$H600,0)))</f>
        <v/>
      </c>
      <c r="R600">
        <f>IF($A600="","",IF($U600="Subscription","",IF($U600="Draw",$H600,0)))</f>
        <v/>
      </c>
      <c r="S600">
        <f>IF($A600="","",IF($U600="Subscription","",IF($U600="Disqualified",$H600,0)))</f>
        <v/>
      </c>
      <c r="T600">
        <f>IF($A600="","",IF($U600="Subscription","",IF($H600=0,IF($U600="Profit","N/A",0),IF($U600="Profit",$Q600/$H600,IF($U600="Disqualified",-1,0)))))</f>
        <v/>
      </c>
      <c r="U600" s="350">
        <f>IF($A600="","",IF(OR(LOWER($D600&amp;"")="n/a",ISNUMBER(SEARCH("subscription",LOWER($A600&amp;" "&amp;$M600&amp;""))),ISNUMBER(SEARCH("membership",LOWER($A600&amp;" "&amp;$M600&amp;"")))),"Subscription",IF(LOWER($L600&amp;"")="yes","Disqualified",IF($P600&gt;$H600,"Profit","Draw"))))</f>
        <v/>
      </c>
      <c r="V600">
        <f>IF(OR($A600="",$B600="",$C600="",$U600="Subscription"),"",IFERROR(ROUNDUP((IF(ISNUMBER($C600),$C600,DATEVALUE($C600))-IF(ISNUMBER($B600),$B600,DATEVALUE($B600)))/7,0),""))</f>
        <v/>
      </c>
      <c r="W600" s="352">
        <f>IF($U600="Subscription","",$Q600-$S600)</f>
        <v/>
      </c>
      <c r="X600">
        <f>IF(OR($A600="",$U600="Subscription",$J600="",$I600="",$J600=0,$I600=0,$I600&gt;$J600),"",$J600-$I600)</f>
        <v/>
      </c>
      <c r="Y600">
        <f>IF(OR($A600="",$U600="Subscription",$J600="",$J600=0,$X600=""),"",$X600/$J600)</f>
        <v/>
      </c>
    </row>
    <row r="601">
      <c r="B601" s="354" t="n"/>
      <c r="C601" s="354" t="n"/>
      <c r="E601" s="350" t="n"/>
      <c r="F601" s="350" t="n"/>
      <c r="G601" s="350" t="n"/>
      <c r="H601" s="350" t="n"/>
      <c r="I601" s="350" t="n"/>
      <c r="J601" s="352" t="n"/>
      <c r="M601" s="350" t="n"/>
      <c r="N601" s="350">
        <f>IF($A601="","",IF(OR(LOWER($D601&amp;"")="n/a",ISNUMBER(SEARCH("subscription",LOWER($A601&amp;" "&amp;$M601&amp;""))),ISNUMBER(SEARCH("membership",LOWER($A601&amp;" "&amp;$M601&amp;"")))),"",IF($G601="","",IF(ISNUMBER(SEARCH("non",LOWER($E601&amp;""))),$G601*0.85,$G601))))</f>
        <v/>
      </c>
      <c r="O601">
        <f>IF($A601="","",IF(OR(LOWER($D601&amp;"")="n/a",ISNUMBER(SEARCH("subscription",LOWER($A601&amp;" "&amp;$M601&amp;""))),ISNUMBER(SEARCH("membership",LOWER($A601&amp;" "&amp;$M601&amp;"")))),"",IF(OR($N601="",$I601="",$I601=0),"",$N601/$I601)))</f>
        <v/>
      </c>
      <c r="P601">
        <f>IF($A601="","",IF(OR(LOWER($D601&amp;"")="n/a",ISNUMBER(SEARCH("subscription",LOWER($A601&amp;" "&amp;$M601&amp;""))),ISNUMBER(SEARCH("membership",LOWER($A601&amp;" "&amp;$M601&amp;"")))),"",IF(LOWER($L601&amp;"")="yes",0,IF($K601&lt;&gt;"",$K601,IF($O601&lt;&gt;"",$O601,"")))))</f>
        <v/>
      </c>
      <c r="Q601">
        <f>IF($A601="","",IF($U601="Subscription","",IF($U601="Profit",$P601-$H601,0)))</f>
        <v/>
      </c>
      <c r="R601">
        <f>IF($A601="","",IF($U601="Subscription","",IF($U601="Draw",$H601,0)))</f>
        <v/>
      </c>
      <c r="S601">
        <f>IF($A601="","",IF($U601="Subscription","",IF($U601="Disqualified",$H601,0)))</f>
        <v/>
      </c>
      <c r="T601">
        <f>IF($A601="","",IF($U601="Subscription","",IF($H601=0,IF($U601="Profit","N/A",0),IF($U601="Profit",$Q601/$H601,IF($U601="Disqualified",-1,0)))))</f>
        <v/>
      </c>
      <c r="U601" s="350">
        <f>IF($A601="","",IF(OR(LOWER($D601&amp;"")="n/a",ISNUMBER(SEARCH("subscription",LOWER($A601&amp;" "&amp;$M601&amp;""))),ISNUMBER(SEARCH("membership",LOWER($A601&amp;" "&amp;$M601&amp;"")))),"Subscription",IF(LOWER($L601&amp;"")="yes","Disqualified",IF($P601&gt;$H601,"Profit","Draw"))))</f>
        <v/>
      </c>
      <c r="V601">
        <f>IF(OR($A601="",$B601="",$C601="",$U601="Subscription"),"",IFERROR(ROUNDUP((IF(ISNUMBER($C601),$C601,DATEVALUE($C601))-IF(ISNUMBER($B601),$B601,DATEVALUE($B601)))/7,0),""))</f>
        <v/>
      </c>
      <c r="W601" s="352">
        <f>IF($U601="Subscription","",$Q601-$S601)</f>
        <v/>
      </c>
      <c r="X601">
        <f>IF(OR($A601="",$U601="Subscription",$J601="",$I601="",$J601=0,$I601=0,$I601&gt;$J601),"",$J601-$I601)</f>
        <v/>
      </c>
      <c r="Y601">
        <f>IF(OR($A601="",$U601="Subscription",$J601="",$J601=0,$X601=""),"",$X601/$J601)</f>
        <v/>
      </c>
    </row>
    <row r="602">
      <c r="B602" s="354" t="n"/>
      <c r="C602" s="354" t="n"/>
      <c r="E602" s="350" t="n"/>
      <c r="F602" s="350" t="n"/>
      <c r="G602" s="350" t="n"/>
      <c r="H602" s="350" t="n"/>
      <c r="I602" s="350" t="n"/>
      <c r="J602" s="352" t="n"/>
      <c r="M602" s="350" t="n"/>
      <c r="N602" s="350">
        <f>IF($A602="","",IF(OR(LOWER($D602&amp;"")="n/a",ISNUMBER(SEARCH("subscription",LOWER($A602&amp;" "&amp;$M602&amp;""))),ISNUMBER(SEARCH("membership",LOWER($A602&amp;" "&amp;$M602&amp;"")))),"",IF($G602="","",IF(ISNUMBER(SEARCH("non",LOWER($E602&amp;""))),$G602*0.85,$G602))))</f>
        <v/>
      </c>
      <c r="O602">
        <f>IF($A602="","",IF(OR(LOWER($D602&amp;"")="n/a",ISNUMBER(SEARCH("subscription",LOWER($A602&amp;" "&amp;$M602&amp;""))),ISNUMBER(SEARCH("membership",LOWER($A602&amp;" "&amp;$M602&amp;"")))),"",IF(OR($N602="",$I602="",$I602=0),"",$N602/$I602)))</f>
        <v/>
      </c>
      <c r="P602">
        <f>IF($A602="","",IF(OR(LOWER($D602&amp;"")="n/a",ISNUMBER(SEARCH("subscription",LOWER($A602&amp;" "&amp;$M602&amp;""))),ISNUMBER(SEARCH("membership",LOWER($A602&amp;" "&amp;$M602&amp;"")))),"",IF(LOWER($L602&amp;"")="yes",0,IF($K602&lt;&gt;"",$K602,IF($O602&lt;&gt;"",$O602,"")))))</f>
        <v/>
      </c>
      <c r="Q602">
        <f>IF($A602="","",IF($U602="Subscription","",IF($U602="Profit",$P602-$H602,0)))</f>
        <v/>
      </c>
      <c r="R602">
        <f>IF($A602="","",IF($U602="Subscription","",IF($U602="Draw",$H602,0)))</f>
        <v/>
      </c>
      <c r="S602">
        <f>IF($A602="","",IF($U602="Subscription","",IF($U602="Disqualified",$H602,0)))</f>
        <v/>
      </c>
      <c r="T602">
        <f>IF($A602="","",IF($U602="Subscription","",IF($H602=0,IF($U602="Profit","N/A",0),IF($U602="Profit",$Q602/$H602,IF($U602="Disqualified",-1,0)))))</f>
        <v/>
      </c>
      <c r="U602" s="350">
        <f>IF($A602="","",IF(OR(LOWER($D602&amp;"")="n/a",ISNUMBER(SEARCH("subscription",LOWER($A602&amp;" "&amp;$M602&amp;""))),ISNUMBER(SEARCH("membership",LOWER($A602&amp;" "&amp;$M602&amp;"")))),"Subscription",IF(LOWER($L602&amp;"")="yes","Disqualified",IF($P602&gt;$H602,"Profit","Draw"))))</f>
        <v/>
      </c>
      <c r="V602">
        <f>IF(OR($A602="",$B602="",$C602="",$U602="Subscription"),"",IFERROR(ROUNDUP((IF(ISNUMBER($C602),$C602,DATEVALUE($C602))-IF(ISNUMBER($B602),$B602,DATEVALUE($B602)))/7,0),""))</f>
        <v/>
      </c>
      <c r="W602" s="352">
        <f>IF($U602="Subscription","",$Q602-$S602)</f>
        <v/>
      </c>
      <c r="X602">
        <f>IF(OR($A602="",$U602="Subscription",$J602="",$I602="",$J602=0,$I602=0,$I602&gt;$J602),"",$J602-$I602)</f>
        <v/>
      </c>
      <c r="Y602">
        <f>IF(OR($A602="",$U602="Subscription",$J602="",$J602=0,$X602=""),"",$X602/$J602)</f>
        <v/>
      </c>
    </row>
    <row r="603">
      <c r="B603" s="354" t="n"/>
      <c r="C603" s="354" t="n"/>
      <c r="E603" s="350" t="n"/>
      <c r="F603" s="350" t="n"/>
      <c r="G603" s="350" t="n"/>
      <c r="H603" s="350" t="n"/>
      <c r="I603" s="350" t="n"/>
      <c r="J603" s="352" t="n"/>
      <c r="M603" s="350" t="n"/>
      <c r="N603" s="350">
        <f>IF($A603="","",IF(OR(LOWER($D603&amp;"")="n/a",ISNUMBER(SEARCH("subscription",LOWER($A603&amp;" "&amp;$M603&amp;""))),ISNUMBER(SEARCH("membership",LOWER($A603&amp;" "&amp;$M603&amp;"")))),"",IF($G603="","",IF(ISNUMBER(SEARCH("non",LOWER($E603&amp;""))),$G603*0.85,$G603))))</f>
        <v/>
      </c>
      <c r="O603">
        <f>IF($A603="","",IF(OR(LOWER($D603&amp;"")="n/a",ISNUMBER(SEARCH("subscription",LOWER($A603&amp;" "&amp;$M603&amp;""))),ISNUMBER(SEARCH("membership",LOWER($A603&amp;" "&amp;$M603&amp;"")))),"",IF(OR($N603="",$I603="",$I603=0),"",$N603/$I603)))</f>
        <v/>
      </c>
      <c r="P603">
        <f>IF($A603="","",IF(OR(LOWER($D603&amp;"")="n/a",ISNUMBER(SEARCH("subscription",LOWER($A603&amp;" "&amp;$M603&amp;""))),ISNUMBER(SEARCH("membership",LOWER($A603&amp;" "&amp;$M603&amp;"")))),"",IF(LOWER($L603&amp;"")="yes",0,IF($K603&lt;&gt;"",$K603,IF($O603&lt;&gt;"",$O603,"")))))</f>
        <v/>
      </c>
      <c r="Q603">
        <f>IF($A603="","",IF($U603="Subscription","",IF($U603="Profit",$P603-$H603,0)))</f>
        <v/>
      </c>
      <c r="R603">
        <f>IF($A603="","",IF($U603="Subscription","",IF($U603="Draw",$H603,0)))</f>
        <v/>
      </c>
      <c r="S603">
        <f>IF($A603="","",IF($U603="Subscription","",IF($U603="Disqualified",$H603,0)))</f>
        <v/>
      </c>
      <c r="T603">
        <f>IF($A603="","",IF($U603="Subscription","",IF($H603=0,IF($U603="Profit","N/A",0),IF($U603="Profit",$Q603/$H603,IF($U603="Disqualified",-1,0)))))</f>
        <v/>
      </c>
      <c r="U603" s="350">
        <f>IF($A603="","",IF(OR(LOWER($D603&amp;"")="n/a",ISNUMBER(SEARCH("subscription",LOWER($A603&amp;" "&amp;$M603&amp;""))),ISNUMBER(SEARCH("membership",LOWER($A603&amp;" "&amp;$M603&amp;"")))),"Subscription",IF(LOWER($L603&amp;"")="yes","Disqualified",IF($P603&gt;$H603,"Profit","Draw"))))</f>
        <v/>
      </c>
      <c r="V603">
        <f>IF(OR($A603="",$B603="",$C603="",$U603="Subscription"),"",IFERROR(ROUNDUP((IF(ISNUMBER($C603),$C603,DATEVALUE($C603))-IF(ISNUMBER($B603),$B603,DATEVALUE($B603)))/7,0),""))</f>
        <v/>
      </c>
      <c r="W603" s="352">
        <f>IF($U603="Subscription","",$Q603-$S603)</f>
        <v/>
      </c>
      <c r="X603">
        <f>IF(OR($A603="",$U603="Subscription",$J603="",$I603="",$J603=0,$I603=0,$I603&gt;$J603),"",$J603-$I603)</f>
        <v/>
      </c>
      <c r="Y603">
        <f>IF(OR($A603="",$U603="Subscription",$J603="",$J603=0,$X603=""),"",$X603/$J603)</f>
        <v/>
      </c>
    </row>
    <row r="604">
      <c r="B604" s="354" t="n"/>
      <c r="C604" s="354" t="n"/>
      <c r="E604" s="350" t="n"/>
      <c r="F604" s="350" t="n"/>
      <c r="G604" s="350" t="n"/>
      <c r="H604" s="350" t="n"/>
      <c r="I604" s="350" t="n"/>
      <c r="J604" s="352" t="n"/>
      <c r="M604" s="350" t="n"/>
      <c r="N604" s="350">
        <f>IF($A604="","",IF(OR(LOWER($D604&amp;"")="n/a",ISNUMBER(SEARCH("subscription",LOWER($A604&amp;" "&amp;$M604&amp;""))),ISNUMBER(SEARCH("membership",LOWER($A604&amp;" "&amp;$M604&amp;"")))),"",IF($G604="","",IF(ISNUMBER(SEARCH("non",LOWER($E604&amp;""))),$G604*0.85,$G604))))</f>
        <v/>
      </c>
      <c r="O604">
        <f>IF($A604="","",IF(OR(LOWER($D604&amp;"")="n/a",ISNUMBER(SEARCH("subscription",LOWER($A604&amp;" "&amp;$M604&amp;""))),ISNUMBER(SEARCH("membership",LOWER($A604&amp;" "&amp;$M604&amp;"")))),"",IF(OR($N604="",$I604="",$I604=0),"",$N604/$I604)))</f>
        <v/>
      </c>
      <c r="P604">
        <f>IF($A604="","",IF(OR(LOWER($D604&amp;"")="n/a",ISNUMBER(SEARCH("subscription",LOWER($A604&amp;" "&amp;$M604&amp;""))),ISNUMBER(SEARCH("membership",LOWER($A604&amp;" "&amp;$M604&amp;"")))),"",IF(LOWER($L604&amp;"")="yes",0,IF($K604&lt;&gt;"",$K604,IF($O604&lt;&gt;"",$O604,"")))))</f>
        <v/>
      </c>
      <c r="Q604">
        <f>IF($A604="","",IF($U604="Subscription","",IF($U604="Profit",$P604-$H604,0)))</f>
        <v/>
      </c>
      <c r="R604">
        <f>IF($A604="","",IF($U604="Subscription","",IF($U604="Draw",$H604,0)))</f>
        <v/>
      </c>
      <c r="S604">
        <f>IF($A604="","",IF($U604="Subscription","",IF($U604="Disqualified",$H604,0)))</f>
        <v/>
      </c>
      <c r="T604">
        <f>IF($A604="","",IF($U604="Subscription","",IF($H604=0,IF($U604="Profit","N/A",0),IF($U604="Profit",$Q604/$H604,IF($U604="Disqualified",-1,0)))))</f>
        <v/>
      </c>
      <c r="U604" s="350">
        <f>IF($A604="","",IF(OR(LOWER($D604&amp;"")="n/a",ISNUMBER(SEARCH("subscription",LOWER($A604&amp;" "&amp;$M604&amp;""))),ISNUMBER(SEARCH("membership",LOWER($A604&amp;" "&amp;$M604&amp;"")))),"Subscription",IF(LOWER($L604&amp;"")="yes","Disqualified",IF($P604&gt;$H604,"Profit","Draw"))))</f>
        <v/>
      </c>
      <c r="V604">
        <f>IF(OR($A604="",$B604="",$C604="",$U604="Subscription"),"",IFERROR(ROUNDUP((IF(ISNUMBER($C604),$C604,DATEVALUE($C604))-IF(ISNUMBER($B604),$B604,DATEVALUE($B604)))/7,0),""))</f>
        <v/>
      </c>
      <c r="W604" s="352">
        <f>IF($U604="Subscription","",$Q604-$S604)</f>
        <v/>
      </c>
      <c r="X604">
        <f>IF(OR($A604="",$U604="Subscription",$J604="",$I604="",$J604=0,$I604=0,$I604&gt;$J604),"",$J604-$I604)</f>
        <v/>
      </c>
      <c r="Y604">
        <f>IF(OR($A604="",$U604="Subscription",$J604="",$J604=0,$X604=""),"",$X604/$J604)</f>
        <v/>
      </c>
    </row>
    <row r="605">
      <c r="B605" s="354" t="n"/>
      <c r="C605" s="354" t="n"/>
      <c r="E605" s="350" t="n"/>
      <c r="F605" s="350" t="n"/>
      <c r="G605" s="350" t="n"/>
      <c r="H605" s="350" t="n"/>
      <c r="I605" s="350" t="n"/>
      <c r="J605" s="352" t="n"/>
      <c r="M605" s="350" t="n"/>
      <c r="N605" s="350">
        <f>IF($A605="","",IF(OR(LOWER($D605&amp;"")="n/a",ISNUMBER(SEARCH("subscription",LOWER($A605&amp;" "&amp;$M605&amp;""))),ISNUMBER(SEARCH("membership",LOWER($A605&amp;" "&amp;$M605&amp;"")))),"",IF($G605="","",IF(ISNUMBER(SEARCH("non",LOWER($E605&amp;""))),$G605*0.85,$G605))))</f>
        <v/>
      </c>
      <c r="O605">
        <f>IF($A605="","",IF(OR(LOWER($D605&amp;"")="n/a",ISNUMBER(SEARCH("subscription",LOWER($A605&amp;" "&amp;$M605&amp;""))),ISNUMBER(SEARCH("membership",LOWER($A605&amp;" "&amp;$M605&amp;"")))),"",IF(OR($N605="",$I605="",$I605=0),"",$N605/$I605)))</f>
        <v/>
      </c>
      <c r="P605">
        <f>IF($A605="","",IF(OR(LOWER($D605&amp;"")="n/a",ISNUMBER(SEARCH("subscription",LOWER($A605&amp;" "&amp;$M605&amp;""))),ISNUMBER(SEARCH("membership",LOWER($A605&amp;" "&amp;$M605&amp;"")))),"",IF(LOWER($L605&amp;"")="yes",0,IF($K605&lt;&gt;"",$K605,IF($O605&lt;&gt;"",$O605,"")))))</f>
        <v/>
      </c>
      <c r="Q605">
        <f>IF($A605="","",IF($U605="Subscription","",IF($U605="Profit",$P605-$H605,0)))</f>
        <v/>
      </c>
      <c r="R605">
        <f>IF($A605="","",IF($U605="Subscription","",IF($U605="Draw",$H605,0)))</f>
        <v/>
      </c>
      <c r="S605">
        <f>IF($A605="","",IF($U605="Subscription","",IF($U605="Disqualified",$H605,0)))</f>
        <v/>
      </c>
      <c r="T605">
        <f>IF($A605="","",IF($U605="Subscription","",IF($H605=0,IF($U605="Profit","N/A",0),IF($U605="Profit",$Q605/$H605,IF($U605="Disqualified",-1,0)))))</f>
        <v/>
      </c>
      <c r="U605" s="350">
        <f>IF($A605="","",IF(OR(LOWER($D605&amp;"")="n/a",ISNUMBER(SEARCH("subscription",LOWER($A605&amp;" "&amp;$M605&amp;""))),ISNUMBER(SEARCH("membership",LOWER($A605&amp;" "&amp;$M605&amp;"")))),"Subscription",IF(LOWER($L605&amp;"")="yes","Disqualified",IF($P605&gt;$H605,"Profit","Draw"))))</f>
        <v/>
      </c>
      <c r="V605">
        <f>IF(OR($A605="",$B605="",$C605="",$U605="Subscription"),"",IFERROR(ROUNDUP((IF(ISNUMBER($C605),$C605,DATEVALUE($C605))-IF(ISNUMBER($B605),$B605,DATEVALUE($B605)))/7,0),""))</f>
        <v/>
      </c>
      <c r="W605" s="352">
        <f>IF($U605="Subscription","",$Q605-$S605)</f>
        <v/>
      </c>
      <c r="X605">
        <f>IF(OR($A605="",$U605="Subscription",$J605="",$I605="",$J605=0,$I605=0,$I605&gt;$J605),"",$J605-$I605)</f>
        <v/>
      </c>
      <c r="Y605">
        <f>IF(OR($A605="",$U605="Subscription",$J605="",$J605=0,$X605=""),"",$X605/$J605)</f>
        <v/>
      </c>
    </row>
    <row r="606">
      <c r="B606" s="354" t="n"/>
      <c r="C606" s="354" t="n"/>
      <c r="E606" s="350" t="n"/>
      <c r="F606" s="350" t="n"/>
      <c r="G606" s="350" t="n"/>
      <c r="H606" s="350" t="n"/>
      <c r="I606" s="350" t="n"/>
      <c r="J606" s="352" t="n"/>
      <c r="M606" s="350" t="n"/>
      <c r="N606" s="350">
        <f>IF($A606="","",IF(OR(LOWER($D606&amp;"")="n/a",ISNUMBER(SEARCH("subscription",LOWER($A606&amp;" "&amp;$M606&amp;""))),ISNUMBER(SEARCH("membership",LOWER($A606&amp;" "&amp;$M606&amp;"")))),"",IF($G606="","",IF(ISNUMBER(SEARCH("non",LOWER($E606&amp;""))),$G606*0.85,$G606))))</f>
        <v/>
      </c>
      <c r="O606">
        <f>IF($A606="","",IF(OR(LOWER($D606&amp;"")="n/a",ISNUMBER(SEARCH("subscription",LOWER($A606&amp;" "&amp;$M606&amp;""))),ISNUMBER(SEARCH("membership",LOWER($A606&amp;" "&amp;$M606&amp;"")))),"",IF(OR($N606="",$I606="",$I606=0),"",$N606/$I606)))</f>
        <v/>
      </c>
      <c r="P606">
        <f>IF($A606="","",IF(OR(LOWER($D606&amp;"")="n/a",ISNUMBER(SEARCH("subscription",LOWER($A606&amp;" "&amp;$M606&amp;""))),ISNUMBER(SEARCH("membership",LOWER($A606&amp;" "&amp;$M606&amp;"")))),"",IF(LOWER($L606&amp;"")="yes",0,IF($K606&lt;&gt;"",$K606,IF($O606&lt;&gt;"",$O606,"")))))</f>
        <v/>
      </c>
      <c r="Q606">
        <f>IF($A606="","",IF($U606="Subscription","",IF($U606="Profit",$P606-$H606,0)))</f>
        <v/>
      </c>
      <c r="R606">
        <f>IF($A606="","",IF($U606="Subscription","",IF($U606="Draw",$H606,0)))</f>
        <v/>
      </c>
      <c r="S606">
        <f>IF($A606="","",IF($U606="Subscription","",IF($U606="Disqualified",$H606,0)))</f>
        <v/>
      </c>
      <c r="T606">
        <f>IF($A606="","",IF($U606="Subscription","",IF($H606=0,IF($U606="Profit","N/A",0),IF($U606="Profit",$Q606/$H606,IF($U606="Disqualified",-1,0)))))</f>
        <v/>
      </c>
      <c r="U606" s="350">
        <f>IF($A606="","",IF(OR(LOWER($D606&amp;"")="n/a",ISNUMBER(SEARCH("subscription",LOWER($A606&amp;" "&amp;$M606&amp;""))),ISNUMBER(SEARCH("membership",LOWER($A606&amp;" "&amp;$M606&amp;"")))),"Subscription",IF(LOWER($L606&amp;"")="yes","Disqualified",IF($P606&gt;$H606,"Profit","Draw"))))</f>
        <v/>
      </c>
      <c r="V606">
        <f>IF(OR($A606="",$B606="",$C606="",$U606="Subscription"),"",IFERROR(ROUNDUP((IF(ISNUMBER($C606),$C606,DATEVALUE($C606))-IF(ISNUMBER($B606),$B606,DATEVALUE($B606)))/7,0),""))</f>
        <v/>
      </c>
      <c r="W606" s="352">
        <f>IF($U606="Subscription","",$Q606-$S606)</f>
        <v/>
      </c>
      <c r="X606">
        <f>IF(OR($A606="",$U606="Subscription",$J606="",$I606="",$J606=0,$I606=0,$I606&gt;$J606),"",$J606-$I606)</f>
        <v/>
      </c>
      <c r="Y606">
        <f>IF(OR($A606="",$U606="Subscription",$J606="",$J606=0,$X606=""),"",$X606/$J606)</f>
        <v/>
      </c>
    </row>
    <row r="607">
      <c r="B607" s="354" t="n"/>
      <c r="C607" s="354" t="n"/>
      <c r="E607" s="350" t="n"/>
      <c r="F607" s="350" t="n"/>
      <c r="G607" s="350" t="n"/>
      <c r="H607" s="350" t="n"/>
      <c r="I607" s="350" t="n"/>
      <c r="J607" s="352" t="n"/>
      <c r="M607" s="350" t="n"/>
      <c r="N607" s="350">
        <f>IF($A607="","",IF(OR(LOWER($D607&amp;"")="n/a",ISNUMBER(SEARCH("subscription",LOWER($A607&amp;" "&amp;$M607&amp;""))),ISNUMBER(SEARCH("membership",LOWER($A607&amp;" "&amp;$M607&amp;"")))),"",IF($G607="","",IF(ISNUMBER(SEARCH("non",LOWER($E607&amp;""))),$G607*0.85,$G607))))</f>
        <v/>
      </c>
      <c r="O607">
        <f>IF($A607="","",IF(OR(LOWER($D607&amp;"")="n/a",ISNUMBER(SEARCH("subscription",LOWER($A607&amp;" "&amp;$M607&amp;""))),ISNUMBER(SEARCH("membership",LOWER($A607&amp;" "&amp;$M607&amp;"")))),"",IF(OR($N607="",$I607="",$I607=0),"",$N607/$I607)))</f>
        <v/>
      </c>
      <c r="P607">
        <f>IF($A607="","",IF(OR(LOWER($D607&amp;"")="n/a",ISNUMBER(SEARCH("subscription",LOWER($A607&amp;" "&amp;$M607&amp;""))),ISNUMBER(SEARCH("membership",LOWER($A607&amp;" "&amp;$M607&amp;"")))),"",IF(LOWER($L607&amp;"")="yes",0,IF($K607&lt;&gt;"",$K607,IF($O607&lt;&gt;"",$O607,"")))))</f>
        <v/>
      </c>
      <c r="Q607">
        <f>IF($A607="","",IF($U607="Subscription","",IF($U607="Profit",$P607-$H607,0)))</f>
        <v/>
      </c>
      <c r="R607">
        <f>IF($A607="","",IF($U607="Subscription","",IF($U607="Draw",$H607,0)))</f>
        <v/>
      </c>
      <c r="S607">
        <f>IF($A607="","",IF($U607="Subscription","",IF($U607="Disqualified",$H607,0)))</f>
        <v/>
      </c>
      <c r="T607">
        <f>IF($A607="","",IF($U607="Subscription","",IF($H607=0,IF($U607="Profit","N/A",0),IF($U607="Profit",$Q607/$H607,IF($U607="Disqualified",-1,0)))))</f>
        <v/>
      </c>
      <c r="U607" s="350">
        <f>IF($A607="","",IF(OR(LOWER($D607&amp;"")="n/a",ISNUMBER(SEARCH("subscription",LOWER($A607&amp;" "&amp;$M607&amp;""))),ISNUMBER(SEARCH("membership",LOWER($A607&amp;" "&amp;$M607&amp;"")))),"Subscription",IF(LOWER($L607&amp;"")="yes","Disqualified",IF($P607&gt;$H607,"Profit","Draw"))))</f>
        <v/>
      </c>
      <c r="V607">
        <f>IF(OR($A607="",$B607="",$C607="",$U607="Subscription"),"",IFERROR(ROUNDUP((IF(ISNUMBER($C607),$C607,DATEVALUE($C607))-IF(ISNUMBER($B607),$B607,DATEVALUE($B607)))/7,0),""))</f>
        <v/>
      </c>
      <c r="W607" s="352">
        <f>IF($U607="Subscription","",$Q607-$S607)</f>
        <v/>
      </c>
      <c r="X607">
        <f>IF(OR($A607="",$U607="Subscription",$J607="",$I607="",$J607=0,$I607=0,$I607&gt;$J607),"",$J607-$I607)</f>
        <v/>
      </c>
      <c r="Y607">
        <f>IF(OR($A607="",$U607="Subscription",$J607="",$J607=0,$X607=""),"",$X607/$J607)</f>
        <v/>
      </c>
    </row>
    <row r="608">
      <c r="B608" s="354" t="n"/>
      <c r="C608" s="354" t="n"/>
      <c r="E608" s="350" t="n"/>
      <c r="F608" s="350" t="n"/>
      <c r="G608" s="350" t="n"/>
      <c r="H608" s="350" t="n"/>
      <c r="I608" s="350" t="n"/>
      <c r="J608" s="352" t="n"/>
      <c r="M608" s="350" t="n"/>
      <c r="N608" s="350">
        <f>IF($A608="","",IF(OR(LOWER($D608&amp;"")="n/a",ISNUMBER(SEARCH("subscription",LOWER($A608&amp;" "&amp;$M608&amp;""))),ISNUMBER(SEARCH("membership",LOWER($A608&amp;" "&amp;$M608&amp;"")))),"",IF($G608="","",IF(ISNUMBER(SEARCH("non",LOWER($E608&amp;""))),$G608*0.85,$G608))))</f>
        <v/>
      </c>
      <c r="O608">
        <f>IF($A608="","",IF(OR(LOWER($D608&amp;"")="n/a",ISNUMBER(SEARCH("subscription",LOWER($A608&amp;" "&amp;$M608&amp;""))),ISNUMBER(SEARCH("membership",LOWER($A608&amp;" "&amp;$M608&amp;"")))),"",IF(OR($N608="",$I608="",$I608=0),"",$N608/$I608)))</f>
        <v/>
      </c>
      <c r="P608">
        <f>IF($A608="","",IF(OR(LOWER($D608&amp;"")="n/a",ISNUMBER(SEARCH("subscription",LOWER($A608&amp;" "&amp;$M608&amp;""))),ISNUMBER(SEARCH("membership",LOWER($A608&amp;" "&amp;$M608&amp;"")))),"",IF(LOWER($L608&amp;"")="yes",0,IF($K608&lt;&gt;"",$K608,IF($O608&lt;&gt;"",$O608,"")))))</f>
        <v/>
      </c>
      <c r="Q608">
        <f>IF($A608="","",IF($U608="Subscription","",IF($U608="Profit",$P608-$H608,0)))</f>
        <v/>
      </c>
      <c r="R608">
        <f>IF($A608="","",IF($U608="Subscription","",IF($U608="Draw",$H608,0)))</f>
        <v/>
      </c>
      <c r="S608">
        <f>IF($A608="","",IF($U608="Subscription","",IF($U608="Disqualified",$H608,0)))</f>
        <v/>
      </c>
      <c r="T608">
        <f>IF($A608="","",IF($U608="Subscription","",IF($H608=0,IF($U608="Profit","N/A",0),IF($U608="Profit",$Q608/$H608,IF($U608="Disqualified",-1,0)))))</f>
        <v/>
      </c>
      <c r="U608" s="350">
        <f>IF($A608="","",IF(OR(LOWER($D608&amp;"")="n/a",ISNUMBER(SEARCH("subscription",LOWER($A608&amp;" "&amp;$M608&amp;""))),ISNUMBER(SEARCH("membership",LOWER($A608&amp;" "&amp;$M608&amp;"")))),"Subscription",IF(LOWER($L608&amp;"")="yes","Disqualified",IF($P608&gt;$H608,"Profit","Draw"))))</f>
        <v/>
      </c>
      <c r="V608">
        <f>IF(OR($A608="",$B608="",$C608="",$U608="Subscription"),"",IFERROR(ROUNDUP((IF(ISNUMBER($C608),$C608,DATEVALUE($C608))-IF(ISNUMBER($B608),$B608,DATEVALUE($B608)))/7,0),""))</f>
        <v/>
      </c>
      <c r="W608" s="352">
        <f>IF($U608="Subscription","",$Q608-$S608)</f>
        <v/>
      </c>
      <c r="X608">
        <f>IF(OR($A608="",$U608="Subscription",$J608="",$I608="",$J608=0,$I608=0,$I608&gt;$J608),"",$J608-$I608)</f>
        <v/>
      </c>
      <c r="Y608">
        <f>IF(OR($A608="",$U608="Subscription",$J608="",$J608=0,$X608=""),"",$X608/$J608)</f>
        <v/>
      </c>
    </row>
    <row r="609">
      <c r="B609" s="354" t="n"/>
      <c r="C609" s="354" t="n"/>
      <c r="E609" s="350" t="n"/>
      <c r="F609" s="350" t="n"/>
      <c r="G609" s="350" t="n"/>
      <c r="H609" s="350" t="n"/>
      <c r="I609" s="350" t="n"/>
      <c r="J609" s="352" t="n"/>
      <c r="M609" s="350" t="n"/>
      <c r="N609" s="350">
        <f>IF($A609="","",IF(OR(LOWER($D609&amp;"")="n/a",ISNUMBER(SEARCH("subscription",LOWER($A609&amp;" "&amp;$M609&amp;""))),ISNUMBER(SEARCH("membership",LOWER($A609&amp;" "&amp;$M609&amp;"")))),"",IF($G609="","",IF(ISNUMBER(SEARCH("non",LOWER($E609&amp;""))),$G609*0.85,$G609))))</f>
        <v/>
      </c>
      <c r="O609">
        <f>IF($A609="","",IF(OR(LOWER($D609&amp;"")="n/a",ISNUMBER(SEARCH("subscription",LOWER($A609&amp;" "&amp;$M609&amp;""))),ISNUMBER(SEARCH("membership",LOWER($A609&amp;" "&amp;$M609&amp;"")))),"",IF(OR($N609="",$I609="",$I609=0),"",$N609/$I609)))</f>
        <v/>
      </c>
      <c r="P609">
        <f>IF($A609="","",IF(OR(LOWER($D609&amp;"")="n/a",ISNUMBER(SEARCH("subscription",LOWER($A609&amp;" "&amp;$M609&amp;""))),ISNUMBER(SEARCH("membership",LOWER($A609&amp;" "&amp;$M609&amp;"")))),"",IF(LOWER($L609&amp;"")="yes",0,IF($K609&lt;&gt;"",$K609,IF($O609&lt;&gt;"",$O609,"")))))</f>
        <v/>
      </c>
      <c r="Q609">
        <f>IF($A609="","",IF($U609="Subscription","",IF($U609="Profit",$P609-$H609,0)))</f>
        <v/>
      </c>
      <c r="R609">
        <f>IF($A609="","",IF($U609="Subscription","",IF($U609="Draw",$H609,0)))</f>
        <v/>
      </c>
      <c r="S609">
        <f>IF($A609="","",IF($U609="Subscription","",IF($U609="Disqualified",$H609,0)))</f>
        <v/>
      </c>
      <c r="T609">
        <f>IF($A609="","",IF($U609="Subscription","",IF($H609=0,IF($U609="Profit","N/A",0),IF($U609="Profit",$Q609/$H609,IF($U609="Disqualified",-1,0)))))</f>
        <v/>
      </c>
      <c r="U609" s="350">
        <f>IF($A609="","",IF(OR(LOWER($D609&amp;"")="n/a",ISNUMBER(SEARCH("subscription",LOWER($A609&amp;" "&amp;$M609&amp;""))),ISNUMBER(SEARCH("membership",LOWER($A609&amp;" "&amp;$M609&amp;"")))),"Subscription",IF(LOWER($L609&amp;"")="yes","Disqualified",IF($P609&gt;$H609,"Profit","Draw"))))</f>
        <v/>
      </c>
      <c r="V609">
        <f>IF(OR($A609="",$B609="",$C609="",$U609="Subscription"),"",IFERROR(ROUNDUP((IF(ISNUMBER($C609),$C609,DATEVALUE($C609))-IF(ISNUMBER($B609),$B609,DATEVALUE($B609)))/7,0),""))</f>
        <v/>
      </c>
      <c r="W609" s="352">
        <f>IF($U609="Subscription","",$Q609-$S609)</f>
        <v/>
      </c>
      <c r="X609">
        <f>IF(OR($A609="",$U609="Subscription",$J609="",$I609="",$J609=0,$I609=0,$I609&gt;$J609),"",$J609-$I609)</f>
        <v/>
      </c>
      <c r="Y609">
        <f>IF(OR($A609="",$U609="Subscription",$J609="",$J609=0,$X609=""),"",$X609/$J609)</f>
        <v/>
      </c>
    </row>
    <row r="610">
      <c r="B610" s="354" t="n"/>
      <c r="C610" s="354" t="n"/>
      <c r="E610" s="350" t="n"/>
      <c r="F610" s="350" t="n"/>
      <c r="G610" s="350" t="n"/>
      <c r="H610" s="350" t="n"/>
      <c r="I610" s="350" t="n"/>
      <c r="J610" s="352" t="n"/>
      <c r="M610" s="350" t="n"/>
      <c r="N610" s="350">
        <f>IF($A610="","",IF(OR(LOWER($D610&amp;"")="n/a",ISNUMBER(SEARCH("subscription",LOWER($A610&amp;" "&amp;$M610&amp;""))),ISNUMBER(SEARCH("membership",LOWER($A610&amp;" "&amp;$M610&amp;"")))),"",IF($G610="","",IF(ISNUMBER(SEARCH("non",LOWER($E610&amp;""))),$G610*0.85,$G610))))</f>
        <v/>
      </c>
      <c r="O610">
        <f>IF($A610="","",IF(OR(LOWER($D610&amp;"")="n/a",ISNUMBER(SEARCH("subscription",LOWER($A610&amp;" "&amp;$M610&amp;""))),ISNUMBER(SEARCH("membership",LOWER($A610&amp;" "&amp;$M610&amp;"")))),"",IF(OR($N610="",$I610="",$I610=0),"",$N610/$I610)))</f>
        <v/>
      </c>
      <c r="P610">
        <f>IF($A610="","",IF(OR(LOWER($D610&amp;"")="n/a",ISNUMBER(SEARCH("subscription",LOWER($A610&amp;" "&amp;$M610&amp;""))),ISNUMBER(SEARCH("membership",LOWER($A610&amp;" "&amp;$M610&amp;"")))),"",IF(LOWER($L610&amp;"")="yes",0,IF($K610&lt;&gt;"",$K610,IF($O610&lt;&gt;"",$O610,"")))))</f>
        <v/>
      </c>
      <c r="Q610">
        <f>IF($A610="","",IF($U610="Subscription","",IF($U610="Profit",$P610-$H610,0)))</f>
        <v/>
      </c>
      <c r="R610">
        <f>IF($A610="","",IF($U610="Subscription","",IF($U610="Draw",$H610,0)))</f>
        <v/>
      </c>
      <c r="S610">
        <f>IF($A610="","",IF($U610="Subscription","",IF($U610="Disqualified",$H610,0)))</f>
        <v/>
      </c>
      <c r="T610">
        <f>IF($A610="","",IF($U610="Subscription","",IF($H610=0,IF($U610="Profit","N/A",0),IF($U610="Profit",$Q610/$H610,IF($U610="Disqualified",-1,0)))))</f>
        <v/>
      </c>
      <c r="U610" s="350">
        <f>IF($A610="","",IF(OR(LOWER($D610&amp;"")="n/a",ISNUMBER(SEARCH("subscription",LOWER($A610&amp;" "&amp;$M610&amp;""))),ISNUMBER(SEARCH("membership",LOWER($A610&amp;" "&amp;$M610&amp;"")))),"Subscription",IF(LOWER($L610&amp;"")="yes","Disqualified",IF($P610&gt;$H610,"Profit","Draw"))))</f>
        <v/>
      </c>
      <c r="V610">
        <f>IF(OR($A610="",$B610="",$C610="",$U610="Subscription"),"",IFERROR(ROUNDUP((IF(ISNUMBER($C610),$C610,DATEVALUE($C610))-IF(ISNUMBER($B610),$B610,DATEVALUE($B610)))/7,0),""))</f>
        <v/>
      </c>
      <c r="W610" s="352">
        <f>IF($U610="Subscription","",$Q610-$S610)</f>
        <v/>
      </c>
      <c r="X610">
        <f>IF(OR($A610="",$U610="Subscription",$J610="",$I610="",$J610=0,$I610=0,$I610&gt;$J610),"",$J610-$I610)</f>
        <v/>
      </c>
      <c r="Y610">
        <f>IF(OR($A610="",$U610="Subscription",$J610="",$J610=0,$X610=""),"",$X610/$J610)</f>
        <v/>
      </c>
    </row>
    <row r="611">
      <c r="B611" s="354" t="n"/>
      <c r="C611" s="354" t="n"/>
      <c r="E611" s="350" t="n"/>
      <c r="F611" s="350" t="n"/>
      <c r="G611" s="350" t="n"/>
      <c r="H611" s="350" t="n"/>
      <c r="I611" s="350" t="n"/>
      <c r="J611" s="352" t="n"/>
      <c r="M611" s="350" t="n"/>
      <c r="N611" s="350">
        <f>IF($A611="","",IF(OR(LOWER($D611&amp;"")="n/a",ISNUMBER(SEARCH("subscription",LOWER($A611&amp;" "&amp;$M611&amp;""))),ISNUMBER(SEARCH("membership",LOWER($A611&amp;" "&amp;$M611&amp;"")))),"",IF($G611="","",IF(ISNUMBER(SEARCH("non",LOWER($E611&amp;""))),$G611*0.85,$G611))))</f>
        <v/>
      </c>
      <c r="O611">
        <f>IF($A611="","",IF(OR(LOWER($D611&amp;"")="n/a",ISNUMBER(SEARCH("subscription",LOWER($A611&amp;" "&amp;$M611&amp;""))),ISNUMBER(SEARCH("membership",LOWER($A611&amp;" "&amp;$M611&amp;"")))),"",IF(OR($N611="",$I611="",$I611=0),"",$N611/$I611)))</f>
        <v/>
      </c>
      <c r="P611">
        <f>IF($A611="","",IF(OR(LOWER($D611&amp;"")="n/a",ISNUMBER(SEARCH("subscription",LOWER($A611&amp;" "&amp;$M611&amp;""))),ISNUMBER(SEARCH("membership",LOWER($A611&amp;" "&amp;$M611&amp;"")))),"",IF(LOWER($L611&amp;"")="yes",0,IF($K611&lt;&gt;"",$K611,IF($O611&lt;&gt;"",$O611,"")))))</f>
        <v/>
      </c>
      <c r="Q611">
        <f>IF($A611="","",IF($U611="Subscription","",IF($U611="Profit",$P611-$H611,0)))</f>
        <v/>
      </c>
      <c r="R611">
        <f>IF($A611="","",IF($U611="Subscription","",IF($U611="Draw",$H611,0)))</f>
        <v/>
      </c>
      <c r="S611">
        <f>IF($A611="","",IF($U611="Subscription","",IF($U611="Disqualified",$H611,0)))</f>
        <v/>
      </c>
      <c r="T611">
        <f>IF($A611="","",IF($U611="Subscription","",IF($H611=0,IF($U611="Profit","N/A",0),IF($U611="Profit",$Q611/$H611,IF($U611="Disqualified",-1,0)))))</f>
        <v/>
      </c>
      <c r="U611" s="350">
        <f>IF($A611="","",IF(OR(LOWER($D611&amp;"")="n/a",ISNUMBER(SEARCH("subscription",LOWER($A611&amp;" "&amp;$M611&amp;""))),ISNUMBER(SEARCH("membership",LOWER($A611&amp;" "&amp;$M611&amp;"")))),"Subscription",IF(LOWER($L611&amp;"")="yes","Disqualified",IF($P611&gt;$H611,"Profit","Draw"))))</f>
        <v/>
      </c>
      <c r="V611">
        <f>IF(OR($A611="",$B611="",$C611="",$U611="Subscription"),"",IFERROR(ROUNDUP((IF(ISNUMBER($C611),$C611,DATEVALUE($C611))-IF(ISNUMBER($B611),$B611,DATEVALUE($B611)))/7,0),""))</f>
        <v/>
      </c>
      <c r="W611" s="352">
        <f>IF($U611="Subscription","",$Q611-$S611)</f>
        <v/>
      </c>
      <c r="X611">
        <f>IF(OR($A611="",$U611="Subscription",$J611="",$I611="",$J611=0,$I611=0,$I611&gt;$J611),"",$J611-$I611)</f>
        <v/>
      </c>
      <c r="Y611">
        <f>IF(OR($A611="",$U611="Subscription",$J611="",$J611=0,$X611=""),"",$X611/$J611)</f>
        <v/>
      </c>
    </row>
    <row r="612">
      <c r="B612" s="354" t="n"/>
      <c r="C612" s="354" t="n"/>
      <c r="E612" s="350" t="n"/>
      <c r="F612" s="350" t="n"/>
      <c r="G612" s="350" t="n"/>
      <c r="H612" s="350" t="n"/>
      <c r="I612" s="350" t="n"/>
      <c r="J612" s="352" t="n"/>
      <c r="M612" s="350" t="n"/>
      <c r="N612" s="350">
        <f>IF($A612="","",IF(OR(LOWER($D612&amp;"")="n/a",ISNUMBER(SEARCH("subscription",LOWER($A612&amp;" "&amp;$M612&amp;""))),ISNUMBER(SEARCH("membership",LOWER($A612&amp;" "&amp;$M612&amp;"")))),"",IF($G612="","",IF(ISNUMBER(SEARCH("non",LOWER($E612&amp;""))),$G612*0.85,$G612))))</f>
        <v/>
      </c>
      <c r="O612">
        <f>IF($A612="","",IF(OR(LOWER($D612&amp;"")="n/a",ISNUMBER(SEARCH("subscription",LOWER($A612&amp;" "&amp;$M612&amp;""))),ISNUMBER(SEARCH("membership",LOWER($A612&amp;" "&amp;$M612&amp;"")))),"",IF(OR($N612="",$I612="",$I612=0),"",$N612/$I612)))</f>
        <v/>
      </c>
      <c r="P612">
        <f>IF($A612="","",IF(OR(LOWER($D612&amp;"")="n/a",ISNUMBER(SEARCH("subscription",LOWER($A612&amp;" "&amp;$M612&amp;""))),ISNUMBER(SEARCH("membership",LOWER($A612&amp;" "&amp;$M612&amp;"")))),"",IF(LOWER($L612&amp;"")="yes",0,IF($K612&lt;&gt;"",$K612,IF($O612&lt;&gt;"",$O612,"")))))</f>
        <v/>
      </c>
      <c r="Q612">
        <f>IF($A612="","",IF($U612="Subscription","",IF($U612="Profit",$P612-$H612,0)))</f>
        <v/>
      </c>
      <c r="R612">
        <f>IF($A612="","",IF($U612="Subscription","",IF($U612="Draw",$H612,0)))</f>
        <v/>
      </c>
      <c r="S612">
        <f>IF($A612="","",IF($U612="Subscription","",IF($U612="Disqualified",$H612,0)))</f>
        <v/>
      </c>
      <c r="T612">
        <f>IF($A612="","",IF($U612="Subscription","",IF($H612=0,IF($U612="Profit","N/A",0),IF($U612="Profit",$Q612/$H612,IF($U612="Disqualified",-1,0)))))</f>
        <v/>
      </c>
      <c r="U612" s="350">
        <f>IF($A612="","",IF(OR(LOWER($D612&amp;"")="n/a",ISNUMBER(SEARCH("subscription",LOWER($A612&amp;" "&amp;$M612&amp;""))),ISNUMBER(SEARCH("membership",LOWER($A612&amp;" "&amp;$M612&amp;"")))),"Subscription",IF(LOWER($L612&amp;"")="yes","Disqualified",IF($P612&gt;$H612,"Profit","Draw"))))</f>
        <v/>
      </c>
      <c r="V612">
        <f>IF(OR($A612="",$B612="",$C612="",$U612="Subscription"),"",IFERROR(ROUNDUP((IF(ISNUMBER($C612),$C612,DATEVALUE($C612))-IF(ISNUMBER($B612),$B612,DATEVALUE($B612)))/7,0),""))</f>
        <v/>
      </c>
      <c r="W612" s="352">
        <f>IF($U612="Subscription","",$Q612-$S612)</f>
        <v/>
      </c>
      <c r="X612">
        <f>IF(OR($A612="",$U612="Subscription",$J612="",$I612="",$J612=0,$I612=0,$I612&gt;$J612),"",$J612-$I612)</f>
        <v/>
      </c>
      <c r="Y612">
        <f>IF(OR($A612="",$U612="Subscription",$J612="",$J612=0,$X612=""),"",$X612/$J612)</f>
        <v/>
      </c>
    </row>
    <row r="613">
      <c r="B613" s="354" t="n"/>
      <c r="C613" s="354" t="n"/>
      <c r="E613" s="350" t="n"/>
      <c r="F613" s="350" t="n"/>
      <c r="G613" s="350" t="n"/>
      <c r="H613" s="350" t="n"/>
      <c r="I613" s="350" t="n"/>
      <c r="J613" s="352" t="n"/>
      <c r="M613" s="350" t="n"/>
      <c r="N613" s="350">
        <f>IF($A613="","",IF(OR(LOWER($D613&amp;"")="n/a",ISNUMBER(SEARCH("subscription",LOWER($A613&amp;" "&amp;$M613&amp;""))),ISNUMBER(SEARCH("membership",LOWER($A613&amp;" "&amp;$M613&amp;"")))),"",IF($G613="","",IF(ISNUMBER(SEARCH("non",LOWER($E613&amp;""))),$G613*0.85,$G613))))</f>
        <v/>
      </c>
      <c r="O613">
        <f>IF($A613="","",IF(OR(LOWER($D613&amp;"")="n/a",ISNUMBER(SEARCH("subscription",LOWER($A613&amp;" "&amp;$M613&amp;""))),ISNUMBER(SEARCH("membership",LOWER($A613&amp;" "&amp;$M613&amp;"")))),"",IF(OR($N613="",$I613="",$I613=0),"",$N613/$I613)))</f>
        <v/>
      </c>
      <c r="P613">
        <f>IF($A613="","",IF(OR(LOWER($D613&amp;"")="n/a",ISNUMBER(SEARCH("subscription",LOWER($A613&amp;" "&amp;$M613&amp;""))),ISNUMBER(SEARCH("membership",LOWER($A613&amp;" "&amp;$M613&amp;"")))),"",IF(LOWER($L613&amp;"")="yes",0,IF($K613&lt;&gt;"",$K613,IF($O613&lt;&gt;"",$O613,"")))))</f>
        <v/>
      </c>
      <c r="Q613">
        <f>IF($A613="","",IF($U613="Subscription","",IF($U613="Profit",$P613-$H613,0)))</f>
        <v/>
      </c>
      <c r="R613">
        <f>IF($A613="","",IF($U613="Subscription","",IF($U613="Draw",$H613,0)))</f>
        <v/>
      </c>
      <c r="S613">
        <f>IF($A613="","",IF($U613="Subscription","",IF($U613="Disqualified",$H613,0)))</f>
        <v/>
      </c>
      <c r="T613">
        <f>IF($A613="","",IF($U613="Subscription","",IF($H613=0,IF($U613="Profit","N/A",0),IF($U613="Profit",$Q613/$H613,IF($U613="Disqualified",-1,0)))))</f>
        <v/>
      </c>
      <c r="U613" s="350">
        <f>IF($A613="","",IF(OR(LOWER($D613&amp;"")="n/a",ISNUMBER(SEARCH("subscription",LOWER($A613&amp;" "&amp;$M613&amp;""))),ISNUMBER(SEARCH("membership",LOWER($A613&amp;" "&amp;$M613&amp;"")))),"Subscription",IF(LOWER($L613&amp;"")="yes","Disqualified",IF($P613&gt;$H613,"Profit","Draw"))))</f>
        <v/>
      </c>
      <c r="V613">
        <f>IF(OR($A613="",$B613="",$C613="",$U613="Subscription"),"",IFERROR(ROUNDUP((IF(ISNUMBER($C613),$C613,DATEVALUE($C613))-IF(ISNUMBER($B613),$B613,DATEVALUE($B613)))/7,0),""))</f>
        <v/>
      </c>
      <c r="W613" s="352">
        <f>IF($U613="Subscription","",$Q613-$S613)</f>
        <v/>
      </c>
      <c r="X613">
        <f>IF(OR($A613="",$U613="Subscription",$J613="",$I613="",$J613=0,$I613=0,$I613&gt;$J613),"",$J613-$I613)</f>
        <v/>
      </c>
      <c r="Y613">
        <f>IF(OR($A613="",$U613="Subscription",$J613="",$J613=0,$X613=""),"",$X613/$J613)</f>
        <v/>
      </c>
    </row>
    <row r="614">
      <c r="B614" s="354" t="n"/>
      <c r="C614" s="354" t="n"/>
      <c r="E614" s="350" t="n"/>
      <c r="F614" s="350" t="n"/>
      <c r="G614" s="350" t="n"/>
      <c r="H614" s="350" t="n"/>
      <c r="I614" s="350" t="n"/>
      <c r="J614" s="352" t="n"/>
      <c r="M614" s="350" t="n"/>
      <c r="N614" s="350">
        <f>IF($A614="","",IF(OR(LOWER($D614&amp;"")="n/a",ISNUMBER(SEARCH("subscription",LOWER($A614&amp;" "&amp;$M614&amp;""))),ISNUMBER(SEARCH("membership",LOWER($A614&amp;" "&amp;$M614&amp;"")))),"",IF($G614="","",IF(ISNUMBER(SEARCH("non",LOWER($E614&amp;""))),$G614*0.85,$G614))))</f>
        <v/>
      </c>
      <c r="O614">
        <f>IF($A614="","",IF(OR(LOWER($D614&amp;"")="n/a",ISNUMBER(SEARCH("subscription",LOWER($A614&amp;" "&amp;$M614&amp;""))),ISNUMBER(SEARCH("membership",LOWER($A614&amp;" "&amp;$M614&amp;"")))),"",IF(OR($N614="",$I614="",$I614=0),"",$N614/$I614)))</f>
        <v/>
      </c>
      <c r="P614">
        <f>IF($A614="","",IF(OR(LOWER($D614&amp;"")="n/a",ISNUMBER(SEARCH("subscription",LOWER($A614&amp;" "&amp;$M614&amp;""))),ISNUMBER(SEARCH("membership",LOWER($A614&amp;" "&amp;$M614&amp;"")))),"",IF(LOWER($L614&amp;"")="yes",0,IF($K614&lt;&gt;"",$K614,IF($O614&lt;&gt;"",$O614,"")))))</f>
        <v/>
      </c>
      <c r="Q614">
        <f>IF($A614="","",IF($U614="Subscription","",IF($U614="Profit",$P614-$H614,0)))</f>
        <v/>
      </c>
      <c r="R614">
        <f>IF($A614="","",IF($U614="Subscription","",IF($U614="Draw",$H614,0)))</f>
        <v/>
      </c>
      <c r="S614">
        <f>IF($A614="","",IF($U614="Subscription","",IF($U614="Disqualified",$H614,0)))</f>
        <v/>
      </c>
      <c r="T614">
        <f>IF($A614="","",IF($U614="Subscription","",IF($H614=0,IF($U614="Profit","N/A",0),IF($U614="Profit",$Q614/$H614,IF($U614="Disqualified",-1,0)))))</f>
        <v/>
      </c>
      <c r="U614" s="350">
        <f>IF($A614="","",IF(OR(LOWER($D614&amp;"")="n/a",ISNUMBER(SEARCH("subscription",LOWER($A614&amp;" "&amp;$M614&amp;""))),ISNUMBER(SEARCH("membership",LOWER($A614&amp;" "&amp;$M614&amp;"")))),"Subscription",IF(LOWER($L614&amp;"")="yes","Disqualified",IF($P614&gt;$H614,"Profit","Draw"))))</f>
        <v/>
      </c>
      <c r="V614">
        <f>IF(OR($A614="",$B614="",$C614="",$U614="Subscription"),"",IFERROR(ROUNDUP((IF(ISNUMBER($C614),$C614,DATEVALUE($C614))-IF(ISNUMBER($B614),$B614,DATEVALUE($B614)))/7,0),""))</f>
        <v/>
      </c>
      <c r="W614" s="352">
        <f>IF($U614="Subscription","",$Q614-$S614)</f>
        <v/>
      </c>
      <c r="X614">
        <f>IF(OR($A614="",$U614="Subscription",$J614="",$I614="",$J614=0,$I614=0,$I614&gt;$J614),"",$J614-$I614)</f>
        <v/>
      </c>
      <c r="Y614">
        <f>IF(OR($A614="",$U614="Subscription",$J614="",$J614=0,$X614=""),"",$X614/$J614)</f>
        <v/>
      </c>
    </row>
    <row r="615">
      <c r="B615" s="354" t="n"/>
      <c r="C615" s="354" t="n"/>
      <c r="E615" s="350" t="n"/>
      <c r="F615" s="350" t="n"/>
      <c r="G615" s="350" t="n"/>
      <c r="H615" s="350" t="n"/>
      <c r="I615" s="350" t="n"/>
      <c r="J615" s="352" t="n"/>
      <c r="M615" s="350" t="n"/>
      <c r="N615" s="350">
        <f>IF($A615="","",IF(OR(LOWER($D615&amp;"")="n/a",ISNUMBER(SEARCH("subscription",LOWER($A615&amp;" "&amp;$M615&amp;""))),ISNUMBER(SEARCH("membership",LOWER($A615&amp;" "&amp;$M615&amp;"")))),"",IF($G615="","",IF(ISNUMBER(SEARCH("non",LOWER($E615&amp;""))),$G615*0.85,$G615))))</f>
        <v/>
      </c>
      <c r="O615">
        <f>IF($A615="","",IF(OR(LOWER($D615&amp;"")="n/a",ISNUMBER(SEARCH("subscription",LOWER($A615&amp;" "&amp;$M615&amp;""))),ISNUMBER(SEARCH("membership",LOWER($A615&amp;" "&amp;$M615&amp;"")))),"",IF(OR($N615="",$I615="",$I615=0),"",$N615/$I615)))</f>
        <v/>
      </c>
      <c r="P615">
        <f>IF($A615="","",IF(OR(LOWER($D615&amp;"")="n/a",ISNUMBER(SEARCH("subscription",LOWER($A615&amp;" "&amp;$M615&amp;""))),ISNUMBER(SEARCH("membership",LOWER($A615&amp;" "&amp;$M615&amp;"")))),"",IF(LOWER($L615&amp;"")="yes",0,IF($K615&lt;&gt;"",$K615,IF($O615&lt;&gt;"",$O615,"")))))</f>
        <v/>
      </c>
      <c r="Q615">
        <f>IF($A615="","",IF($U615="Subscription","",IF($U615="Profit",$P615-$H615,0)))</f>
        <v/>
      </c>
      <c r="R615">
        <f>IF($A615="","",IF($U615="Subscription","",IF($U615="Draw",$H615,0)))</f>
        <v/>
      </c>
      <c r="S615">
        <f>IF($A615="","",IF($U615="Subscription","",IF($U615="Disqualified",$H615,0)))</f>
        <v/>
      </c>
      <c r="T615">
        <f>IF($A615="","",IF($U615="Subscription","",IF($H615=0,IF($U615="Profit","N/A",0),IF($U615="Profit",$Q615/$H615,IF($U615="Disqualified",-1,0)))))</f>
        <v/>
      </c>
      <c r="U615" s="350">
        <f>IF($A615="","",IF(OR(LOWER($D615&amp;"")="n/a",ISNUMBER(SEARCH("subscription",LOWER($A615&amp;" "&amp;$M615&amp;""))),ISNUMBER(SEARCH("membership",LOWER($A615&amp;" "&amp;$M615&amp;"")))),"Subscription",IF(LOWER($L615&amp;"")="yes","Disqualified",IF($P615&gt;$H615,"Profit","Draw"))))</f>
        <v/>
      </c>
      <c r="V615">
        <f>IF(OR($A615="",$B615="",$C615="",$U615="Subscription"),"",IFERROR(ROUNDUP((IF(ISNUMBER($C615),$C615,DATEVALUE($C615))-IF(ISNUMBER($B615),$B615,DATEVALUE($B615)))/7,0),""))</f>
        <v/>
      </c>
      <c r="W615" s="352">
        <f>IF($U615="Subscription","",$Q615-$S615)</f>
        <v/>
      </c>
      <c r="X615">
        <f>IF(OR($A615="",$U615="Subscription",$J615="",$I615="",$J615=0,$I615=0,$I615&gt;$J615),"",$J615-$I615)</f>
        <v/>
      </c>
      <c r="Y615">
        <f>IF(OR($A615="",$U615="Subscription",$J615="",$J615=0,$X615=""),"",$X615/$J615)</f>
        <v/>
      </c>
    </row>
    <row r="616">
      <c r="B616" s="354" t="n"/>
      <c r="C616" s="354" t="n"/>
      <c r="E616" s="350" t="n"/>
      <c r="F616" s="350" t="n"/>
      <c r="G616" s="350" t="n"/>
      <c r="H616" s="350" t="n"/>
      <c r="I616" s="350" t="n"/>
      <c r="J616" s="352" t="n"/>
      <c r="M616" s="350" t="n"/>
      <c r="N616" s="350">
        <f>IF($A616="","",IF(OR(LOWER($D616&amp;"")="n/a",ISNUMBER(SEARCH("subscription",LOWER($A616&amp;" "&amp;$M616&amp;""))),ISNUMBER(SEARCH("membership",LOWER($A616&amp;" "&amp;$M616&amp;"")))),"",IF($G616="","",IF(ISNUMBER(SEARCH("non",LOWER($E616&amp;""))),$G616*0.85,$G616))))</f>
        <v/>
      </c>
      <c r="O616">
        <f>IF($A616="","",IF(OR(LOWER($D616&amp;"")="n/a",ISNUMBER(SEARCH("subscription",LOWER($A616&amp;" "&amp;$M616&amp;""))),ISNUMBER(SEARCH("membership",LOWER($A616&amp;" "&amp;$M616&amp;"")))),"",IF(OR($N616="",$I616="",$I616=0),"",$N616/$I616)))</f>
        <v/>
      </c>
      <c r="P616">
        <f>IF($A616="","",IF(OR(LOWER($D616&amp;"")="n/a",ISNUMBER(SEARCH("subscription",LOWER($A616&amp;" "&amp;$M616&amp;""))),ISNUMBER(SEARCH("membership",LOWER($A616&amp;" "&amp;$M616&amp;"")))),"",IF(LOWER($L616&amp;"")="yes",0,IF($K616&lt;&gt;"",$K616,IF($O616&lt;&gt;"",$O616,"")))))</f>
        <v/>
      </c>
      <c r="Q616">
        <f>IF($A616="","",IF($U616="Subscription","",IF($U616="Profit",$P616-$H616,0)))</f>
        <v/>
      </c>
      <c r="R616">
        <f>IF($A616="","",IF($U616="Subscription","",IF($U616="Draw",$H616,0)))</f>
        <v/>
      </c>
      <c r="S616">
        <f>IF($A616="","",IF($U616="Subscription","",IF($U616="Disqualified",$H616,0)))</f>
        <v/>
      </c>
      <c r="T616">
        <f>IF($A616="","",IF($U616="Subscription","",IF($H616=0,IF($U616="Profit","N/A",0),IF($U616="Profit",$Q616/$H616,IF($U616="Disqualified",-1,0)))))</f>
        <v/>
      </c>
      <c r="U616" s="350">
        <f>IF($A616="","",IF(OR(LOWER($D616&amp;"")="n/a",ISNUMBER(SEARCH("subscription",LOWER($A616&amp;" "&amp;$M616&amp;""))),ISNUMBER(SEARCH("membership",LOWER($A616&amp;" "&amp;$M616&amp;"")))),"Subscription",IF(LOWER($L616&amp;"")="yes","Disqualified",IF($P616&gt;$H616,"Profit","Draw"))))</f>
        <v/>
      </c>
      <c r="V616">
        <f>IF(OR($A616="",$B616="",$C616="",$U616="Subscription"),"",IFERROR(ROUNDUP((IF(ISNUMBER($C616),$C616,DATEVALUE($C616))-IF(ISNUMBER($B616),$B616,DATEVALUE($B616)))/7,0),""))</f>
        <v/>
      </c>
      <c r="W616" s="352">
        <f>IF($U616="Subscription","",$Q616-$S616)</f>
        <v/>
      </c>
      <c r="X616">
        <f>IF(OR($A616="",$U616="Subscription",$J616="",$I616="",$J616=0,$I616=0,$I616&gt;$J616),"",$J616-$I616)</f>
        <v/>
      </c>
      <c r="Y616">
        <f>IF(OR($A616="",$U616="Subscription",$J616="",$J616=0,$X616=""),"",$X616/$J616)</f>
        <v/>
      </c>
    </row>
    <row r="617">
      <c r="B617" s="354" t="n"/>
      <c r="C617" s="354" t="n"/>
      <c r="E617" s="350" t="n"/>
      <c r="F617" s="350" t="n"/>
      <c r="G617" s="350" t="n"/>
      <c r="H617" s="350" t="n"/>
      <c r="I617" s="350" t="n"/>
      <c r="J617" s="352" t="n"/>
      <c r="M617" s="350" t="n"/>
      <c r="N617" s="350">
        <f>IF($A617="","",IF(OR(LOWER($D617&amp;"")="n/a",ISNUMBER(SEARCH("subscription",LOWER($A617&amp;" "&amp;$M617&amp;""))),ISNUMBER(SEARCH("membership",LOWER($A617&amp;" "&amp;$M617&amp;"")))),"",IF($G617="","",IF(ISNUMBER(SEARCH("non",LOWER($E617&amp;""))),$G617*0.85,$G617))))</f>
        <v/>
      </c>
      <c r="O617">
        <f>IF($A617="","",IF(OR(LOWER($D617&amp;"")="n/a",ISNUMBER(SEARCH("subscription",LOWER($A617&amp;" "&amp;$M617&amp;""))),ISNUMBER(SEARCH("membership",LOWER($A617&amp;" "&amp;$M617&amp;"")))),"",IF(OR($N617="",$I617="",$I617=0),"",$N617/$I617)))</f>
        <v/>
      </c>
      <c r="P617">
        <f>IF($A617="","",IF(OR(LOWER($D617&amp;"")="n/a",ISNUMBER(SEARCH("subscription",LOWER($A617&amp;" "&amp;$M617&amp;""))),ISNUMBER(SEARCH("membership",LOWER($A617&amp;" "&amp;$M617&amp;"")))),"",IF(LOWER($L617&amp;"")="yes",0,IF($K617&lt;&gt;"",$K617,IF($O617&lt;&gt;"",$O617,"")))))</f>
        <v/>
      </c>
      <c r="Q617">
        <f>IF($A617="","",IF($U617="Subscription","",IF($U617="Profit",$P617-$H617,0)))</f>
        <v/>
      </c>
      <c r="R617">
        <f>IF($A617="","",IF($U617="Subscription","",IF($U617="Draw",$H617,0)))</f>
        <v/>
      </c>
      <c r="S617">
        <f>IF($A617="","",IF($U617="Subscription","",IF($U617="Disqualified",$H617,0)))</f>
        <v/>
      </c>
      <c r="T617">
        <f>IF($A617="","",IF($U617="Subscription","",IF($H617=0,IF($U617="Profit","N/A",0),IF($U617="Profit",$Q617/$H617,IF($U617="Disqualified",-1,0)))))</f>
        <v/>
      </c>
      <c r="U617" s="350">
        <f>IF($A617="","",IF(OR(LOWER($D617&amp;"")="n/a",ISNUMBER(SEARCH("subscription",LOWER($A617&amp;" "&amp;$M617&amp;""))),ISNUMBER(SEARCH("membership",LOWER($A617&amp;" "&amp;$M617&amp;"")))),"Subscription",IF(LOWER($L617&amp;"")="yes","Disqualified",IF($P617&gt;$H617,"Profit","Draw"))))</f>
        <v/>
      </c>
      <c r="V617">
        <f>IF(OR($A617="",$B617="",$C617="",$U617="Subscription"),"",IFERROR(ROUNDUP((IF(ISNUMBER($C617),$C617,DATEVALUE($C617))-IF(ISNUMBER($B617),$B617,DATEVALUE($B617)))/7,0),""))</f>
        <v/>
      </c>
      <c r="W617" s="352">
        <f>IF($U617="Subscription","",$Q617-$S617)</f>
        <v/>
      </c>
      <c r="X617">
        <f>IF(OR($A617="",$U617="Subscription",$J617="",$I617="",$J617=0,$I617=0,$I617&gt;$J617),"",$J617-$I617)</f>
        <v/>
      </c>
      <c r="Y617">
        <f>IF(OR($A617="",$U617="Subscription",$J617="",$J617=0,$X617=""),"",$X617/$J617)</f>
        <v/>
      </c>
    </row>
    <row r="618">
      <c r="B618" s="354" t="n"/>
      <c r="C618" s="354" t="n"/>
      <c r="E618" s="350" t="n"/>
      <c r="F618" s="350" t="n"/>
      <c r="G618" s="350" t="n"/>
      <c r="H618" s="350" t="n"/>
      <c r="I618" s="350" t="n"/>
      <c r="J618" s="352" t="n"/>
      <c r="M618" s="350" t="n"/>
      <c r="N618" s="350">
        <f>IF($A618="","",IF(OR(LOWER($D618&amp;"")="n/a",ISNUMBER(SEARCH("subscription",LOWER($A618&amp;" "&amp;$M618&amp;""))),ISNUMBER(SEARCH("membership",LOWER($A618&amp;" "&amp;$M618&amp;"")))),"",IF($G618="","",IF(ISNUMBER(SEARCH("non",LOWER($E618&amp;""))),$G618*0.85,$G618))))</f>
        <v/>
      </c>
      <c r="O618">
        <f>IF($A618="","",IF(OR(LOWER($D618&amp;"")="n/a",ISNUMBER(SEARCH("subscription",LOWER($A618&amp;" "&amp;$M618&amp;""))),ISNUMBER(SEARCH("membership",LOWER($A618&amp;" "&amp;$M618&amp;"")))),"",IF(OR($N618="",$I618="",$I618=0),"",$N618/$I618)))</f>
        <v/>
      </c>
      <c r="P618">
        <f>IF($A618="","",IF(OR(LOWER($D618&amp;"")="n/a",ISNUMBER(SEARCH("subscription",LOWER($A618&amp;" "&amp;$M618&amp;""))),ISNUMBER(SEARCH("membership",LOWER($A618&amp;" "&amp;$M618&amp;"")))),"",IF(LOWER($L618&amp;"")="yes",0,IF($K618&lt;&gt;"",$K618,IF($O618&lt;&gt;"",$O618,"")))))</f>
        <v/>
      </c>
      <c r="Q618">
        <f>IF($A618="","",IF($U618="Subscription","",IF($U618="Profit",$P618-$H618,0)))</f>
        <v/>
      </c>
      <c r="R618">
        <f>IF($A618="","",IF($U618="Subscription","",IF($U618="Draw",$H618,0)))</f>
        <v/>
      </c>
      <c r="S618">
        <f>IF($A618="","",IF($U618="Subscription","",IF($U618="Disqualified",$H618,0)))</f>
        <v/>
      </c>
      <c r="T618">
        <f>IF($A618="","",IF($U618="Subscription","",IF($H618=0,IF($U618="Profit","N/A",0),IF($U618="Profit",$Q618/$H618,IF($U618="Disqualified",-1,0)))))</f>
        <v/>
      </c>
      <c r="U618" s="350">
        <f>IF($A618="","",IF(OR(LOWER($D618&amp;"")="n/a",ISNUMBER(SEARCH("subscription",LOWER($A618&amp;" "&amp;$M618&amp;""))),ISNUMBER(SEARCH("membership",LOWER($A618&amp;" "&amp;$M618&amp;"")))),"Subscription",IF(LOWER($L618&amp;"")="yes","Disqualified",IF($P618&gt;$H618,"Profit","Draw"))))</f>
        <v/>
      </c>
      <c r="V618">
        <f>IF(OR($A618="",$B618="",$C618="",$U618="Subscription"),"",IFERROR(ROUNDUP((IF(ISNUMBER($C618),$C618,DATEVALUE($C618))-IF(ISNUMBER($B618),$B618,DATEVALUE($B618)))/7,0),""))</f>
        <v/>
      </c>
      <c r="W618" s="352">
        <f>IF($U618="Subscription","",$Q618-$S618)</f>
        <v/>
      </c>
      <c r="X618">
        <f>IF(OR($A618="",$U618="Subscription",$J618="",$I618="",$J618=0,$I618=0,$I618&gt;$J618),"",$J618-$I618)</f>
        <v/>
      </c>
      <c r="Y618">
        <f>IF(OR($A618="",$U618="Subscription",$J618="",$J618=0,$X618=""),"",$X618/$J618)</f>
        <v/>
      </c>
    </row>
    <row r="619">
      <c r="B619" s="354" t="n"/>
      <c r="C619" s="354" t="n"/>
      <c r="E619" s="350" t="n"/>
      <c r="F619" s="350" t="n"/>
      <c r="G619" s="350" t="n"/>
      <c r="H619" s="350" t="n"/>
      <c r="I619" s="350" t="n"/>
      <c r="J619" s="352" t="n"/>
      <c r="M619" s="350" t="n"/>
      <c r="N619" s="350">
        <f>IF($A619="","",IF(OR(LOWER($D619&amp;"")="n/a",ISNUMBER(SEARCH("subscription",LOWER($A619&amp;" "&amp;$M619&amp;""))),ISNUMBER(SEARCH("membership",LOWER($A619&amp;" "&amp;$M619&amp;"")))),"",IF($G619="","",IF(ISNUMBER(SEARCH("non",LOWER($E619&amp;""))),$G619*0.85,$G619))))</f>
        <v/>
      </c>
      <c r="O619">
        <f>IF($A619="","",IF(OR(LOWER($D619&amp;"")="n/a",ISNUMBER(SEARCH("subscription",LOWER($A619&amp;" "&amp;$M619&amp;""))),ISNUMBER(SEARCH("membership",LOWER($A619&amp;" "&amp;$M619&amp;"")))),"",IF(OR($N619="",$I619="",$I619=0),"",$N619/$I619)))</f>
        <v/>
      </c>
      <c r="P619">
        <f>IF($A619="","",IF(OR(LOWER($D619&amp;"")="n/a",ISNUMBER(SEARCH("subscription",LOWER($A619&amp;" "&amp;$M619&amp;""))),ISNUMBER(SEARCH("membership",LOWER($A619&amp;" "&amp;$M619&amp;"")))),"",IF(LOWER($L619&amp;"")="yes",0,IF($K619&lt;&gt;"",$K619,IF($O619&lt;&gt;"",$O619,"")))))</f>
        <v/>
      </c>
      <c r="Q619">
        <f>IF($A619="","",IF($U619="Subscription","",IF($U619="Profit",$P619-$H619,0)))</f>
        <v/>
      </c>
      <c r="R619">
        <f>IF($A619="","",IF($U619="Subscription","",IF($U619="Draw",$H619,0)))</f>
        <v/>
      </c>
      <c r="S619">
        <f>IF($A619="","",IF($U619="Subscription","",IF($U619="Disqualified",$H619,0)))</f>
        <v/>
      </c>
      <c r="T619">
        <f>IF($A619="","",IF($U619="Subscription","",IF($H619=0,IF($U619="Profit","N/A",0),IF($U619="Profit",$Q619/$H619,IF($U619="Disqualified",-1,0)))))</f>
        <v/>
      </c>
      <c r="U619" s="350">
        <f>IF($A619="","",IF(OR(LOWER($D619&amp;"")="n/a",ISNUMBER(SEARCH("subscription",LOWER($A619&amp;" "&amp;$M619&amp;""))),ISNUMBER(SEARCH("membership",LOWER($A619&amp;" "&amp;$M619&amp;"")))),"Subscription",IF(LOWER($L619&amp;"")="yes","Disqualified",IF($P619&gt;$H619,"Profit","Draw"))))</f>
        <v/>
      </c>
      <c r="V619">
        <f>IF(OR($A619="",$B619="",$C619="",$U619="Subscription"),"",IFERROR(ROUNDUP((IF(ISNUMBER($C619),$C619,DATEVALUE($C619))-IF(ISNUMBER($B619),$B619,DATEVALUE($B619)))/7,0),""))</f>
        <v/>
      </c>
      <c r="W619" s="352">
        <f>IF($U619="Subscription","",$Q619-$S619)</f>
        <v/>
      </c>
      <c r="X619">
        <f>IF(OR($A619="",$U619="Subscription",$J619="",$I619="",$J619=0,$I619=0,$I619&gt;$J619),"",$J619-$I619)</f>
        <v/>
      </c>
      <c r="Y619">
        <f>IF(OR($A619="",$U619="Subscription",$J619="",$J619=0,$X619=""),"",$X619/$J619)</f>
        <v/>
      </c>
    </row>
    <row r="620">
      <c r="B620" s="354" t="n"/>
      <c r="C620" s="354" t="n"/>
      <c r="E620" s="350" t="n"/>
      <c r="F620" s="350" t="n"/>
      <c r="G620" s="350" t="n"/>
      <c r="H620" s="350" t="n"/>
      <c r="I620" s="350" t="n"/>
      <c r="J620" s="352" t="n"/>
      <c r="M620" s="350" t="n"/>
      <c r="N620" s="350">
        <f>IF($A620="","",IF(OR(LOWER($D620&amp;"")="n/a",ISNUMBER(SEARCH("subscription",LOWER($A620&amp;" "&amp;$M620&amp;""))),ISNUMBER(SEARCH("membership",LOWER($A620&amp;" "&amp;$M620&amp;"")))),"",IF($G620="","",IF(ISNUMBER(SEARCH("non",LOWER($E620&amp;""))),$G620*0.85,$G620))))</f>
        <v/>
      </c>
      <c r="O620">
        <f>IF($A620="","",IF(OR(LOWER($D620&amp;"")="n/a",ISNUMBER(SEARCH("subscription",LOWER($A620&amp;" "&amp;$M620&amp;""))),ISNUMBER(SEARCH("membership",LOWER($A620&amp;" "&amp;$M620&amp;"")))),"",IF(OR($N620="",$I620="",$I620=0),"",$N620/$I620)))</f>
        <v/>
      </c>
      <c r="P620">
        <f>IF($A620="","",IF(OR(LOWER($D620&amp;"")="n/a",ISNUMBER(SEARCH("subscription",LOWER($A620&amp;" "&amp;$M620&amp;""))),ISNUMBER(SEARCH("membership",LOWER($A620&amp;" "&amp;$M620&amp;"")))),"",IF(LOWER($L620&amp;"")="yes",0,IF($K620&lt;&gt;"",$K620,IF($O620&lt;&gt;"",$O620,"")))))</f>
        <v/>
      </c>
      <c r="Q620">
        <f>IF($A620="","",IF($U620="Subscription","",IF($U620="Profit",$P620-$H620,0)))</f>
        <v/>
      </c>
      <c r="R620">
        <f>IF($A620="","",IF($U620="Subscription","",IF($U620="Draw",$H620,0)))</f>
        <v/>
      </c>
      <c r="S620">
        <f>IF($A620="","",IF($U620="Subscription","",IF($U620="Disqualified",$H620,0)))</f>
        <v/>
      </c>
      <c r="T620">
        <f>IF($A620="","",IF($U620="Subscription","",IF($H620=0,IF($U620="Profit","N/A",0),IF($U620="Profit",$Q620/$H620,IF($U620="Disqualified",-1,0)))))</f>
        <v/>
      </c>
      <c r="U620" s="350">
        <f>IF($A620="","",IF(OR(LOWER($D620&amp;"")="n/a",ISNUMBER(SEARCH("subscription",LOWER($A620&amp;" "&amp;$M620&amp;""))),ISNUMBER(SEARCH("membership",LOWER($A620&amp;" "&amp;$M620&amp;"")))),"Subscription",IF(LOWER($L620&amp;"")="yes","Disqualified",IF($P620&gt;$H620,"Profit","Draw"))))</f>
        <v/>
      </c>
      <c r="V620">
        <f>IF(OR($A620="",$B620="",$C620="",$U620="Subscription"),"",IFERROR(ROUNDUP((IF(ISNUMBER($C620),$C620,DATEVALUE($C620))-IF(ISNUMBER($B620),$B620,DATEVALUE($B620)))/7,0),""))</f>
        <v/>
      </c>
      <c r="W620" s="352">
        <f>IF($U620="Subscription","",$Q620-$S620)</f>
        <v/>
      </c>
      <c r="X620">
        <f>IF(OR($A620="",$U620="Subscription",$J620="",$I620="",$J620=0,$I620=0,$I620&gt;$J620),"",$J620-$I620)</f>
        <v/>
      </c>
      <c r="Y620">
        <f>IF(OR($A620="",$U620="Subscription",$J620="",$J620=0,$X620=""),"",$X620/$J620)</f>
        <v/>
      </c>
    </row>
    <row r="621">
      <c r="B621" s="354" t="n"/>
      <c r="C621" s="354" t="n"/>
      <c r="E621" s="350" t="n"/>
      <c r="F621" s="350" t="n"/>
      <c r="G621" s="350" t="n"/>
      <c r="H621" s="350" t="n"/>
      <c r="I621" s="350" t="n"/>
      <c r="J621" s="352" t="n"/>
      <c r="M621" s="350" t="n"/>
      <c r="N621" s="350">
        <f>IF($A621="","",IF(OR(LOWER($D621&amp;"")="n/a",ISNUMBER(SEARCH("subscription",LOWER($A621&amp;" "&amp;$M621&amp;""))),ISNUMBER(SEARCH("membership",LOWER($A621&amp;" "&amp;$M621&amp;"")))),"",IF($G621="","",IF(ISNUMBER(SEARCH("non",LOWER($E621&amp;""))),$G621*0.85,$G621))))</f>
        <v/>
      </c>
      <c r="O621">
        <f>IF($A621="","",IF(OR(LOWER($D621&amp;"")="n/a",ISNUMBER(SEARCH("subscription",LOWER($A621&amp;" "&amp;$M621&amp;""))),ISNUMBER(SEARCH("membership",LOWER($A621&amp;" "&amp;$M621&amp;"")))),"",IF(OR($N621="",$I621="",$I621=0),"",$N621/$I621)))</f>
        <v/>
      </c>
      <c r="P621">
        <f>IF($A621="","",IF(OR(LOWER($D621&amp;"")="n/a",ISNUMBER(SEARCH("subscription",LOWER($A621&amp;" "&amp;$M621&amp;""))),ISNUMBER(SEARCH("membership",LOWER($A621&amp;" "&amp;$M621&amp;"")))),"",IF(LOWER($L621&amp;"")="yes",0,IF($K621&lt;&gt;"",$K621,IF($O621&lt;&gt;"",$O621,"")))))</f>
        <v/>
      </c>
      <c r="Q621">
        <f>IF($A621="","",IF($U621="Subscription","",IF($U621="Profit",$P621-$H621,0)))</f>
        <v/>
      </c>
      <c r="R621">
        <f>IF($A621="","",IF($U621="Subscription","",IF($U621="Draw",$H621,0)))</f>
        <v/>
      </c>
      <c r="S621">
        <f>IF($A621="","",IF($U621="Subscription","",IF($U621="Disqualified",$H621,0)))</f>
        <v/>
      </c>
      <c r="T621">
        <f>IF($A621="","",IF($U621="Subscription","",IF($H621=0,IF($U621="Profit","N/A",0),IF($U621="Profit",$Q621/$H621,IF($U621="Disqualified",-1,0)))))</f>
        <v/>
      </c>
      <c r="U621" s="350">
        <f>IF($A621="","",IF(OR(LOWER($D621&amp;"")="n/a",ISNUMBER(SEARCH("subscription",LOWER($A621&amp;" "&amp;$M621&amp;""))),ISNUMBER(SEARCH("membership",LOWER($A621&amp;" "&amp;$M621&amp;"")))),"Subscription",IF(LOWER($L621&amp;"")="yes","Disqualified",IF($P621&gt;$H621,"Profit","Draw"))))</f>
        <v/>
      </c>
      <c r="V621">
        <f>IF(OR($A621="",$B621="",$C621="",$U621="Subscription"),"",IFERROR(ROUNDUP((IF(ISNUMBER($C621),$C621,DATEVALUE($C621))-IF(ISNUMBER($B621),$B621,DATEVALUE($B621)))/7,0),""))</f>
        <v/>
      </c>
      <c r="W621" s="352">
        <f>IF($U621="Subscription","",$Q621-$S621)</f>
        <v/>
      </c>
      <c r="X621">
        <f>IF(OR($A621="",$U621="Subscription",$J621="",$I621="",$J621=0,$I621=0,$I621&gt;$J621),"",$J621-$I621)</f>
        <v/>
      </c>
      <c r="Y621">
        <f>IF(OR($A621="",$U621="Subscription",$J621="",$J621=0,$X621=""),"",$X621/$J621)</f>
        <v/>
      </c>
    </row>
    <row r="622">
      <c r="B622" s="354" t="n"/>
      <c r="C622" s="354" t="n"/>
      <c r="E622" s="350" t="n"/>
      <c r="F622" s="350" t="n"/>
      <c r="G622" s="350" t="n"/>
      <c r="H622" s="350" t="n"/>
      <c r="I622" s="350" t="n"/>
      <c r="J622" s="352" t="n"/>
      <c r="M622" s="350" t="n"/>
      <c r="N622" s="350">
        <f>IF($A622="","",IF(OR(LOWER($D622&amp;"")="n/a",ISNUMBER(SEARCH("subscription",LOWER($A622&amp;" "&amp;$M622&amp;""))),ISNUMBER(SEARCH("membership",LOWER($A622&amp;" "&amp;$M622&amp;"")))),"",IF($G622="","",IF(ISNUMBER(SEARCH("non",LOWER($E622&amp;""))),$G622*0.85,$G622))))</f>
        <v/>
      </c>
      <c r="O622">
        <f>IF($A622="","",IF(OR(LOWER($D622&amp;"")="n/a",ISNUMBER(SEARCH("subscription",LOWER($A622&amp;" "&amp;$M622&amp;""))),ISNUMBER(SEARCH("membership",LOWER($A622&amp;" "&amp;$M622&amp;"")))),"",IF(OR($N622="",$I622="",$I622=0),"",$N622/$I622)))</f>
        <v/>
      </c>
      <c r="P622">
        <f>IF($A622="","",IF(OR(LOWER($D622&amp;"")="n/a",ISNUMBER(SEARCH("subscription",LOWER($A622&amp;" "&amp;$M622&amp;""))),ISNUMBER(SEARCH("membership",LOWER($A622&amp;" "&amp;$M622&amp;"")))),"",IF(LOWER($L622&amp;"")="yes",0,IF($K622&lt;&gt;"",$K622,IF($O622&lt;&gt;"",$O622,"")))))</f>
        <v/>
      </c>
      <c r="Q622">
        <f>IF($A622="","",IF($U622="Subscription","",IF($U622="Profit",$P622-$H622,0)))</f>
        <v/>
      </c>
      <c r="R622">
        <f>IF($A622="","",IF($U622="Subscription","",IF($U622="Draw",$H622,0)))</f>
        <v/>
      </c>
      <c r="S622">
        <f>IF($A622="","",IF($U622="Subscription","",IF($U622="Disqualified",$H622,0)))</f>
        <v/>
      </c>
      <c r="T622">
        <f>IF($A622="","",IF($U622="Subscription","",IF($H622=0,IF($U622="Profit","N/A",0),IF($U622="Profit",$Q622/$H622,IF($U622="Disqualified",-1,0)))))</f>
        <v/>
      </c>
      <c r="U622" s="350">
        <f>IF($A622="","",IF(OR(LOWER($D622&amp;"")="n/a",ISNUMBER(SEARCH("subscription",LOWER($A622&amp;" "&amp;$M622&amp;""))),ISNUMBER(SEARCH("membership",LOWER($A622&amp;" "&amp;$M622&amp;"")))),"Subscription",IF(LOWER($L622&amp;"")="yes","Disqualified",IF($P622&gt;$H622,"Profit","Draw"))))</f>
        <v/>
      </c>
      <c r="V622">
        <f>IF(OR($A622="",$B622="",$C622="",$U622="Subscription"),"",IFERROR(ROUNDUP((IF(ISNUMBER($C622),$C622,DATEVALUE($C622))-IF(ISNUMBER($B622),$B622,DATEVALUE($B622)))/7,0),""))</f>
        <v/>
      </c>
      <c r="W622" s="352">
        <f>IF($U622="Subscription","",$Q622-$S622)</f>
        <v/>
      </c>
      <c r="X622">
        <f>IF(OR($A622="",$U622="Subscription",$J622="",$I622="",$J622=0,$I622=0,$I622&gt;$J622),"",$J622-$I622)</f>
        <v/>
      </c>
      <c r="Y622">
        <f>IF(OR($A622="",$U622="Subscription",$J622="",$J622=0,$X622=""),"",$X622/$J622)</f>
        <v/>
      </c>
    </row>
    <row r="623">
      <c r="B623" s="354" t="n"/>
      <c r="C623" s="354" t="n"/>
      <c r="E623" s="350" t="n"/>
      <c r="F623" s="350" t="n"/>
      <c r="G623" s="350" t="n"/>
      <c r="H623" s="350" t="n"/>
      <c r="I623" s="350" t="n"/>
      <c r="J623" s="352" t="n"/>
      <c r="M623" s="350" t="n"/>
      <c r="N623" s="350">
        <f>IF($A623="","",IF(OR(LOWER($D623&amp;"")="n/a",ISNUMBER(SEARCH("subscription",LOWER($A623&amp;" "&amp;$M623&amp;""))),ISNUMBER(SEARCH("membership",LOWER($A623&amp;" "&amp;$M623&amp;"")))),"",IF($G623="","",IF(ISNUMBER(SEARCH("non",LOWER($E623&amp;""))),$G623*0.85,$G623))))</f>
        <v/>
      </c>
      <c r="O623">
        <f>IF($A623="","",IF(OR(LOWER($D623&amp;"")="n/a",ISNUMBER(SEARCH("subscription",LOWER($A623&amp;" "&amp;$M623&amp;""))),ISNUMBER(SEARCH("membership",LOWER($A623&amp;" "&amp;$M623&amp;"")))),"",IF(OR($N623="",$I623="",$I623=0),"",$N623/$I623)))</f>
        <v/>
      </c>
      <c r="P623">
        <f>IF($A623="","",IF(OR(LOWER($D623&amp;"")="n/a",ISNUMBER(SEARCH("subscription",LOWER($A623&amp;" "&amp;$M623&amp;""))),ISNUMBER(SEARCH("membership",LOWER($A623&amp;" "&amp;$M623&amp;"")))),"",IF(LOWER($L623&amp;"")="yes",0,IF($K623&lt;&gt;"",$K623,IF($O623&lt;&gt;"",$O623,"")))))</f>
        <v/>
      </c>
      <c r="Q623">
        <f>IF($A623="","",IF($U623="Subscription","",IF($U623="Profit",$P623-$H623,0)))</f>
        <v/>
      </c>
      <c r="R623">
        <f>IF($A623="","",IF($U623="Subscription","",IF($U623="Draw",$H623,0)))</f>
        <v/>
      </c>
      <c r="S623">
        <f>IF($A623="","",IF($U623="Subscription","",IF($U623="Disqualified",$H623,0)))</f>
        <v/>
      </c>
      <c r="T623">
        <f>IF($A623="","",IF($U623="Subscription","",IF($H623=0,IF($U623="Profit","N/A",0),IF($U623="Profit",$Q623/$H623,IF($U623="Disqualified",-1,0)))))</f>
        <v/>
      </c>
      <c r="U623" s="350">
        <f>IF($A623="","",IF(OR(LOWER($D623&amp;"")="n/a",ISNUMBER(SEARCH("subscription",LOWER($A623&amp;" "&amp;$M623&amp;""))),ISNUMBER(SEARCH("membership",LOWER($A623&amp;" "&amp;$M623&amp;"")))),"Subscription",IF(LOWER($L623&amp;"")="yes","Disqualified",IF($P623&gt;$H623,"Profit","Draw"))))</f>
        <v/>
      </c>
      <c r="V623">
        <f>IF(OR($A623="",$B623="",$C623="",$U623="Subscription"),"",IFERROR(ROUNDUP((IF(ISNUMBER($C623),$C623,DATEVALUE($C623))-IF(ISNUMBER($B623),$B623,DATEVALUE($B623)))/7,0),""))</f>
        <v/>
      </c>
      <c r="W623" s="352">
        <f>IF($U623="Subscription","",$Q623-$S623)</f>
        <v/>
      </c>
      <c r="X623">
        <f>IF(OR($A623="",$U623="Subscription",$J623="",$I623="",$J623=0,$I623=0,$I623&gt;$J623),"",$J623-$I623)</f>
        <v/>
      </c>
      <c r="Y623">
        <f>IF(OR($A623="",$U623="Subscription",$J623="",$J623=0,$X623=""),"",$X623/$J623)</f>
        <v/>
      </c>
    </row>
    <row r="624">
      <c r="B624" s="354" t="n"/>
      <c r="C624" s="354" t="n"/>
      <c r="E624" s="350" t="n"/>
      <c r="F624" s="350" t="n"/>
      <c r="G624" s="350" t="n"/>
      <c r="H624" s="350" t="n"/>
      <c r="I624" s="350" t="n"/>
      <c r="J624" s="352" t="n"/>
      <c r="M624" s="350" t="n"/>
      <c r="N624" s="350">
        <f>IF($A624="","",IF(OR(LOWER($D624&amp;"")="n/a",ISNUMBER(SEARCH("subscription",LOWER($A624&amp;" "&amp;$M624&amp;""))),ISNUMBER(SEARCH("membership",LOWER($A624&amp;" "&amp;$M624&amp;"")))),"",IF($G624="","",IF(ISNUMBER(SEARCH("non",LOWER($E624&amp;""))),$G624*0.85,$G624))))</f>
        <v/>
      </c>
      <c r="O624">
        <f>IF($A624="","",IF(OR(LOWER($D624&amp;"")="n/a",ISNUMBER(SEARCH("subscription",LOWER($A624&amp;" "&amp;$M624&amp;""))),ISNUMBER(SEARCH("membership",LOWER($A624&amp;" "&amp;$M624&amp;"")))),"",IF(OR($N624="",$I624="",$I624=0),"",$N624/$I624)))</f>
        <v/>
      </c>
      <c r="P624">
        <f>IF($A624="","",IF(OR(LOWER($D624&amp;"")="n/a",ISNUMBER(SEARCH("subscription",LOWER($A624&amp;" "&amp;$M624&amp;""))),ISNUMBER(SEARCH("membership",LOWER($A624&amp;" "&amp;$M624&amp;"")))),"",IF(LOWER($L624&amp;"")="yes",0,IF($K624&lt;&gt;"",$K624,IF($O624&lt;&gt;"",$O624,"")))))</f>
        <v/>
      </c>
      <c r="Q624">
        <f>IF($A624="","",IF($U624="Subscription","",IF($U624="Profit",$P624-$H624,0)))</f>
        <v/>
      </c>
      <c r="R624">
        <f>IF($A624="","",IF($U624="Subscription","",IF($U624="Draw",$H624,0)))</f>
        <v/>
      </c>
      <c r="S624">
        <f>IF($A624="","",IF($U624="Subscription","",IF($U624="Disqualified",$H624,0)))</f>
        <v/>
      </c>
      <c r="T624">
        <f>IF($A624="","",IF($U624="Subscription","",IF($H624=0,IF($U624="Profit","N/A",0),IF($U624="Profit",$Q624/$H624,IF($U624="Disqualified",-1,0)))))</f>
        <v/>
      </c>
      <c r="U624" s="350">
        <f>IF($A624="","",IF(OR(LOWER($D624&amp;"")="n/a",ISNUMBER(SEARCH("subscription",LOWER($A624&amp;" "&amp;$M624&amp;""))),ISNUMBER(SEARCH("membership",LOWER($A624&amp;" "&amp;$M624&amp;"")))),"Subscription",IF(LOWER($L624&amp;"")="yes","Disqualified",IF($P624&gt;$H624,"Profit","Draw"))))</f>
        <v/>
      </c>
      <c r="V624">
        <f>IF(OR($A624="",$B624="",$C624="",$U624="Subscription"),"",IFERROR(ROUNDUP((IF(ISNUMBER($C624),$C624,DATEVALUE($C624))-IF(ISNUMBER($B624),$B624,DATEVALUE($B624)))/7,0),""))</f>
        <v/>
      </c>
      <c r="W624" s="352">
        <f>IF($U624="Subscription","",$Q624-$S624)</f>
        <v/>
      </c>
      <c r="X624">
        <f>IF(OR($A624="",$U624="Subscription",$J624="",$I624="",$J624=0,$I624=0,$I624&gt;$J624),"",$J624-$I624)</f>
        <v/>
      </c>
      <c r="Y624">
        <f>IF(OR($A624="",$U624="Subscription",$J624="",$J624=0,$X624=""),"",$X624/$J624)</f>
        <v/>
      </c>
    </row>
    <row r="625">
      <c r="B625" s="354" t="n"/>
      <c r="C625" s="354" t="n"/>
      <c r="E625" s="350" t="n"/>
      <c r="F625" s="350" t="n"/>
      <c r="G625" s="350" t="n"/>
      <c r="H625" s="350" t="n"/>
      <c r="I625" s="350" t="n"/>
      <c r="J625" s="352" t="n"/>
      <c r="M625" s="350" t="n"/>
      <c r="N625" s="350">
        <f>IF($A625="","",IF(OR(LOWER($D625&amp;"")="n/a",ISNUMBER(SEARCH("subscription",LOWER($A625&amp;" "&amp;$M625&amp;""))),ISNUMBER(SEARCH("membership",LOWER($A625&amp;" "&amp;$M625&amp;"")))),"",IF($G625="","",IF(ISNUMBER(SEARCH("non",LOWER($E625&amp;""))),$G625*0.85,$G625))))</f>
        <v/>
      </c>
      <c r="O625">
        <f>IF($A625="","",IF(OR(LOWER($D625&amp;"")="n/a",ISNUMBER(SEARCH("subscription",LOWER($A625&amp;" "&amp;$M625&amp;""))),ISNUMBER(SEARCH("membership",LOWER($A625&amp;" "&amp;$M625&amp;"")))),"",IF(OR($N625="",$I625="",$I625=0),"",$N625/$I625)))</f>
        <v/>
      </c>
      <c r="P625">
        <f>IF($A625="","",IF(OR(LOWER($D625&amp;"")="n/a",ISNUMBER(SEARCH("subscription",LOWER($A625&amp;" "&amp;$M625&amp;""))),ISNUMBER(SEARCH("membership",LOWER($A625&amp;" "&amp;$M625&amp;"")))),"",IF(LOWER($L625&amp;"")="yes",0,IF($K625&lt;&gt;"",$K625,IF($O625&lt;&gt;"",$O625,"")))))</f>
        <v/>
      </c>
      <c r="Q625">
        <f>IF($A625="","",IF($U625="Subscription","",IF($U625="Profit",$P625-$H625,0)))</f>
        <v/>
      </c>
      <c r="R625">
        <f>IF($A625="","",IF($U625="Subscription","",IF($U625="Draw",$H625,0)))</f>
        <v/>
      </c>
      <c r="S625">
        <f>IF($A625="","",IF($U625="Subscription","",IF($U625="Disqualified",$H625,0)))</f>
        <v/>
      </c>
      <c r="T625">
        <f>IF($A625="","",IF($U625="Subscription","",IF($H625=0,IF($U625="Profit","N/A",0),IF($U625="Profit",$Q625/$H625,IF($U625="Disqualified",-1,0)))))</f>
        <v/>
      </c>
      <c r="U625" s="350">
        <f>IF($A625="","",IF(OR(LOWER($D625&amp;"")="n/a",ISNUMBER(SEARCH("subscription",LOWER($A625&amp;" "&amp;$M625&amp;""))),ISNUMBER(SEARCH("membership",LOWER($A625&amp;" "&amp;$M625&amp;"")))),"Subscription",IF(LOWER($L625&amp;"")="yes","Disqualified",IF($P625&gt;$H625,"Profit","Draw"))))</f>
        <v/>
      </c>
      <c r="V625">
        <f>IF(OR($A625="",$B625="",$C625="",$U625="Subscription"),"",IFERROR(ROUNDUP((IF(ISNUMBER($C625),$C625,DATEVALUE($C625))-IF(ISNUMBER($B625),$B625,DATEVALUE($B625)))/7,0),""))</f>
        <v/>
      </c>
      <c r="W625" s="352">
        <f>IF($U625="Subscription","",$Q625-$S625)</f>
        <v/>
      </c>
      <c r="X625">
        <f>IF(OR($A625="",$U625="Subscription",$J625="",$I625="",$J625=0,$I625=0,$I625&gt;$J625),"",$J625-$I625)</f>
        <v/>
      </c>
      <c r="Y625">
        <f>IF(OR($A625="",$U625="Subscription",$J625="",$J625=0,$X625=""),"",$X625/$J625)</f>
        <v/>
      </c>
    </row>
    <row r="626">
      <c r="B626" s="354" t="n"/>
      <c r="C626" s="354" t="n"/>
      <c r="E626" s="350" t="n"/>
      <c r="F626" s="350" t="n"/>
      <c r="G626" s="350" t="n"/>
      <c r="H626" s="350" t="n"/>
      <c r="I626" s="350" t="n"/>
      <c r="J626" s="352" t="n"/>
      <c r="M626" s="350" t="n"/>
      <c r="N626" s="350">
        <f>IF($A626="","",IF(OR(LOWER($D626&amp;"")="n/a",ISNUMBER(SEARCH("subscription",LOWER($A626&amp;" "&amp;$M626&amp;""))),ISNUMBER(SEARCH("membership",LOWER($A626&amp;" "&amp;$M626&amp;"")))),"",IF($G626="","",IF(ISNUMBER(SEARCH("non",LOWER($E626&amp;""))),$G626*0.85,$G626))))</f>
        <v/>
      </c>
      <c r="O626">
        <f>IF($A626="","",IF(OR(LOWER($D626&amp;"")="n/a",ISNUMBER(SEARCH("subscription",LOWER($A626&amp;" "&amp;$M626&amp;""))),ISNUMBER(SEARCH("membership",LOWER($A626&amp;" "&amp;$M626&amp;"")))),"",IF(OR($N626="",$I626="",$I626=0),"",$N626/$I626)))</f>
        <v/>
      </c>
      <c r="P626">
        <f>IF($A626="","",IF(OR(LOWER($D626&amp;"")="n/a",ISNUMBER(SEARCH("subscription",LOWER($A626&amp;" "&amp;$M626&amp;""))),ISNUMBER(SEARCH("membership",LOWER($A626&amp;" "&amp;$M626&amp;"")))),"",IF(LOWER($L626&amp;"")="yes",0,IF($K626&lt;&gt;"",$K626,IF($O626&lt;&gt;"",$O626,"")))))</f>
        <v/>
      </c>
      <c r="Q626">
        <f>IF($A626="","",IF($U626="Subscription","",IF($U626="Profit",$P626-$H626,0)))</f>
        <v/>
      </c>
      <c r="R626">
        <f>IF($A626="","",IF($U626="Subscription","",IF($U626="Draw",$H626,0)))</f>
        <v/>
      </c>
      <c r="S626">
        <f>IF($A626="","",IF($U626="Subscription","",IF($U626="Disqualified",$H626,0)))</f>
        <v/>
      </c>
      <c r="T626">
        <f>IF($A626="","",IF($U626="Subscription","",IF($H626=0,IF($U626="Profit","N/A",0),IF($U626="Profit",$Q626/$H626,IF($U626="Disqualified",-1,0)))))</f>
        <v/>
      </c>
      <c r="U626" s="350">
        <f>IF($A626="","",IF(OR(LOWER($D626&amp;"")="n/a",ISNUMBER(SEARCH("subscription",LOWER($A626&amp;" "&amp;$M626&amp;""))),ISNUMBER(SEARCH("membership",LOWER($A626&amp;" "&amp;$M626&amp;"")))),"Subscription",IF(LOWER($L626&amp;"")="yes","Disqualified",IF($P626&gt;$H626,"Profit","Draw"))))</f>
        <v/>
      </c>
      <c r="V626">
        <f>IF(OR($A626="",$B626="",$C626="",$U626="Subscription"),"",IFERROR(ROUNDUP((IF(ISNUMBER($C626),$C626,DATEVALUE($C626))-IF(ISNUMBER($B626),$B626,DATEVALUE($B626)))/7,0),""))</f>
        <v/>
      </c>
      <c r="W626" s="352">
        <f>IF($U626="Subscription","",$Q626-$S626)</f>
        <v/>
      </c>
      <c r="X626">
        <f>IF(OR($A626="",$U626="Subscription",$J626="",$I626="",$J626=0,$I626=0,$I626&gt;$J626),"",$J626-$I626)</f>
        <v/>
      </c>
      <c r="Y626">
        <f>IF(OR($A626="",$U626="Subscription",$J626="",$J626=0,$X626=""),"",$X626/$J626)</f>
        <v/>
      </c>
    </row>
    <row r="627">
      <c r="B627" s="354" t="n"/>
      <c r="C627" s="354" t="n"/>
      <c r="E627" s="350" t="n"/>
      <c r="F627" s="350" t="n"/>
      <c r="G627" s="350" t="n"/>
      <c r="H627" s="350" t="n"/>
      <c r="I627" s="350" t="n"/>
      <c r="J627" s="352" t="n"/>
      <c r="M627" s="350" t="n"/>
      <c r="N627" s="350">
        <f>IF($A627="","",IF(OR(LOWER($D627&amp;"")="n/a",ISNUMBER(SEARCH("subscription",LOWER($A627&amp;" "&amp;$M627&amp;""))),ISNUMBER(SEARCH("membership",LOWER($A627&amp;" "&amp;$M627&amp;"")))),"",IF($G627="","",IF(ISNUMBER(SEARCH("non",LOWER($E627&amp;""))),$G627*0.85,$G627))))</f>
        <v/>
      </c>
      <c r="O627">
        <f>IF($A627="","",IF(OR(LOWER($D627&amp;"")="n/a",ISNUMBER(SEARCH("subscription",LOWER($A627&amp;" "&amp;$M627&amp;""))),ISNUMBER(SEARCH("membership",LOWER($A627&amp;" "&amp;$M627&amp;"")))),"",IF(OR($N627="",$I627="",$I627=0),"",$N627/$I627)))</f>
        <v/>
      </c>
      <c r="P627">
        <f>IF($A627="","",IF(OR(LOWER($D627&amp;"")="n/a",ISNUMBER(SEARCH("subscription",LOWER($A627&amp;" "&amp;$M627&amp;""))),ISNUMBER(SEARCH("membership",LOWER($A627&amp;" "&amp;$M627&amp;"")))),"",IF(LOWER($L627&amp;"")="yes",0,IF($K627&lt;&gt;"",$K627,IF($O627&lt;&gt;"",$O627,"")))))</f>
        <v/>
      </c>
      <c r="Q627">
        <f>IF($A627="","",IF($U627="Subscription","",IF($U627="Profit",$P627-$H627,0)))</f>
        <v/>
      </c>
      <c r="R627">
        <f>IF($A627="","",IF($U627="Subscription","",IF($U627="Draw",$H627,0)))</f>
        <v/>
      </c>
      <c r="S627">
        <f>IF($A627="","",IF($U627="Subscription","",IF($U627="Disqualified",$H627,0)))</f>
        <v/>
      </c>
      <c r="T627">
        <f>IF($A627="","",IF($U627="Subscription","",IF($H627=0,IF($U627="Profit","N/A",0),IF($U627="Profit",$Q627/$H627,IF($U627="Disqualified",-1,0)))))</f>
        <v/>
      </c>
      <c r="U627" s="350">
        <f>IF($A627="","",IF(OR(LOWER($D627&amp;"")="n/a",ISNUMBER(SEARCH("subscription",LOWER($A627&amp;" "&amp;$M627&amp;""))),ISNUMBER(SEARCH("membership",LOWER($A627&amp;" "&amp;$M627&amp;"")))),"Subscription",IF(LOWER($L627&amp;"")="yes","Disqualified",IF($P627&gt;$H627,"Profit","Draw"))))</f>
        <v/>
      </c>
      <c r="V627">
        <f>IF(OR($A627="",$B627="",$C627="",$U627="Subscription"),"",IFERROR(ROUNDUP((IF(ISNUMBER($C627),$C627,DATEVALUE($C627))-IF(ISNUMBER($B627),$B627,DATEVALUE($B627)))/7,0),""))</f>
        <v/>
      </c>
      <c r="W627" s="352">
        <f>IF($U627="Subscription","",$Q627-$S627)</f>
        <v/>
      </c>
      <c r="X627">
        <f>IF(OR($A627="",$U627="Subscription",$J627="",$I627="",$J627=0,$I627=0,$I627&gt;$J627),"",$J627-$I627)</f>
        <v/>
      </c>
      <c r="Y627">
        <f>IF(OR($A627="",$U627="Subscription",$J627="",$J627=0,$X627=""),"",$X627/$J627)</f>
        <v/>
      </c>
    </row>
    <row r="628">
      <c r="B628" s="354" t="n"/>
      <c r="C628" s="354" t="n"/>
      <c r="E628" s="350" t="n"/>
      <c r="F628" s="350" t="n"/>
      <c r="G628" s="350" t="n"/>
      <c r="H628" s="350" t="n"/>
      <c r="I628" s="350" t="n"/>
      <c r="J628" s="352" t="n"/>
      <c r="M628" s="350" t="n"/>
      <c r="N628" s="350">
        <f>IF($A628="","",IF(OR(LOWER($D628&amp;"")="n/a",ISNUMBER(SEARCH("subscription",LOWER($A628&amp;" "&amp;$M628&amp;""))),ISNUMBER(SEARCH("membership",LOWER($A628&amp;" "&amp;$M628&amp;"")))),"",IF($G628="","",IF(ISNUMBER(SEARCH("non",LOWER($E628&amp;""))),$G628*0.85,$G628))))</f>
        <v/>
      </c>
      <c r="O628">
        <f>IF($A628="","",IF(OR(LOWER($D628&amp;"")="n/a",ISNUMBER(SEARCH("subscription",LOWER($A628&amp;" "&amp;$M628&amp;""))),ISNUMBER(SEARCH("membership",LOWER($A628&amp;" "&amp;$M628&amp;"")))),"",IF(OR($N628="",$I628="",$I628=0),"",$N628/$I628)))</f>
        <v/>
      </c>
      <c r="P628">
        <f>IF($A628="","",IF(OR(LOWER($D628&amp;"")="n/a",ISNUMBER(SEARCH("subscription",LOWER($A628&amp;" "&amp;$M628&amp;""))),ISNUMBER(SEARCH("membership",LOWER($A628&amp;" "&amp;$M628&amp;"")))),"",IF(LOWER($L628&amp;"")="yes",0,IF($K628&lt;&gt;"",$K628,IF($O628&lt;&gt;"",$O628,"")))))</f>
        <v/>
      </c>
      <c r="Q628">
        <f>IF($A628="","",IF($U628="Subscription","",IF($U628="Profit",$P628-$H628,0)))</f>
        <v/>
      </c>
      <c r="R628">
        <f>IF($A628="","",IF($U628="Subscription","",IF($U628="Draw",$H628,0)))</f>
        <v/>
      </c>
      <c r="S628">
        <f>IF($A628="","",IF($U628="Subscription","",IF($U628="Disqualified",$H628,0)))</f>
        <v/>
      </c>
      <c r="T628">
        <f>IF($A628="","",IF($U628="Subscription","",IF($H628=0,IF($U628="Profit","N/A",0),IF($U628="Profit",$Q628/$H628,IF($U628="Disqualified",-1,0)))))</f>
        <v/>
      </c>
      <c r="U628" s="350">
        <f>IF($A628="","",IF(OR(LOWER($D628&amp;"")="n/a",ISNUMBER(SEARCH("subscription",LOWER($A628&amp;" "&amp;$M628&amp;""))),ISNUMBER(SEARCH("membership",LOWER($A628&amp;" "&amp;$M628&amp;"")))),"Subscription",IF(LOWER($L628&amp;"")="yes","Disqualified",IF($P628&gt;$H628,"Profit","Draw"))))</f>
        <v/>
      </c>
      <c r="V628">
        <f>IF(OR($A628="",$B628="",$C628="",$U628="Subscription"),"",IFERROR(ROUNDUP((IF(ISNUMBER($C628),$C628,DATEVALUE($C628))-IF(ISNUMBER($B628),$B628,DATEVALUE($B628)))/7,0),""))</f>
        <v/>
      </c>
      <c r="W628" s="352">
        <f>IF($U628="Subscription","",$Q628-$S628)</f>
        <v/>
      </c>
      <c r="X628">
        <f>IF(OR($A628="",$U628="Subscription",$J628="",$I628="",$J628=0,$I628=0,$I628&gt;$J628),"",$J628-$I628)</f>
        <v/>
      </c>
      <c r="Y628">
        <f>IF(OR($A628="",$U628="Subscription",$J628="",$J628=0,$X628=""),"",$X628/$J628)</f>
        <v/>
      </c>
    </row>
    <row r="629">
      <c r="B629" s="354" t="n"/>
      <c r="C629" s="354" t="n"/>
      <c r="E629" s="350" t="n"/>
      <c r="F629" s="350" t="n"/>
      <c r="G629" s="350" t="n"/>
      <c r="H629" s="350" t="n"/>
      <c r="I629" s="350" t="n"/>
      <c r="J629" s="352" t="n"/>
      <c r="M629" s="350" t="n"/>
      <c r="N629" s="350">
        <f>IF($A629="","",IF(OR(LOWER($D629&amp;"")="n/a",ISNUMBER(SEARCH("subscription",LOWER($A629&amp;" "&amp;$M629&amp;""))),ISNUMBER(SEARCH("membership",LOWER($A629&amp;" "&amp;$M629&amp;"")))),"",IF($G629="","",IF(ISNUMBER(SEARCH("non",LOWER($E629&amp;""))),$G629*0.85,$G629))))</f>
        <v/>
      </c>
      <c r="O629">
        <f>IF($A629="","",IF(OR(LOWER($D629&amp;"")="n/a",ISNUMBER(SEARCH("subscription",LOWER($A629&amp;" "&amp;$M629&amp;""))),ISNUMBER(SEARCH("membership",LOWER($A629&amp;" "&amp;$M629&amp;"")))),"",IF(OR($N629="",$I629="",$I629=0),"",$N629/$I629)))</f>
        <v/>
      </c>
      <c r="P629">
        <f>IF($A629="","",IF(OR(LOWER($D629&amp;"")="n/a",ISNUMBER(SEARCH("subscription",LOWER($A629&amp;" "&amp;$M629&amp;""))),ISNUMBER(SEARCH("membership",LOWER($A629&amp;" "&amp;$M629&amp;"")))),"",IF(LOWER($L629&amp;"")="yes",0,IF($K629&lt;&gt;"",$K629,IF($O629&lt;&gt;"",$O629,"")))))</f>
        <v/>
      </c>
      <c r="Q629">
        <f>IF($A629="","",IF($U629="Subscription","",IF($U629="Profit",$P629-$H629,0)))</f>
        <v/>
      </c>
      <c r="R629">
        <f>IF($A629="","",IF($U629="Subscription","",IF($U629="Draw",$H629,0)))</f>
        <v/>
      </c>
      <c r="S629">
        <f>IF($A629="","",IF($U629="Subscription","",IF($U629="Disqualified",$H629,0)))</f>
        <v/>
      </c>
      <c r="T629">
        <f>IF($A629="","",IF($U629="Subscription","",IF($H629=0,IF($U629="Profit","N/A",0),IF($U629="Profit",$Q629/$H629,IF($U629="Disqualified",-1,0)))))</f>
        <v/>
      </c>
      <c r="U629" s="350">
        <f>IF($A629="","",IF(OR(LOWER($D629&amp;"")="n/a",ISNUMBER(SEARCH("subscription",LOWER($A629&amp;" "&amp;$M629&amp;""))),ISNUMBER(SEARCH("membership",LOWER($A629&amp;" "&amp;$M629&amp;"")))),"Subscription",IF(LOWER($L629&amp;"")="yes","Disqualified",IF($P629&gt;$H629,"Profit","Draw"))))</f>
        <v/>
      </c>
      <c r="V629">
        <f>IF(OR($A629="",$B629="",$C629="",$U629="Subscription"),"",IFERROR(ROUNDUP((IF(ISNUMBER($C629),$C629,DATEVALUE($C629))-IF(ISNUMBER($B629),$B629,DATEVALUE($B629)))/7,0),""))</f>
        <v/>
      </c>
      <c r="W629" s="352">
        <f>IF($U629="Subscription","",$Q629-$S629)</f>
        <v/>
      </c>
      <c r="X629">
        <f>IF(OR($A629="",$U629="Subscription",$J629="",$I629="",$J629=0,$I629=0,$I629&gt;$J629),"",$J629-$I629)</f>
        <v/>
      </c>
      <c r="Y629">
        <f>IF(OR($A629="",$U629="Subscription",$J629="",$J629=0,$X629=""),"",$X629/$J629)</f>
        <v/>
      </c>
    </row>
    <row r="630">
      <c r="B630" s="354" t="n"/>
      <c r="C630" s="354" t="n"/>
      <c r="E630" s="350" t="n"/>
      <c r="F630" s="350" t="n"/>
      <c r="G630" s="350" t="n"/>
      <c r="H630" s="350" t="n"/>
      <c r="I630" s="350" t="n"/>
      <c r="J630" s="352" t="n"/>
      <c r="M630" s="350" t="n"/>
      <c r="N630" s="350">
        <f>IF($A630="","",IF(OR(LOWER($D630&amp;"")="n/a",ISNUMBER(SEARCH("subscription",LOWER($A630&amp;" "&amp;$M630&amp;""))),ISNUMBER(SEARCH("membership",LOWER($A630&amp;" "&amp;$M630&amp;"")))),"",IF($G630="","",IF(ISNUMBER(SEARCH("non",LOWER($E630&amp;""))),$G630*0.85,$G630))))</f>
        <v/>
      </c>
      <c r="O630">
        <f>IF($A630="","",IF(OR(LOWER($D630&amp;"")="n/a",ISNUMBER(SEARCH("subscription",LOWER($A630&amp;" "&amp;$M630&amp;""))),ISNUMBER(SEARCH("membership",LOWER($A630&amp;" "&amp;$M630&amp;"")))),"",IF(OR($N630="",$I630="",$I630=0),"",$N630/$I630)))</f>
        <v/>
      </c>
      <c r="P630">
        <f>IF($A630="","",IF(OR(LOWER($D630&amp;"")="n/a",ISNUMBER(SEARCH("subscription",LOWER($A630&amp;" "&amp;$M630&amp;""))),ISNUMBER(SEARCH("membership",LOWER($A630&amp;" "&amp;$M630&amp;"")))),"",IF(LOWER($L630&amp;"")="yes",0,IF($K630&lt;&gt;"",$K630,IF($O630&lt;&gt;"",$O630,"")))))</f>
        <v/>
      </c>
      <c r="Q630">
        <f>IF($A630="","",IF($U630="Subscription","",IF($U630="Profit",$P630-$H630,0)))</f>
        <v/>
      </c>
      <c r="R630">
        <f>IF($A630="","",IF($U630="Subscription","",IF($U630="Draw",$H630,0)))</f>
        <v/>
      </c>
      <c r="S630">
        <f>IF($A630="","",IF($U630="Subscription","",IF($U630="Disqualified",$H630,0)))</f>
        <v/>
      </c>
      <c r="T630">
        <f>IF($A630="","",IF($U630="Subscription","",IF($H630=0,IF($U630="Profit","N/A",0),IF($U630="Profit",$Q630/$H630,IF($U630="Disqualified",-1,0)))))</f>
        <v/>
      </c>
      <c r="U630" s="350">
        <f>IF($A630="","",IF(OR(LOWER($D630&amp;"")="n/a",ISNUMBER(SEARCH("subscription",LOWER($A630&amp;" "&amp;$M630&amp;""))),ISNUMBER(SEARCH("membership",LOWER($A630&amp;" "&amp;$M630&amp;"")))),"Subscription",IF(LOWER($L630&amp;"")="yes","Disqualified",IF($P630&gt;$H630,"Profit","Draw"))))</f>
        <v/>
      </c>
      <c r="V630">
        <f>IF(OR($A630="",$B630="",$C630="",$U630="Subscription"),"",IFERROR(ROUNDUP((IF(ISNUMBER($C630),$C630,DATEVALUE($C630))-IF(ISNUMBER($B630),$B630,DATEVALUE($B630)))/7,0),""))</f>
        <v/>
      </c>
      <c r="W630" s="352">
        <f>IF($U630="Subscription","",$Q630-$S630)</f>
        <v/>
      </c>
      <c r="X630">
        <f>IF(OR($A630="",$U630="Subscription",$J630="",$I630="",$J630=0,$I630=0,$I630&gt;$J630),"",$J630-$I630)</f>
        <v/>
      </c>
      <c r="Y630">
        <f>IF(OR($A630="",$U630="Subscription",$J630="",$J630=0,$X630=""),"",$X630/$J630)</f>
        <v/>
      </c>
    </row>
    <row r="631">
      <c r="B631" s="354" t="n"/>
      <c r="C631" s="354" t="n"/>
      <c r="E631" s="350" t="n"/>
      <c r="F631" s="350" t="n"/>
      <c r="G631" s="350" t="n"/>
      <c r="H631" s="350" t="n"/>
      <c r="I631" s="350" t="n"/>
      <c r="J631" s="352" t="n"/>
      <c r="M631" s="350" t="n"/>
      <c r="N631" s="350">
        <f>IF($A631="","",IF(OR(LOWER($D631&amp;"")="n/a",ISNUMBER(SEARCH("subscription",LOWER($A631&amp;" "&amp;$M631&amp;""))),ISNUMBER(SEARCH("membership",LOWER($A631&amp;" "&amp;$M631&amp;"")))),"",IF($G631="","",IF(ISNUMBER(SEARCH("non",LOWER($E631&amp;""))),$G631*0.85,$G631))))</f>
        <v/>
      </c>
      <c r="O631">
        <f>IF($A631="","",IF(OR(LOWER($D631&amp;"")="n/a",ISNUMBER(SEARCH("subscription",LOWER($A631&amp;" "&amp;$M631&amp;""))),ISNUMBER(SEARCH("membership",LOWER($A631&amp;" "&amp;$M631&amp;"")))),"",IF(OR($N631="",$I631="",$I631=0),"",$N631/$I631)))</f>
        <v/>
      </c>
      <c r="P631">
        <f>IF($A631="","",IF(OR(LOWER($D631&amp;"")="n/a",ISNUMBER(SEARCH("subscription",LOWER($A631&amp;" "&amp;$M631&amp;""))),ISNUMBER(SEARCH("membership",LOWER($A631&amp;" "&amp;$M631&amp;"")))),"",IF(LOWER($L631&amp;"")="yes",0,IF($K631&lt;&gt;"",$K631,IF($O631&lt;&gt;"",$O631,"")))))</f>
        <v/>
      </c>
      <c r="Q631">
        <f>IF($A631="","",IF($U631="Subscription","",IF($U631="Profit",$P631-$H631,0)))</f>
        <v/>
      </c>
      <c r="R631">
        <f>IF($A631="","",IF($U631="Subscription","",IF($U631="Draw",$H631,0)))</f>
        <v/>
      </c>
      <c r="S631">
        <f>IF($A631="","",IF($U631="Subscription","",IF($U631="Disqualified",$H631,0)))</f>
        <v/>
      </c>
      <c r="T631">
        <f>IF($A631="","",IF($U631="Subscription","",IF($H631=0,IF($U631="Profit","N/A",0),IF($U631="Profit",$Q631/$H631,IF($U631="Disqualified",-1,0)))))</f>
        <v/>
      </c>
      <c r="U631" s="350">
        <f>IF($A631="","",IF(OR(LOWER($D631&amp;"")="n/a",ISNUMBER(SEARCH("subscription",LOWER($A631&amp;" "&amp;$M631&amp;""))),ISNUMBER(SEARCH("membership",LOWER($A631&amp;" "&amp;$M631&amp;"")))),"Subscription",IF(LOWER($L631&amp;"")="yes","Disqualified",IF($P631&gt;$H631,"Profit","Draw"))))</f>
        <v/>
      </c>
      <c r="V631">
        <f>IF(OR($A631="",$B631="",$C631="",$U631="Subscription"),"",IFERROR(ROUNDUP((IF(ISNUMBER($C631),$C631,DATEVALUE($C631))-IF(ISNUMBER($B631),$B631,DATEVALUE($B631)))/7,0),""))</f>
        <v/>
      </c>
      <c r="W631" s="352">
        <f>IF($U631="Subscription","",$Q631-$S631)</f>
        <v/>
      </c>
      <c r="X631">
        <f>IF(OR($A631="",$U631="Subscription",$J631="",$I631="",$J631=0,$I631=0,$I631&gt;$J631),"",$J631-$I631)</f>
        <v/>
      </c>
      <c r="Y631">
        <f>IF(OR($A631="",$U631="Subscription",$J631="",$J631=0,$X631=""),"",$X631/$J631)</f>
        <v/>
      </c>
    </row>
    <row r="632">
      <c r="B632" s="354" t="n"/>
      <c r="C632" s="354" t="n"/>
      <c r="E632" s="350" t="n"/>
      <c r="F632" s="350" t="n"/>
      <c r="G632" s="350" t="n"/>
      <c r="H632" s="350" t="n"/>
      <c r="I632" s="350" t="n"/>
      <c r="J632" s="352" t="n"/>
      <c r="M632" s="350" t="n"/>
      <c r="N632" s="350">
        <f>IF($A632="","",IF(OR(LOWER($D632&amp;"")="n/a",ISNUMBER(SEARCH("subscription",LOWER($A632&amp;" "&amp;$M632&amp;""))),ISNUMBER(SEARCH("membership",LOWER($A632&amp;" "&amp;$M632&amp;"")))),"",IF($G632="","",IF(ISNUMBER(SEARCH("non",LOWER($E632&amp;""))),$G632*0.85,$G632))))</f>
        <v/>
      </c>
      <c r="O632">
        <f>IF($A632="","",IF(OR(LOWER($D632&amp;"")="n/a",ISNUMBER(SEARCH("subscription",LOWER($A632&amp;" "&amp;$M632&amp;""))),ISNUMBER(SEARCH("membership",LOWER($A632&amp;" "&amp;$M632&amp;"")))),"",IF(OR($N632="",$I632="",$I632=0),"",$N632/$I632)))</f>
        <v/>
      </c>
      <c r="P632">
        <f>IF($A632="","",IF(OR(LOWER($D632&amp;"")="n/a",ISNUMBER(SEARCH("subscription",LOWER($A632&amp;" "&amp;$M632&amp;""))),ISNUMBER(SEARCH("membership",LOWER($A632&amp;" "&amp;$M632&amp;"")))),"",IF(LOWER($L632&amp;"")="yes",0,IF($K632&lt;&gt;"",$K632,IF($O632&lt;&gt;"",$O632,"")))))</f>
        <v/>
      </c>
      <c r="Q632">
        <f>IF($A632="","",IF($U632="Subscription","",IF($U632="Profit",$P632-$H632,0)))</f>
        <v/>
      </c>
      <c r="R632">
        <f>IF($A632="","",IF($U632="Subscription","",IF($U632="Draw",$H632,0)))</f>
        <v/>
      </c>
      <c r="S632">
        <f>IF($A632="","",IF($U632="Subscription","",IF($U632="Disqualified",$H632,0)))</f>
        <v/>
      </c>
      <c r="T632">
        <f>IF($A632="","",IF($U632="Subscription","",IF($H632=0,IF($U632="Profit","N/A",0),IF($U632="Profit",$Q632/$H632,IF($U632="Disqualified",-1,0)))))</f>
        <v/>
      </c>
      <c r="U632" s="350">
        <f>IF($A632="","",IF(OR(LOWER($D632&amp;"")="n/a",ISNUMBER(SEARCH("subscription",LOWER($A632&amp;" "&amp;$M632&amp;""))),ISNUMBER(SEARCH("membership",LOWER($A632&amp;" "&amp;$M632&amp;"")))),"Subscription",IF(LOWER($L632&amp;"")="yes","Disqualified",IF($P632&gt;$H632,"Profit","Draw"))))</f>
        <v/>
      </c>
      <c r="V632">
        <f>IF(OR($A632="",$B632="",$C632="",$U632="Subscription"),"",IFERROR(ROUNDUP((IF(ISNUMBER($C632),$C632,DATEVALUE($C632))-IF(ISNUMBER($B632),$B632,DATEVALUE($B632)))/7,0),""))</f>
        <v/>
      </c>
      <c r="W632" s="352">
        <f>IF($U632="Subscription","",$Q632-$S632)</f>
        <v/>
      </c>
      <c r="X632">
        <f>IF(OR($A632="",$U632="Subscription",$J632="",$I632="",$J632=0,$I632=0,$I632&gt;$J632),"",$J632-$I632)</f>
        <v/>
      </c>
      <c r="Y632">
        <f>IF(OR($A632="",$U632="Subscription",$J632="",$J632=0,$X632=""),"",$X632/$J632)</f>
        <v/>
      </c>
    </row>
    <row r="633">
      <c r="B633" s="354" t="n"/>
      <c r="C633" s="354" t="n"/>
      <c r="E633" s="350" t="n"/>
      <c r="F633" s="350" t="n"/>
      <c r="G633" s="350" t="n"/>
      <c r="H633" s="350" t="n"/>
      <c r="I633" s="350" t="n"/>
      <c r="J633" s="352" t="n"/>
      <c r="M633" s="350" t="n"/>
      <c r="N633" s="350">
        <f>IF($A633="","",IF(OR(LOWER($D633&amp;"")="n/a",ISNUMBER(SEARCH("subscription",LOWER($A633&amp;" "&amp;$M633&amp;""))),ISNUMBER(SEARCH("membership",LOWER($A633&amp;" "&amp;$M633&amp;"")))),"",IF($G633="","",IF(ISNUMBER(SEARCH("non",LOWER($E633&amp;""))),$G633*0.85,$G633))))</f>
        <v/>
      </c>
      <c r="O633">
        <f>IF($A633="","",IF(OR(LOWER($D633&amp;"")="n/a",ISNUMBER(SEARCH("subscription",LOWER($A633&amp;" "&amp;$M633&amp;""))),ISNUMBER(SEARCH("membership",LOWER($A633&amp;" "&amp;$M633&amp;"")))),"",IF(OR($N633="",$I633="",$I633=0),"",$N633/$I633)))</f>
        <v/>
      </c>
      <c r="P633">
        <f>IF($A633="","",IF(OR(LOWER($D633&amp;"")="n/a",ISNUMBER(SEARCH("subscription",LOWER($A633&amp;" "&amp;$M633&amp;""))),ISNUMBER(SEARCH("membership",LOWER($A633&amp;" "&amp;$M633&amp;"")))),"",IF(LOWER($L633&amp;"")="yes",0,IF($K633&lt;&gt;"",$K633,IF($O633&lt;&gt;"",$O633,"")))))</f>
        <v/>
      </c>
      <c r="Q633">
        <f>IF($A633="","",IF($U633="Subscription","",IF($U633="Profit",$P633-$H633,0)))</f>
        <v/>
      </c>
      <c r="R633">
        <f>IF($A633="","",IF($U633="Subscription","",IF($U633="Draw",$H633,0)))</f>
        <v/>
      </c>
      <c r="S633">
        <f>IF($A633="","",IF($U633="Subscription","",IF($U633="Disqualified",$H633,0)))</f>
        <v/>
      </c>
      <c r="T633">
        <f>IF($A633="","",IF($U633="Subscription","",IF($H633=0,IF($U633="Profit","N/A",0),IF($U633="Profit",$Q633/$H633,IF($U633="Disqualified",-1,0)))))</f>
        <v/>
      </c>
      <c r="U633" s="350">
        <f>IF($A633="","",IF(OR(LOWER($D633&amp;"")="n/a",ISNUMBER(SEARCH("subscription",LOWER($A633&amp;" "&amp;$M633&amp;""))),ISNUMBER(SEARCH("membership",LOWER($A633&amp;" "&amp;$M633&amp;"")))),"Subscription",IF(LOWER($L633&amp;"")="yes","Disqualified",IF($P633&gt;$H633,"Profit","Draw"))))</f>
        <v/>
      </c>
      <c r="V633">
        <f>IF(OR($A633="",$B633="",$C633="",$U633="Subscription"),"",IFERROR(ROUNDUP((IF(ISNUMBER($C633),$C633,DATEVALUE($C633))-IF(ISNUMBER($B633),$B633,DATEVALUE($B633)))/7,0),""))</f>
        <v/>
      </c>
      <c r="W633" s="352">
        <f>IF($U633="Subscription","",$Q633-$S633)</f>
        <v/>
      </c>
      <c r="X633">
        <f>IF(OR($A633="",$U633="Subscription",$J633="",$I633="",$J633=0,$I633=0,$I633&gt;$J633),"",$J633-$I633)</f>
        <v/>
      </c>
      <c r="Y633">
        <f>IF(OR($A633="",$U633="Subscription",$J633="",$J633=0,$X633=""),"",$X633/$J633)</f>
        <v/>
      </c>
    </row>
    <row r="634">
      <c r="B634" s="354" t="n"/>
      <c r="C634" s="354" t="n"/>
      <c r="E634" s="350" t="n"/>
      <c r="F634" s="350" t="n"/>
      <c r="G634" s="350" t="n"/>
      <c r="H634" s="350" t="n"/>
      <c r="I634" s="350" t="n"/>
      <c r="J634" s="352" t="n"/>
      <c r="M634" s="350" t="n"/>
      <c r="N634" s="350">
        <f>IF($A634="","",IF(OR(LOWER($D634&amp;"")="n/a",ISNUMBER(SEARCH("subscription",LOWER($A634&amp;" "&amp;$M634&amp;""))),ISNUMBER(SEARCH("membership",LOWER($A634&amp;" "&amp;$M634&amp;"")))),"",IF($G634="","",IF(ISNUMBER(SEARCH("non",LOWER($E634&amp;""))),$G634*0.85,$G634))))</f>
        <v/>
      </c>
      <c r="O634">
        <f>IF($A634="","",IF(OR(LOWER($D634&amp;"")="n/a",ISNUMBER(SEARCH("subscription",LOWER($A634&amp;" "&amp;$M634&amp;""))),ISNUMBER(SEARCH("membership",LOWER($A634&amp;" "&amp;$M634&amp;"")))),"",IF(OR($N634="",$I634="",$I634=0),"",$N634/$I634)))</f>
        <v/>
      </c>
      <c r="P634">
        <f>IF($A634="","",IF(OR(LOWER($D634&amp;"")="n/a",ISNUMBER(SEARCH("subscription",LOWER($A634&amp;" "&amp;$M634&amp;""))),ISNUMBER(SEARCH("membership",LOWER($A634&amp;" "&amp;$M634&amp;"")))),"",IF(LOWER($L634&amp;"")="yes",0,IF($K634&lt;&gt;"",$K634,IF($O634&lt;&gt;"",$O634,"")))))</f>
        <v/>
      </c>
      <c r="Q634">
        <f>IF($A634="","",IF($U634="Subscription","",IF($U634="Profit",$P634-$H634,0)))</f>
        <v/>
      </c>
      <c r="R634">
        <f>IF($A634="","",IF($U634="Subscription","",IF($U634="Draw",$H634,0)))</f>
        <v/>
      </c>
      <c r="S634">
        <f>IF($A634="","",IF($U634="Subscription","",IF($U634="Disqualified",$H634,0)))</f>
        <v/>
      </c>
      <c r="T634">
        <f>IF($A634="","",IF($U634="Subscription","",IF($H634=0,IF($U634="Profit","N/A",0),IF($U634="Profit",$Q634/$H634,IF($U634="Disqualified",-1,0)))))</f>
        <v/>
      </c>
      <c r="U634" s="350">
        <f>IF($A634="","",IF(OR(LOWER($D634&amp;"")="n/a",ISNUMBER(SEARCH("subscription",LOWER($A634&amp;" "&amp;$M634&amp;""))),ISNUMBER(SEARCH("membership",LOWER($A634&amp;" "&amp;$M634&amp;"")))),"Subscription",IF(LOWER($L634&amp;"")="yes","Disqualified",IF($P634&gt;$H634,"Profit","Draw"))))</f>
        <v/>
      </c>
      <c r="V634">
        <f>IF(OR($A634="",$B634="",$C634="",$U634="Subscription"),"",IFERROR(ROUNDUP((IF(ISNUMBER($C634),$C634,DATEVALUE($C634))-IF(ISNUMBER($B634),$B634,DATEVALUE($B634)))/7,0),""))</f>
        <v/>
      </c>
      <c r="W634" s="352">
        <f>IF($U634="Subscription","",$Q634-$S634)</f>
        <v/>
      </c>
      <c r="X634">
        <f>IF(OR($A634="",$U634="Subscription",$J634="",$I634="",$J634=0,$I634=0,$I634&gt;$J634),"",$J634-$I634)</f>
        <v/>
      </c>
      <c r="Y634">
        <f>IF(OR($A634="",$U634="Subscription",$J634="",$J634=0,$X634=""),"",$X634/$J634)</f>
        <v/>
      </c>
    </row>
    <row r="635">
      <c r="B635" s="354" t="n"/>
      <c r="C635" s="354" t="n"/>
      <c r="E635" s="350" t="n"/>
      <c r="F635" s="350" t="n"/>
      <c r="G635" s="350" t="n"/>
      <c r="H635" s="350" t="n"/>
      <c r="I635" s="350" t="n"/>
      <c r="J635" s="352" t="n"/>
      <c r="M635" s="350" t="n"/>
      <c r="N635" s="350">
        <f>IF($A635="","",IF(OR(LOWER($D635&amp;"")="n/a",ISNUMBER(SEARCH("subscription",LOWER($A635&amp;" "&amp;$M635&amp;""))),ISNUMBER(SEARCH("membership",LOWER($A635&amp;" "&amp;$M635&amp;"")))),"",IF($G635="","",IF(ISNUMBER(SEARCH("non",LOWER($E635&amp;""))),$G635*0.85,$G635))))</f>
        <v/>
      </c>
      <c r="O635">
        <f>IF($A635="","",IF(OR(LOWER($D635&amp;"")="n/a",ISNUMBER(SEARCH("subscription",LOWER($A635&amp;" "&amp;$M635&amp;""))),ISNUMBER(SEARCH("membership",LOWER($A635&amp;" "&amp;$M635&amp;"")))),"",IF(OR($N635="",$I635="",$I635=0),"",$N635/$I635)))</f>
        <v/>
      </c>
      <c r="P635">
        <f>IF($A635="","",IF(OR(LOWER($D635&amp;"")="n/a",ISNUMBER(SEARCH("subscription",LOWER($A635&amp;" "&amp;$M635&amp;""))),ISNUMBER(SEARCH("membership",LOWER($A635&amp;" "&amp;$M635&amp;"")))),"",IF(LOWER($L635&amp;"")="yes",0,IF($K635&lt;&gt;"",$K635,IF($O635&lt;&gt;"",$O635,"")))))</f>
        <v/>
      </c>
      <c r="Q635">
        <f>IF($A635="","",IF($U635="Subscription","",IF($U635="Profit",$P635-$H635,0)))</f>
        <v/>
      </c>
      <c r="R635">
        <f>IF($A635="","",IF($U635="Subscription","",IF($U635="Draw",$H635,0)))</f>
        <v/>
      </c>
      <c r="S635">
        <f>IF($A635="","",IF($U635="Subscription","",IF($U635="Disqualified",$H635,0)))</f>
        <v/>
      </c>
      <c r="T635">
        <f>IF($A635="","",IF($U635="Subscription","",IF($H635=0,IF($U635="Profit","N/A",0),IF($U635="Profit",$Q635/$H635,IF($U635="Disqualified",-1,0)))))</f>
        <v/>
      </c>
      <c r="U635" s="350">
        <f>IF($A635="","",IF(OR(LOWER($D635&amp;"")="n/a",ISNUMBER(SEARCH("subscription",LOWER($A635&amp;" "&amp;$M635&amp;""))),ISNUMBER(SEARCH("membership",LOWER($A635&amp;" "&amp;$M635&amp;"")))),"Subscription",IF(LOWER($L635&amp;"")="yes","Disqualified",IF($P635&gt;$H635,"Profit","Draw"))))</f>
        <v/>
      </c>
      <c r="V635">
        <f>IF(OR($A635="",$B635="",$C635="",$U635="Subscription"),"",IFERROR(ROUNDUP((IF(ISNUMBER($C635),$C635,DATEVALUE($C635))-IF(ISNUMBER($B635),$B635,DATEVALUE($B635)))/7,0),""))</f>
        <v/>
      </c>
      <c r="W635" s="352">
        <f>IF($U635="Subscription","",$Q635-$S635)</f>
        <v/>
      </c>
      <c r="X635">
        <f>IF(OR($A635="",$U635="Subscription",$J635="",$I635="",$J635=0,$I635=0,$I635&gt;$J635),"",$J635-$I635)</f>
        <v/>
      </c>
      <c r="Y635">
        <f>IF(OR($A635="",$U635="Subscription",$J635="",$J635=0,$X635=""),"",$X635/$J635)</f>
        <v/>
      </c>
    </row>
    <row r="636">
      <c r="B636" s="354" t="n"/>
      <c r="C636" s="354" t="n"/>
      <c r="E636" s="350" t="n"/>
      <c r="F636" s="350" t="n"/>
      <c r="G636" s="350" t="n"/>
      <c r="H636" s="350" t="n"/>
      <c r="I636" s="350" t="n"/>
      <c r="J636" s="352" t="n"/>
      <c r="M636" s="350" t="n"/>
      <c r="N636" s="350">
        <f>IF($A636="","",IF(OR(LOWER($D636&amp;"")="n/a",ISNUMBER(SEARCH("subscription",LOWER($A636&amp;" "&amp;$M636&amp;""))),ISNUMBER(SEARCH("membership",LOWER($A636&amp;" "&amp;$M636&amp;"")))),"",IF($G636="","",IF(ISNUMBER(SEARCH("non",LOWER($E636&amp;""))),$G636*0.85,$G636))))</f>
        <v/>
      </c>
      <c r="O636">
        <f>IF($A636="","",IF(OR(LOWER($D636&amp;"")="n/a",ISNUMBER(SEARCH("subscription",LOWER($A636&amp;" "&amp;$M636&amp;""))),ISNUMBER(SEARCH("membership",LOWER($A636&amp;" "&amp;$M636&amp;"")))),"",IF(OR($N636="",$I636="",$I636=0),"",$N636/$I636)))</f>
        <v/>
      </c>
      <c r="P636">
        <f>IF($A636="","",IF(OR(LOWER($D636&amp;"")="n/a",ISNUMBER(SEARCH("subscription",LOWER($A636&amp;" "&amp;$M636&amp;""))),ISNUMBER(SEARCH("membership",LOWER($A636&amp;" "&amp;$M636&amp;"")))),"",IF(LOWER($L636&amp;"")="yes",0,IF($K636&lt;&gt;"",$K636,IF($O636&lt;&gt;"",$O636,"")))))</f>
        <v/>
      </c>
      <c r="Q636">
        <f>IF($A636="","",IF($U636="Subscription","",IF($U636="Profit",$P636-$H636,0)))</f>
        <v/>
      </c>
      <c r="R636">
        <f>IF($A636="","",IF($U636="Subscription","",IF($U636="Draw",$H636,0)))</f>
        <v/>
      </c>
      <c r="S636">
        <f>IF($A636="","",IF($U636="Subscription","",IF($U636="Disqualified",$H636,0)))</f>
        <v/>
      </c>
      <c r="T636">
        <f>IF($A636="","",IF($U636="Subscription","",IF($H636=0,IF($U636="Profit","N/A",0),IF($U636="Profit",$Q636/$H636,IF($U636="Disqualified",-1,0)))))</f>
        <v/>
      </c>
      <c r="U636" s="350">
        <f>IF($A636="","",IF(OR(LOWER($D636&amp;"")="n/a",ISNUMBER(SEARCH("subscription",LOWER($A636&amp;" "&amp;$M636&amp;""))),ISNUMBER(SEARCH("membership",LOWER($A636&amp;" "&amp;$M636&amp;"")))),"Subscription",IF(LOWER($L636&amp;"")="yes","Disqualified",IF($P636&gt;$H636,"Profit","Draw"))))</f>
        <v/>
      </c>
      <c r="V636">
        <f>IF(OR($A636="",$B636="",$C636="",$U636="Subscription"),"",IFERROR(ROUNDUP((IF(ISNUMBER($C636),$C636,DATEVALUE($C636))-IF(ISNUMBER($B636),$B636,DATEVALUE($B636)))/7,0),""))</f>
        <v/>
      </c>
      <c r="W636" s="352">
        <f>IF($U636="Subscription","",$Q636-$S636)</f>
        <v/>
      </c>
      <c r="X636">
        <f>IF(OR($A636="",$U636="Subscription",$J636="",$I636="",$J636=0,$I636=0,$I636&gt;$J636),"",$J636-$I636)</f>
        <v/>
      </c>
      <c r="Y636">
        <f>IF(OR($A636="",$U636="Subscription",$J636="",$J636=0,$X636=""),"",$X636/$J636)</f>
        <v/>
      </c>
    </row>
    <row r="637">
      <c r="B637" s="354" t="n"/>
      <c r="C637" s="354" t="n"/>
      <c r="E637" s="350" t="n"/>
      <c r="F637" s="350" t="n"/>
      <c r="G637" s="350" t="n"/>
      <c r="H637" s="350" t="n"/>
      <c r="I637" s="350" t="n"/>
      <c r="J637" s="352" t="n"/>
      <c r="M637" s="350" t="n"/>
      <c r="N637" s="350">
        <f>IF($A637="","",IF(OR(LOWER($D637&amp;"")="n/a",ISNUMBER(SEARCH("subscription",LOWER($A637&amp;" "&amp;$M637&amp;""))),ISNUMBER(SEARCH("membership",LOWER($A637&amp;" "&amp;$M637&amp;"")))),"",IF($G637="","",IF(ISNUMBER(SEARCH("non",LOWER($E637&amp;""))),$G637*0.85,$G637))))</f>
        <v/>
      </c>
      <c r="O637">
        <f>IF($A637="","",IF(OR(LOWER($D637&amp;"")="n/a",ISNUMBER(SEARCH("subscription",LOWER($A637&amp;" "&amp;$M637&amp;""))),ISNUMBER(SEARCH("membership",LOWER($A637&amp;" "&amp;$M637&amp;"")))),"",IF(OR($N637="",$I637="",$I637=0),"",$N637/$I637)))</f>
        <v/>
      </c>
      <c r="P637">
        <f>IF($A637="","",IF(OR(LOWER($D637&amp;"")="n/a",ISNUMBER(SEARCH("subscription",LOWER($A637&amp;" "&amp;$M637&amp;""))),ISNUMBER(SEARCH("membership",LOWER($A637&amp;" "&amp;$M637&amp;"")))),"",IF(LOWER($L637&amp;"")="yes",0,IF($K637&lt;&gt;"",$K637,IF($O637&lt;&gt;"",$O637,"")))))</f>
        <v/>
      </c>
      <c r="Q637">
        <f>IF($A637="","",IF($U637="Subscription","",IF($U637="Profit",$P637-$H637,0)))</f>
        <v/>
      </c>
      <c r="R637">
        <f>IF($A637="","",IF($U637="Subscription","",IF($U637="Draw",$H637,0)))</f>
        <v/>
      </c>
      <c r="S637">
        <f>IF($A637="","",IF($U637="Subscription","",IF($U637="Disqualified",$H637,0)))</f>
        <v/>
      </c>
      <c r="T637">
        <f>IF($A637="","",IF($U637="Subscription","",IF($H637=0,IF($U637="Profit","N/A",0),IF($U637="Profit",$Q637/$H637,IF($U637="Disqualified",-1,0)))))</f>
        <v/>
      </c>
      <c r="U637" s="350">
        <f>IF($A637="","",IF(OR(LOWER($D637&amp;"")="n/a",ISNUMBER(SEARCH("subscription",LOWER($A637&amp;" "&amp;$M637&amp;""))),ISNUMBER(SEARCH("membership",LOWER($A637&amp;" "&amp;$M637&amp;"")))),"Subscription",IF(LOWER($L637&amp;"")="yes","Disqualified",IF($P637&gt;$H637,"Profit","Draw"))))</f>
        <v/>
      </c>
      <c r="V637">
        <f>IF(OR($A637="",$B637="",$C637="",$U637="Subscription"),"",IFERROR(ROUNDUP((IF(ISNUMBER($C637),$C637,DATEVALUE($C637))-IF(ISNUMBER($B637),$B637,DATEVALUE($B637)))/7,0),""))</f>
        <v/>
      </c>
      <c r="W637" s="352">
        <f>IF($U637="Subscription","",$Q637-$S637)</f>
        <v/>
      </c>
      <c r="X637">
        <f>IF(OR($A637="",$U637="Subscription",$J637="",$I637="",$J637=0,$I637=0,$I637&gt;$J637),"",$J637-$I637)</f>
        <v/>
      </c>
      <c r="Y637">
        <f>IF(OR($A637="",$U637="Subscription",$J637="",$J637=0,$X637=""),"",$X637/$J637)</f>
        <v/>
      </c>
    </row>
    <row r="638">
      <c r="B638" s="354" t="n"/>
      <c r="C638" s="354" t="n"/>
      <c r="E638" s="350" t="n"/>
      <c r="F638" s="350" t="n"/>
      <c r="G638" s="350" t="n"/>
      <c r="H638" s="350" t="n"/>
      <c r="I638" s="350" t="n"/>
      <c r="J638" s="352" t="n"/>
      <c r="M638" s="350" t="n"/>
      <c r="N638" s="350">
        <f>IF($A638="","",IF(OR(LOWER($D638&amp;"")="n/a",ISNUMBER(SEARCH("subscription",LOWER($A638&amp;" "&amp;$M638&amp;""))),ISNUMBER(SEARCH("membership",LOWER($A638&amp;" "&amp;$M638&amp;"")))),"",IF($G638="","",IF(ISNUMBER(SEARCH("non",LOWER($E638&amp;""))),$G638*0.85,$G638))))</f>
        <v/>
      </c>
      <c r="O638">
        <f>IF($A638="","",IF(OR(LOWER($D638&amp;"")="n/a",ISNUMBER(SEARCH("subscription",LOWER($A638&amp;" "&amp;$M638&amp;""))),ISNUMBER(SEARCH("membership",LOWER($A638&amp;" "&amp;$M638&amp;"")))),"",IF(OR($N638="",$I638="",$I638=0),"",$N638/$I638)))</f>
        <v/>
      </c>
      <c r="P638">
        <f>IF($A638="","",IF(OR(LOWER($D638&amp;"")="n/a",ISNUMBER(SEARCH("subscription",LOWER($A638&amp;" "&amp;$M638&amp;""))),ISNUMBER(SEARCH("membership",LOWER($A638&amp;" "&amp;$M638&amp;"")))),"",IF(LOWER($L638&amp;"")="yes",0,IF($K638&lt;&gt;"",$K638,IF($O638&lt;&gt;"",$O638,"")))))</f>
        <v/>
      </c>
      <c r="Q638">
        <f>IF($A638="","",IF($U638="Subscription","",IF($U638="Profit",$P638-$H638,0)))</f>
        <v/>
      </c>
      <c r="R638">
        <f>IF($A638="","",IF($U638="Subscription","",IF($U638="Draw",$H638,0)))</f>
        <v/>
      </c>
      <c r="S638">
        <f>IF($A638="","",IF($U638="Subscription","",IF($U638="Disqualified",$H638,0)))</f>
        <v/>
      </c>
      <c r="T638">
        <f>IF($A638="","",IF($U638="Subscription","",IF($H638=0,IF($U638="Profit","N/A",0),IF($U638="Profit",$Q638/$H638,IF($U638="Disqualified",-1,0)))))</f>
        <v/>
      </c>
      <c r="U638" s="350">
        <f>IF($A638="","",IF(OR(LOWER($D638&amp;"")="n/a",ISNUMBER(SEARCH("subscription",LOWER($A638&amp;" "&amp;$M638&amp;""))),ISNUMBER(SEARCH("membership",LOWER($A638&amp;" "&amp;$M638&amp;"")))),"Subscription",IF(LOWER($L638&amp;"")="yes","Disqualified",IF($P638&gt;$H638,"Profit","Draw"))))</f>
        <v/>
      </c>
      <c r="V638">
        <f>IF(OR($A638="",$B638="",$C638="",$U638="Subscription"),"",IFERROR(ROUNDUP((IF(ISNUMBER($C638),$C638,DATEVALUE($C638))-IF(ISNUMBER($B638),$B638,DATEVALUE($B638)))/7,0),""))</f>
        <v/>
      </c>
      <c r="W638" s="352">
        <f>IF($U638="Subscription","",$Q638-$S638)</f>
        <v/>
      </c>
      <c r="X638">
        <f>IF(OR($A638="",$U638="Subscription",$J638="",$I638="",$J638=0,$I638=0,$I638&gt;$J638),"",$J638-$I638)</f>
        <v/>
      </c>
      <c r="Y638">
        <f>IF(OR($A638="",$U638="Subscription",$J638="",$J638=0,$X638=""),"",$X638/$J638)</f>
        <v/>
      </c>
    </row>
    <row r="639">
      <c r="B639" s="354" t="n"/>
      <c r="C639" s="354" t="n"/>
      <c r="E639" s="350" t="n"/>
      <c r="F639" s="350" t="n"/>
      <c r="G639" s="350" t="n"/>
      <c r="H639" s="350" t="n"/>
      <c r="I639" s="350" t="n"/>
      <c r="J639" s="352" t="n"/>
      <c r="M639" s="350" t="n"/>
      <c r="N639" s="350">
        <f>IF($A639="","",IF(OR(LOWER($D639&amp;"")="n/a",ISNUMBER(SEARCH("subscription",LOWER($A639&amp;" "&amp;$M639&amp;""))),ISNUMBER(SEARCH("membership",LOWER($A639&amp;" "&amp;$M639&amp;"")))),"",IF($G639="","",IF(ISNUMBER(SEARCH("non",LOWER($E639&amp;""))),$G639*0.85,$G639))))</f>
        <v/>
      </c>
      <c r="O639">
        <f>IF($A639="","",IF(OR(LOWER($D639&amp;"")="n/a",ISNUMBER(SEARCH("subscription",LOWER($A639&amp;" "&amp;$M639&amp;""))),ISNUMBER(SEARCH("membership",LOWER($A639&amp;" "&amp;$M639&amp;"")))),"",IF(OR($N639="",$I639="",$I639=0),"",$N639/$I639)))</f>
        <v/>
      </c>
      <c r="P639">
        <f>IF($A639="","",IF(OR(LOWER($D639&amp;"")="n/a",ISNUMBER(SEARCH("subscription",LOWER($A639&amp;" "&amp;$M639&amp;""))),ISNUMBER(SEARCH("membership",LOWER($A639&amp;" "&amp;$M639&amp;"")))),"",IF(LOWER($L639&amp;"")="yes",0,IF($K639&lt;&gt;"",$K639,IF($O639&lt;&gt;"",$O639,"")))))</f>
        <v/>
      </c>
      <c r="Q639">
        <f>IF($A639="","",IF($U639="Subscription","",IF($U639="Profit",$P639-$H639,0)))</f>
        <v/>
      </c>
      <c r="R639">
        <f>IF($A639="","",IF($U639="Subscription","",IF($U639="Draw",$H639,0)))</f>
        <v/>
      </c>
      <c r="S639">
        <f>IF($A639="","",IF($U639="Subscription","",IF($U639="Disqualified",$H639,0)))</f>
        <v/>
      </c>
      <c r="T639">
        <f>IF($A639="","",IF($U639="Subscription","",IF($H639=0,IF($U639="Profit","N/A",0),IF($U639="Profit",$Q639/$H639,IF($U639="Disqualified",-1,0)))))</f>
        <v/>
      </c>
      <c r="U639" s="350">
        <f>IF($A639="","",IF(OR(LOWER($D639&amp;"")="n/a",ISNUMBER(SEARCH("subscription",LOWER($A639&amp;" "&amp;$M639&amp;""))),ISNUMBER(SEARCH("membership",LOWER($A639&amp;" "&amp;$M639&amp;"")))),"Subscription",IF(LOWER($L639&amp;"")="yes","Disqualified",IF($P639&gt;$H639,"Profit","Draw"))))</f>
        <v/>
      </c>
      <c r="V639">
        <f>IF(OR($A639="",$B639="",$C639="",$U639="Subscription"),"",IFERROR(ROUNDUP((IF(ISNUMBER($C639),$C639,DATEVALUE($C639))-IF(ISNUMBER($B639),$B639,DATEVALUE($B639)))/7,0),""))</f>
        <v/>
      </c>
      <c r="W639" s="352">
        <f>IF($U639="Subscription","",$Q639-$S639)</f>
        <v/>
      </c>
      <c r="X639">
        <f>IF(OR($A639="",$U639="Subscription",$J639="",$I639="",$J639=0,$I639=0,$I639&gt;$J639),"",$J639-$I639)</f>
        <v/>
      </c>
      <c r="Y639">
        <f>IF(OR($A639="",$U639="Subscription",$J639="",$J639=0,$X639=""),"",$X639/$J639)</f>
        <v/>
      </c>
    </row>
    <row r="640">
      <c r="B640" s="354" t="n"/>
      <c r="C640" s="354" t="n"/>
      <c r="E640" s="350" t="n"/>
      <c r="F640" s="350" t="n"/>
      <c r="G640" s="350" t="n"/>
      <c r="H640" s="350" t="n"/>
      <c r="I640" s="350" t="n"/>
      <c r="J640" s="352" t="n"/>
      <c r="M640" s="350" t="n"/>
      <c r="N640" s="350">
        <f>IF($A640="","",IF(OR(LOWER($D640&amp;"")="n/a",ISNUMBER(SEARCH("subscription",LOWER($A640&amp;" "&amp;$M640&amp;""))),ISNUMBER(SEARCH("membership",LOWER($A640&amp;" "&amp;$M640&amp;"")))),"",IF($G640="","",IF(ISNUMBER(SEARCH("non",LOWER($E640&amp;""))),$G640*0.85,$G640))))</f>
        <v/>
      </c>
      <c r="O640">
        <f>IF($A640="","",IF(OR(LOWER($D640&amp;"")="n/a",ISNUMBER(SEARCH("subscription",LOWER($A640&amp;" "&amp;$M640&amp;""))),ISNUMBER(SEARCH("membership",LOWER($A640&amp;" "&amp;$M640&amp;"")))),"",IF(OR($N640="",$I640="",$I640=0),"",$N640/$I640)))</f>
        <v/>
      </c>
      <c r="P640">
        <f>IF($A640="","",IF(OR(LOWER($D640&amp;"")="n/a",ISNUMBER(SEARCH("subscription",LOWER($A640&amp;" "&amp;$M640&amp;""))),ISNUMBER(SEARCH("membership",LOWER($A640&amp;" "&amp;$M640&amp;"")))),"",IF(LOWER($L640&amp;"")="yes",0,IF($K640&lt;&gt;"",$K640,IF($O640&lt;&gt;"",$O640,"")))))</f>
        <v/>
      </c>
      <c r="Q640">
        <f>IF($A640="","",IF($U640="Subscription","",IF($U640="Profit",$P640-$H640,0)))</f>
        <v/>
      </c>
      <c r="R640">
        <f>IF($A640="","",IF($U640="Subscription","",IF($U640="Draw",$H640,0)))</f>
        <v/>
      </c>
      <c r="S640">
        <f>IF($A640="","",IF($U640="Subscription","",IF($U640="Disqualified",$H640,0)))</f>
        <v/>
      </c>
      <c r="T640">
        <f>IF($A640="","",IF($U640="Subscription","",IF($H640=0,IF($U640="Profit","N/A",0),IF($U640="Profit",$Q640/$H640,IF($U640="Disqualified",-1,0)))))</f>
        <v/>
      </c>
      <c r="U640" s="350">
        <f>IF($A640="","",IF(OR(LOWER($D640&amp;"")="n/a",ISNUMBER(SEARCH("subscription",LOWER($A640&amp;" "&amp;$M640&amp;""))),ISNUMBER(SEARCH("membership",LOWER($A640&amp;" "&amp;$M640&amp;"")))),"Subscription",IF(LOWER($L640&amp;"")="yes","Disqualified",IF($P640&gt;$H640,"Profit","Draw"))))</f>
        <v/>
      </c>
      <c r="V640">
        <f>IF(OR($A640="",$B640="",$C640="",$U640="Subscription"),"",IFERROR(ROUNDUP((IF(ISNUMBER($C640),$C640,DATEVALUE($C640))-IF(ISNUMBER($B640),$B640,DATEVALUE($B640)))/7,0),""))</f>
        <v/>
      </c>
      <c r="W640" s="352">
        <f>IF($U640="Subscription","",$Q640-$S640)</f>
        <v/>
      </c>
      <c r="X640">
        <f>IF(OR($A640="",$U640="Subscription",$J640="",$I640="",$J640=0,$I640=0,$I640&gt;$J640),"",$J640-$I640)</f>
        <v/>
      </c>
      <c r="Y640">
        <f>IF(OR($A640="",$U640="Subscription",$J640="",$J640=0,$X640=""),"",$X640/$J640)</f>
        <v/>
      </c>
    </row>
    <row r="641">
      <c r="B641" s="354" t="n"/>
      <c r="C641" s="354" t="n"/>
      <c r="E641" s="350" t="n"/>
      <c r="F641" s="350" t="n"/>
      <c r="G641" s="350" t="n"/>
      <c r="H641" s="350" t="n"/>
      <c r="I641" s="350" t="n"/>
      <c r="J641" s="352" t="n"/>
      <c r="M641" s="350" t="n"/>
      <c r="N641" s="350">
        <f>IF($A641="","",IF(OR(LOWER($D641&amp;"")="n/a",ISNUMBER(SEARCH("subscription",LOWER($A641&amp;" "&amp;$M641&amp;""))),ISNUMBER(SEARCH("membership",LOWER($A641&amp;" "&amp;$M641&amp;"")))),"",IF($G641="","",IF(ISNUMBER(SEARCH("non",LOWER($E641&amp;""))),$G641*0.85,$G641))))</f>
        <v/>
      </c>
      <c r="O641">
        <f>IF($A641="","",IF(OR(LOWER($D641&amp;"")="n/a",ISNUMBER(SEARCH("subscription",LOWER($A641&amp;" "&amp;$M641&amp;""))),ISNUMBER(SEARCH("membership",LOWER($A641&amp;" "&amp;$M641&amp;"")))),"",IF(OR($N641="",$I641="",$I641=0),"",$N641/$I641)))</f>
        <v/>
      </c>
      <c r="P641">
        <f>IF($A641="","",IF(OR(LOWER($D641&amp;"")="n/a",ISNUMBER(SEARCH("subscription",LOWER($A641&amp;" "&amp;$M641&amp;""))),ISNUMBER(SEARCH("membership",LOWER($A641&amp;" "&amp;$M641&amp;"")))),"",IF(LOWER($L641&amp;"")="yes",0,IF($K641&lt;&gt;"",$K641,IF($O641&lt;&gt;"",$O641,"")))))</f>
        <v/>
      </c>
      <c r="Q641">
        <f>IF($A641="","",IF($U641="Subscription","",IF($U641="Profit",$P641-$H641,0)))</f>
        <v/>
      </c>
      <c r="R641">
        <f>IF($A641="","",IF($U641="Subscription","",IF($U641="Draw",$H641,0)))</f>
        <v/>
      </c>
      <c r="S641">
        <f>IF($A641="","",IF($U641="Subscription","",IF($U641="Disqualified",$H641,0)))</f>
        <v/>
      </c>
      <c r="T641">
        <f>IF($A641="","",IF($U641="Subscription","",IF($H641=0,IF($U641="Profit","N/A",0),IF($U641="Profit",$Q641/$H641,IF($U641="Disqualified",-1,0)))))</f>
        <v/>
      </c>
      <c r="U641" s="350">
        <f>IF($A641="","",IF(OR(LOWER($D641&amp;"")="n/a",ISNUMBER(SEARCH("subscription",LOWER($A641&amp;" "&amp;$M641&amp;""))),ISNUMBER(SEARCH("membership",LOWER($A641&amp;" "&amp;$M641&amp;"")))),"Subscription",IF(LOWER($L641&amp;"")="yes","Disqualified",IF($P641&gt;$H641,"Profit","Draw"))))</f>
        <v/>
      </c>
      <c r="V641">
        <f>IF(OR($A641="",$B641="",$C641="",$U641="Subscription"),"",IFERROR(ROUNDUP((IF(ISNUMBER($C641),$C641,DATEVALUE($C641))-IF(ISNUMBER($B641),$B641,DATEVALUE($B641)))/7,0),""))</f>
        <v/>
      </c>
      <c r="W641" s="352">
        <f>IF($U641="Subscription","",$Q641-$S641)</f>
        <v/>
      </c>
      <c r="X641">
        <f>IF(OR($A641="",$U641="Subscription",$J641="",$I641="",$J641=0,$I641=0,$I641&gt;$J641),"",$J641-$I641)</f>
        <v/>
      </c>
      <c r="Y641">
        <f>IF(OR($A641="",$U641="Subscription",$J641="",$J641=0,$X641=""),"",$X641/$J641)</f>
        <v/>
      </c>
    </row>
    <row r="642">
      <c r="B642" s="354" t="n"/>
      <c r="C642" s="354" t="n"/>
      <c r="E642" s="350" t="n"/>
      <c r="F642" s="350" t="n"/>
      <c r="G642" s="350" t="n"/>
      <c r="H642" s="350" t="n"/>
      <c r="I642" s="350" t="n"/>
      <c r="J642" s="352" t="n"/>
      <c r="M642" s="350" t="n"/>
      <c r="N642" s="350">
        <f>IF($A642="","",IF(OR(LOWER($D642&amp;"")="n/a",ISNUMBER(SEARCH("subscription",LOWER($A642&amp;" "&amp;$M642&amp;""))),ISNUMBER(SEARCH("membership",LOWER($A642&amp;" "&amp;$M642&amp;"")))),"",IF($G642="","",IF(ISNUMBER(SEARCH("non",LOWER($E642&amp;""))),$G642*0.85,$G642))))</f>
        <v/>
      </c>
      <c r="O642">
        <f>IF($A642="","",IF(OR(LOWER($D642&amp;"")="n/a",ISNUMBER(SEARCH("subscription",LOWER($A642&amp;" "&amp;$M642&amp;""))),ISNUMBER(SEARCH("membership",LOWER($A642&amp;" "&amp;$M642&amp;"")))),"",IF(OR($N642="",$I642="",$I642=0),"",$N642/$I642)))</f>
        <v/>
      </c>
      <c r="P642">
        <f>IF($A642="","",IF(OR(LOWER($D642&amp;"")="n/a",ISNUMBER(SEARCH("subscription",LOWER($A642&amp;" "&amp;$M642&amp;""))),ISNUMBER(SEARCH("membership",LOWER($A642&amp;" "&amp;$M642&amp;"")))),"",IF(LOWER($L642&amp;"")="yes",0,IF($K642&lt;&gt;"",$K642,IF($O642&lt;&gt;"",$O642,"")))))</f>
        <v/>
      </c>
      <c r="Q642">
        <f>IF($A642="","",IF($U642="Subscription","",IF($U642="Profit",$P642-$H642,0)))</f>
        <v/>
      </c>
      <c r="R642">
        <f>IF($A642="","",IF($U642="Subscription","",IF($U642="Draw",$H642,0)))</f>
        <v/>
      </c>
      <c r="S642">
        <f>IF($A642="","",IF($U642="Subscription","",IF($U642="Disqualified",$H642,0)))</f>
        <v/>
      </c>
      <c r="T642">
        <f>IF($A642="","",IF($U642="Subscription","",IF($H642=0,IF($U642="Profit","N/A",0),IF($U642="Profit",$Q642/$H642,IF($U642="Disqualified",-1,0)))))</f>
        <v/>
      </c>
      <c r="U642" s="350">
        <f>IF($A642="","",IF(OR(LOWER($D642&amp;"")="n/a",ISNUMBER(SEARCH("subscription",LOWER($A642&amp;" "&amp;$M642&amp;""))),ISNUMBER(SEARCH("membership",LOWER($A642&amp;" "&amp;$M642&amp;"")))),"Subscription",IF(LOWER($L642&amp;"")="yes","Disqualified",IF($P642&gt;$H642,"Profit","Draw"))))</f>
        <v/>
      </c>
      <c r="V642">
        <f>IF(OR($A642="",$B642="",$C642="",$U642="Subscription"),"",IFERROR(ROUNDUP((IF(ISNUMBER($C642),$C642,DATEVALUE($C642))-IF(ISNUMBER($B642),$B642,DATEVALUE($B642)))/7,0),""))</f>
        <v/>
      </c>
      <c r="W642" s="352">
        <f>IF($U642="Subscription","",$Q642-$S642)</f>
        <v/>
      </c>
      <c r="X642">
        <f>IF(OR($A642="",$U642="Subscription",$J642="",$I642="",$J642=0,$I642=0,$I642&gt;$J642),"",$J642-$I642)</f>
        <v/>
      </c>
      <c r="Y642">
        <f>IF(OR($A642="",$U642="Subscription",$J642="",$J642=0,$X642=""),"",$X642/$J642)</f>
        <v/>
      </c>
    </row>
    <row r="643">
      <c r="B643" s="354" t="n"/>
      <c r="C643" s="354" t="n"/>
      <c r="E643" s="350" t="n"/>
      <c r="F643" s="350" t="n"/>
      <c r="G643" s="350" t="n"/>
      <c r="H643" s="350" t="n"/>
      <c r="I643" s="350" t="n"/>
      <c r="J643" s="352" t="n"/>
      <c r="M643" s="350" t="n"/>
      <c r="N643" s="350">
        <f>IF($A643="","",IF(OR(LOWER($D643&amp;"")="n/a",ISNUMBER(SEARCH("subscription",LOWER($A643&amp;" "&amp;$M643&amp;""))),ISNUMBER(SEARCH("membership",LOWER($A643&amp;" "&amp;$M643&amp;"")))),"",IF($G643="","",IF(ISNUMBER(SEARCH("non",LOWER($E643&amp;""))),$G643*0.85,$G643))))</f>
        <v/>
      </c>
      <c r="O643">
        <f>IF($A643="","",IF(OR(LOWER($D643&amp;"")="n/a",ISNUMBER(SEARCH("subscription",LOWER($A643&amp;" "&amp;$M643&amp;""))),ISNUMBER(SEARCH("membership",LOWER($A643&amp;" "&amp;$M643&amp;"")))),"",IF(OR($N643="",$I643="",$I643=0),"",$N643/$I643)))</f>
        <v/>
      </c>
      <c r="P643">
        <f>IF($A643="","",IF(OR(LOWER($D643&amp;"")="n/a",ISNUMBER(SEARCH("subscription",LOWER($A643&amp;" "&amp;$M643&amp;""))),ISNUMBER(SEARCH("membership",LOWER($A643&amp;" "&amp;$M643&amp;"")))),"",IF(LOWER($L643&amp;"")="yes",0,IF($K643&lt;&gt;"",$K643,IF($O643&lt;&gt;"",$O643,"")))))</f>
        <v/>
      </c>
      <c r="Q643">
        <f>IF($A643="","",IF($U643="Subscription","",IF($U643="Profit",$P643-$H643,0)))</f>
        <v/>
      </c>
      <c r="R643">
        <f>IF($A643="","",IF($U643="Subscription","",IF($U643="Draw",$H643,0)))</f>
        <v/>
      </c>
      <c r="S643">
        <f>IF($A643="","",IF($U643="Subscription","",IF($U643="Disqualified",$H643,0)))</f>
        <v/>
      </c>
      <c r="T643">
        <f>IF($A643="","",IF($U643="Subscription","",IF($H643=0,IF($U643="Profit","N/A",0),IF($U643="Profit",$Q643/$H643,IF($U643="Disqualified",-1,0)))))</f>
        <v/>
      </c>
      <c r="U643" s="350">
        <f>IF($A643="","",IF(OR(LOWER($D643&amp;"")="n/a",ISNUMBER(SEARCH("subscription",LOWER($A643&amp;" "&amp;$M643&amp;""))),ISNUMBER(SEARCH("membership",LOWER($A643&amp;" "&amp;$M643&amp;"")))),"Subscription",IF(LOWER($L643&amp;"")="yes","Disqualified",IF($P643&gt;$H643,"Profit","Draw"))))</f>
        <v/>
      </c>
      <c r="V643">
        <f>IF(OR($A643="",$B643="",$C643="",$U643="Subscription"),"",IFERROR(ROUNDUP((IF(ISNUMBER($C643),$C643,DATEVALUE($C643))-IF(ISNUMBER($B643),$B643,DATEVALUE($B643)))/7,0),""))</f>
        <v/>
      </c>
      <c r="W643" s="352">
        <f>IF($U643="Subscription","",$Q643-$S643)</f>
        <v/>
      </c>
      <c r="X643">
        <f>IF(OR($A643="",$U643="Subscription",$J643="",$I643="",$J643=0,$I643=0,$I643&gt;$J643),"",$J643-$I643)</f>
        <v/>
      </c>
      <c r="Y643">
        <f>IF(OR($A643="",$U643="Subscription",$J643="",$J643=0,$X643=""),"",$X643/$J643)</f>
        <v/>
      </c>
    </row>
    <row r="644">
      <c r="B644" s="354" t="n"/>
      <c r="C644" s="354" t="n"/>
      <c r="E644" s="350" t="n"/>
      <c r="F644" s="350" t="n"/>
      <c r="G644" s="350" t="n"/>
      <c r="H644" s="350" t="n"/>
      <c r="I644" s="350" t="n"/>
      <c r="J644" s="352" t="n"/>
      <c r="M644" s="350" t="n"/>
      <c r="N644" s="350">
        <f>IF($A644="","",IF(OR(LOWER($D644&amp;"")="n/a",ISNUMBER(SEARCH("subscription",LOWER($A644&amp;" "&amp;$M644&amp;""))),ISNUMBER(SEARCH("membership",LOWER($A644&amp;" "&amp;$M644&amp;"")))),"",IF($G644="","",IF(ISNUMBER(SEARCH("non",LOWER($E644&amp;""))),$G644*0.85,$G644))))</f>
        <v/>
      </c>
      <c r="O644">
        <f>IF($A644="","",IF(OR(LOWER($D644&amp;"")="n/a",ISNUMBER(SEARCH("subscription",LOWER($A644&amp;" "&amp;$M644&amp;""))),ISNUMBER(SEARCH("membership",LOWER($A644&amp;" "&amp;$M644&amp;"")))),"",IF(OR($N644="",$I644="",$I644=0),"",$N644/$I644)))</f>
        <v/>
      </c>
      <c r="P644">
        <f>IF($A644="","",IF(OR(LOWER($D644&amp;"")="n/a",ISNUMBER(SEARCH("subscription",LOWER($A644&amp;" "&amp;$M644&amp;""))),ISNUMBER(SEARCH("membership",LOWER($A644&amp;" "&amp;$M644&amp;"")))),"",IF(LOWER($L644&amp;"")="yes",0,IF($K644&lt;&gt;"",$K644,IF($O644&lt;&gt;"",$O644,"")))))</f>
        <v/>
      </c>
      <c r="Q644">
        <f>IF($A644="","",IF($U644="Subscription","",IF($U644="Profit",$P644-$H644,0)))</f>
        <v/>
      </c>
      <c r="R644">
        <f>IF($A644="","",IF($U644="Subscription","",IF($U644="Draw",$H644,0)))</f>
        <v/>
      </c>
      <c r="S644">
        <f>IF($A644="","",IF($U644="Subscription","",IF($U644="Disqualified",$H644,0)))</f>
        <v/>
      </c>
      <c r="T644">
        <f>IF($A644="","",IF($U644="Subscription","",IF($H644=0,IF($U644="Profit","N/A",0),IF($U644="Profit",$Q644/$H644,IF($U644="Disqualified",-1,0)))))</f>
        <v/>
      </c>
      <c r="U644" s="350">
        <f>IF($A644="","",IF(OR(LOWER($D644&amp;"")="n/a",ISNUMBER(SEARCH("subscription",LOWER($A644&amp;" "&amp;$M644&amp;""))),ISNUMBER(SEARCH("membership",LOWER($A644&amp;" "&amp;$M644&amp;"")))),"Subscription",IF(LOWER($L644&amp;"")="yes","Disqualified",IF($P644&gt;$H644,"Profit","Draw"))))</f>
        <v/>
      </c>
      <c r="V644">
        <f>IF(OR($A644="",$B644="",$C644="",$U644="Subscription"),"",IFERROR(ROUNDUP((IF(ISNUMBER($C644),$C644,DATEVALUE($C644))-IF(ISNUMBER($B644),$B644,DATEVALUE($B644)))/7,0),""))</f>
        <v/>
      </c>
      <c r="W644" s="352">
        <f>IF($U644="Subscription","",$Q644-$S644)</f>
        <v/>
      </c>
      <c r="X644">
        <f>IF(OR($A644="",$U644="Subscription",$J644="",$I644="",$J644=0,$I644=0,$I644&gt;$J644),"",$J644-$I644)</f>
        <v/>
      </c>
      <c r="Y644">
        <f>IF(OR($A644="",$U644="Subscription",$J644="",$J644=0,$X644=""),"",$X644/$J644)</f>
        <v/>
      </c>
    </row>
    <row r="645">
      <c r="B645" s="354" t="n"/>
      <c r="C645" s="354" t="n"/>
      <c r="E645" s="350" t="n"/>
      <c r="F645" s="350" t="n"/>
      <c r="G645" s="350" t="n"/>
      <c r="H645" s="350" t="n"/>
      <c r="I645" s="350" t="n"/>
      <c r="J645" s="352" t="n"/>
      <c r="M645" s="350" t="n"/>
      <c r="N645" s="350">
        <f>IF($A645="","",IF(OR(LOWER($D645&amp;"")="n/a",ISNUMBER(SEARCH("subscription",LOWER($A645&amp;" "&amp;$M645&amp;""))),ISNUMBER(SEARCH("membership",LOWER($A645&amp;" "&amp;$M645&amp;"")))),"",IF($G645="","",IF(ISNUMBER(SEARCH("non",LOWER($E645&amp;""))),$G645*0.85,$G645))))</f>
        <v/>
      </c>
      <c r="O645">
        <f>IF($A645="","",IF(OR(LOWER($D645&amp;"")="n/a",ISNUMBER(SEARCH("subscription",LOWER($A645&amp;" "&amp;$M645&amp;""))),ISNUMBER(SEARCH("membership",LOWER($A645&amp;" "&amp;$M645&amp;"")))),"",IF(OR($N645="",$I645="",$I645=0),"",$N645/$I645)))</f>
        <v/>
      </c>
      <c r="P645">
        <f>IF($A645="","",IF(OR(LOWER($D645&amp;"")="n/a",ISNUMBER(SEARCH("subscription",LOWER($A645&amp;" "&amp;$M645&amp;""))),ISNUMBER(SEARCH("membership",LOWER($A645&amp;" "&amp;$M645&amp;"")))),"",IF(LOWER($L645&amp;"")="yes",0,IF($K645&lt;&gt;"",$K645,IF($O645&lt;&gt;"",$O645,"")))))</f>
        <v/>
      </c>
      <c r="Q645">
        <f>IF($A645="","",IF($U645="Subscription","",IF($U645="Profit",$P645-$H645,0)))</f>
        <v/>
      </c>
      <c r="R645">
        <f>IF($A645="","",IF($U645="Subscription","",IF($U645="Draw",$H645,0)))</f>
        <v/>
      </c>
      <c r="S645">
        <f>IF($A645="","",IF($U645="Subscription","",IF($U645="Disqualified",$H645,0)))</f>
        <v/>
      </c>
      <c r="T645">
        <f>IF($A645="","",IF($U645="Subscription","",IF($H645=0,IF($U645="Profit","N/A",0),IF($U645="Profit",$Q645/$H645,IF($U645="Disqualified",-1,0)))))</f>
        <v/>
      </c>
      <c r="U645" s="350">
        <f>IF($A645="","",IF(OR(LOWER($D645&amp;"")="n/a",ISNUMBER(SEARCH("subscription",LOWER($A645&amp;" "&amp;$M645&amp;""))),ISNUMBER(SEARCH("membership",LOWER($A645&amp;" "&amp;$M645&amp;"")))),"Subscription",IF(LOWER($L645&amp;"")="yes","Disqualified",IF($P645&gt;$H645,"Profit","Draw"))))</f>
        <v/>
      </c>
      <c r="V645">
        <f>IF(OR($A645="",$B645="",$C645="",$U645="Subscription"),"",IFERROR(ROUNDUP((IF(ISNUMBER($C645),$C645,DATEVALUE($C645))-IF(ISNUMBER($B645),$B645,DATEVALUE($B645)))/7,0),""))</f>
        <v/>
      </c>
      <c r="W645" s="352">
        <f>IF($U645="Subscription","",$Q645-$S645)</f>
        <v/>
      </c>
      <c r="X645">
        <f>IF(OR($A645="",$U645="Subscription",$J645="",$I645="",$J645=0,$I645=0,$I645&gt;$J645),"",$J645-$I645)</f>
        <v/>
      </c>
      <c r="Y645">
        <f>IF(OR($A645="",$U645="Subscription",$J645="",$J645=0,$X645=""),"",$X645/$J645)</f>
        <v/>
      </c>
    </row>
    <row r="646">
      <c r="B646" s="354" t="n"/>
      <c r="C646" s="354" t="n"/>
      <c r="E646" s="350" t="n"/>
      <c r="F646" s="350" t="n"/>
      <c r="G646" s="350" t="n"/>
      <c r="H646" s="350" t="n"/>
      <c r="I646" s="350" t="n"/>
      <c r="J646" s="352" t="n"/>
      <c r="M646" s="350" t="n"/>
      <c r="N646" s="350">
        <f>IF($A646="","",IF(OR(LOWER($D646&amp;"")="n/a",ISNUMBER(SEARCH("subscription",LOWER($A646&amp;" "&amp;$M646&amp;""))),ISNUMBER(SEARCH("membership",LOWER($A646&amp;" "&amp;$M646&amp;"")))),"",IF($G646="","",IF(ISNUMBER(SEARCH("non",LOWER($E646&amp;""))),$G646*0.85,$G646))))</f>
        <v/>
      </c>
      <c r="O646">
        <f>IF($A646="","",IF(OR(LOWER($D646&amp;"")="n/a",ISNUMBER(SEARCH("subscription",LOWER($A646&amp;" "&amp;$M646&amp;""))),ISNUMBER(SEARCH("membership",LOWER($A646&amp;" "&amp;$M646&amp;"")))),"",IF(OR($N646="",$I646="",$I646=0),"",$N646/$I646)))</f>
        <v/>
      </c>
      <c r="P646">
        <f>IF($A646="","",IF(OR(LOWER($D646&amp;"")="n/a",ISNUMBER(SEARCH("subscription",LOWER($A646&amp;" "&amp;$M646&amp;""))),ISNUMBER(SEARCH("membership",LOWER($A646&amp;" "&amp;$M646&amp;"")))),"",IF(LOWER($L646&amp;"")="yes",0,IF($K646&lt;&gt;"",$K646,IF($O646&lt;&gt;"",$O646,"")))))</f>
        <v/>
      </c>
      <c r="Q646">
        <f>IF($A646="","",IF($U646="Subscription","",IF($U646="Profit",$P646-$H646,0)))</f>
        <v/>
      </c>
      <c r="R646">
        <f>IF($A646="","",IF($U646="Subscription","",IF($U646="Draw",$H646,0)))</f>
        <v/>
      </c>
      <c r="S646">
        <f>IF($A646="","",IF($U646="Subscription","",IF($U646="Disqualified",$H646,0)))</f>
        <v/>
      </c>
      <c r="T646">
        <f>IF($A646="","",IF($U646="Subscription","",IF($H646=0,IF($U646="Profit","N/A",0),IF($U646="Profit",$Q646/$H646,IF($U646="Disqualified",-1,0)))))</f>
        <v/>
      </c>
      <c r="U646" s="350">
        <f>IF($A646="","",IF(OR(LOWER($D646&amp;"")="n/a",ISNUMBER(SEARCH("subscription",LOWER($A646&amp;" "&amp;$M646&amp;""))),ISNUMBER(SEARCH("membership",LOWER($A646&amp;" "&amp;$M646&amp;"")))),"Subscription",IF(LOWER($L646&amp;"")="yes","Disqualified",IF($P646&gt;$H646,"Profit","Draw"))))</f>
        <v/>
      </c>
      <c r="V646">
        <f>IF(OR($A646="",$B646="",$C646="",$U646="Subscription"),"",IFERROR(ROUNDUP((IF(ISNUMBER($C646),$C646,DATEVALUE($C646))-IF(ISNUMBER($B646),$B646,DATEVALUE($B646)))/7,0),""))</f>
        <v/>
      </c>
      <c r="W646" s="352">
        <f>IF($U646="Subscription","",$Q646-$S646)</f>
        <v/>
      </c>
      <c r="X646">
        <f>IF(OR($A646="",$U646="Subscription",$J646="",$I646="",$J646=0,$I646=0,$I646&gt;$J646),"",$J646-$I646)</f>
        <v/>
      </c>
      <c r="Y646">
        <f>IF(OR($A646="",$U646="Subscription",$J646="",$J646=0,$X646=""),"",$X646/$J646)</f>
        <v/>
      </c>
    </row>
    <row r="647">
      <c r="B647" s="354" t="n"/>
      <c r="C647" s="354" t="n"/>
      <c r="E647" s="350" t="n"/>
      <c r="F647" s="350" t="n"/>
      <c r="G647" s="350" t="n"/>
      <c r="H647" s="350" t="n"/>
      <c r="I647" s="350" t="n"/>
      <c r="J647" s="352" t="n"/>
      <c r="M647" s="350" t="n"/>
      <c r="N647" s="350">
        <f>IF($A647="","",IF(OR(LOWER($D647&amp;"")="n/a",ISNUMBER(SEARCH("subscription",LOWER($A647&amp;" "&amp;$M647&amp;""))),ISNUMBER(SEARCH("membership",LOWER($A647&amp;" "&amp;$M647&amp;"")))),"",IF($G647="","",IF(ISNUMBER(SEARCH("non",LOWER($E647&amp;""))),$G647*0.85,$G647))))</f>
        <v/>
      </c>
      <c r="O647">
        <f>IF($A647="","",IF(OR(LOWER($D647&amp;"")="n/a",ISNUMBER(SEARCH("subscription",LOWER($A647&amp;" "&amp;$M647&amp;""))),ISNUMBER(SEARCH("membership",LOWER($A647&amp;" "&amp;$M647&amp;"")))),"",IF(OR($N647="",$I647="",$I647=0),"",$N647/$I647)))</f>
        <v/>
      </c>
      <c r="P647">
        <f>IF($A647="","",IF(OR(LOWER($D647&amp;"")="n/a",ISNUMBER(SEARCH("subscription",LOWER($A647&amp;" "&amp;$M647&amp;""))),ISNUMBER(SEARCH("membership",LOWER($A647&amp;" "&amp;$M647&amp;"")))),"",IF(LOWER($L647&amp;"")="yes",0,IF($K647&lt;&gt;"",$K647,IF($O647&lt;&gt;"",$O647,"")))))</f>
        <v/>
      </c>
      <c r="Q647">
        <f>IF($A647="","",IF($U647="Subscription","",IF($U647="Profit",$P647-$H647,0)))</f>
        <v/>
      </c>
      <c r="R647">
        <f>IF($A647="","",IF($U647="Subscription","",IF($U647="Draw",$H647,0)))</f>
        <v/>
      </c>
      <c r="S647">
        <f>IF($A647="","",IF($U647="Subscription","",IF($U647="Disqualified",$H647,0)))</f>
        <v/>
      </c>
      <c r="T647">
        <f>IF($A647="","",IF($U647="Subscription","",IF($H647=0,IF($U647="Profit","N/A",0),IF($U647="Profit",$Q647/$H647,IF($U647="Disqualified",-1,0)))))</f>
        <v/>
      </c>
      <c r="U647" s="350">
        <f>IF($A647="","",IF(OR(LOWER($D647&amp;"")="n/a",ISNUMBER(SEARCH("subscription",LOWER($A647&amp;" "&amp;$M647&amp;""))),ISNUMBER(SEARCH("membership",LOWER($A647&amp;" "&amp;$M647&amp;"")))),"Subscription",IF(LOWER($L647&amp;"")="yes","Disqualified",IF($P647&gt;$H647,"Profit","Draw"))))</f>
        <v/>
      </c>
      <c r="V647">
        <f>IF(OR($A647="",$B647="",$C647="",$U647="Subscription"),"",IFERROR(ROUNDUP((IF(ISNUMBER($C647),$C647,DATEVALUE($C647))-IF(ISNUMBER($B647),$B647,DATEVALUE($B647)))/7,0),""))</f>
        <v/>
      </c>
      <c r="W647" s="352">
        <f>IF($U647="Subscription","",$Q647-$S647)</f>
        <v/>
      </c>
      <c r="X647">
        <f>IF(OR($A647="",$U647="Subscription",$J647="",$I647="",$J647=0,$I647=0,$I647&gt;$J647),"",$J647-$I647)</f>
        <v/>
      </c>
      <c r="Y647">
        <f>IF(OR($A647="",$U647="Subscription",$J647="",$J647=0,$X647=""),"",$X647/$J647)</f>
        <v/>
      </c>
    </row>
    <row r="648">
      <c r="B648" s="354" t="n"/>
      <c r="C648" s="354" t="n"/>
      <c r="E648" s="350" t="n"/>
      <c r="F648" s="350" t="n"/>
      <c r="G648" s="350" t="n"/>
      <c r="H648" s="350" t="n"/>
      <c r="I648" s="350" t="n"/>
      <c r="J648" s="352" t="n"/>
      <c r="M648" s="350" t="n"/>
      <c r="N648" s="350">
        <f>IF($A648="","",IF(OR(LOWER($D648&amp;"")="n/a",ISNUMBER(SEARCH("subscription",LOWER($A648&amp;" "&amp;$M648&amp;""))),ISNUMBER(SEARCH("membership",LOWER($A648&amp;" "&amp;$M648&amp;"")))),"",IF($G648="","",IF(ISNUMBER(SEARCH("non",LOWER($E648&amp;""))),$G648*0.85,$G648))))</f>
        <v/>
      </c>
      <c r="O648">
        <f>IF($A648="","",IF(OR(LOWER($D648&amp;"")="n/a",ISNUMBER(SEARCH("subscription",LOWER($A648&amp;" "&amp;$M648&amp;""))),ISNUMBER(SEARCH("membership",LOWER($A648&amp;" "&amp;$M648&amp;"")))),"",IF(OR($N648="",$I648="",$I648=0),"",$N648/$I648)))</f>
        <v/>
      </c>
      <c r="P648">
        <f>IF($A648="","",IF(OR(LOWER($D648&amp;"")="n/a",ISNUMBER(SEARCH("subscription",LOWER($A648&amp;" "&amp;$M648&amp;""))),ISNUMBER(SEARCH("membership",LOWER($A648&amp;" "&amp;$M648&amp;"")))),"",IF(LOWER($L648&amp;"")="yes",0,IF($K648&lt;&gt;"",$K648,IF($O648&lt;&gt;"",$O648,"")))))</f>
        <v/>
      </c>
      <c r="Q648">
        <f>IF($A648="","",IF($U648="Subscription","",IF($U648="Profit",$P648-$H648,0)))</f>
        <v/>
      </c>
      <c r="R648">
        <f>IF($A648="","",IF($U648="Subscription","",IF($U648="Draw",$H648,0)))</f>
        <v/>
      </c>
      <c r="S648">
        <f>IF($A648="","",IF($U648="Subscription","",IF($U648="Disqualified",$H648,0)))</f>
        <v/>
      </c>
      <c r="T648">
        <f>IF($A648="","",IF($U648="Subscription","",IF($H648=0,IF($U648="Profit","N/A",0),IF($U648="Profit",$Q648/$H648,IF($U648="Disqualified",-1,0)))))</f>
        <v/>
      </c>
      <c r="U648" s="350">
        <f>IF($A648="","",IF(OR(LOWER($D648&amp;"")="n/a",ISNUMBER(SEARCH("subscription",LOWER($A648&amp;" "&amp;$M648&amp;""))),ISNUMBER(SEARCH("membership",LOWER($A648&amp;" "&amp;$M648&amp;"")))),"Subscription",IF(LOWER($L648&amp;"")="yes","Disqualified",IF($P648&gt;$H648,"Profit","Draw"))))</f>
        <v/>
      </c>
      <c r="V648">
        <f>IF(OR($A648="",$B648="",$C648="",$U648="Subscription"),"",IFERROR(ROUNDUP((IF(ISNUMBER($C648),$C648,DATEVALUE($C648))-IF(ISNUMBER($B648),$B648,DATEVALUE($B648)))/7,0),""))</f>
        <v/>
      </c>
      <c r="W648" s="352">
        <f>IF($U648="Subscription","",$Q648-$S648)</f>
        <v/>
      </c>
      <c r="X648">
        <f>IF(OR($A648="",$U648="Subscription",$J648="",$I648="",$J648=0,$I648=0,$I648&gt;$J648),"",$J648-$I648)</f>
        <v/>
      </c>
      <c r="Y648">
        <f>IF(OR($A648="",$U648="Subscription",$J648="",$J648=0,$X648=""),"",$X648/$J648)</f>
        <v/>
      </c>
    </row>
    <row r="649">
      <c r="B649" s="354" t="n"/>
      <c r="C649" s="354" t="n"/>
      <c r="E649" s="350" t="n"/>
      <c r="F649" s="350" t="n"/>
      <c r="G649" s="350" t="n"/>
      <c r="H649" s="350" t="n"/>
      <c r="I649" s="350" t="n"/>
      <c r="J649" s="352" t="n"/>
      <c r="M649" s="350" t="n"/>
      <c r="N649" s="350">
        <f>IF($A649="","",IF(OR(LOWER($D649&amp;"")="n/a",ISNUMBER(SEARCH("subscription",LOWER($A649&amp;" "&amp;$M649&amp;""))),ISNUMBER(SEARCH("membership",LOWER($A649&amp;" "&amp;$M649&amp;"")))),"",IF($G649="","",IF(ISNUMBER(SEARCH("non",LOWER($E649&amp;""))),$G649*0.85,$G649))))</f>
        <v/>
      </c>
      <c r="O649">
        <f>IF($A649="","",IF(OR(LOWER($D649&amp;"")="n/a",ISNUMBER(SEARCH("subscription",LOWER($A649&amp;" "&amp;$M649&amp;""))),ISNUMBER(SEARCH("membership",LOWER($A649&amp;" "&amp;$M649&amp;"")))),"",IF(OR($N649="",$I649="",$I649=0),"",$N649/$I649)))</f>
        <v/>
      </c>
      <c r="P649">
        <f>IF($A649="","",IF(OR(LOWER($D649&amp;"")="n/a",ISNUMBER(SEARCH("subscription",LOWER($A649&amp;" "&amp;$M649&amp;""))),ISNUMBER(SEARCH("membership",LOWER($A649&amp;" "&amp;$M649&amp;"")))),"",IF(LOWER($L649&amp;"")="yes",0,IF($K649&lt;&gt;"",$K649,IF($O649&lt;&gt;"",$O649,"")))))</f>
        <v/>
      </c>
      <c r="Q649">
        <f>IF($A649="","",IF($U649="Subscription","",IF($U649="Profit",$P649-$H649,0)))</f>
        <v/>
      </c>
      <c r="R649">
        <f>IF($A649="","",IF($U649="Subscription","",IF($U649="Draw",$H649,0)))</f>
        <v/>
      </c>
      <c r="S649">
        <f>IF($A649="","",IF($U649="Subscription","",IF($U649="Disqualified",$H649,0)))</f>
        <v/>
      </c>
      <c r="T649">
        <f>IF($A649="","",IF($U649="Subscription","",IF($H649=0,IF($U649="Profit","N/A",0),IF($U649="Profit",$Q649/$H649,IF($U649="Disqualified",-1,0)))))</f>
        <v/>
      </c>
      <c r="U649" s="350">
        <f>IF($A649="","",IF(OR(LOWER($D649&amp;"")="n/a",ISNUMBER(SEARCH("subscription",LOWER($A649&amp;" "&amp;$M649&amp;""))),ISNUMBER(SEARCH("membership",LOWER($A649&amp;" "&amp;$M649&amp;"")))),"Subscription",IF(LOWER($L649&amp;"")="yes","Disqualified",IF($P649&gt;$H649,"Profit","Draw"))))</f>
        <v/>
      </c>
      <c r="V649">
        <f>IF(OR($A649="",$B649="",$C649="",$U649="Subscription"),"",IFERROR(ROUNDUP((IF(ISNUMBER($C649),$C649,DATEVALUE($C649))-IF(ISNUMBER($B649),$B649,DATEVALUE($B649)))/7,0),""))</f>
        <v/>
      </c>
      <c r="W649" s="352">
        <f>IF($U649="Subscription","",$Q649-$S649)</f>
        <v/>
      </c>
      <c r="X649">
        <f>IF(OR($A649="",$U649="Subscription",$J649="",$I649="",$J649=0,$I649=0,$I649&gt;$J649),"",$J649-$I649)</f>
        <v/>
      </c>
      <c r="Y649">
        <f>IF(OR($A649="",$U649="Subscription",$J649="",$J649=0,$X649=""),"",$X649/$J649)</f>
        <v/>
      </c>
    </row>
    <row r="650">
      <c r="B650" s="354" t="n"/>
      <c r="C650" s="354" t="n"/>
      <c r="E650" s="350" t="n"/>
      <c r="F650" s="350" t="n"/>
      <c r="G650" s="350" t="n"/>
      <c r="H650" s="350" t="n"/>
      <c r="I650" s="350" t="n"/>
      <c r="J650" s="352" t="n"/>
      <c r="M650" s="350" t="n"/>
      <c r="N650" s="350">
        <f>IF($A650="","",IF(OR(LOWER($D650&amp;"")="n/a",ISNUMBER(SEARCH("subscription",LOWER($A650&amp;" "&amp;$M650&amp;""))),ISNUMBER(SEARCH("membership",LOWER($A650&amp;" "&amp;$M650&amp;"")))),"",IF($G650="","",IF(ISNUMBER(SEARCH("non",LOWER($E650&amp;""))),$G650*0.85,$G650))))</f>
        <v/>
      </c>
      <c r="O650">
        <f>IF($A650="","",IF(OR(LOWER($D650&amp;"")="n/a",ISNUMBER(SEARCH("subscription",LOWER($A650&amp;" "&amp;$M650&amp;""))),ISNUMBER(SEARCH("membership",LOWER($A650&amp;" "&amp;$M650&amp;"")))),"",IF(OR($N650="",$I650="",$I650=0),"",$N650/$I650)))</f>
        <v/>
      </c>
      <c r="P650">
        <f>IF($A650="","",IF(OR(LOWER($D650&amp;"")="n/a",ISNUMBER(SEARCH("subscription",LOWER($A650&amp;" "&amp;$M650&amp;""))),ISNUMBER(SEARCH("membership",LOWER($A650&amp;" "&amp;$M650&amp;"")))),"",IF(LOWER($L650&amp;"")="yes",0,IF($K650&lt;&gt;"",$K650,IF($O650&lt;&gt;"",$O650,"")))))</f>
        <v/>
      </c>
      <c r="Q650">
        <f>IF($A650="","",IF($U650="Subscription","",IF($U650="Profit",$P650-$H650,0)))</f>
        <v/>
      </c>
      <c r="R650">
        <f>IF($A650="","",IF($U650="Subscription","",IF($U650="Draw",$H650,0)))</f>
        <v/>
      </c>
      <c r="S650">
        <f>IF($A650="","",IF($U650="Subscription","",IF($U650="Disqualified",$H650,0)))</f>
        <v/>
      </c>
      <c r="T650">
        <f>IF($A650="","",IF($U650="Subscription","",IF($H650=0,IF($U650="Profit","N/A",0),IF($U650="Profit",$Q650/$H650,IF($U650="Disqualified",-1,0)))))</f>
        <v/>
      </c>
      <c r="U650" s="350">
        <f>IF($A650="","",IF(OR(LOWER($D650&amp;"")="n/a",ISNUMBER(SEARCH("subscription",LOWER($A650&amp;" "&amp;$M650&amp;""))),ISNUMBER(SEARCH("membership",LOWER($A650&amp;" "&amp;$M650&amp;"")))),"Subscription",IF(LOWER($L650&amp;"")="yes","Disqualified",IF($P650&gt;$H650,"Profit","Draw"))))</f>
        <v/>
      </c>
      <c r="V650">
        <f>IF(OR($A650="",$B650="",$C650="",$U650="Subscription"),"",IFERROR(ROUNDUP((IF(ISNUMBER($C650),$C650,DATEVALUE($C650))-IF(ISNUMBER($B650),$B650,DATEVALUE($B650)))/7,0),""))</f>
        <v/>
      </c>
      <c r="W650" s="352">
        <f>IF($U650="Subscription","",$Q650-$S650)</f>
        <v/>
      </c>
      <c r="X650">
        <f>IF(OR($A650="",$U650="Subscription",$J650="",$I650="",$J650=0,$I650=0,$I650&gt;$J650),"",$J650-$I650)</f>
        <v/>
      </c>
      <c r="Y650">
        <f>IF(OR($A650="",$U650="Subscription",$J650="",$J650=0,$X650=""),"",$X650/$J650)</f>
        <v/>
      </c>
    </row>
    <row r="651">
      <c r="B651" s="354" t="n"/>
      <c r="C651" s="354" t="n"/>
      <c r="E651" s="350" t="n"/>
      <c r="F651" s="350" t="n"/>
      <c r="G651" s="350" t="n"/>
      <c r="H651" s="350" t="n"/>
      <c r="I651" s="350" t="n"/>
      <c r="J651" s="352" t="n"/>
      <c r="M651" s="350" t="n"/>
      <c r="N651" s="350">
        <f>IF($A651="","",IF(OR(LOWER($D651&amp;"")="n/a",ISNUMBER(SEARCH("subscription",LOWER($A651&amp;" "&amp;$M651&amp;""))),ISNUMBER(SEARCH("membership",LOWER($A651&amp;" "&amp;$M651&amp;"")))),"",IF($G651="","",IF(ISNUMBER(SEARCH("non",LOWER($E651&amp;""))),$G651*0.85,$G651))))</f>
        <v/>
      </c>
      <c r="O651">
        <f>IF($A651="","",IF(OR(LOWER($D651&amp;"")="n/a",ISNUMBER(SEARCH("subscription",LOWER($A651&amp;" "&amp;$M651&amp;""))),ISNUMBER(SEARCH("membership",LOWER($A651&amp;" "&amp;$M651&amp;"")))),"",IF(OR($N651="",$I651="",$I651=0),"",$N651/$I651)))</f>
        <v/>
      </c>
      <c r="P651">
        <f>IF($A651="","",IF(OR(LOWER($D651&amp;"")="n/a",ISNUMBER(SEARCH("subscription",LOWER($A651&amp;" "&amp;$M651&amp;""))),ISNUMBER(SEARCH("membership",LOWER($A651&amp;" "&amp;$M651&amp;"")))),"",IF(LOWER($L651&amp;"")="yes",0,IF($K651&lt;&gt;"",$K651,IF($O651&lt;&gt;"",$O651,"")))))</f>
        <v/>
      </c>
      <c r="Q651">
        <f>IF($A651="","",IF($U651="Subscription","",IF($U651="Profit",$P651-$H651,0)))</f>
        <v/>
      </c>
      <c r="R651">
        <f>IF($A651="","",IF($U651="Subscription","",IF($U651="Draw",$H651,0)))</f>
        <v/>
      </c>
      <c r="S651">
        <f>IF($A651="","",IF($U651="Subscription","",IF($U651="Disqualified",$H651,0)))</f>
        <v/>
      </c>
      <c r="T651">
        <f>IF($A651="","",IF($U651="Subscription","",IF($H651=0,IF($U651="Profit","N/A",0),IF($U651="Profit",$Q651/$H651,IF($U651="Disqualified",-1,0)))))</f>
        <v/>
      </c>
      <c r="U651" s="350">
        <f>IF($A651="","",IF(OR(LOWER($D651&amp;"")="n/a",ISNUMBER(SEARCH("subscription",LOWER($A651&amp;" "&amp;$M651&amp;""))),ISNUMBER(SEARCH("membership",LOWER($A651&amp;" "&amp;$M651&amp;"")))),"Subscription",IF(LOWER($L651&amp;"")="yes","Disqualified",IF($P651&gt;$H651,"Profit","Draw"))))</f>
        <v/>
      </c>
      <c r="V651">
        <f>IF(OR($A651="",$B651="",$C651="",$U651="Subscription"),"",IFERROR(ROUNDUP((IF(ISNUMBER($C651),$C651,DATEVALUE($C651))-IF(ISNUMBER($B651),$B651,DATEVALUE($B651)))/7,0),""))</f>
        <v/>
      </c>
      <c r="W651" s="352">
        <f>IF($U651="Subscription","",$Q651-$S651)</f>
        <v/>
      </c>
      <c r="X651">
        <f>IF(OR($A651="",$U651="Subscription",$J651="",$I651="",$J651=0,$I651=0,$I651&gt;$J651),"",$J651-$I651)</f>
        <v/>
      </c>
      <c r="Y651">
        <f>IF(OR($A651="",$U651="Subscription",$J651="",$J651=0,$X651=""),"",$X651/$J651)</f>
        <v/>
      </c>
    </row>
    <row r="652">
      <c r="B652" s="354" t="n"/>
      <c r="C652" s="354" t="n"/>
      <c r="E652" s="350" t="n"/>
      <c r="F652" s="350" t="n"/>
      <c r="G652" s="350" t="n"/>
      <c r="H652" s="350" t="n"/>
      <c r="I652" s="350" t="n"/>
      <c r="J652" s="352" t="n"/>
      <c r="M652" s="350" t="n"/>
      <c r="N652" s="350">
        <f>IF($A652="","",IF(OR(LOWER($D652&amp;"")="n/a",ISNUMBER(SEARCH("subscription",LOWER($A652&amp;" "&amp;$M652&amp;""))),ISNUMBER(SEARCH("membership",LOWER($A652&amp;" "&amp;$M652&amp;"")))),"",IF($G652="","",IF(ISNUMBER(SEARCH("non",LOWER($E652&amp;""))),$G652*0.85,$G652))))</f>
        <v/>
      </c>
      <c r="O652">
        <f>IF($A652="","",IF(OR(LOWER($D652&amp;"")="n/a",ISNUMBER(SEARCH("subscription",LOWER($A652&amp;" "&amp;$M652&amp;""))),ISNUMBER(SEARCH("membership",LOWER($A652&amp;" "&amp;$M652&amp;"")))),"",IF(OR($N652="",$I652="",$I652=0),"",$N652/$I652)))</f>
        <v/>
      </c>
      <c r="P652">
        <f>IF($A652="","",IF(OR(LOWER($D652&amp;"")="n/a",ISNUMBER(SEARCH("subscription",LOWER($A652&amp;" "&amp;$M652&amp;""))),ISNUMBER(SEARCH("membership",LOWER($A652&amp;" "&amp;$M652&amp;"")))),"",IF(LOWER($L652&amp;"")="yes",0,IF($K652&lt;&gt;"",$K652,IF($O652&lt;&gt;"",$O652,"")))))</f>
        <v/>
      </c>
      <c r="Q652">
        <f>IF($A652="","",IF($U652="Subscription","",IF($U652="Profit",$P652-$H652,0)))</f>
        <v/>
      </c>
      <c r="R652">
        <f>IF($A652="","",IF($U652="Subscription","",IF($U652="Draw",$H652,0)))</f>
        <v/>
      </c>
      <c r="S652">
        <f>IF($A652="","",IF($U652="Subscription","",IF($U652="Disqualified",$H652,0)))</f>
        <v/>
      </c>
      <c r="T652">
        <f>IF($A652="","",IF($U652="Subscription","",IF($H652=0,IF($U652="Profit","N/A",0),IF($U652="Profit",$Q652/$H652,IF($U652="Disqualified",-1,0)))))</f>
        <v/>
      </c>
      <c r="U652" s="350">
        <f>IF($A652="","",IF(OR(LOWER($D652&amp;"")="n/a",ISNUMBER(SEARCH("subscription",LOWER($A652&amp;" "&amp;$M652&amp;""))),ISNUMBER(SEARCH("membership",LOWER($A652&amp;" "&amp;$M652&amp;"")))),"Subscription",IF(LOWER($L652&amp;"")="yes","Disqualified",IF($P652&gt;$H652,"Profit","Draw"))))</f>
        <v/>
      </c>
      <c r="V652">
        <f>IF(OR($A652="",$B652="",$C652="",$U652="Subscription"),"",IFERROR(ROUNDUP((IF(ISNUMBER($C652),$C652,DATEVALUE($C652))-IF(ISNUMBER($B652),$B652,DATEVALUE($B652)))/7,0),""))</f>
        <v/>
      </c>
      <c r="W652" s="352">
        <f>IF($U652="Subscription","",$Q652-$S652)</f>
        <v/>
      </c>
      <c r="X652">
        <f>IF(OR($A652="",$U652="Subscription",$J652="",$I652="",$J652=0,$I652=0,$I652&gt;$J652),"",$J652-$I652)</f>
        <v/>
      </c>
      <c r="Y652">
        <f>IF(OR($A652="",$U652="Subscription",$J652="",$J652=0,$X652=""),"",$X652/$J652)</f>
        <v/>
      </c>
    </row>
    <row r="653">
      <c r="B653" s="354" t="n"/>
      <c r="C653" s="354" t="n"/>
      <c r="E653" s="350" t="n"/>
      <c r="F653" s="350" t="n"/>
      <c r="G653" s="350" t="n"/>
      <c r="H653" s="350" t="n"/>
      <c r="I653" s="350" t="n"/>
      <c r="J653" s="352" t="n"/>
      <c r="M653" s="350" t="n"/>
      <c r="N653" s="350">
        <f>IF($A653="","",IF(OR(LOWER($D653&amp;"")="n/a",ISNUMBER(SEARCH("subscription",LOWER($A653&amp;" "&amp;$M653&amp;""))),ISNUMBER(SEARCH("membership",LOWER($A653&amp;" "&amp;$M653&amp;"")))),"",IF($G653="","",IF(ISNUMBER(SEARCH("non",LOWER($E653&amp;""))),$G653*0.85,$G653))))</f>
        <v/>
      </c>
      <c r="O653">
        <f>IF($A653="","",IF(OR(LOWER($D653&amp;"")="n/a",ISNUMBER(SEARCH("subscription",LOWER($A653&amp;" "&amp;$M653&amp;""))),ISNUMBER(SEARCH("membership",LOWER($A653&amp;" "&amp;$M653&amp;"")))),"",IF(OR($N653="",$I653="",$I653=0),"",$N653/$I653)))</f>
        <v/>
      </c>
      <c r="P653">
        <f>IF($A653="","",IF(OR(LOWER($D653&amp;"")="n/a",ISNUMBER(SEARCH("subscription",LOWER($A653&amp;" "&amp;$M653&amp;""))),ISNUMBER(SEARCH("membership",LOWER($A653&amp;" "&amp;$M653&amp;"")))),"",IF(LOWER($L653&amp;"")="yes",0,IF($K653&lt;&gt;"",$K653,IF($O653&lt;&gt;"",$O653,"")))))</f>
        <v/>
      </c>
      <c r="Q653">
        <f>IF($A653="","",IF($U653="Subscription","",IF($U653="Profit",$P653-$H653,0)))</f>
        <v/>
      </c>
      <c r="R653">
        <f>IF($A653="","",IF($U653="Subscription","",IF($U653="Draw",$H653,0)))</f>
        <v/>
      </c>
      <c r="S653">
        <f>IF($A653="","",IF($U653="Subscription","",IF($U653="Disqualified",$H653,0)))</f>
        <v/>
      </c>
      <c r="T653">
        <f>IF($A653="","",IF($U653="Subscription","",IF($H653=0,IF($U653="Profit","N/A",0),IF($U653="Profit",$Q653/$H653,IF($U653="Disqualified",-1,0)))))</f>
        <v/>
      </c>
      <c r="U653" s="350">
        <f>IF($A653="","",IF(OR(LOWER($D653&amp;"")="n/a",ISNUMBER(SEARCH("subscription",LOWER($A653&amp;" "&amp;$M653&amp;""))),ISNUMBER(SEARCH("membership",LOWER($A653&amp;" "&amp;$M653&amp;"")))),"Subscription",IF(LOWER($L653&amp;"")="yes","Disqualified",IF($P653&gt;$H653,"Profit","Draw"))))</f>
        <v/>
      </c>
      <c r="V653">
        <f>IF(OR($A653="",$B653="",$C653="",$U653="Subscription"),"",IFERROR(ROUNDUP((IF(ISNUMBER($C653),$C653,DATEVALUE($C653))-IF(ISNUMBER($B653),$B653,DATEVALUE($B653)))/7,0),""))</f>
        <v/>
      </c>
      <c r="W653" s="352">
        <f>IF($U653="Subscription","",$Q653-$S653)</f>
        <v/>
      </c>
      <c r="X653">
        <f>IF(OR($A653="",$U653="Subscription",$J653="",$I653="",$J653=0,$I653=0,$I653&gt;$J653),"",$J653-$I653)</f>
        <v/>
      </c>
      <c r="Y653">
        <f>IF(OR($A653="",$U653="Subscription",$J653="",$J653=0,$X653=""),"",$X653/$J653)</f>
        <v/>
      </c>
    </row>
    <row r="654">
      <c r="B654" s="354" t="n"/>
      <c r="C654" s="354" t="n"/>
      <c r="E654" s="350" t="n"/>
      <c r="F654" s="350" t="n"/>
      <c r="G654" s="350" t="n"/>
      <c r="H654" s="350" t="n"/>
      <c r="I654" s="350" t="n"/>
      <c r="J654" s="352" t="n"/>
      <c r="M654" s="350" t="n"/>
      <c r="N654" s="350">
        <f>IF($A654="","",IF(OR(LOWER($D654&amp;"")="n/a",ISNUMBER(SEARCH("subscription",LOWER($A654&amp;" "&amp;$M654&amp;""))),ISNUMBER(SEARCH("membership",LOWER($A654&amp;" "&amp;$M654&amp;"")))),"",IF($G654="","",IF(ISNUMBER(SEARCH("non",LOWER($E654&amp;""))),$G654*0.85,$G654))))</f>
        <v/>
      </c>
      <c r="O654">
        <f>IF($A654="","",IF(OR(LOWER($D654&amp;"")="n/a",ISNUMBER(SEARCH("subscription",LOWER($A654&amp;" "&amp;$M654&amp;""))),ISNUMBER(SEARCH("membership",LOWER($A654&amp;" "&amp;$M654&amp;"")))),"",IF(OR($N654="",$I654="",$I654=0),"",$N654/$I654)))</f>
        <v/>
      </c>
      <c r="P654">
        <f>IF($A654="","",IF(OR(LOWER($D654&amp;"")="n/a",ISNUMBER(SEARCH("subscription",LOWER($A654&amp;" "&amp;$M654&amp;""))),ISNUMBER(SEARCH("membership",LOWER($A654&amp;" "&amp;$M654&amp;"")))),"",IF(LOWER($L654&amp;"")="yes",0,IF($K654&lt;&gt;"",$K654,IF($O654&lt;&gt;"",$O654,"")))))</f>
        <v/>
      </c>
      <c r="Q654">
        <f>IF($A654="","",IF($U654="Subscription","",IF($U654="Profit",$P654-$H654,0)))</f>
        <v/>
      </c>
      <c r="R654">
        <f>IF($A654="","",IF($U654="Subscription","",IF($U654="Draw",$H654,0)))</f>
        <v/>
      </c>
      <c r="S654">
        <f>IF($A654="","",IF($U654="Subscription","",IF($U654="Disqualified",$H654,0)))</f>
        <v/>
      </c>
      <c r="T654">
        <f>IF($A654="","",IF($U654="Subscription","",IF($H654=0,IF($U654="Profit","N/A",0),IF($U654="Profit",$Q654/$H654,IF($U654="Disqualified",-1,0)))))</f>
        <v/>
      </c>
      <c r="U654" s="350">
        <f>IF($A654="","",IF(OR(LOWER($D654&amp;"")="n/a",ISNUMBER(SEARCH("subscription",LOWER($A654&amp;" "&amp;$M654&amp;""))),ISNUMBER(SEARCH("membership",LOWER($A654&amp;" "&amp;$M654&amp;"")))),"Subscription",IF(LOWER($L654&amp;"")="yes","Disqualified",IF($P654&gt;$H654,"Profit","Draw"))))</f>
        <v/>
      </c>
      <c r="V654">
        <f>IF(OR($A654="",$B654="",$C654="",$U654="Subscription"),"",IFERROR(ROUNDUP((IF(ISNUMBER($C654),$C654,DATEVALUE($C654))-IF(ISNUMBER($B654),$B654,DATEVALUE($B654)))/7,0),""))</f>
        <v/>
      </c>
      <c r="W654" s="352">
        <f>IF($U654="Subscription","",$Q654-$S654)</f>
        <v/>
      </c>
      <c r="X654">
        <f>IF(OR($A654="",$U654="Subscription",$J654="",$I654="",$J654=0,$I654=0,$I654&gt;$J654),"",$J654-$I654)</f>
        <v/>
      </c>
      <c r="Y654">
        <f>IF(OR($A654="",$U654="Subscription",$J654="",$J654=0,$X654=""),"",$X654/$J654)</f>
        <v/>
      </c>
    </row>
    <row r="655">
      <c r="B655" s="354" t="n"/>
      <c r="C655" s="354" t="n"/>
      <c r="E655" s="350" t="n"/>
      <c r="F655" s="350" t="n"/>
      <c r="G655" s="350" t="n"/>
      <c r="H655" s="350" t="n"/>
      <c r="I655" s="350" t="n"/>
      <c r="J655" s="352" t="n"/>
      <c r="M655" s="350" t="n"/>
      <c r="N655" s="350">
        <f>IF($A655="","",IF(OR(LOWER($D655&amp;"")="n/a",ISNUMBER(SEARCH("subscription",LOWER($A655&amp;" "&amp;$M655&amp;""))),ISNUMBER(SEARCH("membership",LOWER($A655&amp;" "&amp;$M655&amp;"")))),"",IF($G655="","",IF(ISNUMBER(SEARCH("non",LOWER($E655&amp;""))),$G655*0.85,$G655))))</f>
        <v/>
      </c>
      <c r="O655">
        <f>IF($A655="","",IF(OR(LOWER($D655&amp;"")="n/a",ISNUMBER(SEARCH("subscription",LOWER($A655&amp;" "&amp;$M655&amp;""))),ISNUMBER(SEARCH("membership",LOWER($A655&amp;" "&amp;$M655&amp;"")))),"",IF(OR($N655="",$I655="",$I655=0),"",$N655/$I655)))</f>
        <v/>
      </c>
      <c r="P655">
        <f>IF($A655="","",IF(OR(LOWER($D655&amp;"")="n/a",ISNUMBER(SEARCH("subscription",LOWER($A655&amp;" "&amp;$M655&amp;""))),ISNUMBER(SEARCH("membership",LOWER($A655&amp;" "&amp;$M655&amp;"")))),"",IF(LOWER($L655&amp;"")="yes",0,IF($K655&lt;&gt;"",$K655,IF($O655&lt;&gt;"",$O655,"")))))</f>
        <v/>
      </c>
      <c r="Q655">
        <f>IF($A655="","",IF($U655="Subscription","",IF($U655="Profit",$P655-$H655,0)))</f>
        <v/>
      </c>
      <c r="R655">
        <f>IF($A655="","",IF($U655="Subscription","",IF($U655="Draw",$H655,0)))</f>
        <v/>
      </c>
      <c r="S655">
        <f>IF($A655="","",IF($U655="Subscription","",IF($U655="Disqualified",$H655,0)))</f>
        <v/>
      </c>
      <c r="T655">
        <f>IF($A655="","",IF($U655="Subscription","",IF($H655=0,IF($U655="Profit","N/A",0),IF($U655="Profit",$Q655/$H655,IF($U655="Disqualified",-1,0)))))</f>
        <v/>
      </c>
      <c r="U655" s="350">
        <f>IF($A655="","",IF(OR(LOWER($D655&amp;"")="n/a",ISNUMBER(SEARCH("subscription",LOWER($A655&amp;" "&amp;$M655&amp;""))),ISNUMBER(SEARCH("membership",LOWER($A655&amp;" "&amp;$M655&amp;"")))),"Subscription",IF(LOWER($L655&amp;"")="yes","Disqualified",IF($P655&gt;$H655,"Profit","Draw"))))</f>
        <v/>
      </c>
      <c r="V655">
        <f>IF(OR($A655="",$B655="",$C655="",$U655="Subscription"),"",IFERROR(ROUNDUP((IF(ISNUMBER($C655),$C655,DATEVALUE($C655))-IF(ISNUMBER($B655),$B655,DATEVALUE($B655)))/7,0),""))</f>
        <v/>
      </c>
      <c r="W655" s="352">
        <f>IF($U655="Subscription","",$Q655-$S655)</f>
        <v/>
      </c>
      <c r="X655">
        <f>IF(OR($A655="",$U655="Subscription",$J655="",$I655="",$J655=0,$I655=0,$I655&gt;$J655),"",$J655-$I655)</f>
        <v/>
      </c>
      <c r="Y655">
        <f>IF(OR($A655="",$U655="Subscription",$J655="",$J655=0,$X655=""),"",$X655/$J655)</f>
        <v/>
      </c>
    </row>
    <row r="656">
      <c r="B656" s="354" t="n"/>
      <c r="C656" s="354" t="n"/>
      <c r="E656" s="350" t="n"/>
      <c r="F656" s="350" t="n"/>
      <c r="G656" s="350" t="n"/>
      <c r="H656" s="350" t="n"/>
      <c r="I656" s="350" t="n"/>
      <c r="J656" s="352" t="n"/>
      <c r="M656" s="350" t="n"/>
      <c r="N656" s="350">
        <f>IF($A656="","",IF(OR(LOWER($D656&amp;"")="n/a",ISNUMBER(SEARCH("subscription",LOWER($A656&amp;" "&amp;$M656&amp;""))),ISNUMBER(SEARCH("membership",LOWER($A656&amp;" "&amp;$M656&amp;"")))),"",IF($G656="","",IF(ISNUMBER(SEARCH("non",LOWER($E656&amp;""))),$G656*0.85,$G656))))</f>
        <v/>
      </c>
      <c r="O656">
        <f>IF($A656="","",IF(OR(LOWER($D656&amp;"")="n/a",ISNUMBER(SEARCH("subscription",LOWER($A656&amp;" "&amp;$M656&amp;""))),ISNUMBER(SEARCH("membership",LOWER($A656&amp;" "&amp;$M656&amp;"")))),"",IF(OR($N656="",$I656="",$I656=0),"",$N656/$I656)))</f>
        <v/>
      </c>
      <c r="P656">
        <f>IF($A656="","",IF(OR(LOWER($D656&amp;"")="n/a",ISNUMBER(SEARCH("subscription",LOWER($A656&amp;" "&amp;$M656&amp;""))),ISNUMBER(SEARCH("membership",LOWER($A656&amp;" "&amp;$M656&amp;"")))),"",IF(LOWER($L656&amp;"")="yes",0,IF($K656&lt;&gt;"",$K656,IF($O656&lt;&gt;"",$O656,"")))))</f>
        <v/>
      </c>
      <c r="Q656">
        <f>IF($A656="","",IF($U656="Subscription","",IF($U656="Profit",$P656-$H656,0)))</f>
        <v/>
      </c>
      <c r="R656">
        <f>IF($A656="","",IF($U656="Subscription","",IF($U656="Draw",$H656,0)))</f>
        <v/>
      </c>
      <c r="S656">
        <f>IF($A656="","",IF($U656="Subscription","",IF($U656="Disqualified",$H656,0)))</f>
        <v/>
      </c>
      <c r="T656">
        <f>IF($A656="","",IF($U656="Subscription","",IF($H656=0,IF($U656="Profit","N/A",0),IF($U656="Profit",$Q656/$H656,IF($U656="Disqualified",-1,0)))))</f>
        <v/>
      </c>
      <c r="U656" s="350">
        <f>IF($A656="","",IF(OR(LOWER($D656&amp;"")="n/a",ISNUMBER(SEARCH("subscription",LOWER($A656&amp;" "&amp;$M656&amp;""))),ISNUMBER(SEARCH("membership",LOWER($A656&amp;" "&amp;$M656&amp;"")))),"Subscription",IF(LOWER($L656&amp;"")="yes","Disqualified",IF($P656&gt;$H656,"Profit","Draw"))))</f>
        <v/>
      </c>
      <c r="V656">
        <f>IF(OR($A656="",$B656="",$C656="",$U656="Subscription"),"",IFERROR(ROUNDUP((IF(ISNUMBER($C656),$C656,DATEVALUE($C656))-IF(ISNUMBER($B656),$B656,DATEVALUE($B656)))/7,0),""))</f>
        <v/>
      </c>
      <c r="W656" s="352">
        <f>IF($U656="Subscription","",$Q656-$S656)</f>
        <v/>
      </c>
      <c r="X656">
        <f>IF(OR($A656="",$U656="Subscription",$J656="",$I656="",$J656=0,$I656=0,$I656&gt;$J656),"",$J656-$I656)</f>
        <v/>
      </c>
      <c r="Y656">
        <f>IF(OR($A656="",$U656="Subscription",$J656="",$J656=0,$X656=""),"",$X656/$J656)</f>
        <v/>
      </c>
    </row>
    <row r="657">
      <c r="B657" s="354" t="n"/>
      <c r="C657" s="354" t="n"/>
      <c r="E657" s="350" t="n"/>
      <c r="F657" s="350" t="n"/>
      <c r="G657" s="350" t="n"/>
      <c r="H657" s="350" t="n"/>
      <c r="I657" s="350" t="n"/>
      <c r="J657" s="352" t="n"/>
      <c r="M657" s="350" t="n"/>
      <c r="N657" s="350">
        <f>IF($A657="","",IF(OR(LOWER($D657&amp;"")="n/a",ISNUMBER(SEARCH("subscription",LOWER($A657&amp;" "&amp;$M657&amp;""))),ISNUMBER(SEARCH("membership",LOWER($A657&amp;" "&amp;$M657&amp;"")))),"",IF($G657="","",IF(ISNUMBER(SEARCH("non",LOWER($E657&amp;""))),$G657*0.85,$G657))))</f>
        <v/>
      </c>
      <c r="O657">
        <f>IF($A657="","",IF(OR(LOWER($D657&amp;"")="n/a",ISNUMBER(SEARCH("subscription",LOWER($A657&amp;" "&amp;$M657&amp;""))),ISNUMBER(SEARCH("membership",LOWER($A657&amp;" "&amp;$M657&amp;"")))),"",IF(OR($N657="",$I657="",$I657=0),"",$N657/$I657)))</f>
        <v/>
      </c>
      <c r="P657">
        <f>IF($A657="","",IF(OR(LOWER($D657&amp;"")="n/a",ISNUMBER(SEARCH("subscription",LOWER($A657&amp;" "&amp;$M657&amp;""))),ISNUMBER(SEARCH("membership",LOWER($A657&amp;" "&amp;$M657&amp;"")))),"",IF(LOWER($L657&amp;"")="yes",0,IF($K657&lt;&gt;"",$K657,IF($O657&lt;&gt;"",$O657,"")))))</f>
        <v/>
      </c>
      <c r="Q657">
        <f>IF($A657="","",IF($U657="Subscription","",IF($U657="Profit",$P657-$H657,0)))</f>
        <v/>
      </c>
      <c r="R657">
        <f>IF($A657="","",IF($U657="Subscription","",IF($U657="Draw",$H657,0)))</f>
        <v/>
      </c>
      <c r="S657">
        <f>IF($A657="","",IF($U657="Subscription","",IF($U657="Disqualified",$H657,0)))</f>
        <v/>
      </c>
      <c r="T657">
        <f>IF($A657="","",IF($U657="Subscription","",IF($H657=0,IF($U657="Profit","N/A",0),IF($U657="Profit",$Q657/$H657,IF($U657="Disqualified",-1,0)))))</f>
        <v/>
      </c>
      <c r="U657" s="350">
        <f>IF($A657="","",IF(OR(LOWER($D657&amp;"")="n/a",ISNUMBER(SEARCH("subscription",LOWER($A657&amp;" "&amp;$M657&amp;""))),ISNUMBER(SEARCH("membership",LOWER($A657&amp;" "&amp;$M657&amp;"")))),"Subscription",IF(LOWER($L657&amp;"")="yes","Disqualified",IF($P657&gt;$H657,"Profit","Draw"))))</f>
        <v/>
      </c>
      <c r="V657">
        <f>IF(OR($A657="",$B657="",$C657="",$U657="Subscription"),"",IFERROR(ROUNDUP((IF(ISNUMBER($C657),$C657,DATEVALUE($C657))-IF(ISNUMBER($B657),$B657,DATEVALUE($B657)))/7,0),""))</f>
        <v/>
      </c>
      <c r="W657" s="352">
        <f>IF($U657="Subscription","",$Q657-$S657)</f>
        <v/>
      </c>
      <c r="X657">
        <f>IF(OR($A657="",$U657="Subscription",$J657="",$I657="",$J657=0,$I657=0,$I657&gt;$J657),"",$J657-$I657)</f>
        <v/>
      </c>
      <c r="Y657">
        <f>IF(OR($A657="",$U657="Subscription",$J657="",$J657=0,$X657=""),"",$X657/$J657)</f>
        <v/>
      </c>
    </row>
    <row r="658">
      <c r="B658" s="354" t="n"/>
      <c r="C658" s="354" t="n"/>
      <c r="E658" s="350" t="n"/>
      <c r="F658" s="350" t="n"/>
      <c r="G658" s="350" t="n"/>
      <c r="H658" s="350" t="n"/>
      <c r="I658" s="350" t="n"/>
      <c r="J658" s="352" t="n"/>
      <c r="M658" s="350" t="n"/>
      <c r="N658" s="350">
        <f>IF($A658="","",IF(OR(LOWER($D658&amp;"")="n/a",ISNUMBER(SEARCH("subscription",LOWER($A658&amp;" "&amp;$M658&amp;""))),ISNUMBER(SEARCH("membership",LOWER($A658&amp;" "&amp;$M658&amp;"")))),"",IF($G658="","",IF(ISNUMBER(SEARCH("non",LOWER($E658&amp;""))),$G658*0.85,$G658))))</f>
        <v/>
      </c>
      <c r="O658">
        <f>IF($A658="","",IF(OR(LOWER($D658&amp;"")="n/a",ISNUMBER(SEARCH("subscription",LOWER($A658&amp;" "&amp;$M658&amp;""))),ISNUMBER(SEARCH("membership",LOWER($A658&amp;" "&amp;$M658&amp;"")))),"",IF(OR($N658="",$I658="",$I658=0),"",$N658/$I658)))</f>
        <v/>
      </c>
      <c r="P658">
        <f>IF($A658="","",IF(OR(LOWER($D658&amp;"")="n/a",ISNUMBER(SEARCH("subscription",LOWER($A658&amp;" "&amp;$M658&amp;""))),ISNUMBER(SEARCH("membership",LOWER($A658&amp;" "&amp;$M658&amp;"")))),"",IF(LOWER($L658&amp;"")="yes",0,IF($K658&lt;&gt;"",$K658,IF($O658&lt;&gt;"",$O658,"")))))</f>
        <v/>
      </c>
      <c r="Q658">
        <f>IF($A658="","",IF($U658="Subscription","",IF($U658="Profit",$P658-$H658,0)))</f>
        <v/>
      </c>
      <c r="R658">
        <f>IF($A658="","",IF($U658="Subscription","",IF($U658="Draw",$H658,0)))</f>
        <v/>
      </c>
      <c r="S658">
        <f>IF($A658="","",IF($U658="Subscription","",IF($U658="Disqualified",$H658,0)))</f>
        <v/>
      </c>
      <c r="T658">
        <f>IF($A658="","",IF($U658="Subscription","",IF($H658=0,IF($U658="Profit","N/A",0),IF($U658="Profit",$Q658/$H658,IF($U658="Disqualified",-1,0)))))</f>
        <v/>
      </c>
      <c r="U658" s="350">
        <f>IF($A658="","",IF(OR(LOWER($D658&amp;"")="n/a",ISNUMBER(SEARCH("subscription",LOWER($A658&amp;" "&amp;$M658&amp;""))),ISNUMBER(SEARCH("membership",LOWER($A658&amp;" "&amp;$M658&amp;"")))),"Subscription",IF(LOWER($L658&amp;"")="yes","Disqualified",IF($P658&gt;$H658,"Profit","Draw"))))</f>
        <v/>
      </c>
      <c r="V658">
        <f>IF(OR($A658="",$B658="",$C658="",$U658="Subscription"),"",IFERROR(ROUNDUP((IF(ISNUMBER($C658),$C658,DATEVALUE($C658))-IF(ISNUMBER($B658),$B658,DATEVALUE($B658)))/7,0),""))</f>
        <v/>
      </c>
      <c r="W658" s="352">
        <f>IF($U658="Subscription","",$Q658-$S658)</f>
        <v/>
      </c>
      <c r="X658">
        <f>IF(OR($A658="",$U658="Subscription",$J658="",$I658="",$J658=0,$I658=0,$I658&gt;$J658),"",$J658-$I658)</f>
        <v/>
      </c>
      <c r="Y658">
        <f>IF(OR($A658="",$U658="Subscription",$J658="",$J658=0,$X658=""),"",$X658/$J658)</f>
        <v/>
      </c>
    </row>
    <row r="659">
      <c r="B659" s="354" t="n"/>
      <c r="C659" s="354" t="n"/>
      <c r="E659" s="350" t="n"/>
      <c r="F659" s="350" t="n"/>
      <c r="G659" s="350" t="n"/>
      <c r="H659" s="350" t="n"/>
      <c r="I659" s="350" t="n"/>
      <c r="J659" s="352" t="n"/>
      <c r="M659" s="350" t="n"/>
      <c r="N659" s="350">
        <f>IF($A659="","",IF(OR(LOWER($D659&amp;"")="n/a",ISNUMBER(SEARCH("subscription",LOWER($A659&amp;" "&amp;$M659&amp;""))),ISNUMBER(SEARCH("membership",LOWER($A659&amp;" "&amp;$M659&amp;"")))),"",IF($G659="","",IF(ISNUMBER(SEARCH("non",LOWER($E659&amp;""))),$G659*0.85,$G659))))</f>
        <v/>
      </c>
      <c r="O659">
        <f>IF($A659="","",IF(OR(LOWER($D659&amp;"")="n/a",ISNUMBER(SEARCH("subscription",LOWER($A659&amp;" "&amp;$M659&amp;""))),ISNUMBER(SEARCH("membership",LOWER($A659&amp;" "&amp;$M659&amp;"")))),"",IF(OR($N659="",$I659="",$I659=0),"",$N659/$I659)))</f>
        <v/>
      </c>
      <c r="P659">
        <f>IF($A659="","",IF(OR(LOWER($D659&amp;"")="n/a",ISNUMBER(SEARCH("subscription",LOWER($A659&amp;" "&amp;$M659&amp;""))),ISNUMBER(SEARCH("membership",LOWER($A659&amp;" "&amp;$M659&amp;"")))),"",IF(LOWER($L659&amp;"")="yes",0,IF($K659&lt;&gt;"",$K659,IF($O659&lt;&gt;"",$O659,"")))))</f>
        <v/>
      </c>
      <c r="Q659">
        <f>IF($A659="","",IF($U659="Subscription","",IF($U659="Profit",$P659-$H659,0)))</f>
        <v/>
      </c>
      <c r="R659">
        <f>IF($A659="","",IF($U659="Subscription","",IF($U659="Draw",$H659,0)))</f>
        <v/>
      </c>
      <c r="S659">
        <f>IF($A659="","",IF($U659="Subscription","",IF($U659="Disqualified",$H659,0)))</f>
        <v/>
      </c>
      <c r="T659">
        <f>IF($A659="","",IF($U659="Subscription","",IF($H659=0,IF($U659="Profit","N/A",0),IF($U659="Profit",$Q659/$H659,IF($U659="Disqualified",-1,0)))))</f>
        <v/>
      </c>
      <c r="U659" s="350">
        <f>IF($A659="","",IF(OR(LOWER($D659&amp;"")="n/a",ISNUMBER(SEARCH("subscription",LOWER($A659&amp;" "&amp;$M659&amp;""))),ISNUMBER(SEARCH("membership",LOWER($A659&amp;" "&amp;$M659&amp;"")))),"Subscription",IF(LOWER($L659&amp;"")="yes","Disqualified",IF($P659&gt;$H659,"Profit","Draw"))))</f>
        <v/>
      </c>
      <c r="V659">
        <f>IF(OR($A659="",$B659="",$C659="",$U659="Subscription"),"",IFERROR(ROUNDUP((IF(ISNUMBER($C659),$C659,DATEVALUE($C659))-IF(ISNUMBER($B659),$B659,DATEVALUE($B659)))/7,0),""))</f>
        <v/>
      </c>
      <c r="W659" s="352">
        <f>IF($U659="Subscription","",$Q659-$S659)</f>
        <v/>
      </c>
      <c r="X659">
        <f>IF(OR($A659="",$U659="Subscription",$J659="",$I659="",$J659=0,$I659=0,$I659&gt;$J659),"",$J659-$I659)</f>
        <v/>
      </c>
      <c r="Y659">
        <f>IF(OR($A659="",$U659="Subscription",$J659="",$J659=0,$X659=""),"",$X659/$J659)</f>
        <v/>
      </c>
    </row>
    <row r="660">
      <c r="B660" s="354" t="n"/>
      <c r="C660" s="354" t="n"/>
      <c r="E660" s="350" t="n"/>
      <c r="F660" s="350" t="n"/>
      <c r="G660" s="350" t="n"/>
      <c r="H660" s="350" t="n"/>
      <c r="I660" s="350" t="n"/>
      <c r="J660" s="352" t="n"/>
      <c r="M660" s="350" t="n"/>
      <c r="N660" s="350">
        <f>IF($A660="","",IF(OR(LOWER($D660&amp;"")="n/a",ISNUMBER(SEARCH("subscription",LOWER($A660&amp;" "&amp;$M660&amp;""))),ISNUMBER(SEARCH("membership",LOWER($A660&amp;" "&amp;$M660&amp;"")))),"",IF($G660="","",IF(ISNUMBER(SEARCH("non",LOWER($E660&amp;""))),$G660*0.85,$G660))))</f>
        <v/>
      </c>
      <c r="O660">
        <f>IF($A660="","",IF(OR(LOWER($D660&amp;"")="n/a",ISNUMBER(SEARCH("subscription",LOWER($A660&amp;" "&amp;$M660&amp;""))),ISNUMBER(SEARCH("membership",LOWER($A660&amp;" "&amp;$M660&amp;"")))),"",IF(OR($N660="",$I660="",$I660=0),"",$N660/$I660)))</f>
        <v/>
      </c>
      <c r="P660">
        <f>IF($A660="","",IF(OR(LOWER($D660&amp;"")="n/a",ISNUMBER(SEARCH("subscription",LOWER($A660&amp;" "&amp;$M660&amp;""))),ISNUMBER(SEARCH("membership",LOWER($A660&amp;" "&amp;$M660&amp;"")))),"",IF(LOWER($L660&amp;"")="yes",0,IF($K660&lt;&gt;"",$K660,IF($O660&lt;&gt;"",$O660,"")))))</f>
        <v/>
      </c>
      <c r="Q660">
        <f>IF($A660="","",IF($U660="Subscription","",IF($U660="Profit",$P660-$H660,0)))</f>
        <v/>
      </c>
      <c r="R660">
        <f>IF($A660="","",IF($U660="Subscription","",IF($U660="Draw",$H660,0)))</f>
        <v/>
      </c>
      <c r="S660">
        <f>IF($A660="","",IF($U660="Subscription","",IF($U660="Disqualified",$H660,0)))</f>
        <v/>
      </c>
      <c r="T660">
        <f>IF($A660="","",IF($U660="Subscription","",IF($H660=0,IF($U660="Profit","N/A",0),IF($U660="Profit",$Q660/$H660,IF($U660="Disqualified",-1,0)))))</f>
        <v/>
      </c>
      <c r="U660" s="350">
        <f>IF($A660="","",IF(OR(LOWER($D660&amp;"")="n/a",ISNUMBER(SEARCH("subscription",LOWER($A660&amp;" "&amp;$M660&amp;""))),ISNUMBER(SEARCH("membership",LOWER($A660&amp;" "&amp;$M660&amp;"")))),"Subscription",IF(LOWER($L660&amp;"")="yes","Disqualified",IF($P660&gt;$H660,"Profit","Draw"))))</f>
        <v/>
      </c>
      <c r="V660">
        <f>IF(OR($A660="",$B660="",$C660="",$U660="Subscription"),"",IFERROR(ROUNDUP((IF(ISNUMBER($C660),$C660,DATEVALUE($C660))-IF(ISNUMBER($B660),$B660,DATEVALUE($B660)))/7,0),""))</f>
        <v/>
      </c>
      <c r="W660" s="352">
        <f>IF($U660="Subscription","",$Q660-$S660)</f>
        <v/>
      </c>
      <c r="X660">
        <f>IF(OR($A660="",$U660="Subscription",$J660="",$I660="",$J660=0,$I660=0,$I660&gt;$J660),"",$J660-$I660)</f>
        <v/>
      </c>
      <c r="Y660">
        <f>IF(OR($A660="",$U660="Subscription",$J660="",$J660=0,$X660=""),"",$X660/$J660)</f>
        <v/>
      </c>
    </row>
    <row r="661">
      <c r="B661" s="354" t="n"/>
      <c r="C661" s="354" t="n"/>
      <c r="E661" s="350" t="n"/>
      <c r="F661" s="350" t="n"/>
      <c r="G661" s="350" t="n"/>
      <c r="H661" s="350" t="n"/>
      <c r="I661" s="350" t="n"/>
      <c r="J661" s="352" t="n"/>
      <c r="M661" s="350" t="n"/>
      <c r="N661" s="350">
        <f>IF($A661="","",IF(OR(LOWER($D661&amp;"")="n/a",ISNUMBER(SEARCH("subscription",LOWER($A661&amp;" "&amp;$M661&amp;""))),ISNUMBER(SEARCH("membership",LOWER($A661&amp;" "&amp;$M661&amp;"")))),"",IF($G661="","",IF(ISNUMBER(SEARCH("non",LOWER($E661&amp;""))),$G661*0.85,$G661))))</f>
        <v/>
      </c>
      <c r="O661">
        <f>IF($A661="","",IF(OR(LOWER($D661&amp;"")="n/a",ISNUMBER(SEARCH("subscription",LOWER($A661&amp;" "&amp;$M661&amp;""))),ISNUMBER(SEARCH("membership",LOWER($A661&amp;" "&amp;$M661&amp;"")))),"",IF(OR($N661="",$I661="",$I661=0),"",$N661/$I661)))</f>
        <v/>
      </c>
      <c r="P661">
        <f>IF($A661="","",IF(OR(LOWER($D661&amp;"")="n/a",ISNUMBER(SEARCH("subscription",LOWER($A661&amp;" "&amp;$M661&amp;""))),ISNUMBER(SEARCH("membership",LOWER($A661&amp;" "&amp;$M661&amp;"")))),"",IF(LOWER($L661&amp;"")="yes",0,IF($K661&lt;&gt;"",$K661,IF($O661&lt;&gt;"",$O661,"")))))</f>
        <v/>
      </c>
      <c r="Q661">
        <f>IF($A661="","",IF($U661="Subscription","",IF($U661="Profit",$P661-$H661,0)))</f>
        <v/>
      </c>
      <c r="R661">
        <f>IF($A661="","",IF($U661="Subscription","",IF($U661="Draw",$H661,0)))</f>
        <v/>
      </c>
      <c r="S661">
        <f>IF($A661="","",IF($U661="Subscription","",IF($U661="Disqualified",$H661,0)))</f>
        <v/>
      </c>
      <c r="T661">
        <f>IF($A661="","",IF($U661="Subscription","",IF($H661=0,IF($U661="Profit","N/A",0),IF($U661="Profit",$Q661/$H661,IF($U661="Disqualified",-1,0)))))</f>
        <v/>
      </c>
      <c r="U661" s="350">
        <f>IF($A661="","",IF(OR(LOWER($D661&amp;"")="n/a",ISNUMBER(SEARCH("subscription",LOWER($A661&amp;" "&amp;$M661&amp;""))),ISNUMBER(SEARCH("membership",LOWER($A661&amp;" "&amp;$M661&amp;"")))),"Subscription",IF(LOWER($L661&amp;"")="yes","Disqualified",IF($P661&gt;$H661,"Profit","Draw"))))</f>
        <v/>
      </c>
      <c r="V661">
        <f>IF(OR($A661="",$B661="",$C661="",$U661="Subscription"),"",IFERROR(ROUNDUP((IF(ISNUMBER($C661),$C661,DATEVALUE($C661))-IF(ISNUMBER($B661),$B661,DATEVALUE($B661)))/7,0),""))</f>
        <v/>
      </c>
      <c r="W661" s="352">
        <f>IF($U661="Subscription","",$Q661-$S661)</f>
        <v/>
      </c>
      <c r="X661">
        <f>IF(OR($A661="",$U661="Subscription",$J661="",$I661="",$J661=0,$I661=0,$I661&gt;$J661),"",$J661-$I661)</f>
        <v/>
      </c>
      <c r="Y661">
        <f>IF(OR($A661="",$U661="Subscription",$J661="",$J661=0,$X661=""),"",$X661/$J661)</f>
        <v/>
      </c>
    </row>
    <row r="662">
      <c r="B662" s="354" t="n"/>
      <c r="C662" s="354" t="n"/>
      <c r="E662" s="350" t="n"/>
      <c r="F662" s="350" t="n"/>
      <c r="G662" s="350" t="n"/>
      <c r="H662" s="350" t="n"/>
      <c r="I662" s="350" t="n"/>
      <c r="J662" s="352" t="n"/>
      <c r="M662" s="350" t="n"/>
      <c r="N662" s="350">
        <f>IF($A662="","",IF(OR(LOWER($D662&amp;"")="n/a",ISNUMBER(SEARCH("subscription",LOWER($A662&amp;" "&amp;$M662&amp;""))),ISNUMBER(SEARCH("membership",LOWER($A662&amp;" "&amp;$M662&amp;"")))),"",IF($G662="","",IF(ISNUMBER(SEARCH("non",LOWER($E662&amp;""))),$G662*0.85,$G662))))</f>
        <v/>
      </c>
      <c r="O662">
        <f>IF($A662="","",IF(OR(LOWER($D662&amp;"")="n/a",ISNUMBER(SEARCH("subscription",LOWER($A662&amp;" "&amp;$M662&amp;""))),ISNUMBER(SEARCH("membership",LOWER($A662&amp;" "&amp;$M662&amp;"")))),"",IF(OR($N662="",$I662="",$I662=0),"",$N662/$I662)))</f>
        <v/>
      </c>
      <c r="P662">
        <f>IF($A662="","",IF(OR(LOWER($D662&amp;"")="n/a",ISNUMBER(SEARCH("subscription",LOWER($A662&amp;" "&amp;$M662&amp;""))),ISNUMBER(SEARCH("membership",LOWER($A662&amp;" "&amp;$M662&amp;"")))),"",IF(LOWER($L662&amp;"")="yes",0,IF($K662&lt;&gt;"",$K662,IF($O662&lt;&gt;"",$O662,"")))))</f>
        <v/>
      </c>
      <c r="Q662">
        <f>IF($A662="","",IF($U662="Subscription","",IF($U662="Profit",$P662-$H662,0)))</f>
        <v/>
      </c>
      <c r="R662">
        <f>IF($A662="","",IF($U662="Subscription","",IF($U662="Draw",$H662,0)))</f>
        <v/>
      </c>
      <c r="S662">
        <f>IF($A662="","",IF($U662="Subscription","",IF($U662="Disqualified",$H662,0)))</f>
        <v/>
      </c>
      <c r="T662">
        <f>IF($A662="","",IF($U662="Subscription","",IF($H662=0,IF($U662="Profit","N/A",0),IF($U662="Profit",$Q662/$H662,IF($U662="Disqualified",-1,0)))))</f>
        <v/>
      </c>
      <c r="U662" s="350">
        <f>IF($A662="","",IF(OR(LOWER($D662&amp;"")="n/a",ISNUMBER(SEARCH("subscription",LOWER($A662&amp;" "&amp;$M662&amp;""))),ISNUMBER(SEARCH("membership",LOWER($A662&amp;" "&amp;$M662&amp;"")))),"Subscription",IF(LOWER($L662&amp;"")="yes","Disqualified",IF($P662&gt;$H662,"Profit","Draw"))))</f>
        <v/>
      </c>
      <c r="V662">
        <f>IF(OR($A662="",$B662="",$C662="",$U662="Subscription"),"",IFERROR(ROUNDUP((IF(ISNUMBER($C662),$C662,DATEVALUE($C662))-IF(ISNUMBER($B662),$B662,DATEVALUE($B662)))/7,0),""))</f>
        <v/>
      </c>
      <c r="W662" s="352">
        <f>IF($U662="Subscription","",$Q662-$S662)</f>
        <v/>
      </c>
      <c r="X662">
        <f>IF(OR($A662="",$U662="Subscription",$J662="",$I662="",$J662=0,$I662=0,$I662&gt;$J662),"",$J662-$I662)</f>
        <v/>
      </c>
      <c r="Y662">
        <f>IF(OR($A662="",$U662="Subscription",$J662="",$J662=0,$X662=""),"",$X662/$J662)</f>
        <v/>
      </c>
    </row>
    <row r="663">
      <c r="B663" s="354" t="n"/>
      <c r="C663" s="354" t="n"/>
      <c r="E663" s="350" t="n"/>
      <c r="F663" s="350" t="n"/>
      <c r="G663" s="350" t="n"/>
      <c r="H663" s="350" t="n"/>
      <c r="I663" s="350" t="n"/>
      <c r="J663" s="352" t="n"/>
      <c r="M663" s="350" t="n"/>
      <c r="N663" s="350">
        <f>IF($A663="","",IF(OR(LOWER($D663&amp;"")="n/a",ISNUMBER(SEARCH("subscription",LOWER($A663&amp;" "&amp;$M663&amp;""))),ISNUMBER(SEARCH("membership",LOWER($A663&amp;" "&amp;$M663&amp;"")))),"",IF($G663="","",IF(ISNUMBER(SEARCH("non",LOWER($E663&amp;""))),$G663*0.85,$G663))))</f>
        <v/>
      </c>
      <c r="O663">
        <f>IF($A663="","",IF(OR(LOWER($D663&amp;"")="n/a",ISNUMBER(SEARCH("subscription",LOWER($A663&amp;" "&amp;$M663&amp;""))),ISNUMBER(SEARCH("membership",LOWER($A663&amp;" "&amp;$M663&amp;"")))),"",IF(OR($N663="",$I663="",$I663=0),"",$N663/$I663)))</f>
        <v/>
      </c>
      <c r="P663">
        <f>IF($A663="","",IF(OR(LOWER($D663&amp;"")="n/a",ISNUMBER(SEARCH("subscription",LOWER($A663&amp;" "&amp;$M663&amp;""))),ISNUMBER(SEARCH("membership",LOWER($A663&amp;" "&amp;$M663&amp;"")))),"",IF(LOWER($L663&amp;"")="yes",0,IF($K663&lt;&gt;"",$K663,IF($O663&lt;&gt;"",$O663,"")))))</f>
        <v/>
      </c>
      <c r="Q663">
        <f>IF($A663="","",IF($U663="Subscription","",IF($U663="Profit",$P663-$H663,0)))</f>
        <v/>
      </c>
      <c r="R663">
        <f>IF($A663="","",IF($U663="Subscription","",IF($U663="Draw",$H663,0)))</f>
        <v/>
      </c>
      <c r="S663">
        <f>IF($A663="","",IF($U663="Subscription","",IF($U663="Disqualified",$H663,0)))</f>
        <v/>
      </c>
      <c r="T663">
        <f>IF($A663="","",IF($U663="Subscription","",IF($H663=0,IF($U663="Profit","N/A",0),IF($U663="Profit",$Q663/$H663,IF($U663="Disqualified",-1,0)))))</f>
        <v/>
      </c>
      <c r="U663" s="350">
        <f>IF($A663="","",IF(OR(LOWER($D663&amp;"")="n/a",ISNUMBER(SEARCH("subscription",LOWER($A663&amp;" "&amp;$M663&amp;""))),ISNUMBER(SEARCH("membership",LOWER($A663&amp;" "&amp;$M663&amp;"")))),"Subscription",IF(LOWER($L663&amp;"")="yes","Disqualified",IF($P663&gt;$H663,"Profit","Draw"))))</f>
        <v/>
      </c>
      <c r="V663">
        <f>IF(OR($A663="",$B663="",$C663="",$U663="Subscription"),"",IFERROR(ROUNDUP((IF(ISNUMBER($C663),$C663,DATEVALUE($C663))-IF(ISNUMBER($B663),$B663,DATEVALUE($B663)))/7,0),""))</f>
        <v/>
      </c>
      <c r="W663" s="352">
        <f>IF($U663="Subscription","",$Q663-$S663)</f>
        <v/>
      </c>
      <c r="X663">
        <f>IF(OR($A663="",$U663="Subscription",$J663="",$I663="",$J663=0,$I663=0,$I663&gt;$J663),"",$J663-$I663)</f>
        <v/>
      </c>
      <c r="Y663">
        <f>IF(OR($A663="",$U663="Subscription",$J663="",$J663=0,$X663=""),"",$X663/$J663)</f>
        <v/>
      </c>
    </row>
    <row r="664">
      <c r="B664" s="354" t="n"/>
      <c r="C664" s="354" t="n"/>
      <c r="E664" s="350" t="n"/>
      <c r="F664" s="350" t="n"/>
      <c r="G664" s="350" t="n"/>
      <c r="H664" s="350" t="n"/>
      <c r="I664" s="350" t="n"/>
      <c r="J664" s="352" t="n"/>
      <c r="M664" s="350" t="n"/>
      <c r="N664" s="350">
        <f>IF($A664="","",IF(OR(LOWER($D664&amp;"")="n/a",ISNUMBER(SEARCH("subscription",LOWER($A664&amp;" "&amp;$M664&amp;""))),ISNUMBER(SEARCH("membership",LOWER($A664&amp;" "&amp;$M664&amp;"")))),"",IF($G664="","",IF(ISNUMBER(SEARCH("non",LOWER($E664&amp;""))),$G664*0.85,$G664))))</f>
        <v/>
      </c>
      <c r="O664">
        <f>IF($A664="","",IF(OR(LOWER($D664&amp;"")="n/a",ISNUMBER(SEARCH("subscription",LOWER($A664&amp;" "&amp;$M664&amp;""))),ISNUMBER(SEARCH("membership",LOWER($A664&amp;" "&amp;$M664&amp;"")))),"",IF(OR($N664="",$I664="",$I664=0),"",$N664/$I664)))</f>
        <v/>
      </c>
      <c r="P664">
        <f>IF($A664="","",IF(OR(LOWER($D664&amp;"")="n/a",ISNUMBER(SEARCH("subscription",LOWER($A664&amp;" "&amp;$M664&amp;""))),ISNUMBER(SEARCH("membership",LOWER($A664&amp;" "&amp;$M664&amp;"")))),"",IF(LOWER($L664&amp;"")="yes",0,IF($K664&lt;&gt;"",$K664,IF($O664&lt;&gt;"",$O664,"")))))</f>
        <v/>
      </c>
      <c r="Q664">
        <f>IF($A664="","",IF($U664="Subscription","",IF($U664="Profit",$P664-$H664,0)))</f>
        <v/>
      </c>
      <c r="R664">
        <f>IF($A664="","",IF($U664="Subscription","",IF($U664="Draw",$H664,0)))</f>
        <v/>
      </c>
      <c r="S664">
        <f>IF($A664="","",IF($U664="Subscription","",IF($U664="Disqualified",$H664,0)))</f>
        <v/>
      </c>
      <c r="T664">
        <f>IF($A664="","",IF($U664="Subscription","",IF($H664=0,IF($U664="Profit","N/A",0),IF($U664="Profit",$Q664/$H664,IF($U664="Disqualified",-1,0)))))</f>
        <v/>
      </c>
      <c r="U664" s="350">
        <f>IF($A664="","",IF(OR(LOWER($D664&amp;"")="n/a",ISNUMBER(SEARCH("subscription",LOWER($A664&amp;" "&amp;$M664&amp;""))),ISNUMBER(SEARCH("membership",LOWER($A664&amp;" "&amp;$M664&amp;"")))),"Subscription",IF(LOWER($L664&amp;"")="yes","Disqualified",IF($P664&gt;$H664,"Profit","Draw"))))</f>
        <v/>
      </c>
      <c r="V664">
        <f>IF(OR($A664="",$B664="",$C664="",$U664="Subscription"),"",IFERROR(ROUNDUP((IF(ISNUMBER($C664),$C664,DATEVALUE($C664))-IF(ISNUMBER($B664),$B664,DATEVALUE($B664)))/7,0),""))</f>
        <v/>
      </c>
      <c r="W664" s="352">
        <f>IF($U664="Subscription","",$Q664-$S664)</f>
        <v/>
      </c>
      <c r="X664">
        <f>IF(OR($A664="",$U664="Subscription",$J664="",$I664="",$J664=0,$I664=0,$I664&gt;$J664),"",$J664-$I664)</f>
        <v/>
      </c>
      <c r="Y664">
        <f>IF(OR($A664="",$U664="Subscription",$J664="",$J664=0,$X664=""),"",$X664/$J664)</f>
        <v/>
      </c>
    </row>
    <row r="665">
      <c r="B665" s="354" t="n"/>
      <c r="C665" s="354" t="n"/>
      <c r="E665" s="350" t="n"/>
      <c r="F665" s="350" t="n"/>
      <c r="G665" s="350" t="n"/>
      <c r="H665" s="350" t="n"/>
      <c r="I665" s="350" t="n"/>
      <c r="J665" s="352" t="n"/>
      <c r="M665" s="350" t="n"/>
      <c r="N665" s="350">
        <f>IF($A665="","",IF(OR(LOWER($D665&amp;"")="n/a",ISNUMBER(SEARCH("subscription",LOWER($A665&amp;" "&amp;$M665&amp;""))),ISNUMBER(SEARCH("membership",LOWER($A665&amp;" "&amp;$M665&amp;"")))),"",IF($G665="","",IF(ISNUMBER(SEARCH("non",LOWER($E665&amp;""))),$G665*0.85,$G665))))</f>
        <v/>
      </c>
      <c r="O665">
        <f>IF($A665="","",IF(OR(LOWER($D665&amp;"")="n/a",ISNUMBER(SEARCH("subscription",LOWER($A665&amp;" "&amp;$M665&amp;""))),ISNUMBER(SEARCH("membership",LOWER($A665&amp;" "&amp;$M665&amp;"")))),"",IF(OR($N665="",$I665="",$I665=0),"",$N665/$I665)))</f>
        <v/>
      </c>
      <c r="P665">
        <f>IF($A665="","",IF(OR(LOWER($D665&amp;"")="n/a",ISNUMBER(SEARCH("subscription",LOWER($A665&amp;" "&amp;$M665&amp;""))),ISNUMBER(SEARCH("membership",LOWER($A665&amp;" "&amp;$M665&amp;"")))),"",IF(LOWER($L665&amp;"")="yes",0,IF($K665&lt;&gt;"",$K665,IF($O665&lt;&gt;"",$O665,"")))))</f>
        <v/>
      </c>
      <c r="Q665">
        <f>IF($A665="","",IF($U665="Subscription","",IF($U665="Profit",$P665-$H665,0)))</f>
        <v/>
      </c>
      <c r="R665">
        <f>IF($A665="","",IF($U665="Subscription","",IF($U665="Draw",$H665,0)))</f>
        <v/>
      </c>
      <c r="S665">
        <f>IF($A665="","",IF($U665="Subscription","",IF($U665="Disqualified",$H665,0)))</f>
        <v/>
      </c>
      <c r="T665">
        <f>IF($A665="","",IF($U665="Subscription","",IF($H665=0,IF($U665="Profit","N/A",0),IF($U665="Profit",$Q665/$H665,IF($U665="Disqualified",-1,0)))))</f>
        <v/>
      </c>
      <c r="U665" s="350">
        <f>IF($A665="","",IF(OR(LOWER($D665&amp;"")="n/a",ISNUMBER(SEARCH("subscription",LOWER($A665&amp;" "&amp;$M665&amp;""))),ISNUMBER(SEARCH("membership",LOWER($A665&amp;" "&amp;$M665&amp;"")))),"Subscription",IF(LOWER($L665&amp;"")="yes","Disqualified",IF($P665&gt;$H665,"Profit","Draw"))))</f>
        <v/>
      </c>
      <c r="V665">
        <f>IF(OR($A665="",$B665="",$C665="",$U665="Subscription"),"",IFERROR(ROUNDUP((IF(ISNUMBER($C665),$C665,DATEVALUE($C665))-IF(ISNUMBER($B665),$B665,DATEVALUE($B665)))/7,0),""))</f>
        <v/>
      </c>
      <c r="W665" s="352">
        <f>IF($U665="Subscription","",$Q665-$S665)</f>
        <v/>
      </c>
      <c r="X665">
        <f>IF(OR($A665="",$U665="Subscription",$J665="",$I665="",$J665=0,$I665=0,$I665&gt;$J665),"",$J665-$I665)</f>
        <v/>
      </c>
      <c r="Y665">
        <f>IF(OR($A665="",$U665="Subscription",$J665="",$J665=0,$X665=""),"",$X665/$J665)</f>
        <v/>
      </c>
    </row>
    <row r="666">
      <c r="B666" s="354" t="n"/>
      <c r="C666" s="354" t="n"/>
      <c r="E666" s="350" t="n"/>
      <c r="F666" s="350" t="n"/>
      <c r="G666" s="350" t="n"/>
      <c r="H666" s="350" t="n"/>
      <c r="I666" s="350" t="n"/>
      <c r="J666" s="352" t="n"/>
      <c r="M666" s="350" t="n"/>
      <c r="N666" s="350">
        <f>IF($A666="","",IF(OR(LOWER($D666&amp;"")="n/a",ISNUMBER(SEARCH("subscription",LOWER($A666&amp;" "&amp;$M666&amp;""))),ISNUMBER(SEARCH("membership",LOWER($A666&amp;" "&amp;$M666&amp;"")))),"",IF($G666="","",IF(ISNUMBER(SEARCH("non",LOWER($E666&amp;""))),$G666*0.85,$G666))))</f>
        <v/>
      </c>
      <c r="O666">
        <f>IF($A666="","",IF(OR(LOWER($D666&amp;"")="n/a",ISNUMBER(SEARCH("subscription",LOWER($A666&amp;" "&amp;$M666&amp;""))),ISNUMBER(SEARCH("membership",LOWER($A666&amp;" "&amp;$M666&amp;"")))),"",IF(OR($N666="",$I666="",$I666=0),"",$N666/$I666)))</f>
        <v/>
      </c>
      <c r="P666">
        <f>IF($A666="","",IF(OR(LOWER($D666&amp;"")="n/a",ISNUMBER(SEARCH("subscription",LOWER($A666&amp;" "&amp;$M666&amp;""))),ISNUMBER(SEARCH("membership",LOWER($A666&amp;" "&amp;$M666&amp;"")))),"",IF(LOWER($L666&amp;"")="yes",0,IF($K666&lt;&gt;"",$K666,IF($O666&lt;&gt;"",$O666,"")))))</f>
        <v/>
      </c>
      <c r="Q666">
        <f>IF($A666="","",IF($U666="Subscription","",IF($U666="Profit",$P666-$H666,0)))</f>
        <v/>
      </c>
      <c r="R666">
        <f>IF($A666="","",IF($U666="Subscription","",IF($U666="Draw",$H666,0)))</f>
        <v/>
      </c>
      <c r="S666">
        <f>IF($A666="","",IF($U666="Subscription","",IF($U666="Disqualified",$H666,0)))</f>
        <v/>
      </c>
      <c r="T666">
        <f>IF($A666="","",IF($U666="Subscription","",IF($H666=0,IF($U666="Profit","N/A",0),IF($U666="Profit",$Q666/$H666,IF($U666="Disqualified",-1,0)))))</f>
        <v/>
      </c>
      <c r="U666" s="350">
        <f>IF($A666="","",IF(OR(LOWER($D666&amp;"")="n/a",ISNUMBER(SEARCH("subscription",LOWER($A666&amp;" "&amp;$M666&amp;""))),ISNUMBER(SEARCH("membership",LOWER($A666&amp;" "&amp;$M666&amp;"")))),"Subscription",IF(LOWER($L666&amp;"")="yes","Disqualified",IF($P666&gt;$H666,"Profit","Draw"))))</f>
        <v/>
      </c>
      <c r="V666">
        <f>IF(OR($A666="",$B666="",$C666="",$U666="Subscription"),"",IFERROR(ROUNDUP((IF(ISNUMBER($C666),$C666,DATEVALUE($C666))-IF(ISNUMBER($B666),$B666,DATEVALUE($B666)))/7,0),""))</f>
        <v/>
      </c>
      <c r="W666" s="352">
        <f>IF($U666="Subscription","",$Q666-$S666)</f>
        <v/>
      </c>
      <c r="X666">
        <f>IF(OR($A666="",$U666="Subscription",$J666="",$I666="",$J666=0,$I666=0,$I666&gt;$J666),"",$J666-$I666)</f>
        <v/>
      </c>
      <c r="Y666">
        <f>IF(OR($A666="",$U666="Subscription",$J666="",$J666=0,$X666=""),"",$X666/$J666)</f>
        <v/>
      </c>
    </row>
    <row r="667">
      <c r="B667" s="354" t="n"/>
      <c r="C667" s="354" t="n"/>
      <c r="E667" s="350" t="n"/>
      <c r="F667" s="350" t="n"/>
      <c r="G667" s="350" t="n"/>
      <c r="H667" s="350" t="n"/>
      <c r="I667" s="350" t="n"/>
      <c r="J667" s="352" t="n"/>
      <c r="M667" s="350" t="n"/>
      <c r="N667" s="350">
        <f>IF($A667="","",IF(OR(LOWER($D667&amp;"")="n/a",ISNUMBER(SEARCH("subscription",LOWER($A667&amp;" "&amp;$M667&amp;""))),ISNUMBER(SEARCH("membership",LOWER($A667&amp;" "&amp;$M667&amp;"")))),"",IF($G667="","",IF(ISNUMBER(SEARCH("non",LOWER($E667&amp;""))),$G667*0.85,$G667))))</f>
        <v/>
      </c>
      <c r="O667">
        <f>IF($A667="","",IF(OR(LOWER($D667&amp;"")="n/a",ISNUMBER(SEARCH("subscription",LOWER($A667&amp;" "&amp;$M667&amp;""))),ISNUMBER(SEARCH("membership",LOWER($A667&amp;" "&amp;$M667&amp;"")))),"",IF(OR($N667="",$I667="",$I667=0),"",$N667/$I667)))</f>
        <v/>
      </c>
      <c r="P667">
        <f>IF($A667="","",IF(OR(LOWER($D667&amp;"")="n/a",ISNUMBER(SEARCH("subscription",LOWER($A667&amp;" "&amp;$M667&amp;""))),ISNUMBER(SEARCH("membership",LOWER($A667&amp;" "&amp;$M667&amp;"")))),"",IF(LOWER($L667&amp;"")="yes",0,IF($K667&lt;&gt;"",$K667,IF($O667&lt;&gt;"",$O667,"")))))</f>
        <v/>
      </c>
      <c r="Q667">
        <f>IF($A667="","",IF($U667="Subscription","",IF($U667="Profit",$P667-$H667,0)))</f>
        <v/>
      </c>
      <c r="R667">
        <f>IF($A667="","",IF($U667="Subscription","",IF($U667="Draw",$H667,0)))</f>
        <v/>
      </c>
      <c r="S667">
        <f>IF($A667="","",IF($U667="Subscription","",IF($U667="Disqualified",$H667,0)))</f>
        <v/>
      </c>
      <c r="T667">
        <f>IF($A667="","",IF($U667="Subscription","",IF($H667=0,IF($U667="Profit","N/A",0),IF($U667="Profit",$Q667/$H667,IF($U667="Disqualified",-1,0)))))</f>
        <v/>
      </c>
      <c r="U667" s="350">
        <f>IF($A667="","",IF(OR(LOWER($D667&amp;"")="n/a",ISNUMBER(SEARCH("subscription",LOWER($A667&amp;" "&amp;$M667&amp;""))),ISNUMBER(SEARCH("membership",LOWER($A667&amp;" "&amp;$M667&amp;"")))),"Subscription",IF(LOWER($L667&amp;"")="yes","Disqualified",IF($P667&gt;$H667,"Profit","Draw"))))</f>
        <v/>
      </c>
      <c r="V667">
        <f>IF(OR($A667="",$B667="",$C667="",$U667="Subscription"),"",IFERROR(ROUNDUP((IF(ISNUMBER($C667),$C667,DATEVALUE($C667))-IF(ISNUMBER($B667),$B667,DATEVALUE($B667)))/7,0),""))</f>
        <v/>
      </c>
      <c r="W667" s="352">
        <f>IF($U667="Subscription","",$Q667-$S667)</f>
        <v/>
      </c>
      <c r="X667">
        <f>IF(OR($A667="",$U667="Subscription",$J667="",$I667="",$J667=0,$I667=0,$I667&gt;$J667),"",$J667-$I667)</f>
        <v/>
      </c>
      <c r="Y667">
        <f>IF(OR($A667="",$U667="Subscription",$J667="",$J667=0,$X667=""),"",$X667/$J667)</f>
        <v/>
      </c>
    </row>
    <row r="668">
      <c r="B668" s="354" t="n"/>
      <c r="C668" s="354" t="n"/>
      <c r="E668" s="350" t="n"/>
      <c r="F668" s="350" t="n"/>
      <c r="G668" s="350" t="n"/>
      <c r="H668" s="350" t="n"/>
      <c r="I668" s="350" t="n"/>
      <c r="J668" s="352" t="n"/>
      <c r="M668" s="350" t="n"/>
      <c r="N668" s="350">
        <f>IF($A668="","",IF(OR(LOWER($D668&amp;"")="n/a",ISNUMBER(SEARCH("subscription",LOWER($A668&amp;" "&amp;$M668&amp;""))),ISNUMBER(SEARCH("membership",LOWER($A668&amp;" "&amp;$M668&amp;"")))),"",IF($G668="","",IF(ISNUMBER(SEARCH("non",LOWER($E668&amp;""))),$G668*0.85,$G668))))</f>
        <v/>
      </c>
      <c r="O668">
        <f>IF($A668="","",IF(OR(LOWER($D668&amp;"")="n/a",ISNUMBER(SEARCH("subscription",LOWER($A668&amp;" "&amp;$M668&amp;""))),ISNUMBER(SEARCH("membership",LOWER($A668&amp;" "&amp;$M668&amp;"")))),"",IF(OR($N668="",$I668="",$I668=0),"",$N668/$I668)))</f>
        <v/>
      </c>
      <c r="P668">
        <f>IF($A668="","",IF(OR(LOWER($D668&amp;"")="n/a",ISNUMBER(SEARCH("subscription",LOWER($A668&amp;" "&amp;$M668&amp;""))),ISNUMBER(SEARCH("membership",LOWER($A668&amp;" "&amp;$M668&amp;"")))),"",IF(LOWER($L668&amp;"")="yes",0,IF($K668&lt;&gt;"",$K668,IF($O668&lt;&gt;"",$O668,"")))))</f>
        <v/>
      </c>
      <c r="Q668">
        <f>IF($A668="","",IF($U668="Subscription","",IF($U668="Profit",$P668-$H668,0)))</f>
        <v/>
      </c>
      <c r="R668">
        <f>IF($A668="","",IF($U668="Subscription","",IF($U668="Draw",$H668,0)))</f>
        <v/>
      </c>
      <c r="S668">
        <f>IF($A668="","",IF($U668="Subscription","",IF($U668="Disqualified",$H668,0)))</f>
        <v/>
      </c>
      <c r="T668">
        <f>IF($A668="","",IF($U668="Subscription","",IF($H668=0,IF($U668="Profit","N/A",0),IF($U668="Profit",$Q668/$H668,IF($U668="Disqualified",-1,0)))))</f>
        <v/>
      </c>
      <c r="U668" s="350">
        <f>IF($A668="","",IF(OR(LOWER($D668&amp;"")="n/a",ISNUMBER(SEARCH("subscription",LOWER($A668&amp;" "&amp;$M668&amp;""))),ISNUMBER(SEARCH("membership",LOWER($A668&amp;" "&amp;$M668&amp;"")))),"Subscription",IF(LOWER($L668&amp;"")="yes","Disqualified",IF($P668&gt;$H668,"Profit","Draw"))))</f>
        <v/>
      </c>
      <c r="V668">
        <f>IF(OR($A668="",$B668="",$C668="",$U668="Subscription"),"",IFERROR(ROUNDUP((IF(ISNUMBER($C668),$C668,DATEVALUE($C668))-IF(ISNUMBER($B668),$B668,DATEVALUE($B668)))/7,0),""))</f>
        <v/>
      </c>
      <c r="W668" s="352">
        <f>IF($U668="Subscription","",$Q668-$S668)</f>
        <v/>
      </c>
      <c r="X668">
        <f>IF(OR($A668="",$U668="Subscription",$J668="",$I668="",$J668=0,$I668=0,$I668&gt;$J668),"",$J668-$I668)</f>
        <v/>
      </c>
      <c r="Y668">
        <f>IF(OR($A668="",$U668="Subscription",$J668="",$J668=0,$X668=""),"",$X668/$J668)</f>
        <v/>
      </c>
    </row>
    <row r="669">
      <c r="B669" s="354" t="n"/>
      <c r="C669" s="354" t="n"/>
      <c r="E669" s="350" t="n"/>
      <c r="F669" s="350" t="n"/>
      <c r="G669" s="350" t="n"/>
      <c r="H669" s="350" t="n"/>
      <c r="I669" s="350" t="n"/>
      <c r="J669" s="352" t="n"/>
      <c r="M669" s="350" t="n"/>
      <c r="N669" s="350">
        <f>IF($A669="","",IF(OR(LOWER($D669&amp;"")="n/a",ISNUMBER(SEARCH("subscription",LOWER($A669&amp;" "&amp;$M669&amp;""))),ISNUMBER(SEARCH("membership",LOWER($A669&amp;" "&amp;$M669&amp;"")))),"",IF($G669="","",IF(ISNUMBER(SEARCH("non",LOWER($E669&amp;""))),$G669*0.85,$G669))))</f>
        <v/>
      </c>
      <c r="O669">
        <f>IF($A669="","",IF(OR(LOWER($D669&amp;"")="n/a",ISNUMBER(SEARCH("subscription",LOWER($A669&amp;" "&amp;$M669&amp;""))),ISNUMBER(SEARCH("membership",LOWER($A669&amp;" "&amp;$M669&amp;"")))),"",IF(OR($N669="",$I669="",$I669=0),"",$N669/$I669)))</f>
        <v/>
      </c>
      <c r="P669">
        <f>IF($A669="","",IF(OR(LOWER($D669&amp;"")="n/a",ISNUMBER(SEARCH("subscription",LOWER($A669&amp;" "&amp;$M669&amp;""))),ISNUMBER(SEARCH("membership",LOWER($A669&amp;" "&amp;$M669&amp;"")))),"",IF(LOWER($L669&amp;"")="yes",0,IF($K669&lt;&gt;"",$K669,IF($O669&lt;&gt;"",$O669,"")))))</f>
        <v/>
      </c>
      <c r="Q669">
        <f>IF($A669="","",IF($U669="Subscription","",IF($U669="Profit",$P669-$H669,0)))</f>
        <v/>
      </c>
      <c r="R669">
        <f>IF($A669="","",IF($U669="Subscription","",IF($U669="Draw",$H669,0)))</f>
        <v/>
      </c>
      <c r="S669">
        <f>IF($A669="","",IF($U669="Subscription","",IF($U669="Disqualified",$H669,0)))</f>
        <v/>
      </c>
      <c r="T669">
        <f>IF($A669="","",IF($U669="Subscription","",IF($H669=0,IF($U669="Profit","N/A",0),IF($U669="Profit",$Q669/$H669,IF($U669="Disqualified",-1,0)))))</f>
        <v/>
      </c>
      <c r="U669" s="350">
        <f>IF($A669="","",IF(OR(LOWER($D669&amp;"")="n/a",ISNUMBER(SEARCH("subscription",LOWER($A669&amp;" "&amp;$M669&amp;""))),ISNUMBER(SEARCH("membership",LOWER($A669&amp;" "&amp;$M669&amp;"")))),"Subscription",IF(LOWER($L669&amp;"")="yes","Disqualified",IF($P669&gt;$H669,"Profit","Draw"))))</f>
        <v/>
      </c>
      <c r="V669">
        <f>IF(OR($A669="",$B669="",$C669="",$U669="Subscription"),"",IFERROR(ROUNDUP((IF(ISNUMBER($C669),$C669,DATEVALUE($C669))-IF(ISNUMBER($B669),$B669,DATEVALUE($B669)))/7,0),""))</f>
        <v/>
      </c>
      <c r="W669" s="352">
        <f>IF($U669="Subscription","",$Q669-$S669)</f>
        <v/>
      </c>
      <c r="X669">
        <f>IF(OR($A669="",$U669="Subscription",$J669="",$I669="",$J669=0,$I669=0,$I669&gt;$J669),"",$J669-$I669)</f>
        <v/>
      </c>
      <c r="Y669">
        <f>IF(OR($A669="",$U669="Subscription",$J669="",$J669=0,$X669=""),"",$X669/$J669)</f>
        <v/>
      </c>
    </row>
    <row r="670">
      <c r="B670" s="354" t="n"/>
      <c r="C670" s="354" t="n"/>
      <c r="E670" s="350" t="n"/>
      <c r="F670" s="350" t="n"/>
      <c r="G670" s="350" t="n"/>
      <c r="H670" s="350" t="n"/>
      <c r="I670" s="350" t="n"/>
      <c r="J670" s="352" t="n"/>
      <c r="M670" s="350" t="n"/>
      <c r="N670" s="350">
        <f>IF($A670="","",IF(OR(LOWER($D670&amp;"")="n/a",ISNUMBER(SEARCH("subscription",LOWER($A670&amp;" "&amp;$M670&amp;""))),ISNUMBER(SEARCH("membership",LOWER($A670&amp;" "&amp;$M670&amp;"")))),"",IF($G670="","",IF(ISNUMBER(SEARCH("non",LOWER($E670&amp;""))),$G670*0.85,$G670))))</f>
        <v/>
      </c>
      <c r="O670">
        <f>IF($A670="","",IF(OR(LOWER($D670&amp;"")="n/a",ISNUMBER(SEARCH("subscription",LOWER($A670&amp;" "&amp;$M670&amp;""))),ISNUMBER(SEARCH("membership",LOWER($A670&amp;" "&amp;$M670&amp;"")))),"",IF(OR($N670="",$I670="",$I670=0),"",$N670/$I670)))</f>
        <v/>
      </c>
      <c r="P670">
        <f>IF($A670="","",IF(OR(LOWER($D670&amp;"")="n/a",ISNUMBER(SEARCH("subscription",LOWER($A670&amp;" "&amp;$M670&amp;""))),ISNUMBER(SEARCH("membership",LOWER($A670&amp;" "&amp;$M670&amp;"")))),"",IF(LOWER($L670&amp;"")="yes",0,IF($K670&lt;&gt;"",$K670,IF($O670&lt;&gt;"",$O670,"")))))</f>
        <v/>
      </c>
      <c r="Q670">
        <f>IF($A670="","",IF($U670="Subscription","",IF($U670="Profit",$P670-$H670,0)))</f>
        <v/>
      </c>
      <c r="R670">
        <f>IF($A670="","",IF($U670="Subscription","",IF($U670="Draw",$H670,0)))</f>
        <v/>
      </c>
      <c r="S670">
        <f>IF($A670="","",IF($U670="Subscription","",IF($U670="Disqualified",$H670,0)))</f>
        <v/>
      </c>
      <c r="T670">
        <f>IF($A670="","",IF($U670="Subscription","",IF($H670=0,IF($U670="Profit","N/A",0),IF($U670="Profit",$Q670/$H670,IF($U670="Disqualified",-1,0)))))</f>
        <v/>
      </c>
      <c r="U670" s="350">
        <f>IF($A670="","",IF(OR(LOWER($D670&amp;"")="n/a",ISNUMBER(SEARCH("subscription",LOWER($A670&amp;" "&amp;$M670&amp;""))),ISNUMBER(SEARCH("membership",LOWER($A670&amp;" "&amp;$M670&amp;"")))),"Subscription",IF(LOWER($L670&amp;"")="yes","Disqualified",IF($P670&gt;$H670,"Profit","Draw"))))</f>
        <v/>
      </c>
      <c r="V670">
        <f>IF(OR($A670="",$B670="",$C670="",$U670="Subscription"),"",IFERROR(ROUNDUP((IF(ISNUMBER($C670),$C670,DATEVALUE($C670))-IF(ISNUMBER($B670),$B670,DATEVALUE($B670)))/7,0),""))</f>
        <v/>
      </c>
      <c r="W670" s="352">
        <f>IF($U670="Subscription","",$Q670-$S670)</f>
        <v/>
      </c>
      <c r="X670">
        <f>IF(OR($A670="",$U670="Subscription",$J670="",$I670="",$J670=0,$I670=0,$I670&gt;$J670),"",$J670-$I670)</f>
        <v/>
      </c>
      <c r="Y670">
        <f>IF(OR($A670="",$U670="Subscription",$J670="",$J670=0,$X670=""),"",$X670/$J670)</f>
        <v/>
      </c>
    </row>
    <row r="671">
      <c r="B671" s="354" t="n"/>
      <c r="C671" s="354" t="n"/>
      <c r="E671" s="350" t="n"/>
      <c r="F671" s="350" t="n"/>
      <c r="G671" s="350" t="n"/>
      <c r="H671" s="350" t="n"/>
      <c r="I671" s="350" t="n"/>
      <c r="J671" s="352" t="n"/>
      <c r="M671" s="350" t="n"/>
      <c r="N671" s="350">
        <f>IF($A671="","",IF(OR(LOWER($D671&amp;"")="n/a",ISNUMBER(SEARCH("subscription",LOWER($A671&amp;" "&amp;$M671&amp;""))),ISNUMBER(SEARCH("membership",LOWER($A671&amp;" "&amp;$M671&amp;"")))),"",IF($G671="","",IF(ISNUMBER(SEARCH("non",LOWER($E671&amp;""))),$G671*0.85,$G671))))</f>
        <v/>
      </c>
      <c r="O671">
        <f>IF($A671="","",IF(OR(LOWER($D671&amp;"")="n/a",ISNUMBER(SEARCH("subscription",LOWER($A671&amp;" "&amp;$M671&amp;""))),ISNUMBER(SEARCH("membership",LOWER($A671&amp;" "&amp;$M671&amp;"")))),"",IF(OR($N671="",$I671="",$I671=0),"",$N671/$I671)))</f>
        <v/>
      </c>
      <c r="P671">
        <f>IF($A671="","",IF(OR(LOWER($D671&amp;"")="n/a",ISNUMBER(SEARCH("subscription",LOWER($A671&amp;" "&amp;$M671&amp;""))),ISNUMBER(SEARCH("membership",LOWER($A671&amp;" "&amp;$M671&amp;"")))),"",IF(LOWER($L671&amp;"")="yes",0,IF($K671&lt;&gt;"",$K671,IF($O671&lt;&gt;"",$O671,"")))))</f>
        <v/>
      </c>
      <c r="Q671">
        <f>IF($A671="","",IF($U671="Subscription","",IF($U671="Profit",$P671-$H671,0)))</f>
        <v/>
      </c>
      <c r="R671">
        <f>IF($A671="","",IF($U671="Subscription","",IF($U671="Draw",$H671,0)))</f>
        <v/>
      </c>
      <c r="S671">
        <f>IF($A671="","",IF($U671="Subscription","",IF($U671="Disqualified",$H671,0)))</f>
        <v/>
      </c>
      <c r="T671">
        <f>IF($A671="","",IF($U671="Subscription","",IF($H671=0,IF($U671="Profit","N/A",0),IF($U671="Profit",$Q671/$H671,IF($U671="Disqualified",-1,0)))))</f>
        <v/>
      </c>
      <c r="U671" s="350">
        <f>IF($A671="","",IF(OR(LOWER($D671&amp;"")="n/a",ISNUMBER(SEARCH("subscription",LOWER($A671&amp;" "&amp;$M671&amp;""))),ISNUMBER(SEARCH("membership",LOWER($A671&amp;" "&amp;$M671&amp;"")))),"Subscription",IF(LOWER($L671&amp;"")="yes","Disqualified",IF($P671&gt;$H671,"Profit","Draw"))))</f>
        <v/>
      </c>
      <c r="V671">
        <f>IF(OR($A671="",$B671="",$C671="",$U671="Subscription"),"",IFERROR(ROUNDUP((IF(ISNUMBER($C671),$C671,DATEVALUE($C671))-IF(ISNUMBER($B671),$B671,DATEVALUE($B671)))/7,0),""))</f>
        <v/>
      </c>
      <c r="W671" s="352">
        <f>IF($U671="Subscription","",$Q671-$S671)</f>
        <v/>
      </c>
      <c r="X671">
        <f>IF(OR($A671="",$U671="Subscription",$J671="",$I671="",$J671=0,$I671=0,$I671&gt;$J671),"",$J671-$I671)</f>
        <v/>
      </c>
      <c r="Y671">
        <f>IF(OR($A671="",$U671="Subscription",$J671="",$J671=0,$X671=""),"",$X671/$J671)</f>
        <v/>
      </c>
    </row>
    <row r="672">
      <c r="B672" s="354" t="n"/>
      <c r="C672" s="354" t="n"/>
      <c r="E672" s="350" t="n"/>
      <c r="F672" s="350" t="n"/>
      <c r="G672" s="350" t="n"/>
      <c r="H672" s="350" t="n"/>
      <c r="I672" s="350" t="n"/>
      <c r="J672" s="352" t="n"/>
      <c r="M672" s="350" t="n"/>
      <c r="N672" s="350">
        <f>IF($A672="","",IF(OR(LOWER($D672&amp;"")="n/a",ISNUMBER(SEARCH("subscription",LOWER($A672&amp;" "&amp;$M672&amp;""))),ISNUMBER(SEARCH("membership",LOWER($A672&amp;" "&amp;$M672&amp;"")))),"",IF($G672="","",IF(ISNUMBER(SEARCH("non",LOWER($E672&amp;""))),$G672*0.85,$G672))))</f>
        <v/>
      </c>
      <c r="O672">
        <f>IF($A672="","",IF(OR(LOWER($D672&amp;"")="n/a",ISNUMBER(SEARCH("subscription",LOWER($A672&amp;" "&amp;$M672&amp;""))),ISNUMBER(SEARCH("membership",LOWER($A672&amp;" "&amp;$M672&amp;"")))),"",IF(OR($N672="",$I672="",$I672=0),"",$N672/$I672)))</f>
        <v/>
      </c>
      <c r="P672">
        <f>IF($A672="","",IF(OR(LOWER($D672&amp;"")="n/a",ISNUMBER(SEARCH("subscription",LOWER($A672&amp;" "&amp;$M672&amp;""))),ISNUMBER(SEARCH("membership",LOWER($A672&amp;" "&amp;$M672&amp;"")))),"",IF(LOWER($L672&amp;"")="yes",0,IF($K672&lt;&gt;"",$K672,IF($O672&lt;&gt;"",$O672,"")))))</f>
        <v/>
      </c>
      <c r="Q672">
        <f>IF($A672="","",IF($U672="Subscription","",IF($U672="Profit",$P672-$H672,0)))</f>
        <v/>
      </c>
      <c r="R672">
        <f>IF($A672="","",IF($U672="Subscription","",IF($U672="Draw",$H672,0)))</f>
        <v/>
      </c>
      <c r="S672">
        <f>IF($A672="","",IF($U672="Subscription","",IF($U672="Disqualified",$H672,0)))</f>
        <v/>
      </c>
      <c r="T672">
        <f>IF($A672="","",IF($U672="Subscription","",IF($H672=0,IF($U672="Profit","N/A",0),IF($U672="Profit",$Q672/$H672,IF($U672="Disqualified",-1,0)))))</f>
        <v/>
      </c>
      <c r="U672" s="350">
        <f>IF($A672="","",IF(OR(LOWER($D672&amp;"")="n/a",ISNUMBER(SEARCH("subscription",LOWER($A672&amp;" "&amp;$M672&amp;""))),ISNUMBER(SEARCH("membership",LOWER($A672&amp;" "&amp;$M672&amp;"")))),"Subscription",IF(LOWER($L672&amp;"")="yes","Disqualified",IF($P672&gt;$H672,"Profit","Draw"))))</f>
        <v/>
      </c>
      <c r="V672">
        <f>IF(OR($A672="",$B672="",$C672="",$U672="Subscription"),"",IFERROR(ROUNDUP((IF(ISNUMBER($C672),$C672,DATEVALUE($C672))-IF(ISNUMBER($B672),$B672,DATEVALUE($B672)))/7,0),""))</f>
        <v/>
      </c>
      <c r="W672" s="352">
        <f>IF($U672="Subscription","",$Q672-$S672)</f>
        <v/>
      </c>
      <c r="X672">
        <f>IF(OR($A672="",$U672="Subscription",$J672="",$I672="",$J672=0,$I672=0,$I672&gt;$J672),"",$J672-$I672)</f>
        <v/>
      </c>
      <c r="Y672">
        <f>IF(OR($A672="",$U672="Subscription",$J672="",$J672=0,$X672=""),"",$X672/$J672)</f>
        <v/>
      </c>
    </row>
    <row r="673">
      <c r="B673" s="354" t="n"/>
      <c r="C673" s="354" t="n"/>
      <c r="E673" s="350" t="n"/>
      <c r="F673" s="350" t="n"/>
      <c r="G673" s="350" t="n"/>
      <c r="H673" s="350" t="n"/>
      <c r="I673" s="350" t="n"/>
      <c r="J673" s="352" t="n"/>
      <c r="M673" s="350" t="n"/>
      <c r="N673" s="350">
        <f>IF($A673="","",IF(OR(LOWER($D673&amp;"")="n/a",ISNUMBER(SEARCH("subscription",LOWER($A673&amp;" "&amp;$M673&amp;""))),ISNUMBER(SEARCH("membership",LOWER($A673&amp;" "&amp;$M673&amp;"")))),"",IF($G673="","",IF(ISNUMBER(SEARCH("non",LOWER($E673&amp;""))),$G673*0.85,$G673))))</f>
        <v/>
      </c>
      <c r="O673">
        <f>IF($A673="","",IF(OR(LOWER($D673&amp;"")="n/a",ISNUMBER(SEARCH("subscription",LOWER($A673&amp;" "&amp;$M673&amp;""))),ISNUMBER(SEARCH("membership",LOWER($A673&amp;" "&amp;$M673&amp;"")))),"",IF(OR($N673="",$I673="",$I673=0),"",$N673/$I673)))</f>
        <v/>
      </c>
      <c r="P673">
        <f>IF($A673="","",IF(OR(LOWER($D673&amp;"")="n/a",ISNUMBER(SEARCH("subscription",LOWER($A673&amp;" "&amp;$M673&amp;""))),ISNUMBER(SEARCH("membership",LOWER($A673&amp;" "&amp;$M673&amp;"")))),"",IF(LOWER($L673&amp;"")="yes",0,IF($K673&lt;&gt;"",$K673,IF($O673&lt;&gt;"",$O673,"")))))</f>
        <v/>
      </c>
      <c r="Q673">
        <f>IF($A673="","",IF($U673="Subscription","",IF($U673="Profit",$P673-$H673,0)))</f>
        <v/>
      </c>
      <c r="R673">
        <f>IF($A673="","",IF($U673="Subscription","",IF($U673="Draw",$H673,0)))</f>
        <v/>
      </c>
      <c r="S673">
        <f>IF($A673="","",IF($U673="Subscription","",IF($U673="Disqualified",$H673,0)))</f>
        <v/>
      </c>
      <c r="T673">
        <f>IF($A673="","",IF($U673="Subscription","",IF($H673=0,IF($U673="Profit","N/A",0),IF($U673="Profit",$Q673/$H673,IF($U673="Disqualified",-1,0)))))</f>
        <v/>
      </c>
      <c r="U673" s="350">
        <f>IF($A673="","",IF(OR(LOWER($D673&amp;"")="n/a",ISNUMBER(SEARCH("subscription",LOWER($A673&amp;" "&amp;$M673&amp;""))),ISNUMBER(SEARCH("membership",LOWER($A673&amp;" "&amp;$M673&amp;"")))),"Subscription",IF(LOWER($L673&amp;"")="yes","Disqualified",IF($P673&gt;$H673,"Profit","Draw"))))</f>
        <v/>
      </c>
      <c r="V673">
        <f>IF(OR($A673="",$B673="",$C673="",$U673="Subscription"),"",IFERROR(ROUNDUP((IF(ISNUMBER($C673),$C673,DATEVALUE($C673))-IF(ISNUMBER($B673),$B673,DATEVALUE($B673)))/7,0),""))</f>
        <v/>
      </c>
      <c r="W673" s="352">
        <f>IF($U673="Subscription","",$Q673-$S673)</f>
        <v/>
      </c>
      <c r="X673">
        <f>IF(OR($A673="",$U673="Subscription",$J673="",$I673="",$J673=0,$I673=0,$I673&gt;$J673),"",$J673-$I673)</f>
        <v/>
      </c>
      <c r="Y673">
        <f>IF(OR($A673="",$U673="Subscription",$J673="",$J673=0,$X673=""),"",$X673/$J673)</f>
        <v/>
      </c>
    </row>
    <row r="674">
      <c r="B674" s="354" t="n"/>
      <c r="C674" s="354" t="n"/>
      <c r="E674" s="350" t="n"/>
      <c r="F674" s="350" t="n"/>
      <c r="G674" s="350" t="n"/>
      <c r="H674" s="350" t="n"/>
      <c r="I674" s="350" t="n"/>
      <c r="J674" s="352" t="n"/>
      <c r="M674" s="350" t="n"/>
      <c r="N674" s="350">
        <f>IF($A674="","",IF(OR(LOWER($D674&amp;"")="n/a",ISNUMBER(SEARCH("subscription",LOWER($A674&amp;" "&amp;$M674&amp;""))),ISNUMBER(SEARCH("membership",LOWER($A674&amp;" "&amp;$M674&amp;"")))),"",IF($G674="","",IF(ISNUMBER(SEARCH("non",LOWER($E674&amp;""))),$G674*0.85,$G674))))</f>
        <v/>
      </c>
      <c r="O674">
        <f>IF($A674="","",IF(OR(LOWER($D674&amp;"")="n/a",ISNUMBER(SEARCH("subscription",LOWER($A674&amp;" "&amp;$M674&amp;""))),ISNUMBER(SEARCH("membership",LOWER($A674&amp;" "&amp;$M674&amp;"")))),"",IF(OR($N674="",$I674="",$I674=0),"",$N674/$I674)))</f>
        <v/>
      </c>
      <c r="P674">
        <f>IF($A674="","",IF(OR(LOWER($D674&amp;"")="n/a",ISNUMBER(SEARCH("subscription",LOWER($A674&amp;" "&amp;$M674&amp;""))),ISNUMBER(SEARCH("membership",LOWER($A674&amp;" "&amp;$M674&amp;"")))),"",IF(LOWER($L674&amp;"")="yes",0,IF($K674&lt;&gt;"",$K674,IF($O674&lt;&gt;"",$O674,"")))))</f>
        <v/>
      </c>
      <c r="Q674">
        <f>IF($A674="","",IF($U674="Subscription","",IF($U674="Profit",$P674-$H674,0)))</f>
        <v/>
      </c>
      <c r="R674">
        <f>IF($A674="","",IF($U674="Subscription","",IF($U674="Draw",$H674,0)))</f>
        <v/>
      </c>
      <c r="S674">
        <f>IF($A674="","",IF($U674="Subscription","",IF($U674="Disqualified",$H674,0)))</f>
        <v/>
      </c>
      <c r="T674">
        <f>IF($A674="","",IF($U674="Subscription","",IF($H674=0,IF($U674="Profit","N/A",0),IF($U674="Profit",$Q674/$H674,IF($U674="Disqualified",-1,0)))))</f>
        <v/>
      </c>
      <c r="U674" s="350">
        <f>IF($A674="","",IF(OR(LOWER($D674&amp;"")="n/a",ISNUMBER(SEARCH("subscription",LOWER($A674&amp;" "&amp;$M674&amp;""))),ISNUMBER(SEARCH("membership",LOWER($A674&amp;" "&amp;$M674&amp;"")))),"Subscription",IF(LOWER($L674&amp;"")="yes","Disqualified",IF($P674&gt;$H674,"Profit","Draw"))))</f>
        <v/>
      </c>
      <c r="V674">
        <f>IF(OR($A674="",$B674="",$C674="",$U674="Subscription"),"",IFERROR(ROUNDUP((IF(ISNUMBER($C674),$C674,DATEVALUE($C674))-IF(ISNUMBER($B674),$B674,DATEVALUE($B674)))/7,0),""))</f>
        <v/>
      </c>
      <c r="W674" s="352">
        <f>IF($U674="Subscription","",$Q674-$S674)</f>
        <v/>
      </c>
      <c r="X674">
        <f>IF(OR($A674="",$U674="Subscription",$J674="",$I674="",$J674=0,$I674=0,$I674&gt;$J674),"",$J674-$I674)</f>
        <v/>
      </c>
      <c r="Y674">
        <f>IF(OR($A674="",$U674="Subscription",$J674="",$J674=0,$X674=""),"",$X674/$J674)</f>
        <v/>
      </c>
    </row>
    <row r="675">
      <c r="B675" s="354" t="n"/>
      <c r="C675" s="354" t="n"/>
      <c r="E675" s="350" t="n"/>
      <c r="F675" s="350" t="n"/>
      <c r="G675" s="350" t="n"/>
      <c r="H675" s="350" t="n"/>
      <c r="I675" s="350" t="n"/>
      <c r="J675" s="352" t="n"/>
      <c r="M675" s="350" t="n"/>
      <c r="N675" s="350">
        <f>IF($A675="","",IF(OR(LOWER($D675&amp;"")="n/a",ISNUMBER(SEARCH("subscription",LOWER($A675&amp;" "&amp;$M675&amp;""))),ISNUMBER(SEARCH("membership",LOWER($A675&amp;" "&amp;$M675&amp;"")))),"",IF($G675="","",IF(ISNUMBER(SEARCH("non",LOWER($E675&amp;""))),$G675*0.85,$G675))))</f>
        <v/>
      </c>
      <c r="O675">
        <f>IF($A675="","",IF(OR(LOWER($D675&amp;"")="n/a",ISNUMBER(SEARCH("subscription",LOWER($A675&amp;" "&amp;$M675&amp;""))),ISNUMBER(SEARCH("membership",LOWER($A675&amp;" "&amp;$M675&amp;"")))),"",IF(OR($N675="",$I675="",$I675=0),"",$N675/$I675)))</f>
        <v/>
      </c>
      <c r="P675">
        <f>IF($A675="","",IF(OR(LOWER($D675&amp;"")="n/a",ISNUMBER(SEARCH("subscription",LOWER($A675&amp;" "&amp;$M675&amp;""))),ISNUMBER(SEARCH("membership",LOWER($A675&amp;" "&amp;$M675&amp;"")))),"",IF(LOWER($L675&amp;"")="yes",0,IF($K675&lt;&gt;"",$K675,IF($O675&lt;&gt;"",$O675,"")))))</f>
        <v/>
      </c>
      <c r="Q675">
        <f>IF($A675="","",IF($U675="Subscription","",IF($U675="Profit",$P675-$H675,0)))</f>
        <v/>
      </c>
      <c r="R675">
        <f>IF($A675="","",IF($U675="Subscription","",IF($U675="Draw",$H675,0)))</f>
        <v/>
      </c>
      <c r="S675">
        <f>IF($A675="","",IF($U675="Subscription","",IF($U675="Disqualified",$H675,0)))</f>
        <v/>
      </c>
      <c r="T675">
        <f>IF($A675="","",IF($U675="Subscription","",IF($H675=0,IF($U675="Profit","N/A",0),IF($U675="Profit",$Q675/$H675,IF($U675="Disqualified",-1,0)))))</f>
        <v/>
      </c>
      <c r="U675" s="350">
        <f>IF($A675="","",IF(OR(LOWER($D675&amp;"")="n/a",ISNUMBER(SEARCH("subscription",LOWER($A675&amp;" "&amp;$M675&amp;""))),ISNUMBER(SEARCH("membership",LOWER($A675&amp;" "&amp;$M675&amp;"")))),"Subscription",IF(LOWER($L675&amp;"")="yes","Disqualified",IF($P675&gt;$H675,"Profit","Draw"))))</f>
        <v/>
      </c>
      <c r="V675">
        <f>IF(OR($A675="",$B675="",$C675="",$U675="Subscription"),"",IFERROR(ROUNDUP((IF(ISNUMBER($C675),$C675,DATEVALUE($C675))-IF(ISNUMBER($B675),$B675,DATEVALUE($B675)))/7,0),""))</f>
        <v/>
      </c>
      <c r="W675" s="352">
        <f>IF($U675="Subscription","",$Q675-$S675)</f>
        <v/>
      </c>
      <c r="X675">
        <f>IF(OR($A675="",$U675="Subscription",$J675="",$I675="",$J675=0,$I675=0,$I675&gt;$J675),"",$J675-$I675)</f>
        <v/>
      </c>
      <c r="Y675">
        <f>IF(OR($A675="",$U675="Subscription",$J675="",$J675=0,$X675=""),"",$X675/$J675)</f>
        <v/>
      </c>
    </row>
    <row r="676">
      <c r="B676" s="354" t="n"/>
      <c r="C676" s="354" t="n"/>
      <c r="E676" s="350" t="n"/>
      <c r="F676" s="350" t="n"/>
      <c r="G676" s="350" t="n"/>
      <c r="H676" s="350" t="n"/>
      <c r="I676" s="350" t="n"/>
      <c r="J676" s="352" t="n"/>
      <c r="M676" s="350" t="n"/>
      <c r="N676" s="350">
        <f>IF($A676="","",IF(OR(LOWER($D676&amp;"")="n/a",ISNUMBER(SEARCH("subscription",LOWER($A676&amp;" "&amp;$M676&amp;""))),ISNUMBER(SEARCH("membership",LOWER($A676&amp;" "&amp;$M676&amp;"")))),"",IF($G676="","",IF(ISNUMBER(SEARCH("non",LOWER($E676&amp;""))),$G676*0.85,$G676))))</f>
        <v/>
      </c>
      <c r="O676">
        <f>IF($A676="","",IF(OR(LOWER($D676&amp;"")="n/a",ISNUMBER(SEARCH("subscription",LOWER($A676&amp;" "&amp;$M676&amp;""))),ISNUMBER(SEARCH("membership",LOWER($A676&amp;" "&amp;$M676&amp;"")))),"",IF(OR($N676="",$I676="",$I676=0),"",$N676/$I676)))</f>
        <v/>
      </c>
      <c r="P676">
        <f>IF($A676="","",IF(OR(LOWER($D676&amp;"")="n/a",ISNUMBER(SEARCH("subscription",LOWER($A676&amp;" "&amp;$M676&amp;""))),ISNUMBER(SEARCH("membership",LOWER($A676&amp;" "&amp;$M676&amp;"")))),"",IF(LOWER($L676&amp;"")="yes",0,IF($K676&lt;&gt;"",$K676,IF($O676&lt;&gt;"",$O676,"")))))</f>
        <v/>
      </c>
      <c r="Q676">
        <f>IF($A676="","",IF($U676="Subscription","",IF($U676="Profit",$P676-$H676,0)))</f>
        <v/>
      </c>
      <c r="R676">
        <f>IF($A676="","",IF($U676="Subscription","",IF($U676="Draw",$H676,0)))</f>
        <v/>
      </c>
      <c r="S676">
        <f>IF($A676="","",IF($U676="Subscription","",IF($U676="Disqualified",$H676,0)))</f>
        <v/>
      </c>
      <c r="T676">
        <f>IF($A676="","",IF($U676="Subscription","",IF($H676=0,IF($U676="Profit","N/A",0),IF($U676="Profit",$Q676/$H676,IF($U676="Disqualified",-1,0)))))</f>
        <v/>
      </c>
      <c r="U676" s="350">
        <f>IF($A676="","",IF(OR(LOWER($D676&amp;"")="n/a",ISNUMBER(SEARCH("subscription",LOWER($A676&amp;" "&amp;$M676&amp;""))),ISNUMBER(SEARCH("membership",LOWER($A676&amp;" "&amp;$M676&amp;"")))),"Subscription",IF(LOWER($L676&amp;"")="yes","Disqualified",IF($P676&gt;$H676,"Profit","Draw"))))</f>
        <v/>
      </c>
      <c r="V676">
        <f>IF(OR($A676="",$B676="",$C676="",$U676="Subscription"),"",IFERROR(ROUNDUP((IF(ISNUMBER($C676),$C676,DATEVALUE($C676))-IF(ISNUMBER($B676),$B676,DATEVALUE($B676)))/7,0),""))</f>
        <v/>
      </c>
      <c r="W676" s="352">
        <f>IF($U676="Subscription","",$Q676-$S676)</f>
        <v/>
      </c>
      <c r="X676">
        <f>IF(OR($A676="",$U676="Subscription",$J676="",$I676="",$J676=0,$I676=0,$I676&gt;$J676),"",$J676-$I676)</f>
        <v/>
      </c>
      <c r="Y676">
        <f>IF(OR($A676="",$U676="Subscription",$J676="",$J676=0,$X676=""),"",$X676/$J676)</f>
        <v/>
      </c>
    </row>
    <row r="677">
      <c r="B677" s="354" t="n"/>
      <c r="C677" s="354" t="n"/>
      <c r="E677" s="350" t="n"/>
      <c r="F677" s="350" t="n"/>
      <c r="G677" s="350" t="n"/>
      <c r="H677" s="350" t="n"/>
      <c r="I677" s="350" t="n"/>
      <c r="J677" s="352" t="n"/>
      <c r="M677" s="350" t="n"/>
      <c r="N677" s="350">
        <f>IF($A677="","",IF(OR(LOWER($D677&amp;"")="n/a",ISNUMBER(SEARCH("subscription",LOWER($A677&amp;" "&amp;$M677&amp;""))),ISNUMBER(SEARCH("membership",LOWER($A677&amp;" "&amp;$M677&amp;"")))),"",IF($G677="","",IF(ISNUMBER(SEARCH("non",LOWER($E677&amp;""))),$G677*0.85,$G677))))</f>
        <v/>
      </c>
      <c r="O677">
        <f>IF($A677="","",IF(OR(LOWER($D677&amp;"")="n/a",ISNUMBER(SEARCH("subscription",LOWER($A677&amp;" "&amp;$M677&amp;""))),ISNUMBER(SEARCH("membership",LOWER($A677&amp;" "&amp;$M677&amp;"")))),"",IF(OR($N677="",$I677="",$I677=0),"",$N677/$I677)))</f>
        <v/>
      </c>
      <c r="P677">
        <f>IF($A677="","",IF(OR(LOWER($D677&amp;"")="n/a",ISNUMBER(SEARCH("subscription",LOWER($A677&amp;" "&amp;$M677&amp;""))),ISNUMBER(SEARCH("membership",LOWER($A677&amp;" "&amp;$M677&amp;"")))),"",IF(LOWER($L677&amp;"")="yes",0,IF($K677&lt;&gt;"",$K677,IF($O677&lt;&gt;"",$O677,"")))))</f>
        <v/>
      </c>
      <c r="Q677">
        <f>IF($A677="","",IF($U677="Subscription","",IF($U677="Profit",$P677-$H677,0)))</f>
        <v/>
      </c>
      <c r="R677">
        <f>IF($A677="","",IF($U677="Subscription","",IF($U677="Draw",$H677,0)))</f>
        <v/>
      </c>
      <c r="S677">
        <f>IF($A677="","",IF($U677="Subscription","",IF($U677="Disqualified",$H677,0)))</f>
        <v/>
      </c>
      <c r="T677">
        <f>IF($A677="","",IF($U677="Subscription","",IF($H677=0,IF($U677="Profit","N/A",0),IF($U677="Profit",$Q677/$H677,IF($U677="Disqualified",-1,0)))))</f>
        <v/>
      </c>
      <c r="U677" s="350">
        <f>IF($A677="","",IF(OR(LOWER($D677&amp;"")="n/a",ISNUMBER(SEARCH("subscription",LOWER($A677&amp;" "&amp;$M677&amp;""))),ISNUMBER(SEARCH("membership",LOWER($A677&amp;" "&amp;$M677&amp;"")))),"Subscription",IF(LOWER($L677&amp;"")="yes","Disqualified",IF($P677&gt;$H677,"Profit","Draw"))))</f>
        <v/>
      </c>
      <c r="V677">
        <f>IF(OR($A677="",$B677="",$C677="",$U677="Subscription"),"",IFERROR(ROUNDUP((IF(ISNUMBER($C677),$C677,DATEVALUE($C677))-IF(ISNUMBER($B677),$B677,DATEVALUE($B677)))/7,0),""))</f>
        <v/>
      </c>
      <c r="W677" s="352">
        <f>IF($U677="Subscription","",$Q677-$S677)</f>
        <v/>
      </c>
      <c r="X677">
        <f>IF(OR($A677="",$U677="Subscription",$J677="",$I677="",$J677=0,$I677=0,$I677&gt;$J677),"",$J677-$I677)</f>
        <v/>
      </c>
      <c r="Y677">
        <f>IF(OR($A677="",$U677="Subscription",$J677="",$J677=0,$X677=""),"",$X677/$J677)</f>
        <v/>
      </c>
    </row>
    <row r="678">
      <c r="B678" s="354" t="n"/>
      <c r="C678" s="354" t="n"/>
      <c r="E678" s="350" t="n"/>
      <c r="F678" s="350" t="n"/>
      <c r="G678" s="350" t="n"/>
      <c r="H678" s="350" t="n"/>
      <c r="I678" s="350" t="n"/>
      <c r="J678" s="352" t="n"/>
      <c r="M678" s="350" t="n"/>
      <c r="N678" s="350">
        <f>IF($A678="","",IF(OR(LOWER($D678&amp;"")="n/a",ISNUMBER(SEARCH("subscription",LOWER($A678&amp;" "&amp;$M678&amp;""))),ISNUMBER(SEARCH("membership",LOWER($A678&amp;" "&amp;$M678&amp;"")))),"",IF($G678="","",IF(ISNUMBER(SEARCH("non",LOWER($E678&amp;""))),$G678*0.85,$G678))))</f>
        <v/>
      </c>
      <c r="O678">
        <f>IF($A678="","",IF(OR(LOWER($D678&amp;"")="n/a",ISNUMBER(SEARCH("subscription",LOWER($A678&amp;" "&amp;$M678&amp;""))),ISNUMBER(SEARCH("membership",LOWER($A678&amp;" "&amp;$M678&amp;"")))),"",IF(OR($N678="",$I678="",$I678=0),"",$N678/$I678)))</f>
        <v/>
      </c>
      <c r="P678">
        <f>IF($A678="","",IF(OR(LOWER($D678&amp;"")="n/a",ISNUMBER(SEARCH("subscription",LOWER($A678&amp;" "&amp;$M678&amp;""))),ISNUMBER(SEARCH("membership",LOWER($A678&amp;" "&amp;$M678&amp;"")))),"",IF(LOWER($L678&amp;"")="yes",0,IF($K678&lt;&gt;"",$K678,IF($O678&lt;&gt;"",$O678,"")))))</f>
        <v/>
      </c>
      <c r="Q678">
        <f>IF($A678="","",IF($U678="Subscription","",IF($U678="Profit",$P678-$H678,0)))</f>
        <v/>
      </c>
      <c r="R678">
        <f>IF($A678="","",IF($U678="Subscription","",IF($U678="Draw",$H678,0)))</f>
        <v/>
      </c>
      <c r="S678">
        <f>IF($A678="","",IF($U678="Subscription","",IF($U678="Disqualified",$H678,0)))</f>
        <v/>
      </c>
      <c r="T678">
        <f>IF($A678="","",IF($U678="Subscription","",IF($H678=0,IF($U678="Profit","N/A",0),IF($U678="Profit",$Q678/$H678,IF($U678="Disqualified",-1,0)))))</f>
        <v/>
      </c>
      <c r="U678" s="350">
        <f>IF($A678="","",IF(OR(LOWER($D678&amp;"")="n/a",ISNUMBER(SEARCH("subscription",LOWER($A678&amp;" "&amp;$M678&amp;""))),ISNUMBER(SEARCH("membership",LOWER($A678&amp;" "&amp;$M678&amp;"")))),"Subscription",IF(LOWER($L678&amp;"")="yes","Disqualified",IF($P678&gt;$H678,"Profit","Draw"))))</f>
        <v/>
      </c>
      <c r="V678">
        <f>IF(OR($A678="",$B678="",$C678="",$U678="Subscription"),"",IFERROR(ROUNDUP((IF(ISNUMBER($C678),$C678,DATEVALUE($C678))-IF(ISNUMBER($B678),$B678,DATEVALUE($B678)))/7,0),""))</f>
        <v/>
      </c>
      <c r="W678" s="352">
        <f>IF($U678="Subscription","",$Q678-$S678)</f>
        <v/>
      </c>
      <c r="X678">
        <f>IF(OR($A678="",$U678="Subscription",$J678="",$I678="",$J678=0,$I678=0,$I678&gt;$J678),"",$J678-$I678)</f>
        <v/>
      </c>
      <c r="Y678">
        <f>IF(OR($A678="",$U678="Subscription",$J678="",$J678=0,$X678=""),"",$X678/$J678)</f>
        <v/>
      </c>
    </row>
    <row r="679">
      <c r="B679" s="354" t="n"/>
      <c r="C679" s="354" t="n"/>
      <c r="E679" s="350" t="n"/>
      <c r="F679" s="350" t="n"/>
      <c r="G679" s="350" t="n"/>
      <c r="H679" s="350" t="n"/>
      <c r="I679" s="350" t="n"/>
      <c r="J679" s="352" t="n"/>
      <c r="M679" s="350" t="n"/>
      <c r="N679" s="350">
        <f>IF($A679="","",IF(OR(LOWER($D679&amp;"")="n/a",ISNUMBER(SEARCH("subscription",LOWER($A679&amp;" "&amp;$M679&amp;""))),ISNUMBER(SEARCH("membership",LOWER($A679&amp;" "&amp;$M679&amp;"")))),"",IF($G679="","",IF(ISNUMBER(SEARCH("non",LOWER($E679&amp;""))),$G679*0.85,$G679))))</f>
        <v/>
      </c>
      <c r="O679">
        <f>IF($A679="","",IF(OR(LOWER($D679&amp;"")="n/a",ISNUMBER(SEARCH("subscription",LOWER($A679&amp;" "&amp;$M679&amp;""))),ISNUMBER(SEARCH("membership",LOWER($A679&amp;" "&amp;$M679&amp;"")))),"",IF(OR($N679="",$I679="",$I679=0),"",$N679/$I679)))</f>
        <v/>
      </c>
      <c r="P679">
        <f>IF($A679="","",IF(OR(LOWER($D679&amp;"")="n/a",ISNUMBER(SEARCH("subscription",LOWER($A679&amp;" "&amp;$M679&amp;""))),ISNUMBER(SEARCH("membership",LOWER($A679&amp;" "&amp;$M679&amp;"")))),"",IF(LOWER($L679&amp;"")="yes",0,IF($K679&lt;&gt;"",$K679,IF($O679&lt;&gt;"",$O679,"")))))</f>
        <v/>
      </c>
      <c r="Q679">
        <f>IF($A679="","",IF($U679="Subscription","",IF($U679="Profit",$P679-$H679,0)))</f>
        <v/>
      </c>
      <c r="R679">
        <f>IF($A679="","",IF($U679="Subscription","",IF($U679="Draw",$H679,0)))</f>
        <v/>
      </c>
      <c r="S679">
        <f>IF($A679="","",IF($U679="Subscription","",IF($U679="Disqualified",$H679,0)))</f>
        <v/>
      </c>
      <c r="T679">
        <f>IF($A679="","",IF($U679="Subscription","",IF($H679=0,IF($U679="Profit","N/A",0),IF($U679="Profit",$Q679/$H679,IF($U679="Disqualified",-1,0)))))</f>
        <v/>
      </c>
      <c r="U679" s="350">
        <f>IF($A679="","",IF(OR(LOWER($D679&amp;"")="n/a",ISNUMBER(SEARCH("subscription",LOWER($A679&amp;" "&amp;$M679&amp;""))),ISNUMBER(SEARCH("membership",LOWER($A679&amp;" "&amp;$M679&amp;"")))),"Subscription",IF(LOWER($L679&amp;"")="yes","Disqualified",IF($P679&gt;$H679,"Profit","Draw"))))</f>
        <v/>
      </c>
      <c r="V679">
        <f>IF(OR($A679="",$B679="",$C679="",$U679="Subscription"),"",IFERROR(ROUNDUP((IF(ISNUMBER($C679),$C679,DATEVALUE($C679))-IF(ISNUMBER($B679),$B679,DATEVALUE($B679)))/7,0),""))</f>
        <v/>
      </c>
      <c r="W679" s="352">
        <f>IF($U679="Subscription","",$Q679-$S679)</f>
        <v/>
      </c>
      <c r="X679">
        <f>IF(OR($A679="",$U679="Subscription",$J679="",$I679="",$J679=0,$I679=0,$I679&gt;$J679),"",$J679-$I679)</f>
        <v/>
      </c>
      <c r="Y679">
        <f>IF(OR($A679="",$U679="Subscription",$J679="",$J679=0,$X679=""),"",$X679/$J679)</f>
        <v/>
      </c>
    </row>
    <row r="680">
      <c r="B680" s="354" t="n"/>
      <c r="C680" s="354" t="n"/>
      <c r="E680" s="350" t="n"/>
      <c r="F680" s="350" t="n"/>
      <c r="G680" s="350" t="n"/>
      <c r="H680" s="350" t="n"/>
      <c r="I680" s="350" t="n"/>
      <c r="J680" s="352" t="n"/>
      <c r="M680" s="350" t="n"/>
      <c r="N680" s="350">
        <f>IF($A680="","",IF(OR(LOWER($D680&amp;"")="n/a",ISNUMBER(SEARCH("subscription",LOWER($A680&amp;" "&amp;$M680&amp;""))),ISNUMBER(SEARCH("membership",LOWER($A680&amp;" "&amp;$M680&amp;"")))),"",IF($G680="","",IF(ISNUMBER(SEARCH("non",LOWER($E680&amp;""))),$G680*0.85,$G680))))</f>
        <v/>
      </c>
      <c r="O680">
        <f>IF($A680="","",IF(OR(LOWER($D680&amp;"")="n/a",ISNUMBER(SEARCH("subscription",LOWER($A680&amp;" "&amp;$M680&amp;""))),ISNUMBER(SEARCH("membership",LOWER($A680&amp;" "&amp;$M680&amp;"")))),"",IF(OR($N680="",$I680="",$I680=0),"",$N680/$I680)))</f>
        <v/>
      </c>
      <c r="P680">
        <f>IF($A680="","",IF(OR(LOWER($D680&amp;"")="n/a",ISNUMBER(SEARCH("subscription",LOWER($A680&amp;" "&amp;$M680&amp;""))),ISNUMBER(SEARCH("membership",LOWER($A680&amp;" "&amp;$M680&amp;"")))),"",IF(LOWER($L680&amp;"")="yes",0,IF($K680&lt;&gt;"",$K680,IF($O680&lt;&gt;"",$O680,"")))))</f>
        <v/>
      </c>
      <c r="Q680">
        <f>IF($A680="","",IF($U680="Subscription","",IF($U680="Profit",$P680-$H680,0)))</f>
        <v/>
      </c>
      <c r="R680">
        <f>IF($A680="","",IF($U680="Subscription","",IF($U680="Draw",$H680,0)))</f>
        <v/>
      </c>
      <c r="S680">
        <f>IF($A680="","",IF($U680="Subscription","",IF($U680="Disqualified",$H680,0)))</f>
        <v/>
      </c>
      <c r="T680">
        <f>IF($A680="","",IF($U680="Subscription","",IF($H680=0,IF($U680="Profit","N/A",0),IF($U680="Profit",$Q680/$H680,IF($U680="Disqualified",-1,0)))))</f>
        <v/>
      </c>
      <c r="U680" s="350">
        <f>IF($A680="","",IF(OR(LOWER($D680&amp;"")="n/a",ISNUMBER(SEARCH("subscription",LOWER($A680&amp;" "&amp;$M680&amp;""))),ISNUMBER(SEARCH("membership",LOWER($A680&amp;" "&amp;$M680&amp;"")))),"Subscription",IF(LOWER($L680&amp;"")="yes","Disqualified",IF($P680&gt;$H680,"Profit","Draw"))))</f>
        <v/>
      </c>
      <c r="V680">
        <f>IF(OR($A680="",$B680="",$C680="",$U680="Subscription"),"",IFERROR(ROUNDUP((IF(ISNUMBER($C680),$C680,DATEVALUE($C680))-IF(ISNUMBER($B680),$B680,DATEVALUE($B680)))/7,0),""))</f>
        <v/>
      </c>
      <c r="W680" s="352">
        <f>IF($U680="Subscription","",$Q680-$S680)</f>
        <v/>
      </c>
      <c r="X680">
        <f>IF(OR($A680="",$U680="Subscription",$J680="",$I680="",$J680=0,$I680=0,$I680&gt;$J680),"",$J680-$I680)</f>
        <v/>
      </c>
      <c r="Y680">
        <f>IF(OR($A680="",$U680="Subscription",$J680="",$J680=0,$X680=""),"",$X680/$J680)</f>
        <v/>
      </c>
    </row>
    <row r="681">
      <c r="B681" s="354" t="n"/>
      <c r="C681" s="354" t="n"/>
      <c r="E681" s="350" t="n"/>
      <c r="F681" s="350" t="n"/>
      <c r="G681" s="350" t="n"/>
      <c r="H681" s="350" t="n"/>
      <c r="I681" s="350" t="n"/>
      <c r="J681" s="352" t="n"/>
      <c r="M681" s="350" t="n"/>
      <c r="N681" s="350">
        <f>IF($A681="","",IF(OR(LOWER($D681&amp;"")="n/a",ISNUMBER(SEARCH("subscription",LOWER($A681&amp;" "&amp;$M681&amp;""))),ISNUMBER(SEARCH("membership",LOWER($A681&amp;" "&amp;$M681&amp;"")))),"",IF($G681="","",IF(ISNUMBER(SEARCH("non",LOWER($E681&amp;""))),$G681*0.85,$G681))))</f>
        <v/>
      </c>
      <c r="O681">
        <f>IF($A681="","",IF(OR(LOWER($D681&amp;"")="n/a",ISNUMBER(SEARCH("subscription",LOWER($A681&amp;" "&amp;$M681&amp;""))),ISNUMBER(SEARCH("membership",LOWER($A681&amp;" "&amp;$M681&amp;"")))),"",IF(OR($N681="",$I681="",$I681=0),"",$N681/$I681)))</f>
        <v/>
      </c>
      <c r="P681">
        <f>IF($A681="","",IF(OR(LOWER($D681&amp;"")="n/a",ISNUMBER(SEARCH("subscription",LOWER($A681&amp;" "&amp;$M681&amp;""))),ISNUMBER(SEARCH("membership",LOWER($A681&amp;" "&amp;$M681&amp;"")))),"",IF(LOWER($L681&amp;"")="yes",0,IF($K681&lt;&gt;"",$K681,IF($O681&lt;&gt;"",$O681,"")))))</f>
        <v/>
      </c>
      <c r="Q681">
        <f>IF($A681="","",IF($U681="Subscription","",IF($U681="Profit",$P681-$H681,0)))</f>
        <v/>
      </c>
      <c r="R681">
        <f>IF($A681="","",IF($U681="Subscription","",IF($U681="Draw",$H681,0)))</f>
        <v/>
      </c>
      <c r="S681">
        <f>IF($A681="","",IF($U681="Subscription","",IF($U681="Disqualified",$H681,0)))</f>
        <v/>
      </c>
      <c r="T681">
        <f>IF($A681="","",IF($U681="Subscription","",IF($H681=0,IF($U681="Profit","N/A",0),IF($U681="Profit",$Q681/$H681,IF($U681="Disqualified",-1,0)))))</f>
        <v/>
      </c>
      <c r="U681" s="350">
        <f>IF($A681="","",IF(OR(LOWER($D681&amp;"")="n/a",ISNUMBER(SEARCH("subscription",LOWER($A681&amp;" "&amp;$M681&amp;""))),ISNUMBER(SEARCH("membership",LOWER($A681&amp;" "&amp;$M681&amp;"")))),"Subscription",IF(LOWER($L681&amp;"")="yes","Disqualified",IF($P681&gt;$H681,"Profit","Draw"))))</f>
        <v/>
      </c>
      <c r="V681">
        <f>IF(OR($A681="",$B681="",$C681="",$U681="Subscription"),"",IFERROR(ROUNDUP((IF(ISNUMBER($C681),$C681,DATEVALUE($C681))-IF(ISNUMBER($B681),$B681,DATEVALUE($B681)))/7,0),""))</f>
        <v/>
      </c>
      <c r="W681" s="352">
        <f>IF($U681="Subscription","",$Q681-$S681)</f>
        <v/>
      </c>
      <c r="X681">
        <f>IF(OR($A681="",$U681="Subscription",$J681="",$I681="",$J681=0,$I681=0,$I681&gt;$J681),"",$J681-$I681)</f>
        <v/>
      </c>
      <c r="Y681">
        <f>IF(OR($A681="",$U681="Subscription",$J681="",$J681=0,$X681=""),"",$X681/$J681)</f>
        <v/>
      </c>
    </row>
    <row r="682">
      <c r="B682" s="354" t="n"/>
      <c r="C682" s="354" t="n"/>
      <c r="E682" s="350" t="n"/>
      <c r="F682" s="350" t="n"/>
      <c r="G682" s="350" t="n"/>
      <c r="H682" s="350" t="n"/>
      <c r="I682" s="350" t="n"/>
      <c r="J682" s="352" t="n"/>
      <c r="M682" s="350" t="n"/>
      <c r="N682" s="350">
        <f>IF($A682="","",IF(OR(LOWER($D682&amp;"")="n/a",ISNUMBER(SEARCH("subscription",LOWER($A682&amp;" "&amp;$M682&amp;""))),ISNUMBER(SEARCH("membership",LOWER($A682&amp;" "&amp;$M682&amp;"")))),"",IF($G682="","",IF(ISNUMBER(SEARCH("non",LOWER($E682&amp;""))),$G682*0.85,$G682))))</f>
        <v/>
      </c>
      <c r="O682">
        <f>IF($A682="","",IF(OR(LOWER($D682&amp;"")="n/a",ISNUMBER(SEARCH("subscription",LOWER($A682&amp;" "&amp;$M682&amp;""))),ISNUMBER(SEARCH("membership",LOWER($A682&amp;" "&amp;$M682&amp;"")))),"",IF(OR($N682="",$I682="",$I682=0),"",$N682/$I682)))</f>
        <v/>
      </c>
      <c r="P682">
        <f>IF($A682="","",IF(OR(LOWER($D682&amp;"")="n/a",ISNUMBER(SEARCH("subscription",LOWER($A682&amp;" "&amp;$M682&amp;""))),ISNUMBER(SEARCH("membership",LOWER($A682&amp;" "&amp;$M682&amp;"")))),"",IF(LOWER($L682&amp;"")="yes",0,IF($K682&lt;&gt;"",$K682,IF($O682&lt;&gt;"",$O682,"")))))</f>
        <v/>
      </c>
      <c r="Q682">
        <f>IF($A682="","",IF($U682="Subscription","",IF($U682="Profit",$P682-$H682,0)))</f>
        <v/>
      </c>
      <c r="R682">
        <f>IF($A682="","",IF($U682="Subscription","",IF($U682="Draw",$H682,0)))</f>
        <v/>
      </c>
      <c r="S682">
        <f>IF($A682="","",IF($U682="Subscription","",IF($U682="Disqualified",$H682,0)))</f>
        <v/>
      </c>
      <c r="T682">
        <f>IF($A682="","",IF($U682="Subscription","",IF($H682=0,IF($U682="Profit","N/A",0),IF($U682="Profit",$Q682/$H682,IF($U682="Disqualified",-1,0)))))</f>
        <v/>
      </c>
      <c r="U682" s="350">
        <f>IF($A682="","",IF(OR(LOWER($D682&amp;"")="n/a",ISNUMBER(SEARCH("subscription",LOWER($A682&amp;" "&amp;$M682&amp;""))),ISNUMBER(SEARCH("membership",LOWER($A682&amp;" "&amp;$M682&amp;"")))),"Subscription",IF(LOWER($L682&amp;"")="yes","Disqualified",IF($P682&gt;$H682,"Profit","Draw"))))</f>
        <v/>
      </c>
      <c r="V682">
        <f>IF(OR($A682="",$B682="",$C682="",$U682="Subscription"),"",IFERROR(ROUNDUP((IF(ISNUMBER($C682),$C682,DATEVALUE($C682))-IF(ISNUMBER($B682),$B682,DATEVALUE($B682)))/7,0),""))</f>
        <v/>
      </c>
      <c r="W682" s="352">
        <f>IF($U682="Subscription","",$Q682-$S682)</f>
        <v/>
      </c>
      <c r="X682">
        <f>IF(OR($A682="",$U682="Subscription",$J682="",$I682="",$J682=0,$I682=0,$I682&gt;$J682),"",$J682-$I682)</f>
        <v/>
      </c>
      <c r="Y682">
        <f>IF(OR($A682="",$U682="Subscription",$J682="",$J682=0,$X682=""),"",$X682/$J682)</f>
        <v/>
      </c>
    </row>
    <row r="683">
      <c r="B683" s="354" t="n"/>
      <c r="C683" s="354" t="n"/>
      <c r="E683" s="350" t="n"/>
      <c r="F683" s="350" t="n"/>
      <c r="G683" s="350" t="n"/>
      <c r="H683" s="350" t="n"/>
      <c r="I683" s="350" t="n"/>
      <c r="J683" s="352" t="n"/>
      <c r="M683" s="350" t="n"/>
      <c r="N683" s="350">
        <f>IF($A683="","",IF(OR(LOWER($D683&amp;"")="n/a",ISNUMBER(SEARCH("subscription",LOWER($A683&amp;" "&amp;$M683&amp;""))),ISNUMBER(SEARCH("membership",LOWER($A683&amp;" "&amp;$M683&amp;"")))),"",IF($G683="","",IF(ISNUMBER(SEARCH("non",LOWER($E683&amp;""))),$G683*0.85,$G683))))</f>
        <v/>
      </c>
      <c r="O683">
        <f>IF($A683="","",IF(OR(LOWER($D683&amp;"")="n/a",ISNUMBER(SEARCH("subscription",LOWER($A683&amp;" "&amp;$M683&amp;""))),ISNUMBER(SEARCH("membership",LOWER($A683&amp;" "&amp;$M683&amp;"")))),"",IF(OR($N683="",$I683="",$I683=0),"",$N683/$I683)))</f>
        <v/>
      </c>
      <c r="P683">
        <f>IF($A683="","",IF(OR(LOWER($D683&amp;"")="n/a",ISNUMBER(SEARCH("subscription",LOWER($A683&amp;" "&amp;$M683&amp;""))),ISNUMBER(SEARCH("membership",LOWER($A683&amp;" "&amp;$M683&amp;"")))),"",IF(LOWER($L683&amp;"")="yes",0,IF($K683&lt;&gt;"",$K683,IF($O683&lt;&gt;"",$O683,"")))))</f>
        <v/>
      </c>
      <c r="Q683">
        <f>IF($A683="","",IF($U683="Subscription","",IF($U683="Profit",$P683-$H683,0)))</f>
        <v/>
      </c>
      <c r="R683">
        <f>IF($A683="","",IF($U683="Subscription","",IF($U683="Draw",$H683,0)))</f>
        <v/>
      </c>
      <c r="S683">
        <f>IF($A683="","",IF($U683="Subscription","",IF($U683="Disqualified",$H683,0)))</f>
        <v/>
      </c>
      <c r="T683">
        <f>IF($A683="","",IF($U683="Subscription","",IF($H683=0,IF($U683="Profit","N/A",0),IF($U683="Profit",$Q683/$H683,IF($U683="Disqualified",-1,0)))))</f>
        <v/>
      </c>
      <c r="U683" s="350">
        <f>IF($A683="","",IF(OR(LOWER($D683&amp;"")="n/a",ISNUMBER(SEARCH("subscription",LOWER($A683&amp;" "&amp;$M683&amp;""))),ISNUMBER(SEARCH("membership",LOWER($A683&amp;" "&amp;$M683&amp;"")))),"Subscription",IF(LOWER($L683&amp;"")="yes","Disqualified",IF($P683&gt;$H683,"Profit","Draw"))))</f>
        <v/>
      </c>
      <c r="V683">
        <f>IF(OR($A683="",$B683="",$C683="",$U683="Subscription"),"",IFERROR(ROUNDUP((IF(ISNUMBER($C683),$C683,DATEVALUE($C683))-IF(ISNUMBER($B683),$B683,DATEVALUE($B683)))/7,0),""))</f>
        <v/>
      </c>
      <c r="W683" s="352">
        <f>IF($U683="Subscription","",$Q683-$S683)</f>
        <v/>
      </c>
      <c r="X683">
        <f>IF(OR($A683="",$U683="Subscription",$J683="",$I683="",$J683=0,$I683=0,$I683&gt;$J683),"",$J683-$I683)</f>
        <v/>
      </c>
      <c r="Y683">
        <f>IF(OR($A683="",$U683="Subscription",$J683="",$J683=0,$X683=""),"",$X683/$J683)</f>
        <v/>
      </c>
    </row>
    <row r="684">
      <c r="B684" s="354" t="n"/>
      <c r="C684" s="354" t="n"/>
      <c r="E684" s="350" t="n"/>
      <c r="F684" s="350" t="n"/>
      <c r="G684" s="350" t="n"/>
      <c r="H684" s="350" t="n"/>
      <c r="I684" s="350" t="n"/>
      <c r="J684" s="352" t="n"/>
      <c r="M684" s="350" t="n"/>
      <c r="N684" s="350">
        <f>IF($A684="","",IF(OR(LOWER($D684&amp;"")="n/a",ISNUMBER(SEARCH("subscription",LOWER($A684&amp;" "&amp;$M684&amp;""))),ISNUMBER(SEARCH("membership",LOWER($A684&amp;" "&amp;$M684&amp;"")))),"",IF($G684="","",IF(ISNUMBER(SEARCH("non",LOWER($E684&amp;""))),$G684*0.85,$G684))))</f>
        <v/>
      </c>
      <c r="O684">
        <f>IF($A684="","",IF(OR(LOWER($D684&amp;"")="n/a",ISNUMBER(SEARCH("subscription",LOWER($A684&amp;" "&amp;$M684&amp;""))),ISNUMBER(SEARCH("membership",LOWER($A684&amp;" "&amp;$M684&amp;"")))),"",IF(OR($N684="",$I684="",$I684=0),"",$N684/$I684)))</f>
        <v/>
      </c>
      <c r="P684">
        <f>IF($A684="","",IF(OR(LOWER($D684&amp;"")="n/a",ISNUMBER(SEARCH("subscription",LOWER($A684&amp;" "&amp;$M684&amp;""))),ISNUMBER(SEARCH("membership",LOWER($A684&amp;" "&amp;$M684&amp;"")))),"",IF(LOWER($L684&amp;"")="yes",0,IF($K684&lt;&gt;"",$K684,IF($O684&lt;&gt;"",$O684,"")))))</f>
        <v/>
      </c>
      <c r="Q684">
        <f>IF($A684="","",IF($U684="Subscription","",IF($U684="Profit",$P684-$H684,0)))</f>
        <v/>
      </c>
      <c r="R684">
        <f>IF($A684="","",IF($U684="Subscription","",IF($U684="Draw",$H684,0)))</f>
        <v/>
      </c>
      <c r="S684">
        <f>IF($A684="","",IF($U684="Subscription","",IF($U684="Disqualified",$H684,0)))</f>
        <v/>
      </c>
      <c r="T684">
        <f>IF($A684="","",IF($U684="Subscription","",IF($H684=0,IF($U684="Profit","N/A",0),IF($U684="Profit",$Q684/$H684,IF($U684="Disqualified",-1,0)))))</f>
        <v/>
      </c>
      <c r="U684" s="350">
        <f>IF($A684="","",IF(OR(LOWER($D684&amp;"")="n/a",ISNUMBER(SEARCH("subscription",LOWER($A684&amp;" "&amp;$M684&amp;""))),ISNUMBER(SEARCH("membership",LOWER($A684&amp;" "&amp;$M684&amp;"")))),"Subscription",IF(LOWER($L684&amp;"")="yes","Disqualified",IF($P684&gt;$H684,"Profit","Draw"))))</f>
        <v/>
      </c>
      <c r="V684">
        <f>IF(OR($A684="",$B684="",$C684="",$U684="Subscription"),"",IFERROR(ROUNDUP((IF(ISNUMBER($C684),$C684,DATEVALUE($C684))-IF(ISNUMBER($B684),$B684,DATEVALUE($B684)))/7,0),""))</f>
        <v/>
      </c>
      <c r="W684" s="352">
        <f>IF($U684="Subscription","",$Q684-$S684)</f>
        <v/>
      </c>
      <c r="X684">
        <f>IF(OR($A684="",$U684="Subscription",$J684="",$I684="",$J684=0,$I684=0,$I684&gt;$J684),"",$J684-$I684)</f>
        <v/>
      </c>
      <c r="Y684">
        <f>IF(OR($A684="",$U684="Subscription",$J684="",$J684=0,$X684=""),"",$X684/$J684)</f>
        <v/>
      </c>
    </row>
    <row r="685">
      <c r="B685" s="354" t="n"/>
      <c r="C685" s="354" t="n"/>
      <c r="E685" s="350" t="n"/>
      <c r="F685" s="350" t="n"/>
      <c r="G685" s="350" t="n"/>
      <c r="H685" s="350" t="n"/>
      <c r="I685" s="350" t="n"/>
      <c r="J685" s="352" t="n"/>
      <c r="M685" s="350" t="n"/>
      <c r="N685" s="350">
        <f>IF($A685="","",IF(OR(LOWER($D685&amp;"")="n/a",ISNUMBER(SEARCH("subscription",LOWER($A685&amp;" "&amp;$M685&amp;""))),ISNUMBER(SEARCH("membership",LOWER($A685&amp;" "&amp;$M685&amp;"")))),"",IF($G685="","",IF(ISNUMBER(SEARCH("non",LOWER($E685&amp;""))),$G685*0.85,$G685))))</f>
        <v/>
      </c>
      <c r="O685">
        <f>IF($A685="","",IF(OR(LOWER($D685&amp;"")="n/a",ISNUMBER(SEARCH("subscription",LOWER($A685&amp;" "&amp;$M685&amp;""))),ISNUMBER(SEARCH("membership",LOWER($A685&amp;" "&amp;$M685&amp;"")))),"",IF(OR($N685="",$I685="",$I685=0),"",$N685/$I685)))</f>
        <v/>
      </c>
      <c r="P685">
        <f>IF($A685="","",IF(OR(LOWER($D685&amp;"")="n/a",ISNUMBER(SEARCH("subscription",LOWER($A685&amp;" "&amp;$M685&amp;""))),ISNUMBER(SEARCH("membership",LOWER($A685&amp;" "&amp;$M685&amp;"")))),"",IF(LOWER($L685&amp;"")="yes",0,IF($K685&lt;&gt;"",$K685,IF($O685&lt;&gt;"",$O685,"")))))</f>
        <v/>
      </c>
      <c r="Q685">
        <f>IF($A685="","",IF($U685="Subscription","",IF($U685="Profit",$P685-$H685,0)))</f>
        <v/>
      </c>
      <c r="R685">
        <f>IF($A685="","",IF($U685="Subscription","",IF($U685="Draw",$H685,0)))</f>
        <v/>
      </c>
      <c r="S685">
        <f>IF($A685="","",IF($U685="Subscription","",IF($U685="Disqualified",$H685,0)))</f>
        <v/>
      </c>
      <c r="T685">
        <f>IF($A685="","",IF($U685="Subscription","",IF($H685=0,IF($U685="Profit","N/A",0),IF($U685="Profit",$Q685/$H685,IF($U685="Disqualified",-1,0)))))</f>
        <v/>
      </c>
      <c r="U685" s="350">
        <f>IF($A685="","",IF(OR(LOWER($D685&amp;"")="n/a",ISNUMBER(SEARCH("subscription",LOWER($A685&amp;" "&amp;$M685&amp;""))),ISNUMBER(SEARCH("membership",LOWER($A685&amp;" "&amp;$M685&amp;"")))),"Subscription",IF(LOWER($L685&amp;"")="yes","Disqualified",IF($P685&gt;$H685,"Profit","Draw"))))</f>
        <v/>
      </c>
      <c r="V685">
        <f>IF(OR($A685="",$B685="",$C685="",$U685="Subscription"),"",IFERROR(ROUNDUP((IF(ISNUMBER($C685),$C685,DATEVALUE($C685))-IF(ISNUMBER($B685),$B685,DATEVALUE($B685)))/7,0),""))</f>
        <v/>
      </c>
      <c r="W685" s="352">
        <f>IF($U685="Subscription","",$Q685-$S685)</f>
        <v/>
      </c>
      <c r="X685">
        <f>IF(OR($A685="",$U685="Subscription",$J685="",$I685="",$J685=0,$I685=0,$I685&gt;$J685),"",$J685-$I685)</f>
        <v/>
      </c>
      <c r="Y685">
        <f>IF(OR($A685="",$U685="Subscription",$J685="",$J685=0,$X685=""),"",$X685/$J685)</f>
        <v/>
      </c>
    </row>
    <row r="686">
      <c r="B686" s="354" t="n"/>
      <c r="C686" s="354" t="n"/>
      <c r="E686" s="350" t="n"/>
      <c r="F686" s="350" t="n"/>
      <c r="G686" s="350" t="n"/>
      <c r="H686" s="350" t="n"/>
      <c r="I686" s="350" t="n"/>
      <c r="J686" s="352" t="n"/>
      <c r="M686" s="350" t="n"/>
      <c r="N686" s="350">
        <f>IF($A686="","",IF(OR(LOWER($D686&amp;"")="n/a",ISNUMBER(SEARCH("subscription",LOWER($A686&amp;" "&amp;$M686&amp;""))),ISNUMBER(SEARCH("membership",LOWER($A686&amp;" "&amp;$M686&amp;"")))),"",IF($G686="","",IF(ISNUMBER(SEARCH("non",LOWER($E686&amp;""))),$G686*0.85,$G686))))</f>
        <v/>
      </c>
      <c r="O686">
        <f>IF($A686="","",IF(OR(LOWER($D686&amp;"")="n/a",ISNUMBER(SEARCH("subscription",LOWER($A686&amp;" "&amp;$M686&amp;""))),ISNUMBER(SEARCH("membership",LOWER($A686&amp;" "&amp;$M686&amp;"")))),"",IF(OR($N686="",$I686="",$I686=0),"",$N686/$I686)))</f>
        <v/>
      </c>
      <c r="P686">
        <f>IF($A686="","",IF(OR(LOWER($D686&amp;"")="n/a",ISNUMBER(SEARCH("subscription",LOWER($A686&amp;" "&amp;$M686&amp;""))),ISNUMBER(SEARCH("membership",LOWER($A686&amp;" "&amp;$M686&amp;"")))),"",IF(LOWER($L686&amp;"")="yes",0,IF($K686&lt;&gt;"",$K686,IF($O686&lt;&gt;"",$O686,"")))))</f>
        <v/>
      </c>
      <c r="Q686">
        <f>IF($A686="","",IF($U686="Subscription","",IF($U686="Profit",$P686-$H686,0)))</f>
        <v/>
      </c>
      <c r="R686">
        <f>IF($A686="","",IF($U686="Subscription","",IF($U686="Draw",$H686,0)))</f>
        <v/>
      </c>
      <c r="S686">
        <f>IF($A686="","",IF($U686="Subscription","",IF($U686="Disqualified",$H686,0)))</f>
        <v/>
      </c>
      <c r="T686">
        <f>IF($A686="","",IF($U686="Subscription","",IF($H686=0,IF($U686="Profit","N/A",0),IF($U686="Profit",$Q686/$H686,IF($U686="Disqualified",-1,0)))))</f>
        <v/>
      </c>
      <c r="U686" s="350">
        <f>IF($A686="","",IF(OR(LOWER($D686&amp;"")="n/a",ISNUMBER(SEARCH("subscription",LOWER($A686&amp;" "&amp;$M686&amp;""))),ISNUMBER(SEARCH("membership",LOWER($A686&amp;" "&amp;$M686&amp;"")))),"Subscription",IF(LOWER($L686&amp;"")="yes","Disqualified",IF($P686&gt;$H686,"Profit","Draw"))))</f>
        <v/>
      </c>
      <c r="V686">
        <f>IF(OR($A686="",$B686="",$C686="",$U686="Subscription"),"",IFERROR(ROUNDUP((IF(ISNUMBER($C686),$C686,DATEVALUE($C686))-IF(ISNUMBER($B686),$B686,DATEVALUE($B686)))/7,0),""))</f>
        <v/>
      </c>
      <c r="W686" s="352">
        <f>IF($U686="Subscription","",$Q686-$S686)</f>
        <v/>
      </c>
      <c r="X686">
        <f>IF(OR($A686="",$U686="Subscription",$J686="",$I686="",$J686=0,$I686=0,$I686&gt;$J686),"",$J686-$I686)</f>
        <v/>
      </c>
      <c r="Y686">
        <f>IF(OR($A686="",$U686="Subscription",$J686="",$J686=0,$X686=""),"",$X686/$J686)</f>
        <v/>
      </c>
    </row>
    <row r="687">
      <c r="B687" s="354" t="n"/>
      <c r="C687" s="354" t="n"/>
      <c r="E687" s="350" t="n"/>
      <c r="F687" s="350" t="n"/>
      <c r="G687" s="350" t="n"/>
      <c r="H687" s="350" t="n"/>
      <c r="I687" s="350" t="n"/>
      <c r="J687" s="352" t="n"/>
      <c r="M687" s="350" t="n"/>
      <c r="N687" s="350">
        <f>IF($A687="","",IF(OR(LOWER($D687&amp;"")="n/a",ISNUMBER(SEARCH("subscription",LOWER($A687&amp;" "&amp;$M687&amp;""))),ISNUMBER(SEARCH("membership",LOWER($A687&amp;" "&amp;$M687&amp;"")))),"",IF($G687="","",IF(ISNUMBER(SEARCH("non",LOWER($E687&amp;""))),$G687*0.85,$G687))))</f>
        <v/>
      </c>
      <c r="O687">
        <f>IF($A687="","",IF(OR(LOWER($D687&amp;"")="n/a",ISNUMBER(SEARCH("subscription",LOWER($A687&amp;" "&amp;$M687&amp;""))),ISNUMBER(SEARCH("membership",LOWER($A687&amp;" "&amp;$M687&amp;"")))),"",IF(OR($N687="",$I687="",$I687=0),"",$N687/$I687)))</f>
        <v/>
      </c>
      <c r="P687">
        <f>IF($A687="","",IF(OR(LOWER($D687&amp;"")="n/a",ISNUMBER(SEARCH("subscription",LOWER($A687&amp;" "&amp;$M687&amp;""))),ISNUMBER(SEARCH("membership",LOWER($A687&amp;" "&amp;$M687&amp;"")))),"",IF(LOWER($L687&amp;"")="yes",0,IF($K687&lt;&gt;"",$K687,IF($O687&lt;&gt;"",$O687,"")))))</f>
        <v/>
      </c>
      <c r="Q687">
        <f>IF($A687="","",IF($U687="Subscription","",IF($U687="Profit",$P687-$H687,0)))</f>
        <v/>
      </c>
      <c r="R687">
        <f>IF($A687="","",IF($U687="Subscription","",IF($U687="Draw",$H687,0)))</f>
        <v/>
      </c>
      <c r="S687">
        <f>IF($A687="","",IF($U687="Subscription","",IF($U687="Disqualified",$H687,0)))</f>
        <v/>
      </c>
      <c r="T687">
        <f>IF($A687="","",IF($U687="Subscription","",IF($H687=0,IF($U687="Profit","N/A",0),IF($U687="Profit",$Q687/$H687,IF($U687="Disqualified",-1,0)))))</f>
        <v/>
      </c>
      <c r="U687" s="350">
        <f>IF($A687="","",IF(OR(LOWER($D687&amp;"")="n/a",ISNUMBER(SEARCH("subscription",LOWER($A687&amp;" "&amp;$M687&amp;""))),ISNUMBER(SEARCH("membership",LOWER($A687&amp;" "&amp;$M687&amp;"")))),"Subscription",IF(LOWER($L687&amp;"")="yes","Disqualified",IF($P687&gt;$H687,"Profit","Draw"))))</f>
        <v/>
      </c>
      <c r="V687">
        <f>IF(OR($A687="",$B687="",$C687="",$U687="Subscription"),"",IFERROR(ROUNDUP((IF(ISNUMBER($C687),$C687,DATEVALUE($C687))-IF(ISNUMBER($B687),$B687,DATEVALUE($B687)))/7,0),""))</f>
        <v/>
      </c>
      <c r="W687" s="352">
        <f>IF($U687="Subscription","",$Q687-$S687)</f>
        <v/>
      </c>
      <c r="X687">
        <f>IF(OR($A687="",$U687="Subscription",$J687="",$I687="",$J687=0,$I687=0,$I687&gt;$J687),"",$J687-$I687)</f>
        <v/>
      </c>
      <c r="Y687">
        <f>IF(OR($A687="",$U687="Subscription",$J687="",$J687=0,$X687=""),"",$X687/$J687)</f>
        <v/>
      </c>
    </row>
    <row r="688">
      <c r="B688" s="354" t="n"/>
      <c r="C688" s="354" t="n"/>
      <c r="E688" s="350" t="n"/>
      <c r="F688" s="350" t="n"/>
      <c r="G688" s="350" t="n"/>
      <c r="H688" s="350" t="n"/>
      <c r="I688" s="350" t="n"/>
      <c r="J688" s="352" t="n"/>
      <c r="M688" s="350" t="n"/>
      <c r="N688" s="350">
        <f>IF($A688="","",IF(OR(LOWER($D688&amp;"")="n/a",ISNUMBER(SEARCH("subscription",LOWER($A688&amp;" "&amp;$M688&amp;""))),ISNUMBER(SEARCH("membership",LOWER($A688&amp;" "&amp;$M688&amp;"")))),"",IF($G688="","",IF(ISNUMBER(SEARCH("non",LOWER($E688&amp;""))),$G688*0.85,$G688))))</f>
        <v/>
      </c>
      <c r="O688">
        <f>IF($A688="","",IF(OR(LOWER($D688&amp;"")="n/a",ISNUMBER(SEARCH("subscription",LOWER($A688&amp;" "&amp;$M688&amp;""))),ISNUMBER(SEARCH("membership",LOWER($A688&amp;" "&amp;$M688&amp;"")))),"",IF(OR($N688="",$I688="",$I688=0),"",$N688/$I688)))</f>
        <v/>
      </c>
      <c r="P688">
        <f>IF($A688="","",IF(OR(LOWER($D688&amp;"")="n/a",ISNUMBER(SEARCH("subscription",LOWER($A688&amp;" "&amp;$M688&amp;""))),ISNUMBER(SEARCH("membership",LOWER($A688&amp;" "&amp;$M688&amp;"")))),"",IF(LOWER($L688&amp;"")="yes",0,IF($K688&lt;&gt;"",$K688,IF($O688&lt;&gt;"",$O688,"")))))</f>
        <v/>
      </c>
      <c r="Q688">
        <f>IF($A688="","",IF($U688="Subscription","",IF($U688="Profit",$P688-$H688,0)))</f>
        <v/>
      </c>
      <c r="R688">
        <f>IF($A688="","",IF($U688="Subscription","",IF($U688="Draw",$H688,0)))</f>
        <v/>
      </c>
      <c r="S688">
        <f>IF($A688="","",IF($U688="Subscription","",IF($U688="Disqualified",$H688,0)))</f>
        <v/>
      </c>
      <c r="T688">
        <f>IF($A688="","",IF($U688="Subscription","",IF($H688=0,IF($U688="Profit","N/A",0),IF($U688="Profit",$Q688/$H688,IF($U688="Disqualified",-1,0)))))</f>
        <v/>
      </c>
      <c r="U688" s="350">
        <f>IF($A688="","",IF(OR(LOWER($D688&amp;"")="n/a",ISNUMBER(SEARCH("subscription",LOWER($A688&amp;" "&amp;$M688&amp;""))),ISNUMBER(SEARCH("membership",LOWER($A688&amp;" "&amp;$M688&amp;"")))),"Subscription",IF(LOWER($L688&amp;"")="yes","Disqualified",IF($P688&gt;$H688,"Profit","Draw"))))</f>
        <v/>
      </c>
      <c r="V688">
        <f>IF(OR($A688="",$B688="",$C688="",$U688="Subscription"),"",IFERROR(ROUNDUP((IF(ISNUMBER($C688),$C688,DATEVALUE($C688))-IF(ISNUMBER($B688),$B688,DATEVALUE($B688)))/7,0),""))</f>
        <v/>
      </c>
      <c r="W688" s="352">
        <f>IF($U688="Subscription","",$Q688-$S688)</f>
        <v/>
      </c>
      <c r="X688">
        <f>IF(OR($A688="",$U688="Subscription",$J688="",$I688="",$J688=0,$I688=0,$I688&gt;$J688),"",$J688-$I688)</f>
        <v/>
      </c>
      <c r="Y688">
        <f>IF(OR($A688="",$U688="Subscription",$J688="",$J688=0,$X688=""),"",$X688/$J688)</f>
        <v/>
      </c>
    </row>
    <row r="689">
      <c r="B689" s="354" t="n"/>
      <c r="C689" s="354" t="n"/>
      <c r="E689" s="350" t="n"/>
      <c r="F689" s="350" t="n"/>
      <c r="G689" s="350" t="n"/>
      <c r="H689" s="350" t="n"/>
      <c r="I689" s="350" t="n"/>
      <c r="J689" s="352" t="n"/>
      <c r="M689" s="350" t="n"/>
      <c r="N689" s="350">
        <f>IF($A689="","",IF(OR(LOWER($D689&amp;"")="n/a",ISNUMBER(SEARCH("subscription",LOWER($A689&amp;" "&amp;$M689&amp;""))),ISNUMBER(SEARCH("membership",LOWER($A689&amp;" "&amp;$M689&amp;"")))),"",IF($G689="","",IF(ISNUMBER(SEARCH("non",LOWER($E689&amp;""))),$G689*0.85,$G689))))</f>
        <v/>
      </c>
      <c r="O689">
        <f>IF($A689="","",IF(OR(LOWER($D689&amp;"")="n/a",ISNUMBER(SEARCH("subscription",LOWER($A689&amp;" "&amp;$M689&amp;""))),ISNUMBER(SEARCH("membership",LOWER($A689&amp;" "&amp;$M689&amp;"")))),"",IF(OR($N689="",$I689="",$I689=0),"",$N689/$I689)))</f>
        <v/>
      </c>
      <c r="P689">
        <f>IF($A689="","",IF(OR(LOWER($D689&amp;"")="n/a",ISNUMBER(SEARCH("subscription",LOWER($A689&amp;" "&amp;$M689&amp;""))),ISNUMBER(SEARCH("membership",LOWER($A689&amp;" "&amp;$M689&amp;"")))),"",IF(LOWER($L689&amp;"")="yes",0,IF($K689&lt;&gt;"",$K689,IF($O689&lt;&gt;"",$O689,"")))))</f>
        <v/>
      </c>
      <c r="Q689">
        <f>IF($A689="","",IF($U689="Subscription","",IF($U689="Profit",$P689-$H689,0)))</f>
        <v/>
      </c>
      <c r="R689">
        <f>IF($A689="","",IF($U689="Subscription","",IF($U689="Draw",$H689,0)))</f>
        <v/>
      </c>
      <c r="S689">
        <f>IF($A689="","",IF($U689="Subscription","",IF($U689="Disqualified",$H689,0)))</f>
        <v/>
      </c>
      <c r="T689">
        <f>IF($A689="","",IF($U689="Subscription","",IF($H689=0,IF($U689="Profit","N/A",0),IF($U689="Profit",$Q689/$H689,IF($U689="Disqualified",-1,0)))))</f>
        <v/>
      </c>
      <c r="U689" s="350">
        <f>IF($A689="","",IF(OR(LOWER($D689&amp;"")="n/a",ISNUMBER(SEARCH("subscription",LOWER($A689&amp;" "&amp;$M689&amp;""))),ISNUMBER(SEARCH("membership",LOWER($A689&amp;" "&amp;$M689&amp;"")))),"Subscription",IF(LOWER($L689&amp;"")="yes","Disqualified",IF($P689&gt;$H689,"Profit","Draw"))))</f>
        <v/>
      </c>
      <c r="V689">
        <f>IF(OR($A689="",$B689="",$C689="",$U689="Subscription"),"",IFERROR(ROUNDUP((IF(ISNUMBER($C689),$C689,DATEVALUE($C689))-IF(ISNUMBER($B689),$B689,DATEVALUE($B689)))/7,0),""))</f>
        <v/>
      </c>
      <c r="W689" s="352">
        <f>IF($U689="Subscription","",$Q689-$S689)</f>
        <v/>
      </c>
      <c r="X689">
        <f>IF(OR($A689="",$U689="Subscription",$J689="",$I689="",$J689=0,$I689=0,$I689&gt;$J689),"",$J689-$I689)</f>
        <v/>
      </c>
      <c r="Y689">
        <f>IF(OR($A689="",$U689="Subscription",$J689="",$J689=0,$X689=""),"",$X689/$J689)</f>
        <v/>
      </c>
    </row>
    <row r="690">
      <c r="B690" s="354" t="n"/>
      <c r="C690" s="354" t="n"/>
      <c r="E690" s="350" t="n"/>
      <c r="F690" s="350" t="n"/>
      <c r="G690" s="350" t="n"/>
      <c r="H690" s="350" t="n"/>
      <c r="I690" s="350" t="n"/>
      <c r="J690" s="352" t="n"/>
      <c r="M690" s="350" t="n"/>
      <c r="N690" s="350">
        <f>IF($A690="","",IF(OR(LOWER($D690&amp;"")="n/a",ISNUMBER(SEARCH("subscription",LOWER($A690&amp;" "&amp;$M690&amp;""))),ISNUMBER(SEARCH("membership",LOWER($A690&amp;" "&amp;$M690&amp;"")))),"",IF($G690="","",IF(ISNUMBER(SEARCH("non",LOWER($E690&amp;""))),$G690*0.85,$G690))))</f>
        <v/>
      </c>
      <c r="O690">
        <f>IF($A690="","",IF(OR(LOWER($D690&amp;"")="n/a",ISNUMBER(SEARCH("subscription",LOWER($A690&amp;" "&amp;$M690&amp;""))),ISNUMBER(SEARCH("membership",LOWER($A690&amp;" "&amp;$M690&amp;"")))),"",IF(OR($N690="",$I690="",$I690=0),"",$N690/$I690)))</f>
        <v/>
      </c>
      <c r="P690">
        <f>IF($A690="","",IF(OR(LOWER($D690&amp;"")="n/a",ISNUMBER(SEARCH("subscription",LOWER($A690&amp;" "&amp;$M690&amp;""))),ISNUMBER(SEARCH("membership",LOWER($A690&amp;" "&amp;$M690&amp;"")))),"",IF(LOWER($L690&amp;"")="yes",0,IF($K690&lt;&gt;"",$K690,IF($O690&lt;&gt;"",$O690,"")))))</f>
        <v/>
      </c>
      <c r="Q690">
        <f>IF($A690="","",IF($U690="Subscription","",IF($U690="Profit",$P690-$H690,0)))</f>
        <v/>
      </c>
      <c r="R690">
        <f>IF($A690="","",IF($U690="Subscription","",IF($U690="Draw",$H690,0)))</f>
        <v/>
      </c>
      <c r="S690">
        <f>IF($A690="","",IF($U690="Subscription","",IF($U690="Disqualified",$H690,0)))</f>
        <v/>
      </c>
      <c r="T690">
        <f>IF($A690="","",IF($U690="Subscription","",IF($H690=0,IF($U690="Profit","N/A",0),IF($U690="Profit",$Q690/$H690,IF($U690="Disqualified",-1,0)))))</f>
        <v/>
      </c>
      <c r="U690" s="350">
        <f>IF($A690="","",IF(OR(LOWER($D690&amp;"")="n/a",ISNUMBER(SEARCH("subscription",LOWER($A690&amp;" "&amp;$M690&amp;""))),ISNUMBER(SEARCH("membership",LOWER($A690&amp;" "&amp;$M690&amp;"")))),"Subscription",IF(LOWER($L690&amp;"")="yes","Disqualified",IF($P690&gt;$H690,"Profit","Draw"))))</f>
        <v/>
      </c>
      <c r="V690">
        <f>IF(OR($A690="",$B690="",$C690="",$U690="Subscription"),"",IFERROR(ROUNDUP((IF(ISNUMBER($C690),$C690,DATEVALUE($C690))-IF(ISNUMBER($B690),$B690,DATEVALUE($B690)))/7,0),""))</f>
        <v/>
      </c>
      <c r="W690" s="352">
        <f>IF($U690="Subscription","",$Q690-$S690)</f>
        <v/>
      </c>
      <c r="X690">
        <f>IF(OR($A690="",$U690="Subscription",$J690="",$I690="",$J690=0,$I690=0,$I690&gt;$J690),"",$J690-$I690)</f>
        <v/>
      </c>
      <c r="Y690">
        <f>IF(OR($A690="",$U690="Subscription",$J690="",$J690=0,$X690=""),"",$X690/$J690)</f>
        <v/>
      </c>
    </row>
    <row r="691">
      <c r="B691" s="354" t="n"/>
      <c r="C691" s="354" t="n"/>
      <c r="E691" s="350" t="n"/>
      <c r="F691" s="350" t="n"/>
      <c r="G691" s="350" t="n"/>
      <c r="H691" s="350" t="n"/>
      <c r="I691" s="350" t="n"/>
      <c r="J691" s="352" t="n"/>
      <c r="M691" s="350" t="n"/>
      <c r="N691" s="350">
        <f>IF($A691="","",IF(OR(LOWER($D691&amp;"")="n/a",ISNUMBER(SEARCH("subscription",LOWER($A691&amp;" "&amp;$M691&amp;""))),ISNUMBER(SEARCH("membership",LOWER($A691&amp;" "&amp;$M691&amp;"")))),"",IF($G691="","",IF(ISNUMBER(SEARCH("non",LOWER($E691&amp;""))),$G691*0.85,$G691))))</f>
        <v/>
      </c>
      <c r="O691">
        <f>IF($A691="","",IF(OR(LOWER($D691&amp;"")="n/a",ISNUMBER(SEARCH("subscription",LOWER($A691&amp;" "&amp;$M691&amp;""))),ISNUMBER(SEARCH("membership",LOWER($A691&amp;" "&amp;$M691&amp;"")))),"",IF(OR($N691="",$I691="",$I691=0),"",$N691/$I691)))</f>
        <v/>
      </c>
      <c r="P691">
        <f>IF($A691="","",IF(OR(LOWER($D691&amp;"")="n/a",ISNUMBER(SEARCH("subscription",LOWER($A691&amp;" "&amp;$M691&amp;""))),ISNUMBER(SEARCH("membership",LOWER($A691&amp;" "&amp;$M691&amp;"")))),"",IF(LOWER($L691&amp;"")="yes",0,IF($K691&lt;&gt;"",$K691,IF($O691&lt;&gt;"",$O691,"")))))</f>
        <v/>
      </c>
      <c r="Q691">
        <f>IF($A691="","",IF($U691="Subscription","",IF($U691="Profit",$P691-$H691,0)))</f>
        <v/>
      </c>
      <c r="R691">
        <f>IF($A691="","",IF($U691="Subscription","",IF($U691="Draw",$H691,0)))</f>
        <v/>
      </c>
      <c r="S691">
        <f>IF($A691="","",IF($U691="Subscription","",IF($U691="Disqualified",$H691,0)))</f>
        <v/>
      </c>
      <c r="T691">
        <f>IF($A691="","",IF($U691="Subscription","",IF($H691=0,IF($U691="Profit","N/A",0),IF($U691="Profit",$Q691/$H691,IF($U691="Disqualified",-1,0)))))</f>
        <v/>
      </c>
      <c r="U691" s="350">
        <f>IF($A691="","",IF(OR(LOWER($D691&amp;"")="n/a",ISNUMBER(SEARCH("subscription",LOWER($A691&amp;" "&amp;$M691&amp;""))),ISNUMBER(SEARCH("membership",LOWER($A691&amp;" "&amp;$M691&amp;"")))),"Subscription",IF(LOWER($L691&amp;"")="yes","Disqualified",IF($P691&gt;$H691,"Profit","Draw"))))</f>
        <v/>
      </c>
      <c r="V691">
        <f>IF(OR($A691="",$B691="",$C691="",$U691="Subscription"),"",IFERROR(ROUNDUP((IF(ISNUMBER($C691),$C691,DATEVALUE($C691))-IF(ISNUMBER($B691),$B691,DATEVALUE($B691)))/7,0),""))</f>
        <v/>
      </c>
      <c r="W691" s="352">
        <f>IF($U691="Subscription","",$Q691-$S691)</f>
        <v/>
      </c>
      <c r="X691">
        <f>IF(OR($A691="",$U691="Subscription",$J691="",$I691="",$J691=0,$I691=0,$I691&gt;$J691),"",$J691-$I691)</f>
        <v/>
      </c>
      <c r="Y691">
        <f>IF(OR($A691="",$U691="Subscription",$J691="",$J691=0,$X691=""),"",$X691/$J691)</f>
        <v/>
      </c>
    </row>
    <row r="692">
      <c r="B692" s="354" t="n"/>
      <c r="C692" s="354" t="n"/>
      <c r="E692" s="350" t="n"/>
      <c r="F692" s="350" t="n"/>
      <c r="G692" s="350" t="n"/>
      <c r="H692" s="350" t="n"/>
      <c r="I692" s="350" t="n"/>
      <c r="J692" s="352" t="n"/>
      <c r="M692" s="350" t="n"/>
      <c r="N692" s="350">
        <f>IF($A692="","",IF(OR(LOWER($D692&amp;"")="n/a",ISNUMBER(SEARCH("subscription",LOWER($A692&amp;" "&amp;$M692&amp;""))),ISNUMBER(SEARCH("membership",LOWER($A692&amp;" "&amp;$M692&amp;"")))),"",IF($G692="","",IF(ISNUMBER(SEARCH("non",LOWER($E692&amp;""))),$G692*0.85,$G692))))</f>
        <v/>
      </c>
      <c r="O692">
        <f>IF($A692="","",IF(OR(LOWER($D692&amp;"")="n/a",ISNUMBER(SEARCH("subscription",LOWER($A692&amp;" "&amp;$M692&amp;""))),ISNUMBER(SEARCH("membership",LOWER($A692&amp;" "&amp;$M692&amp;"")))),"",IF(OR($N692="",$I692="",$I692=0),"",$N692/$I692)))</f>
        <v/>
      </c>
      <c r="P692">
        <f>IF($A692="","",IF(OR(LOWER($D692&amp;"")="n/a",ISNUMBER(SEARCH("subscription",LOWER($A692&amp;" "&amp;$M692&amp;""))),ISNUMBER(SEARCH("membership",LOWER($A692&amp;" "&amp;$M692&amp;"")))),"",IF(LOWER($L692&amp;"")="yes",0,IF($K692&lt;&gt;"",$K692,IF($O692&lt;&gt;"",$O692,"")))))</f>
        <v/>
      </c>
      <c r="Q692">
        <f>IF($A692="","",IF($U692="Subscription","",IF($U692="Profit",$P692-$H692,0)))</f>
        <v/>
      </c>
      <c r="R692">
        <f>IF($A692="","",IF($U692="Subscription","",IF($U692="Draw",$H692,0)))</f>
        <v/>
      </c>
      <c r="S692">
        <f>IF($A692="","",IF($U692="Subscription","",IF($U692="Disqualified",$H692,0)))</f>
        <v/>
      </c>
      <c r="T692">
        <f>IF($A692="","",IF($U692="Subscription","",IF($H692=0,IF($U692="Profit","N/A",0),IF($U692="Profit",$Q692/$H692,IF($U692="Disqualified",-1,0)))))</f>
        <v/>
      </c>
      <c r="U692" s="350">
        <f>IF($A692="","",IF(OR(LOWER($D692&amp;"")="n/a",ISNUMBER(SEARCH("subscription",LOWER($A692&amp;" "&amp;$M692&amp;""))),ISNUMBER(SEARCH("membership",LOWER($A692&amp;" "&amp;$M692&amp;"")))),"Subscription",IF(LOWER($L692&amp;"")="yes","Disqualified",IF($P692&gt;$H692,"Profit","Draw"))))</f>
        <v/>
      </c>
      <c r="V692">
        <f>IF(OR($A692="",$B692="",$C692="",$U692="Subscription"),"",IFERROR(ROUNDUP((IF(ISNUMBER($C692),$C692,DATEVALUE($C692))-IF(ISNUMBER($B692),$B692,DATEVALUE($B692)))/7,0),""))</f>
        <v/>
      </c>
      <c r="W692" s="352">
        <f>IF($U692="Subscription","",$Q692-$S692)</f>
        <v/>
      </c>
      <c r="X692">
        <f>IF(OR($A692="",$U692="Subscription",$J692="",$I692="",$J692=0,$I692=0,$I692&gt;$J692),"",$J692-$I692)</f>
        <v/>
      </c>
      <c r="Y692">
        <f>IF(OR($A692="",$U692="Subscription",$J692="",$J692=0,$X692=""),"",$X692/$J692)</f>
        <v/>
      </c>
    </row>
    <row r="693">
      <c r="B693" s="354" t="n"/>
      <c r="C693" s="354" t="n"/>
      <c r="E693" s="350" t="n"/>
      <c r="F693" s="350" t="n"/>
      <c r="G693" s="350" t="n"/>
      <c r="H693" s="350" t="n"/>
      <c r="I693" s="350" t="n"/>
      <c r="J693" s="352" t="n"/>
      <c r="M693" s="350" t="n"/>
      <c r="N693" s="350">
        <f>IF($A693="","",IF(OR(LOWER($D693&amp;"")="n/a",ISNUMBER(SEARCH("subscription",LOWER($A693&amp;" "&amp;$M693&amp;""))),ISNUMBER(SEARCH("membership",LOWER($A693&amp;" "&amp;$M693&amp;"")))),"",IF($G693="","",IF(ISNUMBER(SEARCH("non",LOWER($E693&amp;""))),$G693*0.85,$G693))))</f>
        <v/>
      </c>
      <c r="O693">
        <f>IF($A693="","",IF(OR(LOWER($D693&amp;"")="n/a",ISNUMBER(SEARCH("subscription",LOWER($A693&amp;" "&amp;$M693&amp;""))),ISNUMBER(SEARCH("membership",LOWER($A693&amp;" "&amp;$M693&amp;"")))),"",IF(OR($N693="",$I693="",$I693=0),"",$N693/$I693)))</f>
        <v/>
      </c>
      <c r="P693">
        <f>IF($A693="","",IF(OR(LOWER($D693&amp;"")="n/a",ISNUMBER(SEARCH("subscription",LOWER($A693&amp;" "&amp;$M693&amp;""))),ISNUMBER(SEARCH("membership",LOWER($A693&amp;" "&amp;$M693&amp;"")))),"",IF(LOWER($L693&amp;"")="yes",0,IF($K693&lt;&gt;"",$K693,IF($O693&lt;&gt;"",$O693,"")))))</f>
        <v/>
      </c>
      <c r="Q693">
        <f>IF($A693="","",IF($U693="Subscription","",IF($U693="Profit",$P693-$H693,0)))</f>
        <v/>
      </c>
      <c r="R693">
        <f>IF($A693="","",IF($U693="Subscription","",IF($U693="Draw",$H693,0)))</f>
        <v/>
      </c>
      <c r="S693">
        <f>IF($A693="","",IF($U693="Subscription","",IF($U693="Disqualified",$H693,0)))</f>
        <v/>
      </c>
      <c r="T693">
        <f>IF($A693="","",IF($U693="Subscription","",IF($H693=0,IF($U693="Profit","N/A",0),IF($U693="Profit",$Q693/$H693,IF($U693="Disqualified",-1,0)))))</f>
        <v/>
      </c>
      <c r="U693" s="350">
        <f>IF($A693="","",IF(OR(LOWER($D693&amp;"")="n/a",ISNUMBER(SEARCH("subscription",LOWER($A693&amp;" "&amp;$M693&amp;""))),ISNUMBER(SEARCH("membership",LOWER($A693&amp;" "&amp;$M693&amp;"")))),"Subscription",IF(LOWER($L693&amp;"")="yes","Disqualified",IF($P693&gt;$H693,"Profit","Draw"))))</f>
        <v/>
      </c>
      <c r="V693">
        <f>IF(OR($A693="",$B693="",$C693="",$U693="Subscription"),"",IFERROR(ROUNDUP((IF(ISNUMBER($C693),$C693,DATEVALUE($C693))-IF(ISNUMBER($B693),$B693,DATEVALUE($B693)))/7,0),""))</f>
        <v/>
      </c>
      <c r="W693" s="352">
        <f>IF($U693="Subscription","",$Q693-$S693)</f>
        <v/>
      </c>
      <c r="X693">
        <f>IF(OR($A693="",$U693="Subscription",$J693="",$I693="",$J693=0,$I693=0,$I693&gt;$J693),"",$J693-$I693)</f>
        <v/>
      </c>
      <c r="Y693">
        <f>IF(OR($A693="",$U693="Subscription",$J693="",$J693=0,$X693=""),"",$X693/$J693)</f>
        <v/>
      </c>
    </row>
    <row r="694">
      <c r="B694" s="354" t="n"/>
      <c r="C694" s="354" t="n"/>
      <c r="E694" s="350" t="n"/>
      <c r="F694" s="350" t="n"/>
      <c r="G694" s="350" t="n"/>
      <c r="H694" s="350" t="n"/>
      <c r="I694" s="350" t="n"/>
      <c r="J694" s="352" t="n"/>
      <c r="M694" s="350" t="n"/>
      <c r="N694" s="350">
        <f>IF($A694="","",IF(OR(LOWER($D694&amp;"")="n/a",ISNUMBER(SEARCH("subscription",LOWER($A694&amp;" "&amp;$M694&amp;""))),ISNUMBER(SEARCH("membership",LOWER($A694&amp;" "&amp;$M694&amp;"")))),"",IF($G694="","",IF(ISNUMBER(SEARCH("non",LOWER($E694&amp;""))),$G694*0.85,$G694))))</f>
        <v/>
      </c>
      <c r="O694">
        <f>IF($A694="","",IF(OR(LOWER($D694&amp;"")="n/a",ISNUMBER(SEARCH("subscription",LOWER($A694&amp;" "&amp;$M694&amp;""))),ISNUMBER(SEARCH("membership",LOWER($A694&amp;" "&amp;$M694&amp;"")))),"",IF(OR($N694="",$I694="",$I694=0),"",$N694/$I694)))</f>
        <v/>
      </c>
      <c r="P694">
        <f>IF($A694="","",IF(OR(LOWER($D694&amp;"")="n/a",ISNUMBER(SEARCH("subscription",LOWER($A694&amp;" "&amp;$M694&amp;""))),ISNUMBER(SEARCH("membership",LOWER($A694&amp;" "&amp;$M694&amp;"")))),"",IF(LOWER($L694&amp;"")="yes",0,IF($K694&lt;&gt;"",$K694,IF($O694&lt;&gt;"",$O694,"")))))</f>
        <v/>
      </c>
      <c r="Q694">
        <f>IF($A694="","",IF($U694="Subscription","",IF($U694="Profit",$P694-$H694,0)))</f>
        <v/>
      </c>
      <c r="R694">
        <f>IF($A694="","",IF($U694="Subscription","",IF($U694="Draw",$H694,0)))</f>
        <v/>
      </c>
      <c r="S694">
        <f>IF($A694="","",IF($U694="Subscription","",IF($U694="Disqualified",$H694,0)))</f>
        <v/>
      </c>
      <c r="T694">
        <f>IF($A694="","",IF($U694="Subscription","",IF($H694=0,IF($U694="Profit","N/A",0),IF($U694="Profit",$Q694/$H694,IF($U694="Disqualified",-1,0)))))</f>
        <v/>
      </c>
      <c r="U694" s="350">
        <f>IF($A694="","",IF(OR(LOWER($D694&amp;"")="n/a",ISNUMBER(SEARCH("subscription",LOWER($A694&amp;" "&amp;$M694&amp;""))),ISNUMBER(SEARCH("membership",LOWER($A694&amp;" "&amp;$M694&amp;"")))),"Subscription",IF(LOWER($L694&amp;"")="yes","Disqualified",IF($P694&gt;$H694,"Profit","Draw"))))</f>
        <v/>
      </c>
      <c r="V694">
        <f>IF(OR($A694="",$B694="",$C694="",$U694="Subscription"),"",IFERROR(ROUNDUP((IF(ISNUMBER($C694),$C694,DATEVALUE($C694))-IF(ISNUMBER($B694),$B694,DATEVALUE($B694)))/7,0),""))</f>
        <v/>
      </c>
      <c r="W694" s="352">
        <f>IF($U694="Subscription","",$Q694-$S694)</f>
        <v/>
      </c>
      <c r="X694">
        <f>IF(OR($A694="",$U694="Subscription",$J694="",$I694="",$J694=0,$I694=0,$I694&gt;$J694),"",$J694-$I694)</f>
        <v/>
      </c>
      <c r="Y694">
        <f>IF(OR($A694="",$U694="Subscription",$J694="",$J694=0,$X694=""),"",$X694/$J694)</f>
        <v/>
      </c>
    </row>
    <row r="695">
      <c r="B695" s="354" t="n"/>
      <c r="C695" s="354" t="n"/>
      <c r="E695" s="350" t="n"/>
      <c r="F695" s="350" t="n"/>
      <c r="G695" s="350" t="n"/>
      <c r="H695" s="350" t="n"/>
      <c r="I695" s="350" t="n"/>
      <c r="J695" s="352" t="n"/>
      <c r="M695" s="350" t="n"/>
      <c r="N695" s="350">
        <f>IF($A695="","",IF(OR(LOWER($D695&amp;"")="n/a",ISNUMBER(SEARCH("subscription",LOWER($A695&amp;" "&amp;$M695&amp;""))),ISNUMBER(SEARCH("membership",LOWER($A695&amp;" "&amp;$M695&amp;"")))),"",IF($G695="","",IF(ISNUMBER(SEARCH("non",LOWER($E695&amp;""))),$G695*0.85,$G695))))</f>
        <v/>
      </c>
      <c r="O695">
        <f>IF($A695="","",IF(OR(LOWER($D695&amp;"")="n/a",ISNUMBER(SEARCH("subscription",LOWER($A695&amp;" "&amp;$M695&amp;""))),ISNUMBER(SEARCH("membership",LOWER($A695&amp;" "&amp;$M695&amp;"")))),"",IF(OR($N695="",$I695="",$I695=0),"",$N695/$I695)))</f>
        <v/>
      </c>
      <c r="P695">
        <f>IF($A695="","",IF(OR(LOWER($D695&amp;"")="n/a",ISNUMBER(SEARCH("subscription",LOWER($A695&amp;" "&amp;$M695&amp;""))),ISNUMBER(SEARCH("membership",LOWER($A695&amp;" "&amp;$M695&amp;"")))),"",IF(LOWER($L695&amp;"")="yes",0,IF($K695&lt;&gt;"",$K695,IF($O695&lt;&gt;"",$O695,"")))))</f>
        <v/>
      </c>
      <c r="Q695">
        <f>IF($A695="","",IF($U695="Subscription","",IF($U695="Profit",$P695-$H695,0)))</f>
        <v/>
      </c>
      <c r="R695">
        <f>IF($A695="","",IF($U695="Subscription","",IF($U695="Draw",$H695,0)))</f>
        <v/>
      </c>
      <c r="S695">
        <f>IF($A695="","",IF($U695="Subscription","",IF($U695="Disqualified",$H695,0)))</f>
        <v/>
      </c>
      <c r="T695">
        <f>IF($A695="","",IF($U695="Subscription","",IF($H695=0,IF($U695="Profit","N/A",0),IF($U695="Profit",$Q695/$H695,IF($U695="Disqualified",-1,0)))))</f>
        <v/>
      </c>
      <c r="U695" s="350">
        <f>IF($A695="","",IF(OR(LOWER($D695&amp;"")="n/a",ISNUMBER(SEARCH("subscription",LOWER($A695&amp;" "&amp;$M695&amp;""))),ISNUMBER(SEARCH("membership",LOWER($A695&amp;" "&amp;$M695&amp;"")))),"Subscription",IF(LOWER($L695&amp;"")="yes","Disqualified",IF($P695&gt;$H695,"Profit","Draw"))))</f>
        <v/>
      </c>
      <c r="V695">
        <f>IF(OR($A695="",$B695="",$C695="",$U695="Subscription"),"",IFERROR(ROUNDUP((IF(ISNUMBER($C695),$C695,DATEVALUE($C695))-IF(ISNUMBER($B695),$B695,DATEVALUE($B695)))/7,0),""))</f>
        <v/>
      </c>
      <c r="W695" s="352">
        <f>IF($U695="Subscription","",$Q695-$S695)</f>
        <v/>
      </c>
      <c r="X695">
        <f>IF(OR($A695="",$U695="Subscription",$J695="",$I695="",$J695=0,$I695=0,$I695&gt;$J695),"",$J695-$I695)</f>
        <v/>
      </c>
      <c r="Y695">
        <f>IF(OR($A695="",$U695="Subscription",$J695="",$J695=0,$X695=""),"",$X695/$J695)</f>
        <v/>
      </c>
    </row>
    <row r="696">
      <c r="B696" s="354" t="n"/>
      <c r="C696" s="354" t="n"/>
      <c r="E696" s="350" t="n"/>
      <c r="F696" s="350" t="n"/>
      <c r="G696" s="350" t="n"/>
      <c r="H696" s="350" t="n"/>
      <c r="I696" s="350" t="n"/>
      <c r="J696" s="352" t="n"/>
      <c r="M696" s="350" t="n"/>
      <c r="N696" s="350">
        <f>IF($A696="","",IF(OR(LOWER($D696&amp;"")="n/a",ISNUMBER(SEARCH("subscription",LOWER($A696&amp;" "&amp;$M696&amp;""))),ISNUMBER(SEARCH("membership",LOWER($A696&amp;" "&amp;$M696&amp;"")))),"",IF($G696="","",IF(ISNUMBER(SEARCH("non",LOWER($E696&amp;""))),$G696*0.85,$G696))))</f>
        <v/>
      </c>
      <c r="O696">
        <f>IF($A696="","",IF(OR(LOWER($D696&amp;"")="n/a",ISNUMBER(SEARCH("subscription",LOWER($A696&amp;" "&amp;$M696&amp;""))),ISNUMBER(SEARCH("membership",LOWER($A696&amp;" "&amp;$M696&amp;"")))),"",IF(OR($N696="",$I696="",$I696=0),"",$N696/$I696)))</f>
        <v/>
      </c>
      <c r="P696">
        <f>IF($A696="","",IF(OR(LOWER($D696&amp;"")="n/a",ISNUMBER(SEARCH("subscription",LOWER($A696&amp;" "&amp;$M696&amp;""))),ISNUMBER(SEARCH("membership",LOWER($A696&amp;" "&amp;$M696&amp;"")))),"",IF(LOWER($L696&amp;"")="yes",0,IF($K696&lt;&gt;"",$K696,IF($O696&lt;&gt;"",$O696,"")))))</f>
        <v/>
      </c>
      <c r="Q696">
        <f>IF($A696="","",IF($U696="Subscription","",IF($U696="Profit",$P696-$H696,0)))</f>
        <v/>
      </c>
      <c r="R696">
        <f>IF($A696="","",IF($U696="Subscription","",IF($U696="Draw",$H696,0)))</f>
        <v/>
      </c>
      <c r="S696">
        <f>IF($A696="","",IF($U696="Subscription","",IF($U696="Disqualified",$H696,0)))</f>
        <v/>
      </c>
      <c r="T696">
        <f>IF($A696="","",IF($U696="Subscription","",IF($H696=0,IF($U696="Profit","N/A",0),IF($U696="Profit",$Q696/$H696,IF($U696="Disqualified",-1,0)))))</f>
        <v/>
      </c>
      <c r="U696" s="350">
        <f>IF($A696="","",IF(OR(LOWER($D696&amp;"")="n/a",ISNUMBER(SEARCH("subscription",LOWER($A696&amp;" "&amp;$M696&amp;""))),ISNUMBER(SEARCH("membership",LOWER($A696&amp;" "&amp;$M696&amp;"")))),"Subscription",IF(LOWER($L696&amp;"")="yes","Disqualified",IF($P696&gt;$H696,"Profit","Draw"))))</f>
        <v/>
      </c>
      <c r="V696">
        <f>IF(OR($A696="",$B696="",$C696="",$U696="Subscription"),"",IFERROR(ROUNDUP((IF(ISNUMBER($C696),$C696,DATEVALUE($C696))-IF(ISNUMBER($B696),$B696,DATEVALUE($B696)))/7,0),""))</f>
        <v/>
      </c>
      <c r="W696" s="352">
        <f>IF($U696="Subscription","",$Q696-$S696)</f>
        <v/>
      </c>
      <c r="X696">
        <f>IF(OR($A696="",$U696="Subscription",$J696="",$I696="",$J696=0,$I696=0,$I696&gt;$J696),"",$J696-$I696)</f>
        <v/>
      </c>
      <c r="Y696">
        <f>IF(OR($A696="",$U696="Subscription",$J696="",$J696=0,$X696=""),"",$X696/$J696)</f>
        <v/>
      </c>
    </row>
    <row r="697">
      <c r="B697" s="354" t="n"/>
      <c r="C697" s="354" t="n"/>
      <c r="E697" s="350" t="n"/>
      <c r="F697" s="350" t="n"/>
      <c r="G697" s="350" t="n"/>
      <c r="H697" s="350" t="n"/>
      <c r="I697" s="350" t="n"/>
      <c r="J697" s="352" t="n"/>
      <c r="M697" s="350" t="n"/>
      <c r="N697" s="350">
        <f>IF($A697="","",IF(OR(LOWER($D697&amp;"")="n/a",ISNUMBER(SEARCH("subscription",LOWER($A697&amp;" "&amp;$M697&amp;""))),ISNUMBER(SEARCH("membership",LOWER($A697&amp;" "&amp;$M697&amp;"")))),"",IF($G697="","",IF(ISNUMBER(SEARCH("non",LOWER($E697&amp;""))),$G697*0.85,$G697))))</f>
        <v/>
      </c>
      <c r="O697">
        <f>IF($A697="","",IF(OR(LOWER($D697&amp;"")="n/a",ISNUMBER(SEARCH("subscription",LOWER($A697&amp;" "&amp;$M697&amp;""))),ISNUMBER(SEARCH("membership",LOWER($A697&amp;" "&amp;$M697&amp;"")))),"",IF(OR($N697="",$I697="",$I697=0),"",$N697/$I697)))</f>
        <v/>
      </c>
      <c r="P697">
        <f>IF($A697="","",IF(OR(LOWER($D697&amp;"")="n/a",ISNUMBER(SEARCH("subscription",LOWER($A697&amp;" "&amp;$M697&amp;""))),ISNUMBER(SEARCH("membership",LOWER($A697&amp;" "&amp;$M697&amp;"")))),"",IF(LOWER($L697&amp;"")="yes",0,IF($K697&lt;&gt;"",$K697,IF($O697&lt;&gt;"",$O697,"")))))</f>
        <v/>
      </c>
      <c r="Q697">
        <f>IF($A697="","",IF($U697="Subscription","",IF($U697="Profit",$P697-$H697,0)))</f>
        <v/>
      </c>
      <c r="R697">
        <f>IF($A697="","",IF($U697="Subscription","",IF($U697="Draw",$H697,0)))</f>
        <v/>
      </c>
      <c r="S697">
        <f>IF($A697="","",IF($U697="Subscription","",IF($U697="Disqualified",$H697,0)))</f>
        <v/>
      </c>
      <c r="T697">
        <f>IF($A697="","",IF($U697="Subscription","",IF($H697=0,IF($U697="Profit","N/A",0),IF($U697="Profit",$Q697/$H697,IF($U697="Disqualified",-1,0)))))</f>
        <v/>
      </c>
      <c r="U697" s="350">
        <f>IF($A697="","",IF(OR(LOWER($D697&amp;"")="n/a",ISNUMBER(SEARCH("subscription",LOWER($A697&amp;" "&amp;$M697&amp;""))),ISNUMBER(SEARCH("membership",LOWER($A697&amp;" "&amp;$M697&amp;"")))),"Subscription",IF(LOWER($L697&amp;"")="yes","Disqualified",IF($P697&gt;$H697,"Profit","Draw"))))</f>
        <v/>
      </c>
      <c r="V697">
        <f>IF(OR($A697="",$B697="",$C697="",$U697="Subscription"),"",IFERROR(ROUNDUP((IF(ISNUMBER($C697),$C697,DATEVALUE($C697))-IF(ISNUMBER($B697),$B697,DATEVALUE($B697)))/7,0),""))</f>
        <v/>
      </c>
      <c r="W697" s="352">
        <f>IF($U697="Subscription","",$Q697-$S697)</f>
        <v/>
      </c>
      <c r="X697">
        <f>IF(OR($A697="",$U697="Subscription",$J697="",$I697="",$J697=0,$I697=0,$I697&gt;$J697),"",$J697-$I697)</f>
        <v/>
      </c>
      <c r="Y697">
        <f>IF(OR($A697="",$U697="Subscription",$J697="",$J697=0,$X697=""),"",$X697/$J697)</f>
        <v/>
      </c>
    </row>
    <row r="698">
      <c r="B698" s="354" t="n"/>
      <c r="C698" s="354" t="n"/>
      <c r="E698" s="350" t="n"/>
      <c r="F698" s="350" t="n"/>
      <c r="G698" s="350" t="n"/>
      <c r="H698" s="350" t="n"/>
      <c r="I698" s="350" t="n"/>
      <c r="J698" s="352" t="n"/>
      <c r="M698" s="350" t="n"/>
      <c r="N698" s="350">
        <f>IF($A698="","",IF(OR(LOWER($D698&amp;"")="n/a",ISNUMBER(SEARCH("subscription",LOWER($A698&amp;" "&amp;$M698&amp;""))),ISNUMBER(SEARCH("membership",LOWER($A698&amp;" "&amp;$M698&amp;"")))),"",IF($G698="","",IF(ISNUMBER(SEARCH("non",LOWER($E698&amp;""))),$G698*0.85,$G698))))</f>
        <v/>
      </c>
      <c r="O698">
        <f>IF($A698="","",IF(OR(LOWER($D698&amp;"")="n/a",ISNUMBER(SEARCH("subscription",LOWER($A698&amp;" "&amp;$M698&amp;""))),ISNUMBER(SEARCH("membership",LOWER($A698&amp;" "&amp;$M698&amp;"")))),"",IF(OR($N698="",$I698="",$I698=0),"",$N698/$I698)))</f>
        <v/>
      </c>
      <c r="P698">
        <f>IF($A698="","",IF(OR(LOWER($D698&amp;"")="n/a",ISNUMBER(SEARCH("subscription",LOWER($A698&amp;" "&amp;$M698&amp;""))),ISNUMBER(SEARCH("membership",LOWER($A698&amp;" "&amp;$M698&amp;"")))),"",IF(LOWER($L698&amp;"")="yes",0,IF($K698&lt;&gt;"",$K698,IF($O698&lt;&gt;"",$O698,"")))))</f>
        <v/>
      </c>
      <c r="Q698">
        <f>IF($A698="","",IF($U698="Subscription","",IF($U698="Profit",$P698-$H698,0)))</f>
        <v/>
      </c>
      <c r="R698">
        <f>IF($A698="","",IF($U698="Subscription","",IF($U698="Draw",$H698,0)))</f>
        <v/>
      </c>
      <c r="S698">
        <f>IF($A698="","",IF($U698="Subscription","",IF($U698="Disqualified",$H698,0)))</f>
        <v/>
      </c>
      <c r="T698">
        <f>IF($A698="","",IF($U698="Subscription","",IF($H698=0,IF($U698="Profit","N/A",0),IF($U698="Profit",$Q698/$H698,IF($U698="Disqualified",-1,0)))))</f>
        <v/>
      </c>
      <c r="U698" s="350">
        <f>IF($A698="","",IF(OR(LOWER($D698&amp;"")="n/a",ISNUMBER(SEARCH("subscription",LOWER($A698&amp;" "&amp;$M698&amp;""))),ISNUMBER(SEARCH("membership",LOWER($A698&amp;" "&amp;$M698&amp;"")))),"Subscription",IF(LOWER($L698&amp;"")="yes","Disqualified",IF($P698&gt;$H698,"Profit","Draw"))))</f>
        <v/>
      </c>
      <c r="V698">
        <f>IF(OR($A698="",$B698="",$C698="",$U698="Subscription"),"",IFERROR(ROUNDUP((IF(ISNUMBER($C698),$C698,DATEVALUE($C698))-IF(ISNUMBER($B698),$B698,DATEVALUE($B698)))/7,0),""))</f>
        <v/>
      </c>
      <c r="W698" s="352">
        <f>IF($U698="Subscription","",$Q698-$S698)</f>
        <v/>
      </c>
      <c r="X698">
        <f>IF(OR($A698="",$U698="Subscription",$J698="",$I698="",$J698=0,$I698=0,$I698&gt;$J698),"",$J698-$I698)</f>
        <v/>
      </c>
      <c r="Y698">
        <f>IF(OR($A698="",$U698="Subscription",$J698="",$J698=0,$X698=""),"",$X698/$J698)</f>
        <v/>
      </c>
    </row>
    <row r="699">
      <c r="B699" s="354" t="n"/>
      <c r="C699" s="354" t="n"/>
      <c r="E699" s="350" t="n"/>
      <c r="F699" s="350" t="n"/>
      <c r="G699" s="350" t="n"/>
      <c r="H699" s="350" t="n"/>
      <c r="I699" s="350" t="n"/>
      <c r="J699" s="352" t="n"/>
      <c r="M699" s="350" t="n"/>
      <c r="N699" s="350">
        <f>IF($A699="","",IF(OR(LOWER($D699&amp;"")="n/a",ISNUMBER(SEARCH("subscription",LOWER($A699&amp;" "&amp;$M699&amp;""))),ISNUMBER(SEARCH("membership",LOWER($A699&amp;" "&amp;$M699&amp;"")))),"",IF($G699="","",IF(ISNUMBER(SEARCH("non",LOWER($E699&amp;""))),$G699*0.85,$G699))))</f>
        <v/>
      </c>
      <c r="O699">
        <f>IF($A699="","",IF(OR(LOWER($D699&amp;"")="n/a",ISNUMBER(SEARCH("subscription",LOWER($A699&amp;" "&amp;$M699&amp;""))),ISNUMBER(SEARCH("membership",LOWER($A699&amp;" "&amp;$M699&amp;"")))),"",IF(OR($N699="",$I699="",$I699=0),"",$N699/$I699)))</f>
        <v/>
      </c>
      <c r="P699">
        <f>IF($A699="","",IF(OR(LOWER($D699&amp;"")="n/a",ISNUMBER(SEARCH("subscription",LOWER($A699&amp;" "&amp;$M699&amp;""))),ISNUMBER(SEARCH("membership",LOWER($A699&amp;" "&amp;$M699&amp;"")))),"",IF(LOWER($L699&amp;"")="yes",0,IF($K699&lt;&gt;"",$K699,IF($O699&lt;&gt;"",$O699,"")))))</f>
        <v/>
      </c>
      <c r="Q699">
        <f>IF($A699="","",IF($U699="Subscription","",IF($U699="Profit",$P699-$H699,0)))</f>
        <v/>
      </c>
      <c r="R699">
        <f>IF($A699="","",IF($U699="Subscription","",IF($U699="Draw",$H699,0)))</f>
        <v/>
      </c>
      <c r="S699">
        <f>IF($A699="","",IF($U699="Subscription","",IF($U699="Disqualified",$H699,0)))</f>
        <v/>
      </c>
      <c r="T699">
        <f>IF($A699="","",IF($U699="Subscription","",IF($H699=0,IF($U699="Profit","N/A",0),IF($U699="Profit",$Q699/$H699,IF($U699="Disqualified",-1,0)))))</f>
        <v/>
      </c>
      <c r="U699" s="350">
        <f>IF($A699="","",IF(OR(LOWER($D699&amp;"")="n/a",ISNUMBER(SEARCH("subscription",LOWER($A699&amp;" "&amp;$M699&amp;""))),ISNUMBER(SEARCH("membership",LOWER($A699&amp;" "&amp;$M699&amp;"")))),"Subscription",IF(LOWER($L699&amp;"")="yes","Disqualified",IF($P699&gt;$H699,"Profit","Draw"))))</f>
        <v/>
      </c>
      <c r="V699">
        <f>IF(OR($A699="",$B699="",$C699="",$U699="Subscription"),"",IFERROR(ROUNDUP((IF(ISNUMBER($C699),$C699,DATEVALUE($C699))-IF(ISNUMBER($B699),$B699,DATEVALUE($B699)))/7,0),""))</f>
        <v/>
      </c>
      <c r="W699" s="352">
        <f>IF($U699="Subscription","",$Q699-$S699)</f>
        <v/>
      </c>
      <c r="X699">
        <f>IF(OR($A699="",$U699="Subscription",$J699="",$I699="",$J699=0,$I699=0,$I699&gt;$J699),"",$J699-$I699)</f>
        <v/>
      </c>
      <c r="Y699">
        <f>IF(OR($A699="",$U699="Subscription",$J699="",$J699=0,$X699=""),"",$X699/$J699)</f>
        <v/>
      </c>
    </row>
    <row r="700">
      <c r="B700" s="354" t="n"/>
      <c r="C700" s="354" t="n"/>
      <c r="E700" s="350" t="n"/>
      <c r="F700" s="350" t="n"/>
      <c r="G700" s="350" t="n"/>
      <c r="H700" s="350" t="n"/>
      <c r="I700" s="350" t="n"/>
      <c r="J700" s="352" t="n"/>
      <c r="M700" s="350" t="n"/>
      <c r="N700" s="350">
        <f>IF($A700="","",IF(OR(LOWER($D700&amp;"")="n/a",ISNUMBER(SEARCH("subscription",LOWER($A700&amp;" "&amp;$M700&amp;""))),ISNUMBER(SEARCH("membership",LOWER($A700&amp;" "&amp;$M700&amp;"")))),"",IF($G700="","",IF(ISNUMBER(SEARCH("non",LOWER($E700&amp;""))),$G700*0.85,$G700))))</f>
        <v/>
      </c>
      <c r="O700">
        <f>IF($A700="","",IF(OR(LOWER($D700&amp;"")="n/a",ISNUMBER(SEARCH("subscription",LOWER($A700&amp;" "&amp;$M700&amp;""))),ISNUMBER(SEARCH("membership",LOWER($A700&amp;" "&amp;$M700&amp;"")))),"",IF(OR($N700="",$I700="",$I700=0),"",$N700/$I700)))</f>
        <v/>
      </c>
      <c r="P700">
        <f>IF($A700="","",IF(OR(LOWER($D700&amp;"")="n/a",ISNUMBER(SEARCH("subscription",LOWER($A700&amp;" "&amp;$M700&amp;""))),ISNUMBER(SEARCH("membership",LOWER($A700&amp;" "&amp;$M700&amp;"")))),"",IF(LOWER($L700&amp;"")="yes",0,IF($K700&lt;&gt;"",$K700,IF($O700&lt;&gt;"",$O700,"")))))</f>
        <v/>
      </c>
      <c r="Q700">
        <f>IF($A700="","",IF($U700="Subscription","",IF($U700="Profit",$P700-$H700,0)))</f>
        <v/>
      </c>
      <c r="R700">
        <f>IF($A700="","",IF($U700="Subscription","",IF($U700="Draw",$H700,0)))</f>
        <v/>
      </c>
      <c r="S700">
        <f>IF($A700="","",IF($U700="Subscription","",IF($U700="Disqualified",$H700,0)))</f>
        <v/>
      </c>
      <c r="T700">
        <f>IF($A700="","",IF($U700="Subscription","",IF($H700=0,IF($U700="Profit","N/A",0),IF($U700="Profit",$Q700/$H700,IF($U700="Disqualified",-1,0)))))</f>
        <v/>
      </c>
      <c r="U700" s="350">
        <f>IF($A700="","",IF(OR(LOWER($D700&amp;"")="n/a",ISNUMBER(SEARCH("subscription",LOWER($A700&amp;" "&amp;$M700&amp;""))),ISNUMBER(SEARCH("membership",LOWER($A700&amp;" "&amp;$M700&amp;"")))),"Subscription",IF(LOWER($L700&amp;"")="yes","Disqualified",IF($P700&gt;$H700,"Profit","Draw"))))</f>
        <v/>
      </c>
      <c r="V700">
        <f>IF(OR($A700="",$B700="",$C700="",$U700="Subscription"),"",IFERROR(ROUNDUP((IF(ISNUMBER($C700),$C700,DATEVALUE($C700))-IF(ISNUMBER($B700),$B700,DATEVALUE($B700)))/7,0),""))</f>
        <v/>
      </c>
      <c r="W700" s="352">
        <f>IF($U700="Subscription","",$Q700-$S700)</f>
        <v/>
      </c>
      <c r="X700">
        <f>IF(OR($A700="",$U700="Subscription",$J700="",$I700="",$J700=0,$I700=0,$I700&gt;$J700),"",$J700-$I700)</f>
        <v/>
      </c>
      <c r="Y700">
        <f>IF(OR($A700="",$U700="Subscription",$J700="",$J700=0,$X700=""),"",$X700/$J700)</f>
        <v/>
      </c>
    </row>
    <row r="701">
      <c r="B701" s="354" t="n"/>
      <c r="C701" s="354" t="n"/>
      <c r="E701" s="350" t="n"/>
      <c r="F701" s="350" t="n"/>
      <c r="G701" s="350" t="n"/>
      <c r="H701" s="350" t="n"/>
      <c r="I701" s="350" t="n"/>
      <c r="J701" s="352" t="n"/>
      <c r="M701" s="350" t="n"/>
      <c r="N701" s="350">
        <f>IF($A701="","",IF(OR(LOWER($D701&amp;"")="n/a",ISNUMBER(SEARCH("subscription",LOWER($A701&amp;" "&amp;$M701&amp;""))),ISNUMBER(SEARCH("membership",LOWER($A701&amp;" "&amp;$M701&amp;"")))),"",IF($G701="","",IF(ISNUMBER(SEARCH("non",LOWER($E701&amp;""))),$G701*0.85,$G701))))</f>
        <v/>
      </c>
      <c r="O701">
        <f>IF($A701="","",IF(OR(LOWER($D701&amp;"")="n/a",ISNUMBER(SEARCH("subscription",LOWER($A701&amp;" "&amp;$M701&amp;""))),ISNUMBER(SEARCH("membership",LOWER($A701&amp;" "&amp;$M701&amp;"")))),"",IF(OR($N701="",$I701="",$I701=0),"",$N701/$I701)))</f>
        <v/>
      </c>
      <c r="P701">
        <f>IF($A701="","",IF(OR(LOWER($D701&amp;"")="n/a",ISNUMBER(SEARCH("subscription",LOWER($A701&amp;" "&amp;$M701&amp;""))),ISNUMBER(SEARCH("membership",LOWER($A701&amp;" "&amp;$M701&amp;"")))),"",IF(LOWER($L701&amp;"")="yes",0,IF($K701&lt;&gt;"",$K701,IF($O701&lt;&gt;"",$O701,"")))))</f>
        <v/>
      </c>
      <c r="Q701">
        <f>IF($A701="","",IF($U701="Subscription","",IF($U701="Profit",$P701-$H701,0)))</f>
        <v/>
      </c>
      <c r="R701">
        <f>IF($A701="","",IF($U701="Subscription","",IF($U701="Draw",$H701,0)))</f>
        <v/>
      </c>
      <c r="S701">
        <f>IF($A701="","",IF($U701="Subscription","",IF($U701="Disqualified",$H701,0)))</f>
        <v/>
      </c>
      <c r="T701">
        <f>IF($A701="","",IF($U701="Subscription","",IF($H701=0,IF($U701="Profit","N/A",0),IF($U701="Profit",$Q701/$H701,IF($U701="Disqualified",-1,0)))))</f>
        <v/>
      </c>
      <c r="U701" s="350">
        <f>IF($A701="","",IF(OR(LOWER($D701&amp;"")="n/a",ISNUMBER(SEARCH("subscription",LOWER($A701&amp;" "&amp;$M701&amp;""))),ISNUMBER(SEARCH("membership",LOWER($A701&amp;" "&amp;$M701&amp;"")))),"Subscription",IF(LOWER($L701&amp;"")="yes","Disqualified",IF($P701&gt;$H701,"Profit","Draw"))))</f>
        <v/>
      </c>
      <c r="V701">
        <f>IF(OR($A701="",$B701="",$C701="",$U701="Subscription"),"",IFERROR(ROUNDUP((IF(ISNUMBER($C701),$C701,DATEVALUE($C701))-IF(ISNUMBER($B701),$B701,DATEVALUE($B701)))/7,0),""))</f>
        <v/>
      </c>
      <c r="W701" s="352">
        <f>IF($U701="Subscription","",$Q701-$S701)</f>
        <v/>
      </c>
      <c r="X701">
        <f>IF(OR($A701="",$U701="Subscription",$J701="",$I701="",$J701=0,$I701=0,$I701&gt;$J701),"",$J701-$I701)</f>
        <v/>
      </c>
      <c r="Y701">
        <f>IF(OR($A701="",$U701="Subscription",$J701="",$J701=0,$X701=""),"",$X701/$J701)</f>
        <v/>
      </c>
    </row>
    <row r="702">
      <c r="B702" s="354" t="n"/>
      <c r="C702" s="354" t="n"/>
      <c r="E702" s="350" t="n"/>
      <c r="F702" s="350" t="n"/>
      <c r="G702" s="350" t="n"/>
      <c r="H702" s="350" t="n"/>
      <c r="I702" s="350" t="n"/>
      <c r="J702" s="352" t="n"/>
      <c r="M702" s="350" t="n"/>
      <c r="N702" s="350">
        <f>IF($A702="","",IF(OR(LOWER($D702&amp;"")="n/a",ISNUMBER(SEARCH("subscription",LOWER($A702&amp;" "&amp;$M702&amp;""))),ISNUMBER(SEARCH("membership",LOWER($A702&amp;" "&amp;$M702&amp;"")))),"",IF($G702="","",IF(ISNUMBER(SEARCH("non",LOWER($E702&amp;""))),$G702*0.85,$G702))))</f>
        <v/>
      </c>
      <c r="O702">
        <f>IF($A702="","",IF(OR(LOWER($D702&amp;"")="n/a",ISNUMBER(SEARCH("subscription",LOWER($A702&amp;" "&amp;$M702&amp;""))),ISNUMBER(SEARCH("membership",LOWER($A702&amp;" "&amp;$M702&amp;"")))),"",IF(OR($N702="",$I702="",$I702=0),"",$N702/$I702)))</f>
        <v/>
      </c>
      <c r="P702">
        <f>IF($A702="","",IF(OR(LOWER($D702&amp;"")="n/a",ISNUMBER(SEARCH("subscription",LOWER($A702&amp;" "&amp;$M702&amp;""))),ISNUMBER(SEARCH("membership",LOWER($A702&amp;" "&amp;$M702&amp;"")))),"",IF(LOWER($L702&amp;"")="yes",0,IF($K702&lt;&gt;"",$K702,IF($O702&lt;&gt;"",$O702,"")))))</f>
        <v/>
      </c>
      <c r="Q702">
        <f>IF($A702="","",IF($U702="Subscription","",IF($U702="Profit",$P702-$H702,0)))</f>
        <v/>
      </c>
      <c r="R702">
        <f>IF($A702="","",IF($U702="Subscription","",IF($U702="Draw",$H702,0)))</f>
        <v/>
      </c>
      <c r="S702">
        <f>IF($A702="","",IF($U702="Subscription","",IF($U702="Disqualified",$H702,0)))</f>
        <v/>
      </c>
      <c r="T702">
        <f>IF($A702="","",IF($U702="Subscription","",IF($H702=0,IF($U702="Profit","N/A",0),IF($U702="Profit",$Q702/$H702,IF($U702="Disqualified",-1,0)))))</f>
        <v/>
      </c>
      <c r="U702" s="350">
        <f>IF($A702="","",IF(OR(LOWER($D702&amp;"")="n/a",ISNUMBER(SEARCH("subscription",LOWER($A702&amp;" "&amp;$M702&amp;""))),ISNUMBER(SEARCH("membership",LOWER($A702&amp;" "&amp;$M702&amp;"")))),"Subscription",IF(LOWER($L702&amp;"")="yes","Disqualified",IF($P702&gt;$H702,"Profit","Draw"))))</f>
        <v/>
      </c>
      <c r="V702">
        <f>IF(OR($A702="",$B702="",$C702="",$U702="Subscription"),"",IFERROR(ROUNDUP((IF(ISNUMBER($C702),$C702,DATEVALUE($C702))-IF(ISNUMBER($B702),$B702,DATEVALUE($B702)))/7,0),""))</f>
        <v/>
      </c>
      <c r="W702" s="352">
        <f>IF($U702="Subscription","",$Q702-$S702)</f>
        <v/>
      </c>
      <c r="X702">
        <f>IF(OR($A702="",$U702="Subscription",$J702="",$I702="",$J702=0,$I702=0,$I702&gt;$J702),"",$J702-$I702)</f>
        <v/>
      </c>
      <c r="Y702">
        <f>IF(OR($A702="",$U702="Subscription",$J702="",$J702=0,$X702=""),"",$X702/$J702)</f>
        <v/>
      </c>
    </row>
    <row r="703">
      <c r="B703" s="354" t="n"/>
      <c r="C703" s="354" t="n"/>
      <c r="E703" s="350" t="n"/>
      <c r="F703" s="350" t="n"/>
      <c r="G703" s="350" t="n"/>
      <c r="H703" s="350" t="n"/>
      <c r="I703" s="350" t="n"/>
      <c r="J703" s="352" t="n"/>
      <c r="M703" s="350" t="n"/>
      <c r="N703" s="350">
        <f>IF($A703="","",IF(OR(LOWER($D703&amp;"")="n/a",ISNUMBER(SEARCH("subscription",LOWER($A703&amp;" "&amp;$M703&amp;""))),ISNUMBER(SEARCH("membership",LOWER($A703&amp;" "&amp;$M703&amp;"")))),"",IF($G703="","",IF(ISNUMBER(SEARCH("non",LOWER($E703&amp;""))),$G703*0.85,$G703))))</f>
        <v/>
      </c>
      <c r="O703">
        <f>IF($A703="","",IF(OR(LOWER($D703&amp;"")="n/a",ISNUMBER(SEARCH("subscription",LOWER($A703&amp;" "&amp;$M703&amp;""))),ISNUMBER(SEARCH("membership",LOWER($A703&amp;" "&amp;$M703&amp;"")))),"",IF(OR($N703="",$I703="",$I703=0),"",$N703/$I703)))</f>
        <v/>
      </c>
      <c r="P703">
        <f>IF($A703="","",IF(OR(LOWER($D703&amp;"")="n/a",ISNUMBER(SEARCH("subscription",LOWER($A703&amp;" "&amp;$M703&amp;""))),ISNUMBER(SEARCH("membership",LOWER($A703&amp;" "&amp;$M703&amp;"")))),"",IF(LOWER($L703&amp;"")="yes",0,IF($K703&lt;&gt;"",$K703,IF($O703&lt;&gt;"",$O703,"")))))</f>
        <v/>
      </c>
      <c r="Q703">
        <f>IF($A703="","",IF($U703="Subscription","",IF($U703="Profit",$P703-$H703,0)))</f>
        <v/>
      </c>
      <c r="R703">
        <f>IF($A703="","",IF($U703="Subscription","",IF($U703="Draw",$H703,0)))</f>
        <v/>
      </c>
      <c r="S703">
        <f>IF($A703="","",IF($U703="Subscription","",IF($U703="Disqualified",$H703,0)))</f>
        <v/>
      </c>
      <c r="T703">
        <f>IF($A703="","",IF($U703="Subscription","",IF($H703=0,IF($U703="Profit","N/A",0),IF($U703="Profit",$Q703/$H703,IF($U703="Disqualified",-1,0)))))</f>
        <v/>
      </c>
      <c r="U703" s="350">
        <f>IF($A703="","",IF(OR(LOWER($D703&amp;"")="n/a",ISNUMBER(SEARCH("subscription",LOWER($A703&amp;" "&amp;$M703&amp;""))),ISNUMBER(SEARCH("membership",LOWER($A703&amp;" "&amp;$M703&amp;"")))),"Subscription",IF(LOWER($L703&amp;"")="yes","Disqualified",IF($P703&gt;$H703,"Profit","Draw"))))</f>
        <v/>
      </c>
      <c r="V703">
        <f>IF(OR($A703="",$B703="",$C703="",$U703="Subscription"),"",IFERROR(ROUNDUP((IF(ISNUMBER($C703),$C703,DATEVALUE($C703))-IF(ISNUMBER($B703),$B703,DATEVALUE($B703)))/7,0),""))</f>
        <v/>
      </c>
      <c r="W703" s="352">
        <f>IF($U703="Subscription","",$Q703-$S703)</f>
        <v/>
      </c>
      <c r="X703">
        <f>IF(OR($A703="",$U703="Subscription",$J703="",$I703="",$J703=0,$I703=0,$I703&gt;$J703),"",$J703-$I703)</f>
        <v/>
      </c>
      <c r="Y703">
        <f>IF(OR($A703="",$U703="Subscription",$J703="",$J703=0,$X703=""),"",$X703/$J703)</f>
        <v/>
      </c>
    </row>
    <row r="704">
      <c r="B704" s="354" t="n"/>
      <c r="C704" s="354" t="n"/>
      <c r="E704" s="350" t="n"/>
      <c r="F704" s="350" t="n"/>
      <c r="G704" s="350" t="n"/>
      <c r="H704" s="350" t="n"/>
      <c r="I704" s="350" t="n"/>
      <c r="J704" s="352" t="n"/>
      <c r="M704" s="350" t="n"/>
      <c r="N704" s="350">
        <f>IF($A704="","",IF(OR(LOWER($D704&amp;"")="n/a",ISNUMBER(SEARCH("subscription",LOWER($A704&amp;" "&amp;$M704&amp;""))),ISNUMBER(SEARCH("membership",LOWER($A704&amp;" "&amp;$M704&amp;"")))),"",IF($G704="","",IF(ISNUMBER(SEARCH("non",LOWER($E704&amp;""))),$G704*0.85,$G704))))</f>
        <v/>
      </c>
      <c r="O704">
        <f>IF($A704="","",IF(OR(LOWER($D704&amp;"")="n/a",ISNUMBER(SEARCH("subscription",LOWER($A704&amp;" "&amp;$M704&amp;""))),ISNUMBER(SEARCH("membership",LOWER($A704&amp;" "&amp;$M704&amp;"")))),"",IF(OR($N704="",$I704="",$I704=0),"",$N704/$I704)))</f>
        <v/>
      </c>
      <c r="P704">
        <f>IF($A704="","",IF(OR(LOWER($D704&amp;"")="n/a",ISNUMBER(SEARCH("subscription",LOWER($A704&amp;" "&amp;$M704&amp;""))),ISNUMBER(SEARCH("membership",LOWER($A704&amp;" "&amp;$M704&amp;"")))),"",IF(LOWER($L704&amp;"")="yes",0,IF($K704&lt;&gt;"",$K704,IF($O704&lt;&gt;"",$O704,"")))))</f>
        <v/>
      </c>
      <c r="Q704">
        <f>IF($A704="","",IF($U704="Subscription","",IF($U704="Profit",$P704-$H704,0)))</f>
        <v/>
      </c>
      <c r="R704">
        <f>IF($A704="","",IF($U704="Subscription","",IF($U704="Draw",$H704,0)))</f>
        <v/>
      </c>
      <c r="S704">
        <f>IF($A704="","",IF($U704="Subscription","",IF($U704="Disqualified",$H704,0)))</f>
        <v/>
      </c>
      <c r="T704">
        <f>IF($A704="","",IF($U704="Subscription","",IF($H704=0,IF($U704="Profit","N/A",0),IF($U704="Profit",$Q704/$H704,IF($U704="Disqualified",-1,0)))))</f>
        <v/>
      </c>
      <c r="U704" s="350">
        <f>IF($A704="","",IF(OR(LOWER($D704&amp;"")="n/a",ISNUMBER(SEARCH("subscription",LOWER($A704&amp;" "&amp;$M704&amp;""))),ISNUMBER(SEARCH("membership",LOWER($A704&amp;" "&amp;$M704&amp;"")))),"Subscription",IF(LOWER($L704&amp;"")="yes","Disqualified",IF($P704&gt;$H704,"Profit","Draw"))))</f>
        <v/>
      </c>
      <c r="V704">
        <f>IF(OR($A704="",$B704="",$C704="",$U704="Subscription"),"",IFERROR(ROUNDUP((IF(ISNUMBER($C704),$C704,DATEVALUE($C704))-IF(ISNUMBER($B704),$B704,DATEVALUE($B704)))/7,0),""))</f>
        <v/>
      </c>
      <c r="W704" s="352">
        <f>IF($U704="Subscription","",$Q704-$S704)</f>
        <v/>
      </c>
      <c r="X704">
        <f>IF(OR($A704="",$U704="Subscription",$J704="",$I704="",$J704=0,$I704=0,$I704&gt;$J704),"",$J704-$I704)</f>
        <v/>
      </c>
      <c r="Y704">
        <f>IF(OR($A704="",$U704="Subscription",$J704="",$J704=0,$X704=""),"",$X704/$J704)</f>
        <v/>
      </c>
    </row>
    <row r="705">
      <c r="B705" s="354" t="n"/>
      <c r="C705" s="354" t="n"/>
      <c r="E705" s="350" t="n"/>
      <c r="F705" s="350" t="n"/>
      <c r="G705" s="350" t="n"/>
      <c r="H705" s="350" t="n"/>
      <c r="I705" s="350" t="n"/>
      <c r="J705" s="352" t="n"/>
      <c r="M705" s="350" t="n"/>
      <c r="N705" s="350">
        <f>IF($A705="","",IF(OR(LOWER($D705&amp;"")="n/a",ISNUMBER(SEARCH("subscription",LOWER($A705&amp;" "&amp;$M705&amp;""))),ISNUMBER(SEARCH("membership",LOWER($A705&amp;" "&amp;$M705&amp;"")))),"",IF($G705="","",IF(ISNUMBER(SEARCH("non",LOWER($E705&amp;""))),$G705*0.85,$G705))))</f>
        <v/>
      </c>
      <c r="O705">
        <f>IF($A705="","",IF(OR(LOWER($D705&amp;"")="n/a",ISNUMBER(SEARCH("subscription",LOWER($A705&amp;" "&amp;$M705&amp;""))),ISNUMBER(SEARCH("membership",LOWER($A705&amp;" "&amp;$M705&amp;"")))),"",IF(OR($N705="",$I705="",$I705=0),"",$N705/$I705)))</f>
        <v/>
      </c>
      <c r="P705">
        <f>IF($A705="","",IF(OR(LOWER($D705&amp;"")="n/a",ISNUMBER(SEARCH("subscription",LOWER($A705&amp;" "&amp;$M705&amp;""))),ISNUMBER(SEARCH("membership",LOWER($A705&amp;" "&amp;$M705&amp;"")))),"",IF(LOWER($L705&amp;"")="yes",0,IF($K705&lt;&gt;"",$K705,IF($O705&lt;&gt;"",$O705,"")))))</f>
        <v/>
      </c>
      <c r="Q705">
        <f>IF($A705="","",IF($U705="Subscription","",IF($U705="Profit",$P705-$H705,0)))</f>
        <v/>
      </c>
      <c r="R705">
        <f>IF($A705="","",IF($U705="Subscription","",IF($U705="Draw",$H705,0)))</f>
        <v/>
      </c>
      <c r="S705">
        <f>IF($A705="","",IF($U705="Subscription","",IF($U705="Disqualified",$H705,0)))</f>
        <v/>
      </c>
      <c r="T705">
        <f>IF($A705="","",IF($U705="Subscription","",IF($H705=0,IF($U705="Profit","N/A",0),IF($U705="Profit",$Q705/$H705,IF($U705="Disqualified",-1,0)))))</f>
        <v/>
      </c>
      <c r="U705" s="350">
        <f>IF($A705="","",IF(OR(LOWER($D705&amp;"")="n/a",ISNUMBER(SEARCH("subscription",LOWER($A705&amp;" "&amp;$M705&amp;""))),ISNUMBER(SEARCH("membership",LOWER($A705&amp;" "&amp;$M705&amp;"")))),"Subscription",IF(LOWER($L705&amp;"")="yes","Disqualified",IF($P705&gt;$H705,"Profit","Draw"))))</f>
        <v/>
      </c>
      <c r="V705">
        <f>IF(OR($A705="",$B705="",$C705="",$U705="Subscription"),"",IFERROR(ROUNDUP((IF(ISNUMBER($C705),$C705,DATEVALUE($C705))-IF(ISNUMBER($B705),$B705,DATEVALUE($B705)))/7,0),""))</f>
        <v/>
      </c>
      <c r="W705" s="352">
        <f>IF($U705="Subscription","",$Q705-$S705)</f>
        <v/>
      </c>
      <c r="X705">
        <f>IF(OR($A705="",$U705="Subscription",$J705="",$I705="",$J705=0,$I705=0,$I705&gt;$J705),"",$J705-$I705)</f>
        <v/>
      </c>
      <c r="Y705">
        <f>IF(OR($A705="",$U705="Subscription",$J705="",$J705=0,$X705=""),"",$X705/$J705)</f>
        <v/>
      </c>
    </row>
    <row r="706">
      <c r="B706" s="354" t="n"/>
      <c r="C706" s="354" t="n"/>
      <c r="E706" s="350" t="n"/>
      <c r="F706" s="350" t="n"/>
      <c r="G706" s="350" t="n"/>
      <c r="H706" s="350" t="n"/>
      <c r="I706" s="350" t="n"/>
      <c r="J706" s="352" t="n"/>
      <c r="M706" s="350" t="n"/>
      <c r="N706" s="350">
        <f>IF($A706="","",IF(OR(LOWER($D706&amp;"")="n/a",ISNUMBER(SEARCH("subscription",LOWER($A706&amp;" "&amp;$M706&amp;""))),ISNUMBER(SEARCH("membership",LOWER($A706&amp;" "&amp;$M706&amp;"")))),"",IF($G706="","",IF(ISNUMBER(SEARCH("non",LOWER($E706&amp;""))),$G706*0.85,$G706))))</f>
        <v/>
      </c>
      <c r="O706">
        <f>IF($A706="","",IF(OR(LOWER($D706&amp;"")="n/a",ISNUMBER(SEARCH("subscription",LOWER($A706&amp;" "&amp;$M706&amp;""))),ISNUMBER(SEARCH("membership",LOWER($A706&amp;" "&amp;$M706&amp;"")))),"",IF(OR($N706="",$I706="",$I706=0),"",$N706/$I706)))</f>
        <v/>
      </c>
      <c r="P706">
        <f>IF($A706="","",IF(OR(LOWER($D706&amp;"")="n/a",ISNUMBER(SEARCH("subscription",LOWER($A706&amp;" "&amp;$M706&amp;""))),ISNUMBER(SEARCH("membership",LOWER($A706&amp;" "&amp;$M706&amp;"")))),"",IF(LOWER($L706&amp;"")="yes",0,IF($K706&lt;&gt;"",$K706,IF($O706&lt;&gt;"",$O706,"")))))</f>
        <v/>
      </c>
      <c r="Q706">
        <f>IF($A706="","",IF($U706="Subscription","",IF($U706="Profit",$P706-$H706,0)))</f>
        <v/>
      </c>
      <c r="R706">
        <f>IF($A706="","",IF($U706="Subscription","",IF($U706="Draw",$H706,0)))</f>
        <v/>
      </c>
      <c r="S706">
        <f>IF($A706="","",IF($U706="Subscription","",IF($U706="Disqualified",$H706,0)))</f>
        <v/>
      </c>
      <c r="T706">
        <f>IF($A706="","",IF($U706="Subscription","",IF($H706=0,IF($U706="Profit","N/A",0),IF($U706="Profit",$Q706/$H706,IF($U706="Disqualified",-1,0)))))</f>
        <v/>
      </c>
      <c r="U706" s="350">
        <f>IF($A706="","",IF(OR(LOWER($D706&amp;"")="n/a",ISNUMBER(SEARCH("subscription",LOWER($A706&amp;" "&amp;$M706&amp;""))),ISNUMBER(SEARCH("membership",LOWER($A706&amp;" "&amp;$M706&amp;"")))),"Subscription",IF(LOWER($L706&amp;"")="yes","Disqualified",IF($P706&gt;$H706,"Profit","Draw"))))</f>
        <v/>
      </c>
      <c r="V706">
        <f>IF(OR($A706="",$B706="",$C706="",$U706="Subscription"),"",IFERROR(ROUNDUP((IF(ISNUMBER($C706),$C706,DATEVALUE($C706))-IF(ISNUMBER($B706),$B706,DATEVALUE($B706)))/7,0),""))</f>
        <v/>
      </c>
      <c r="W706" s="352">
        <f>IF($U706="Subscription","",$Q706-$S706)</f>
        <v/>
      </c>
      <c r="X706">
        <f>IF(OR($A706="",$U706="Subscription",$J706="",$I706="",$J706=0,$I706=0,$I706&gt;$J706),"",$J706-$I706)</f>
        <v/>
      </c>
      <c r="Y706">
        <f>IF(OR($A706="",$U706="Subscription",$J706="",$J706=0,$X706=""),"",$X706/$J706)</f>
        <v/>
      </c>
    </row>
    <row r="707">
      <c r="B707" s="354" t="n"/>
      <c r="C707" s="354" t="n"/>
      <c r="E707" s="350" t="n"/>
      <c r="F707" s="350" t="n"/>
      <c r="G707" s="350" t="n"/>
      <c r="H707" s="350" t="n"/>
      <c r="I707" s="350" t="n"/>
      <c r="J707" s="352" t="n"/>
      <c r="M707" s="350" t="n"/>
      <c r="N707" s="350">
        <f>IF($A707="","",IF(OR(LOWER($D707&amp;"")="n/a",ISNUMBER(SEARCH("subscription",LOWER($A707&amp;" "&amp;$M707&amp;""))),ISNUMBER(SEARCH("membership",LOWER($A707&amp;" "&amp;$M707&amp;"")))),"",IF($G707="","",IF(ISNUMBER(SEARCH("non",LOWER($E707&amp;""))),$G707*0.85,$G707))))</f>
        <v/>
      </c>
      <c r="O707">
        <f>IF($A707="","",IF(OR(LOWER($D707&amp;"")="n/a",ISNUMBER(SEARCH("subscription",LOWER($A707&amp;" "&amp;$M707&amp;""))),ISNUMBER(SEARCH("membership",LOWER($A707&amp;" "&amp;$M707&amp;"")))),"",IF(OR($N707="",$I707="",$I707=0),"",$N707/$I707)))</f>
        <v/>
      </c>
      <c r="P707">
        <f>IF($A707="","",IF(OR(LOWER($D707&amp;"")="n/a",ISNUMBER(SEARCH("subscription",LOWER($A707&amp;" "&amp;$M707&amp;""))),ISNUMBER(SEARCH("membership",LOWER($A707&amp;" "&amp;$M707&amp;"")))),"",IF(LOWER($L707&amp;"")="yes",0,IF($K707&lt;&gt;"",$K707,IF($O707&lt;&gt;"",$O707,"")))))</f>
        <v/>
      </c>
      <c r="Q707">
        <f>IF($A707="","",IF($U707="Subscription","",IF($U707="Profit",$P707-$H707,0)))</f>
        <v/>
      </c>
      <c r="R707">
        <f>IF($A707="","",IF($U707="Subscription","",IF($U707="Draw",$H707,0)))</f>
        <v/>
      </c>
      <c r="S707">
        <f>IF($A707="","",IF($U707="Subscription","",IF($U707="Disqualified",$H707,0)))</f>
        <v/>
      </c>
      <c r="T707">
        <f>IF($A707="","",IF($U707="Subscription","",IF($H707=0,IF($U707="Profit","N/A",0),IF($U707="Profit",$Q707/$H707,IF($U707="Disqualified",-1,0)))))</f>
        <v/>
      </c>
      <c r="U707" s="350">
        <f>IF($A707="","",IF(OR(LOWER($D707&amp;"")="n/a",ISNUMBER(SEARCH("subscription",LOWER($A707&amp;" "&amp;$M707&amp;""))),ISNUMBER(SEARCH("membership",LOWER($A707&amp;" "&amp;$M707&amp;"")))),"Subscription",IF(LOWER($L707&amp;"")="yes","Disqualified",IF($P707&gt;$H707,"Profit","Draw"))))</f>
        <v/>
      </c>
      <c r="V707">
        <f>IF(OR($A707="",$B707="",$C707="",$U707="Subscription"),"",IFERROR(ROUNDUP((IF(ISNUMBER($C707),$C707,DATEVALUE($C707))-IF(ISNUMBER($B707),$B707,DATEVALUE($B707)))/7,0),""))</f>
        <v/>
      </c>
      <c r="W707" s="352">
        <f>IF($U707="Subscription","",$Q707-$S707)</f>
        <v/>
      </c>
      <c r="X707">
        <f>IF(OR($A707="",$U707="Subscription",$J707="",$I707="",$J707=0,$I707=0,$I707&gt;$J707),"",$J707-$I707)</f>
        <v/>
      </c>
      <c r="Y707">
        <f>IF(OR($A707="",$U707="Subscription",$J707="",$J707=0,$X707=""),"",$X707/$J707)</f>
        <v/>
      </c>
    </row>
    <row r="708">
      <c r="B708" s="354" t="n"/>
      <c r="C708" s="354" t="n"/>
      <c r="E708" s="350" t="n"/>
      <c r="F708" s="350" t="n"/>
      <c r="G708" s="350" t="n"/>
      <c r="H708" s="350" t="n"/>
      <c r="I708" s="350" t="n"/>
      <c r="J708" s="352" t="n"/>
      <c r="M708" s="350" t="n"/>
      <c r="N708" s="350">
        <f>IF($A708="","",IF(OR(LOWER($D708&amp;"")="n/a",ISNUMBER(SEARCH("subscription",LOWER($A708&amp;" "&amp;$M708&amp;""))),ISNUMBER(SEARCH("membership",LOWER($A708&amp;" "&amp;$M708&amp;"")))),"",IF($G708="","",IF(ISNUMBER(SEARCH("non",LOWER($E708&amp;""))),$G708*0.85,$G708))))</f>
        <v/>
      </c>
      <c r="O708">
        <f>IF($A708="","",IF(OR(LOWER($D708&amp;"")="n/a",ISNUMBER(SEARCH("subscription",LOWER($A708&amp;" "&amp;$M708&amp;""))),ISNUMBER(SEARCH("membership",LOWER($A708&amp;" "&amp;$M708&amp;"")))),"",IF(OR($N708="",$I708="",$I708=0),"",$N708/$I708)))</f>
        <v/>
      </c>
      <c r="P708">
        <f>IF($A708="","",IF(OR(LOWER($D708&amp;"")="n/a",ISNUMBER(SEARCH("subscription",LOWER($A708&amp;" "&amp;$M708&amp;""))),ISNUMBER(SEARCH("membership",LOWER($A708&amp;" "&amp;$M708&amp;"")))),"",IF(LOWER($L708&amp;"")="yes",0,IF($K708&lt;&gt;"",$K708,IF($O708&lt;&gt;"",$O708,"")))))</f>
        <v/>
      </c>
      <c r="Q708">
        <f>IF($A708="","",IF($U708="Subscription","",IF($U708="Profit",$P708-$H708,0)))</f>
        <v/>
      </c>
      <c r="R708">
        <f>IF($A708="","",IF($U708="Subscription","",IF($U708="Draw",$H708,0)))</f>
        <v/>
      </c>
      <c r="S708">
        <f>IF($A708="","",IF($U708="Subscription","",IF($U708="Disqualified",$H708,0)))</f>
        <v/>
      </c>
      <c r="T708">
        <f>IF($A708="","",IF($U708="Subscription","",IF($H708=0,IF($U708="Profit","N/A",0),IF($U708="Profit",$Q708/$H708,IF($U708="Disqualified",-1,0)))))</f>
        <v/>
      </c>
      <c r="U708" s="350">
        <f>IF($A708="","",IF(OR(LOWER($D708&amp;"")="n/a",ISNUMBER(SEARCH("subscription",LOWER($A708&amp;" "&amp;$M708&amp;""))),ISNUMBER(SEARCH("membership",LOWER($A708&amp;" "&amp;$M708&amp;"")))),"Subscription",IF(LOWER($L708&amp;"")="yes","Disqualified",IF($P708&gt;$H708,"Profit","Draw"))))</f>
        <v/>
      </c>
      <c r="V708">
        <f>IF(OR($A708="",$B708="",$C708="",$U708="Subscription"),"",IFERROR(ROUNDUP((IF(ISNUMBER($C708),$C708,DATEVALUE($C708))-IF(ISNUMBER($B708),$B708,DATEVALUE($B708)))/7,0),""))</f>
        <v/>
      </c>
      <c r="W708" s="352">
        <f>IF($U708="Subscription","",$Q708-$S708)</f>
        <v/>
      </c>
      <c r="X708">
        <f>IF(OR($A708="",$U708="Subscription",$J708="",$I708="",$J708=0,$I708=0,$I708&gt;$J708),"",$J708-$I708)</f>
        <v/>
      </c>
      <c r="Y708">
        <f>IF(OR($A708="",$U708="Subscription",$J708="",$J708=0,$X708=""),"",$X708/$J708)</f>
        <v/>
      </c>
    </row>
    <row r="709">
      <c r="B709" s="354" t="n"/>
      <c r="C709" s="354" t="n"/>
      <c r="E709" s="350" t="n"/>
      <c r="F709" s="350" t="n"/>
      <c r="G709" s="350" t="n"/>
      <c r="H709" s="350" t="n"/>
      <c r="I709" s="350" t="n"/>
      <c r="J709" s="352" t="n"/>
      <c r="M709" s="350" t="n"/>
      <c r="N709" s="350">
        <f>IF($A709="","",IF(OR(LOWER($D709&amp;"")="n/a",ISNUMBER(SEARCH("subscription",LOWER($A709&amp;" "&amp;$M709&amp;""))),ISNUMBER(SEARCH("membership",LOWER($A709&amp;" "&amp;$M709&amp;"")))),"",IF($G709="","",IF(ISNUMBER(SEARCH("non",LOWER($E709&amp;""))),$G709*0.85,$G709))))</f>
        <v/>
      </c>
      <c r="O709">
        <f>IF($A709="","",IF(OR(LOWER($D709&amp;"")="n/a",ISNUMBER(SEARCH("subscription",LOWER($A709&amp;" "&amp;$M709&amp;""))),ISNUMBER(SEARCH("membership",LOWER($A709&amp;" "&amp;$M709&amp;"")))),"",IF(OR($N709="",$I709="",$I709=0),"",$N709/$I709)))</f>
        <v/>
      </c>
      <c r="P709">
        <f>IF($A709="","",IF(OR(LOWER($D709&amp;"")="n/a",ISNUMBER(SEARCH("subscription",LOWER($A709&amp;" "&amp;$M709&amp;""))),ISNUMBER(SEARCH("membership",LOWER($A709&amp;" "&amp;$M709&amp;"")))),"",IF(LOWER($L709&amp;"")="yes",0,IF($K709&lt;&gt;"",$K709,IF($O709&lt;&gt;"",$O709,"")))))</f>
        <v/>
      </c>
      <c r="Q709">
        <f>IF($A709="","",IF($U709="Subscription","",IF($U709="Profit",$P709-$H709,0)))</f>
        <v/>
      </c>
      <c r="R709">
        <f>IF($A709="","",IF($U709="Subscription","",IF($U709="Draw",$H709,0)))</f>
        <v/>
      </c>
      <c r="S709">
        <f>IF($A709="","",IF($U709="Subscription","",IF($U709="Disqualified",$H709,0)))</f>
        <v/>
      </c>
      <c r="T709">
        <f>IF($A709="","",IF($U709="Subscription","",IF($H709=0,IF($U709="Profit","N/A",0),IF($U709="Profit",$Q709/$H709,IF($U709="Disqualified",-1,0)))))</f>
        <v/>
      </c>
      <c r="U709" s="350">
        <f>IF($A709="","",IF(OR(LOWER($D709&amp;"")="n/a",ISNUMBER(SEARCH("subscription",LOWER($A709&amp;" "&amp;$M709&amp;""))),ISNUMBER(SEARCH("membership",LOWER($A709&amp;" "&amp;$M709&amp;"")))),"Subscription",IF(LOWER($L709&amp;"")="yes","Disqualified",IF($P709&gt;$H709,"Profit","Draw"))))</f>
        <v/>
      </c>
      <c r="V709">
        <f>IF(OR($A709="",$B709="",$C709="",$U709="Subscription"),"",IFERROR(ROUNDUP((IF(ISNUMBER($C709),$C709,DATEVALUE($C709))-IF(ISNUMBER($B709),$B709,DATEVALUE($B709)))/7,0),""))</f>
        <v/>
      </c>
      <c r="W709" s="352">
        <f>IF($U709="Subscription","",$Q709-$S709)</f>
        <v/>
      </c>
      <c r="X709">
        <f>IF(OR($A709="",$U709="Subscription",$J709="",$I709="",$J709=0,$I709=0,$I709&gt;$J709),"",$J709-$I709)</f>
        <v/>
      </c>
      <c r="Y709">
        <f>IF(OR($A709="",$U709="Subscription",$J709="",$J709=0,$X709=""),"",$X709/$J709)</f>
        <v/>
      </c>
    </row>
    <row r="710">
      <c r="B710" s="354" t="n"/>
      <c r="C710" s="354" t="n"/>
      <c r="E710" s="350" t="n"/>
      <c r="F710" s="350" t="n"/>
      <c r="G710" s="350" t="n"/>
      <c r="H710" s="350" t="n"/>
      <c r="I710" s="350" t="n"/>
      <c r="J710" s="352" t="n"/>
      <c r="M710" s="350" t="n"/>
      <c r="N710" s="350">
        <f>IF($A710="","",IF(OR(LOWER($D710&amp;"")="n/a",ISNUMBER(SEARCH("subscription",LOWER($A710&amp;" "&amp;$M710&amp;""))),ISNUMBER(SEARCH("membership",LOWER($A710&amp;" "&amp;$M710&amp;"")))),"",IF($G710="","",IF(ISNUMBER(SEARCH("non",LOWER($E710&amp;""))),$G710*0.85,$G710))))</f>
        <v/>
      </c>
      <c r="O710">
        <f>IF($A710="","",IF(OR(LOWER($D710&amp;"")="n/a",ISNUMBER(SEARCH("subscription",LOWER($A710&amp;" "&amp;$M710&amp;""))),ISNUMBER(SEARCH("membership",LOWER($A710&amp;" "&amp;$M710&amp;"")))),"",IF(OR($N710="",$I710="",$I710=0),"",$N710/$I710)))</f>
        <v/>
      </c>
      <c r="P710">
        <f>IF($A710="","",IF(OR(LOWER($D710&amp;"")="n/a",ISNUMBER(SEARCH("subscription",LOWER($A710&amp;" "&amp;$M710&amp;""))),ISNUMBER(SEARCH("membership",LOWER($A710&amp;" "&amp;$M710&amp;"")))),"",IF(LOWER($L710&amp;"")="yes",0,IF($K710&lt;&gt;"",$K710,IF($O710&lt;&gt;"",$O710,"")))))</f>
        <v/>
      </c>
      <c r="Q710">
        <f>IF($A710="","",IF($U710="Subscription","",IF($U710="Profit",$P710-$H710,0)))</f>
        <v/>
      </c>
      <c r="R710">
        <f>IF($A710="","",IF($U710="Subscription","",IF($U710="Draw",$H710,0)))</f>
        <v/>
      </c>
      <c r="S710">
        <f>IF($A710="","",IF($U710="Subscription","",IF($U710="Disqualified",$H710,0)))</f>
        <v/>
      </c>
      <c r="T710">
        <f>IF($A710="","",IF($U710="Subscription","",IF($H710=0,IF($U710="Profit","N/A",0),IF($U710="Profit",$Q710/$H710,IF($U710="Disqualified",-1,0)))))</f>
        <v/>
      </c>
      <c r="U710" s="350">
        <f>IF($A710="","",IF(OR(LOWER($D710&amp;"")="n/a",ISNUMBER(SEARCH("subscription",LOWER($A710&amp;" "&amp;$M710&amp;""))),ISNUMBER(SEARCH("membership",LOWER($A710&amp;" "&amp;$M710&amp;"")))),"Subscription",IF(LOWER($L710&amp;"")="yes","Disqualified",IF($P710&gt;$H710,"Profit","Draw"))))</f>
        <v/>
      </c>
      <c r="V710">
        <f>IF(OR($A710="",$B710="",$C710="",$U710="Subscription"),"",IFERROR(ROUNDUP((IF(ISNUMBER($C710),$C710,DATEVALUE($C710))-IF(ISNUMBER($B710),$B710,DATEVALUE($B710)))/7,0),""))</f>
        <v/>
      </c>
      <c r="W710" s="352">
        <f>IF($U710="Subscription","",$Q710-$S710)</f>
        <v/>
      </c>
      <c r="X710">
        <f>IF(OR($A710="",$U710="Subscription",$J710="",$I710="",$J710=0,$I710=0,$I710&gt;$J710),"",$J710-$I710)</f>
        <v/>
      </c>
      <c r="Y710">
        <f>IF(OR($A710="",$U710="Subscription",$J710="",$J710=0,$X710=""),"",$X710/$J710)</f>
        <v/>
      </c>
    </row>
    <row r="711">
      <c r="B711" s="354" t="n"/>
      <c r="C711" s="354" t="n"/>
      <c r="E711" s="350" t="n"/>
      <c r="F711" s="350" t="n"/>
      <c r="G711" s="350" t="n"/>
      <c r="H711" s="350" t="n"/>
      <c r="I711" s="350" t="n"/>
      <c r="J711" s="352" t="n"/>
      <c r="M711" s="350" t="n"/>
      <c r="N711" s="350">
        <f>IF($A711="","",IF(OR(LOWER($D711&amp;"")="n/a",ISNUMBER(SEARCH("subscription",LOWER($A711&amp;" "&amp;$M711&amp;""))),ISNUMBER(SEARCH("membership",LOWER($A711&amp;" "&amp;$M711&amp;"")))),"",IF($G711="","",IF(ISNUMBER(SEARCH("non",LOWER($E711&amp;""))),$G711*0.85,$G711))))</f>
        <v/>
      </c>
      <c r="O711">
        <f>IF($A711="","",IF(OR(LOWER($D711&amp;"")="n/a",ISNUMBER(SEARCH("subscription",LOWER($A711&amp;" "&amp;$M711&amp;""))),ISNUMBER(SEARCH("membership",LOWER($A711&amp;" "&amp;$M711&amp;"")))),"",IF(OR($N711="",$I711="",$I711=0),"",$N711/$I711)))</f>
        <v/>
      </c>
      <c r="P711">
        <f>IF($A711="","",IF(OR(LOWER($D711&amp;"")="n/a",ISNUMBER(SEARCH("subscription",LOWER($A711&amp;" "&amp;$M711&amp;""))),ISNUMBER(SEARCH("membership",LOWER($A711&amp;" "&amp;$M711&amp;"")))),"",IF(LOWER($L711&amp;"")="yes",0,IF($K711&lt;&gt;"",$K711,IF($O711&lt;&gt;"",$O711,"")))))</f>
        <v/>
      </c>
      <c r="Q711">
        <f>IF($A711="","",IF($U711="Subscription","",IF($U711="Profit",$P711-$H711,0)))</f>
        <v/>
      </c>
      <c r="R711">
        <f>IF($A711="","",IF($U711="Subscription","",IF($U711="Draw",$H711,0)))</f>
        <v/>
      </c>
      <c r="S711">
        <f>IF($A711="","",IF($U711="Subscription","",IF($U711="Disqualified",$H711,0)))</f>
        <v/>
      </c>
      <c r="T711">
        <f>IF($A711="","",IF($U711="Subscription","",IF($H711=0,IF($U711="Profit","N/A",0),IF($U711="Profit",$Q711/$H711,IF($U711="Disqualified",-1,0)))))</f>
        <v/>
      </c>
      <c r="U711" s="350">
        <f>IF($A711="","",IF(OR(LOWER($D711&amp;"")="n/a",ISNUMBER(SEARCH("subscription",LOWER($A711&amp;" "&amp;$M711&amp;""))),ISNUMBER(SEARCH("membership",LOWER($A711&amp;" "&amp;$M711&amp;"")))),"Subscription",IF(LOWER($L711&amp;"")="yes","Disqualified",IF($P711&gt;$H711,"Profit","Draw"))))</f>
        <v/>
      </c>
      <c r="V711">
        <f>IF(OR($A711="",$B711="",$C711="",$U711="Subscription"),"",IFERROR(ROUNDUP((IF(ISNUMBER($C711),$C711,DATEVALUE($C711))-IF(ISNUMBER($B711),$B711,DATEVALUE($B711)))/7,0),""))</f>
        <v/>
      </c>
      <c r="W711" s="352">
        <f>IF($U711="Subscription","",$Q711-$S711)</f>
        <v/>
      </c>
      <c r="X711">
        <f>IF(OR($A711="",$U711="Subscription",$J711="",$I711="",$J711=0,$I711=0,$I711&gt;$J711),"",$J711-$I711)</f>
        <v/>
      </c>
      <c r="Y711">
        <f>IF(OR($A711="",$U711="Subscription",$J711="",$J711=0,$X711=""),"",$X711/$J711)</f>
        <v/>
      </c>
    </row>
    <row r="712">
      <c r="B712" s="354" t="n"/>
      <c r="C712" s="354" t="n"/>
      <c r="E712" s="350" t="n"/>
      <c r="F712" s="350" t="n"/>
      <c r="G712" s="350" t="n"/>
      <c r="H712" s="350" t="n"/>
      <c r="I712" s="350" t="n"/>
      <c r="J712" s="352" t="n"/>
      <c r="M712" s="350" t="n"/>
      <c r="N712" s="350">
        <f>IF($A712="","",IF(OR(LOWER($D712&amp;"")="n/a",ISNUMBER(SEARCH("subscription",LOWER($A712&amp;" "&amp;$M712&amp;""))),ISNUMBER(SEARCH("membership",LOWER($A712&amp;" "&amp;$M712&amp;"")))),"",IF($G712="","",IF(ISNUMBER(SEARCH("non",LOWER($E712&amp;""))),$G712*0.85,$G712))))</f>
        <v/>
      </c>
      <c r="O712">
        <f>IF($A712="","",IF(OR(LOWER($D712&amp;"")="n/a",ISNUMBER(SEARCH("subscription",LOWER($A712&amp;" "&amp;$M712&amp;""))),ISNUMBER(SEARCH("membership",LOWER($A712&amp;" "&amp;$M712&amp;"")))),"",IF(OR($N712="",$I712="",$I712=0),"",$N712/$I712)))</f>
        <v/>
      </c>
      <c r="P712">
        <f>IF($A712="","",IF(OR(LOWER($D712&amp;"")="n/a",ISNUMBER(SEARCH("subscription",LOWER($A712&amp;" "&amp;$M712&amp;""))),ISNUMBER(SEARCH("membership",LOWER($A712&amp;" "&amp;$M712&amp;"")))),"",IF(LOWER($L712&amp;"")="yes",0,IF($K712&lt;&gt;"",$K712,IF($O712&lt;&gt;"",$O712,"")))))</f>
        <v/>
      </c>
      <c r="Q712">
        <f>IF($A712="","",IF($U712="Subscription","",IF($U712="Profit",$P712-$H712,0)))</f>
        <v/>
      </c>
      <c r="R712">
        <f>IF($A712="","",IF($U712="Subscription","",IF($U712="Draw",$H712,0)))</f>
        <v/>
      </c>
      <c r="S712">
        <f>IF($A712="","",IF($U712="Subscription","",IF($U712="Disqualified",$H712,0)))</f>
        <v/>
      </c>
      <c r="T712">
        <f>IF($A712="","",IF($U712="Subscription","",IF($H712=0,IF($U712="Profit","N/A",0),IF($U712="Profit",$Q712/$H712,IF($U712="Disqualified",-1,0)))))</f>
        <v/>
      </c>
      <c r="U712" s="350">
        <f>IF($A712="","",IF(OR(LOWER($D712&amp;"")="n/a",ISNUMBER(SEARCH("subscription",LOWER($A712&amp;" "&amp;$M712&amp;""))),ISNUMBER(SEARCH("membership",LOWER($A712&amp;" "&amp;$M712&amp;"")))),"Subscription",IF(LOWER($L712&amp;"")="yes","Disqualified",IF($P712&gt;$H712,"Profit","Draw"))))</f>
        <v/>
      </c>
      <c r="V712">
        <f>IF(OR($A712="",$B712="",$C712="",$U712="Subscription"),"",IFERROR(ROUNDUP((IF(ISNUMBER($C712),$C712,DATEVALUE($C712))-IF(ISNUMBER($B712),$B712,DATEVALUE($B712)))/7,0),""))</f>
        <v/>
      </c>
      <c r="W712" s="352">
        <f>IF($U712="Subscription","",$Q712-$S712)</f>
        <v/>
      </c>
      <c r="X712">
        <f>IF(OR($A712="",$U712="Subscription",$J712="",$I712="",$J712=0,$I712=0,$I712&gt;$J712),"",$J712-$I712)</f>
        <v/>
      </c>
      <c r="Y712">
        <f>IF(OR($A712="",$U712="Subscription",$J712="",$J712=0,$X712=""),"",$X712/$J712)</f>
        <v/>
      </c>
    </row>
    <row r="713">
      <c r="B713" s="354" t="n"/>
      <c r="C713" s="354" t="n"/>
      <c r="E713" s="350" t="n"/>
      <c r="F713" s="350" t="n"/>
      <c r="G713" s="350" t="n"/>
      <c r="H713" s="350" t="n"/>
      <c r="I713" s="350" t="n"/>
      <c r="J713" s="352" t="n"/>
      <c r="M713" s="350" t="n"/>
      <c r="N713" s="350">
        <f>IF($A713="","",IF(OR(LOWER($D713&amp;"")="n/a",ISNUMBER(SEARCH("subscription",LOWER($A713&amp;" "&amp;$M713&amp;""))),ISNUMBER(SEARCH("membership",LOWER($A713&amp;" "&amp;$M713&amp;"")))),"",IF($G713="","",IF(ISNUMBER(SEARCH("non",LOWER($E713&amp;""))),$G713*0.85,$G713))))</f>
        <v/>
      </c>
      <c r="O713">
        <f>IF($A713="","",IF(OR(LOWER($D713&amp;"")="n/a",ISNUMBER(SEARCH("subscription",LOWER($A713&amp;" "&amp;$M713&amp;""))),ISNUMBER(SEARCH("membership",LOWER($A713&amp;" "&amp;$M713&amp;"")))),"",IF(OR($N713="",$I713="",$I713=0),"",$N713/$I713)))</f>
        <v/>
      </c>
      <c r="P713">
        <f>IF($A713="","",IF(OR(LOWER($D713&amp;"")="n/a",ISNUMBER(SEARCH("subscription",LOWER($A713&amp;" "&amp;$M713&amp;""))),ISNUMBER(SEARCH("membership",LOWER($A713&amp;" "&amp;$M713&amp;"")))),"",IF(LOWER($L713&amp;"")="yes",0,IF($K713&lt;&gt;"",$K713,IF($O713&lt;&gt;"",$O713,"")))))</f>
        <v/>
      </c>
      <c r="Q713">
        <f>IF($A713="","",IF($U713="Subscription","",IF($U713="Profit",$P713-$H713,0)))</f>
        <v/>
      </c>
      <c r="R713">
        <f>IF($A713="","",IF($U713="Subscription","",IF($U713="Draw",$H713,0)))</f>
        <v/>
      </c>
      <c r="S713">
        <f>IF($A713="","",IF($U713="Subscription","",IF($U713="Disqualified",$H713,0)))</f>
        <v/>
      </c>
      <c r="T713">
        <f>IF($A713="","",IF($U713="Subscription","",IF($H713=0,IF($U713="Profit","N/A",0),IF($U713="Profit",$Q713/$H713,IF($U713="Disqualified",-1,0)))))</f>
        <v/>
      </c>
      <c r="U713" s="350">
        <f>IF($A713="","",IF(OR(LOWER($D713&amp;"")="n/a",ISNUMBER(SEARCH("subscription",LOWER($A713&amp;" "&amp;$M713&amp;""))),ISNUMBER(SEARCH("membership",LOWER($A713&amp;" "&amp;$M713&amp;"")))),"Subscription",IF(LOWER($L713&amp;"")="yes","Disqualified",IF($P713&gt;$H713,"Profit","Draw"))))</f>
        <v/>
      </c>
      <c r="V713">
        <f>IF(OR($A713="",$B713="",$C713="",$U713="Subscription"),"",IFERROR(ROUNDUP((IF(ISNUMBER($C713),$C713,DATEVALUE($C713))-IF(ISNUMBER($B713),$B713,DATEVALUE($B713)))/7,0),""))</f>
        <v/>
      </c>
      <c r="W713" s="352">
        <f>IF($U713="Subscription","",$Q713-$S713)</f>
        <v/>
      </c>
      <c r="X713">
        <f>IF(OR($A713="",$U713="Subscription",$J713="",$I713="",$J713=0,$I713=0,$I713&gt;$J713),"",$J713-$I713)</f>
        <v/>
      </c>
      <c r="Y713">
        <f>IF(OR($A713="",$U713="Subscription",$J713="",$J713=0,$X713=""),"",$X713/$J713)</f>
        <v/>
      </c>
    </row>
    <row r="714">
      <c r="B714" s="354" t="n"/>
      <c r="C714" s="354" t="n"/>
      <c r="E714" s="350" t="n"/>
      <c r="F714" s="350" t="n"/>
      <c r="G714" s="350" t="n"/>
      <c r="H714" s="350" t="n"/>
      <c r="I714" s="350" t="n"/>
      <c r="J714" s="352" t="n"/>
      <c r="M714" s="350" t="n"/>
      <c r="N714" s="350">
        <f>IF($A714="","",IF(OR(LOWER($D714&amp;"")="n/a",ISNUMBER(SEARCH("subscription",LOWER($A714&amp;" "&amp;$M714&amp;""))),ISNUMBER(SEARCH("membership",LOWER($A714&amp;" "&amp;$M714&amp;"")))),"",IF($G714="","",IF(ISNUMBER(SEARCH("non",LOWER($E714&amp;""))),$G714*0.85,$G714))))</f>
        <v/>
      </c>
      <c r="O714">
        <f>IF($A714="","",IF(OR(LOWER($D714&amp;"")="n/a",ISNUMBER(SEARCH("subscription",LOWER($A714&amp;" "&amp;$M714&amp;""))),ISNUMBER(SEARCH("membership",LOWER($A714&amp;" "&amp;$M714&amp;"")))),"",IF(OR($N714="",$I714="",$I714=0),"",$N714/$I714)))</f>
        <v/>
      </c>
      <c r="P714">
        <f>IF($A714="","",IF(OR(LOWER($D714&amp;"")="n/a",ISNUMBER(SEARCH("subscription",LOWER($A714&amp;" "&amp;$M714&amp;""))),ISNUMBER(SEARCH("membership",LOWER($A714&amp;" "&amp;$M714&amp;"")))),"",IF(LOWER($L714&amp;"")="yes",0,IF($K714&lt;&gt;"",$K714,IF($O714&lt;&gt;"",$O714,"")))))</f>
        <v/>
      </c>
      <c r="Q714">
        <f>IF($A714="","",IF($U714="Subscription","",IF($U714="Profit",$P714-$H714,0)))</f>
        <v/>
      </c>
      <c r="R714">
        <f>IF($A714="","",IF($U714="Subscription","",IF($U714="Draw",$H714,0)))</f>
        <v/>
      </c>
      <c r="S714">
        <f>IF($A714="","",IF($U714="Subscription","",IF($U714="Disqualified",$H714,0)))</f>
        <v/>
      </c>
      <c r="T714">
        <f>IF($A714="","",IF($U714="Subscription","",IF($H714=0,IF($U714="Profit","N/A",0),IF($U714="Profit",$Q714/$H714,IF($U714="Disqualified",-1,0)))))</f>
        <v/>
      </c>
      <c r="U714" s="350">
        <f>IF($A714="","",IF(OR(LOWER($D714&amp;"")="n/a",ISNUMBER(SEARCH("subscription",LOWER($A714&amp;" "&amp;$M714&amp;""))),ISNUMBER(SEARCH("membership",LOWER($A714&amp;" "&amp;$M714&amp;"")))),"Subscription",IF(LOWER($L714&amp;"")="yes","Disqualified",IF($P714&gt;$H714,"Profit","Draw"))))</f>
        <v/>
      </c>
      <c r="V714">
        <f>IF(OR($A714="",$B714="",$C714="",$U714="Subscription"),"",IFERROR(ROUNDUP((IF(ISNUMBER($C714),$C714,DATEVALUE($C714))-IF(ISNUMBER($B714),$B714,DATEVALUE($B714)))/7,0),""))</f>
        <v/>
      </c>
      <c r="W714" s="352">
        <f>IF($U714="Subscription","",$Q714-$S714)</f>
        <v/>
      </c>
      <c r="X714">
        <f>IF(OR($A714="",$U714="Subscription",$J714="",$I714="",$J714=0,$I714=0,$I714&gt;$J714),"",$J714-$I714)</f>
        <v/>
      </c>
      <c r="Y714">
        <f>IF(OR($A714="",$U714="Subscription",$J714="",$J714=0,$X714=""),"",$X714/$J714)</f>
        <v/>
      </c>
    </row>
    <row r="715">
      <c r="B715" s="354" t="n"/>
      <c r="C715" s="354" t="n"/>
      <c r="E715" s="350" t="n"/>
      <c r="F715" s="350" t="n"/>
      <c r="G715" s="350" t="n"/>
      <c r="H715" s="350" t="n"/>
      <c r="I715" s="350" t="n"/>
      <c r="J715" s="352" t="n"/>
      <c r="M715" s="350" t="n"/>
      <c r="N715" s="350">
        <f>IF($A715="","",IF(OR(LOWER($D715&amp;"")="n/a",ISNUMBER(SEARCH("subscription",LOWER($A715&amp;" "&amp;$M715&amp;""))),ISNUMBER(SEARCH("membership",LOWER($A715&amp;" "&amp;$M715&amp;"")))),"",IF($G715="","",IF(ISNUMBER(SEARCH("non",LOWER($E715&amp;""))),$G715*0.85,$G715))))</f>
        <v/>
      </c>
      <c r="O715">
        <f>IF($A715="","",IF(OR(LOWER($D715&amp;"")="n/a",ISNUMBER(SEARCH("subscription",LOWER($A715&amp;" "&amp;$M715&amp;""))),ISNUMBER(SEARCH("membership",LOWER($A715&amp;" "&amp;$M715&amp;"")))),"",IF(OR($N715="",$I715="",$I715=0),"",$N715/$I715)))</f>
        <v/>
      </c>
      <c r="P715">
        <f>IF($A715="","",IF(OR(LOWER($D715&amp;"")="n/a",ISNUMBER(SEARCH("subscription",LOWER($A715&amp;" "&amp;$M715&amp;""))),ISNUMBER(SEARCH("membership",LOWER($A715&amp;" "&amp;$M715&amp;"")))),"",IF(LOWER($L715&amp;"")="yes",0,IF($K715&lt;&gt;"",$K715,IF($O715&lt;&gt;"",$O715,"")))))</f>
        <v/>
      </c>
      <c r="Q715">
        <f>IF($A715="","",IF($U715="Subscription","",IF($U715="Profit",$P715-$H715,0)))</f>
        <v/>
      </c>
      <c r="R715">
        <f>IF($A715="","",IF($U715="Subscription","",IF($U715="Draw",$H715,0)))</f>
        <v/>
      </c>
      <c r="S715">
        <f>IF($A715="","",IF($U715="Subscription","",IF($U715="Disqualified",$H715,0)))</f>
        <v/>
      </c>
      <c r="T715">
        <f>IF($A715="","",IF($U715="Subscription","",IF($H715=0,IF($U715="Profit","N/A",0),IF($U715="Profit",$Q715/$H715,IF($U715="Disqualified",-1,0)))))</f>
        <v/>
      </c>
      <c r="U715" s="350">
        <f>IF($A715="","",IF(OR(LOWER($D715&amp;"")="n/a",ISNUMBER(SEARCH("subscription",LOWER($A715&amp;" "&amp;$M715&amp;""))),ISNUMBER(SEARCH("membership",LOWER($A715&amp;" "&amp;$M715&amp;"")))),"Subscription",IF(LOWER($L715&amp;"")="yes","Disqualified",IF($P715&gt;$H715,"Profit","Draw"))))</f>
        <v/>
      </c>
      <c r="V715">
        <f>IF(OR($A715="",$B715="",$C715="",$U715="Subscription"),"",IFERROR(ROUNDUP((IF(ISNUMBER($C715),$C715,DATEVALUE($C715))-IF(ISNUMBER($B715),$B715,DATEVALUE($B715)))/7,0),""))</f>
        <v/>
      </c>
      <c r="W715" s="352">
        <f>IF($U715="Subscription","",$Q715-$S715)</f>
        <v/>
      </c>
      <c r="X715">
        <f>IF(OR($A715="",$U715="Subscription",$J715="",$I715="",$J715=0,$I715=0,$I715&gt;$J715),"",$J715-$I715)</f>
        <v/>
      </c>
      <c r="Y715">
        <f>IF(OR($A715="",$U715="Subscription",$J715="",$J715=0,$X715=""),"",$X715/$J715)</f>
        <v/>
      </c>
    </row>
    <row r="716">
      <c r="B716" s="354" t="n"/>
      <c r="C716" s="354" t="n"/>
      <c r="E716" s="350" t="n"/>
      <c r="F716" s="350" t="n"/>
      <c r="G716" s="350" t="n"/>
      <c r="H716" s="350" t="n"/>
      <c r="I716" s="350" t="n"/>
      <c r="J716" s="352" t="n"/>
      <c r="M716" s="350" t="n"/>
      <c r="N716" s="350">
        <f>IF($A716="","",IF(OR(LOWER($D716&amp;"")="n/a",ISNUMBER(SEARCH("subscription",LOWER($A716&amp;" "&amp;$M716&amp;""))),ISNUMBER(SEARCH("membership",LOWER($A716&amp;" "&amp;$M716&amp;"")))),"",IF($G716="","",IF(ISNUMBER(SEARCH("non",LOWER($E716&amp;""))),$G716*0.85,$G716))))</f>
        <v/>
      </c>
      <c r="O716">
        <f>IF($A716="","",IF(OR(LOWER($D716&amp;"")="n/a",ISNUMBER(SEARCH("subscription",LOWER($A716&amp;" "&amp;$M716&amp;""))),ISNUMBER(SEARCH("membership",LOWER($A716&amp;" "&amp;$M716&amp;"")))),"",IF(OR($N716="",$I716="",$I716=0),"",$N716/$I716)))</f>
        <v/>
      </c>
      <c r="P716">
        <f>IF($A716="","",IF(OR(LOWER($D716&amp;"")="n/a",ISNUMBER(SEARCH("subscription",LOWER($A716&amp;" "&amp;$M716&amp;""))),ISNUMBER(SEARCH("membership",LOWER($A716&amp;" "&amp;$M716&amp;"")))),"",IF(LOWER($L716&amp;"")="yes",0,IF($K716&lt;&gt;"",$K716,IF($O716&lt;&gt;"",$O716,"")))))</f>
        <v/>
      </c>
      <c r="Q716">
        <f>IF($A716="","",IF($U716="Subscription","",IF($U716="Profit",$P716-$H716,0)))</f>
        <v/>
      </c>
      <c r="R716">
        <f>IF($A716="","",IF($U716="Subscription","",IF($U716="Draw",$H716,0)))</f>
        <v/>
      </c>
      <c r="S716">
        <f>IF($A716="","",IF($U716="Subscription","",IF($U716="Disqualified",$H716,0)))</f>
        <v/>
      </c>
      <c r="T716">
        <f>IF($A716="","",IF($U716="Subscription","",IF($H716=0,IF($U716="Profit","N/A",0),IF($U716="Profit",$Q716/$H716,IF($U716="Disqualified",-1,0)))))</f>
        <v/>
      </c>
      <c r="U716" s="350">
        <f>IF($A716="","",IF(OR(LOWER($D716&amp;"")="n/a",ISNUMBER(SEARCH("subscription",LOWER($A716&amp;" "&amp;$M716&amp;""))),ISNUMBER(SEARCH("membership",LOWER($A716&amp;" "&amp;$M716&amp;"")))),"Subscription",IF(LOWER($L716&amp;"")="yes","Disqualified",IF($P716&gt;$H716,"Profit","Draw"))))</f>
        <v/>
      </c>
      <c r="V716">
        <f>IF(OR($A716="",$B716="",$C716="",$U716="Subscription"),"",IFERROR(ROUNDUP((IF(ISNUMBER($C716),$C716,DATEVALUE($C716))-IF(ISNUMBER($B716),$B716,DATEVALUE($B716)))/7,0),""))</f>
        <v/>
      </c>
      <c r="W716" s="352">
        <f>IF($U716="Subscription","",$Q716-$S716)</f>
        <v/>
      </c>
      <c r="X716">
        <f>IF(OR($A716="",$U716="Subscription",$J716="",$I716="",$J716=0,$I716=0,$I716&gt;$J716),"",$J716-$I716)</f>
        <v/>
      </c>
      <c r="Y716">
        <f>IF(OR($A716="",$U716="Subscription",$J716="",$J716=0,$X716=""),"",$X716/$J716)</f>
        <v/>
      </c>
    </row>
    <row r="717">
      <c r="B717" s="354" t="n"/>
      <c r="C717" s="354" t="n"/>
      <c r="E717" s="350" t="n"/>
      <c r="F717" s="350" t="n"/>
      <c r="G717" s="350" t="n"/>
      <c r="H717" s="350" t="n"/>
      <c r="I717" s="350" t="n"/>
      <c r="J717" s="352" t="n"/>
      <c r="M717" s="350" t="n"/>
      <c r="N717" s="350">
        <f>IF($A717="","",IF(OR(LOWER($D717&amp;"")="n/a",ISNUMBER(SEARCH("subscription",LOWER($A717&amp;" "&amp;$M717&amp;""))),ISNUMBER(SEARCH("membership",LOWER($A717&amp;" "&amp;$M717&amp;"")))),"",IF($G717="","",IF(ISNUMBER(SEARCH("non",LOWER($E717&amp;""))),$G717*0.85,$G717))))</f>
        <v/>
      </c>
      <c r="O717">
        <f>IF($A717="","",IF(OR(LOWER($D717&amp;"")="n/a",ISNUMBER(SEARCH("subscription",LOWER($A717&amp;" "&amp;$M717&amp;""))),ISNUMBER(SEARCH("membership",LOWER($A717&amp;" "&amp;$M717&amp;"")))),"",IF(OR($N717="",$I717="",$I717=0),"",$N717/$I717)))</f>
        <v/>
      </c>
      <c r="P717">
        <f>IF($A717="","",IF(OR(LOWER($D717&amp;"")="n/a",ISNUMBER(SEARCH("subscription",LOWER($A717&amp;" "&amp;$M717&amp;""))),ISNUMBER(SEARCH("membership",LOWER($A717&amp;" "&amp;$M717&amp;"")))),"",IF(LOWER($L717&amp;"")="yes",0,IF($K717&lt;&gt;"",$K717,IF($O717&lt;&gt;"",$O717,"")))))</f>
        <v/>
      </c>
      <c r="Q717">
        <f>IF($A717="","",IF($U717="Subscription","",IF($U717="Profit",$P717-$H717,0)))</f>
        <v/>
      </c>
      <c r="R717">
        <f>IF($A717="","",IF($U717="Subscription","",IF($U717="Draw",$H717,0)))</f>
        <v/>
      </c>
      <c r="S717">
        <f>IF($A717="","",IF($U717="Subscription","",IF($U717="Disqualified",$H717,0)))</f>
        <v/>
      </c>
      <c r="T717">
        <f>IF($A717="","",IF($U717="Subscription","",IF($H717=0,IF($U717="Profit","N/A",0),IF($U717="Profit",$Q717/$H717,IF($U717="Disqualified",-1,0)))))</f>
        <v/>
      </c>
      <c r="U717" s="350">
        <f>IF($A717="","",IF(OR(LOWER($D717&amp;"")="n/a",ISNUMBER(SEARCH("subscription",LOWER($A717&amp;" "&amp;$M717&amp;""))),ISNUMBER(SEARCH("membership",LOWER($A717&amp;" "&amp;$M717&amp;"")))),"Subscription",IF(LOWER($L717&amp;"")="yes","Disqualified",IF($P717&gt;$H717,"Profit","Draw"))))</f>
        <v/>
      </c>
      <c r="V717">
        <f>IF(OR($A717="",$B717="",$C717="",$U717="Subscription"),"",IFERROR(ROUNDUP((IF(ISNUMBER($C717),$C717,DATEVALUE($C717))-IF(ISNUMBER($B717),$B717,DATEVALUE($B717)))/7,0),""))</f>
        <v/>
      </c>
      <c r="W717" s="352">
        <f>IF($U717="Subscription","",$Q717-$S717)</f>
        <v/>
      </c>
      <c r="X717">
        <f>IF(OR($A717="",$U717="Subscription",$J717="",$I717="",$J717=0,$I717=0,$I717&gt;$J717),"",$J717-$I717)</f>
        <v/>
      </c>
      <c r="Y717">
        <f>IF(OR($A717="",$U717="Subscription",$J717="",$J717=0,$X717=""),"",$X717/$J717)</f>
        <v/>
      </c>
    </row>
    <row r="718">
      <c r="B718" s="354" t="n"/>
      <c r="C718" s="354" t="n"/>
      <c r="E718" s="350" t="n"/>
      <c r="F718" s="350" t="n"/>
      <c r="G718" s="350" t="n"/>
      <c r="H718" s="350" t="n"/>
      <c r="I718" s="350" t="n"/>
      <c r="J718" s="352" t="n"/>
      <c r="M718" s="350" t="n"/>
      <c r="N718" s="350">
        <f>IF($A718="","",IF(OR(LOWER($D718&amp;"")="n/a",ISNUMBER(SEARCH("subscription",LOWER($A718&amp;" "&amp;$M718&amp;""))),ISNUMBER(SEARCH("membership",LOWER($A718&amp;" "&amp;$M718&amp;"")))),"",IF($G718="","",IF(ISNUMBER(SEARCH("non",LOWER($E718&amp;""))),$G718*0.85,$G718))))</f>
        <v/>
      </c>
      <c r="O718">
        <f>IF($A718="","",IF(OR(LOWER($D718&amp;"")="n/a",ISNUMBER(SEARCH("subscription",LOWER($A718&amp;" "&amp;$M718&amp;""))),ISNUMBER(SEARCH("membership",LOWER($A718&amp;" "&amp;$M718&amp;"")))),"",IF(OR($N718="",$I718="",$I718=0),"",$N718/$I718)))</f>
        <v/>
      </c>
      <c r="P718">
        <f>IF($A718="","",IF(OR(LOWER($D718&amp;"")="n/a",ISNUMBER(SEARCH("subscription",LOWER($A718&amp;" "&amp;$M718&amp;""))),ISNUMBER(SEARCH("membership",LOWER($A718&amp;" "&amp;$M718&amp;"")))),"",IF(LOWER($L718&amp;"")="yes",0,IF($K718&lt;&gt;"",$K718,IF($O718&lt;&gt;"",$O718,"")))))</f>
        <v/>
      </c>
      <c r="Q718">
        <f>IF($A718="","",IF($U718="Subscription","",IF($U718="Profit",$P718-$H718,0)))</f>
        <v/>
      </c>
      <c r="R718">
        <f>IF($A718="","",IF($U718="Subscription","",IF($U718="Draw",$H718,0)))</f>
        <v/>
      </c>
      <c r="S718">
        <f>IF($A718="","",IF($U718="Subscription","",IF($U718="Disqualified",$H718,0)))</f>
        <v/>
      </c>
      <c r="T718">
        <f>IF($A718="","",IF($U718="Subscription","",IF($H718=0,IF($U718="Profit","N/A",0),IF($U718="Profit",$Q718/$H718,IF($U718="Disqualified",-1,0)))))</f>
        <v/>
      </c>
      <c r="U718" s="350">
        <f>IF($A718="","",IF(OR(LOWER($D718&amp;"")="n/a",ISNUMBER(SEARCH("subscription",LOWER($A718&amp;" "&amp;$M718&amp;""))),ISNUMBER(SEARCH("membership",LOWER($A718&amp;" "&amp;$M718&amp;"")))),"Subscription",IF(LOWER($L718&amp;"")="yes","Disqualified",IF($P718&gt;$H718,"Profit","Draw"))))</f>
        <v/>
      </c>
      <c r="V718">
        <f>IF(OR($A718="",$B718="",$C718="",$U718="Subscription"),"",IFERROR(ROUNDUP((IF(ISNUMBER($C718),$C718,DATEVALUE($C718))-IF(ISNUMBER($B718),$B718,DATEVALUE($B718)))/7,0),""))</f>
        <v/>
      </c>
      <c r="W718" s="352">
        <f>IF($U718="Subscription","",$Q718-$S718)</f>
        <v/>
      </c>
      <c r="X718">
        <f>IF(OR($A718="",$U718="Subscription",$J718="",$I718="",$J718=0,$I718=0,$I718&gt;$J718),"",$J718-$I718)</f>
        <v/>
      </c>
      <c r="Y718">
        <f>IF(OR($A718="",$U718="Subscription",$J718="",$J718=0,$X718=""),"",$X718/$J718)</f>
        <v/>
      </c>
    </row>
    <row r="719">
      <c r="B719" s="354" t="n"/>
      <c r="C719" s="354" t="n"/>
      <c r="E719" s="350" t="n"/>
      <c r="F719" s="350" t="n"/>
      <c r="G719" s="350" t="n"/>
      <c r="H719" s="350" t="n"/>
      <c r="I719" s="350" t="n"/>
      <c r="J719" s="352" t="n"/>
      <c r="M719" s="350" t="n"/>
      <c r="N719" s="350">
        <f>IF($A719="","",IF(OR(LOWER($D719&amp;"")="n/a",ISNUMBER(SEARCH("subscription",LOWER($A719&amp;" "&amp;$M719&amp;""))),ISNUMBER(SEARCH("membership",LOWER($A719&amp;" "&amp;$M719&amp;"")))),"",IF($G719="","",IF(ISNUMBER(SEARCH("non",LOWER($E719&amp;""))),$G719*0.85,$G719))))</f>
        <v/>
      </c>
      <c r="O719">
        <f>IF($A719="","",IF(OR(LOWER($D719&amp;"")="n/a",ISNUMBER(SEARCH("subscription",LOWER($A719&amp;" "&amp;$M719&amp;""))),ISNUMBER(SEARCH("membership",LOWER($A719&amp;" "&amp;$M719&amp;"")))),"",IF(OR($N719="",$I719="",$I719=0),"",$N719/$I719)))</f>
        <v/>
      </c>
      <c r="P719">
        <f>IF($A719="","",IF(OR(LOWER($D719&amp;"")="n/a",ISNUMBER(SEARCH("subscription",LOWER($A719&amp;" "&amp;$M719&amp;""))),ISNUMBER(SEARCH("membership",LOWER($A719&amp;" "&amp;$M719&amp;"")))),"",IF(LOWER($L719&amp;"")="yes",0,IF($K719&lt;&gt;"",$K719,IF($O719&lt;&gt;"",$O719,"")))))</f>
        <v/>
      </c>
      <c r="Q719">
        <f>IF($A719="","",IF($U719="Subscription","",IF($U719="Profit",$P719-$H719,0)))</f>
        <v/>
      </c>
      <c r="R719">
        <f>IF($A719="","",IF($U719="Subscription","",IF($U719="Draw",$H719,0)))</f>
        <v/>
      </c>
      <c r="S719">
        <f>IF($A719="","",IF($U719="Subscription","",IF($U719="Disqualified",$H719,0)))</f>
        <v/>
      </c>
      <c r="T719">
        <f>IF($A719="","",IF($U719="Subscription","",IF($H719=0,IF($U719="Profit","N/A",0),IF($U719="Profit",$Q719/$H719,IF($U719="Disqualified",-1,0)))))</f>
        <v/>
      </c>
      <c r="U719" s="350">
        <f>IF($A719="","",IF(OR(LOWER($D719&amp;"")="n/a",ISNUMBER(SEARCH("subscription",LOWER($A719&amp;" "&amp;$M719&amp;""))),ISNUMBER(SEARCH("membership",LOWER($A719&amp;" "&amp;$M719&amp;"")))),"Subscription",IF(LOWER($L719&amp;"")="yes","Disqualified",IF($P719&gt;$H719,"Profit","Draw"))))</f>
        <v/>
      </c>
      <c r="V719">
        <f>IF(OR($A719="",$B719="",$C719="",$U719="Subscription"),"",IFERROR(ROUNDUP((IF(ISNUMBER($C719),$C719,DATEVALUE($C719))-IF(ISNUMBER($B719),$B719,DATEVALUE($B719)))/7,0),""))</f>
        <v/>
      </c>
      <c r="W719" s="352">
        <f>IF($U719="Subscription","",$Q719-$S719)</f>
        <v/>
      </c>
      <c r="X719">
        <f>IF(OR($A719="",$U719="Subscription",$J719="",$I719="",$J719=0,$I719=0,$I719&gt;$J719),"",$J719-$I719)</f>
        <v/>
      </c>
      <c r="Y719">
        <f>IF(OR($A719="",$U719="Subscription",$J719="",$J719=0,$X719=""),"",$X719/$J719)</f>
        <v/>
      </c>
    </row>
    <row r="720">
      <c r="B720" s="354" t="n"/>
      <c r="C720" s="354" t="n"/>
      <c r="E720" s="350" t="n"/>
      <c r="F720" s="350" t="n"/>
      <c r="G720" s="350" t="n"/>
      <c r="H720" s="350" t="n"/>
      <c r="I720" s="350" t="n"/>
      <c r="J720" s="352" t="n"/>
      <c r="M720" s="350" t="n"/>
      <c r="N720" s="350">
        <f>IF($A720="","",IF(OR(LOWER($D720&amp;"")="n/a",ISNUMBER(SEARCH("subscription",LOWER($A720&amp;" "&amp;$M720&amp;""))),ISNUMBER(SEARCH("membership",LOWER($A720&amp;" "&amp;$M720&amp;"")))),"",IF($G720="","",IF(ISNUMBER(SEARCH("non",LOWER($E720&amp;""))),$G720*0.85,$G720))))</f>
        <v/>
      </c>
      <c r="O720">
        <f>IF($A720="","",IF(OR(LOWER($D720&amp;"")="n/a",ISNUMBER(SEARCH("subscription",LOWER($A720&amp;" "&amp;$M720&amp;""))),ISNUMBER(SEARCH("membership",LOWER($A720&amp;" "&amp;$M720&amp;"")))),"",IF(OR($N720="",$I720="",$I720=0),"",$N720/$I720)))</f>
        <v/>
      </c>
      <c r="P720">
        <f>IF($A720="","",IF(OR(LOWER($D720&amp;"")="n/a",ISNUMBER(SEARCH("subscription",LOWER($A720&amp;" "&amp;$M720&amp;""))),ISNUMBER(SEARCH("membership",LOWER($A720&amp;" "&amp;$M720&amp;"")))),"",IF(LOWER($L720&amp;"")="yes",0,IF($K720&lt;&gt;"",$K720,IF($O720&lt;&gt;"",$O720,"")))))</f>
        <v/>
      </c>
      <c r="Q720">
        <f>IF($A720="","",IF($U720="Subscription","",IF($U720="Profit",$P720-$H720,0)))</f>
        <v/>
      </c>
      <c r="R720">
        <f>IF($A720="","",IF($U720="Subscription","",IF($U720="Draw",$H720,0)))</f>
        <v/>
      </c>
      <c r="S720">
        <f>IF($A720="","",IF($U720="Subscription","",IF($U720="Disqualified",$H720,0)))</f>
        <v/>
      </c>
      <c r="T720">
        <f>IF($A720="","",IF($U720="Subscription","",IF($H720=0,IF($U720="Profit","N/A",0),IF($U720="Profit",$Q720/$H720,IF($U720="Disqualified",-1,0)))))</f>
        <v/>
      </c>
      <c r="U720" s="350">
        <f>IF($A720="","",IF(OR(LOWER($D720&amp;"")="n/a",ISNUMBER(SEARCH("subscription",LOWER($A720&amp;" "&amp;$M720&amp;""))),ISNUMBER(SEARCH("membership",LOWER($A720&amp;" "&amp;$M720&amp;"")))),"Subscription",IF(LOWER($L720&amp;"")="yes","Disqualified",IF($P720&gt;$H720,"Profit","Draw"))))</f>
        <v/>
      </c>
      <c r="V720">
        <f>IF(OR($A720="",$B720="",$C720="",$U720="Subscription"),"",IFERROR(ROUNDUP((IF(ISNUMBER($C720),$C720,DATEVALUE($C720))-IF(ISNUMBER($B720),$B720,DATEVALUE($B720)))/7,0),""))</f>
        <v/>
      </c>
      <c r="W720" s="352">
        <f>IF($U720="Subscription","",$Q720-$S720)</f>
        <v/>
      </c>
      <c r="X720">
        <f>IF(OR($A720="",$U720="Subscription",$J720="",$I720="",$J720=0,$I720=0,$I720&gt;$J720),"",$J720-$I720)</f>
        <v/>
      </c>
      <c r="Y720">
        <f>IF(OR($A720="",$U720="Subscription",$J720="",$J720=0,$X720=""),"",$X720/$J720)</f>
        <v/>
      </c>
    </row>
    <row r="721">
      <c r="B721" s="354" t="n"/>
      <c r="C721" s="354" t="n"/>
      <c r="E721" s="350" t="n"/>
      <c r="F721" s="350" t="n"/>
      <c r="G721" s="350" t="n"/>
      <c r="H721" s="350" t="n"/>
      <c r="I721" s="350" t="n"/>
      <c r="J721" s="352" t="n"/>
      <c r="M721" s="350" t="n"/>
      <c r="N721" s="350">
        <f>IF($A721="","",IF(OR(LOWER($D721&amp;"")="n/a",ISNUMBER(SEARCH("subscription",LOWER($A721&amp;" "&amp;$M721&amp;""))),ISNUMBER(SEARCH("membership",LOWER($A721&amp;" "&amp;$M721&amp;"")))),"",IF($G721="","",IF(ISNUMBER(SEARCH("non",LOWER($E721&amp;""))),$G721*0.85,$G721))))</f>
        <v/>
      </c>
      <c r="O721">
        <f>IF($A721="","",IF(OR(LOWER($D721&amp;"")="n/a",ISNUMBER(SEARCH("subscription",LOWER($A721&amp;" "&amp;$M721&amp;""))),ISNUMBER(SEARCH("membership",LOWER($A721&amp;" "&amp;$M721&amp;"")))),"",IF(OR($N721="",$I721="",$I721=0),"",$N721/$I721)))</f>
        <v/>
      </c>
      <c r="P721">
        <f>IF($A721="","",IF(OR(LOWER($D721&amp;"")="n/a",ISNUMBER(SEARCH("subscription",LOWER($A721&amp;" "&amp;$M721&amp;""))),ISNUMBER(SEARCH("membership",LOWER($A721&amp;" "&amp;$M721&amp;"")))),"",IF(LOWER($L721&amp;"")="yes",0,IF($K721&lt;&gt;"",$K721,IF($O721&lt;&gt;"",$O721,"")))))</f>
        <v/>
      </c>
      <c r="Q721">
        <f>IF($A721="","",IF($U721="Subscription","",IF($U721="Profit",$P721-$H721,0)))</f>
        <v/>
      </c>
      <c r="R721">
        <f>IF($A721="","",IF($U721="Subscription","",IF($U721="Draw",$H721,0)))</f>
        <v/>
      </c>
      <c r="S721">
        <f>IF($A721="","",IF($U721="Subscription","",IF($U721="Disqualified",$H721,0)))</f>
        <v/>
      </c>
      <c r="T721">
        <f>IF($A721="","",IF($U721="Subscription","",IF($H721=0,IF($U721="Profit","N/A",0),IF($U721="Profit",$Q721/$H721,IF($U721="Disqualified",-1,0)))))</f>
        <v/>
      </c>
      <c r="U721" s="350">
        <f>IF($A721="","",IF(OR(LOWER($D721&amp;"")="n/a",ISNUMBER(SEARCH("subscription",LOWER($A721&amp;" "&amp;$M721&amp;""))),ISNUMBER(SEARCH("membership",LOWER($A721&amp;" "&amp;$M721&amp;"")))),"Subscription",IF(LOWER($L721&amp;"")="yes","Disqualified",IF($P721&gt;$H721,"Profit","Draw"))))</f>
        <v/>
      </c>
      <c r="V721">
        <f>IF(OR($A721="",$B721="",$C721="",$U721="Subscription"),"",IFERROR(ROUNDUP((IF(ISNUMBER($C721),$C721,DATEVALUE($C721))-IF(ISNUMBER($B721),$B721,DATEVALUE($B721)))/7,0),""))</f>
        <v/>
      </c>
      <c r="W721" s="352">
        <f>IF($U721="Subscription","",$Q721-$S721)</f>
        <v/>
      </c>
      <c r="X721">
        <f>IF(OR($A721="",$U721="Subscription",$J721="",$I721="",$J721=0,$I721=0,$I721&gt;$J721),"",$J721-$I721)</f>
        <v/>
      </c>
      <c r="Y721">
        <f>IF(OR($A721="",$U721="Subscription",$J721="",$J721=0,$X721=""),"",$X721/$J721)</f>
        <v/>
      </c>
    </row>
    <row r="722">
      <c r="B722" s="354" t="n"/>
      <c r="C722" s="354" t="n"/>
      <c r="E722" s="350" t="n"/>
      <c r="F722" s="350" t="n"/>
      <c r="G722" s="350" t="n"/>
      <c r="H722" s="350" t="n"/>
      <c r="I722" s="350" t="n"/>
      <c r="J722" s="352" t="n"/>
      <c r="M722" s="350" t="n"/>
      <c r="N722" s="350">
        <f>IF($A722="","",IF(OR(LOWER($D722&amp;"")="n/a",ISNUMBER(SEARCH("subscription",LOWER($A722&amp;" "&amp;$M722&amp;""))),ISNUMBER(SEARCH("membership",LOWER($A722&amp;" "&amp;$M722&amp;"")))),"",IF($G722="","",IF(ISNUMBER(SEARCH("non",LOWER($E722&amp;""))),$G722*0.85,$G722))))</f>
        <v/>
      </c>
      <c r="O722">
        <f>IF($A722="","",IF(OR(LOWER($D722&amp;"")="n/a",ISNUMBER(SEARCH("subscription",LOWER($A722&amp;" "&amp;$M722&amp;""))),ISNUMBER(SEARCH("membership",LOWER($A722&amp;" "&amp;$M722&amp;"")))),"",IF(OR($N722="",$I722="",$I722=0),"",$N722/$I722)))</f>
        <v/>
      </c>
      <c r="P722">
        <f>IF($A722="","",IF(OR(LOWER($D722&amp;"")="n/a",ISNUMBER(SEARCH("subscription",LOWER($A722&amp;" "&amp;$M722&amp;""))),ISNUMBER(SEARCH("membership",LOWER($A722&amp;" "&amp;$M722&amp;"")))),"",IF(LOWER($L722&amp;"")="yes",0,IF($K722&lt;&gt;"",$K722,IF($O722&lt;&gt;"",$O722,"")))))</f>
        <v/>
      </c>
      <c r="Q722">
        <f>IF($A722="","",IF($U722="Subscription","",IF($U722="Profit",$P722-$H722,0)))</f>
        <v/>
      </c>
      <c r="R722">
        <f>IF($A722="","",IF($U722="Subscription","",IF($U722="Draw",$H722,0)))</f>
        <v/>
      </c>
      <c r="S722">
        <f>IF($A722="","",IF($U722="Subscription","",IF($U722="Disqualified",$H722,0)))</f>
        <v/>
      </c>
      <c r="T722">
        <f>IF($A722="","",IF($U722="Subscription","",IF($H722=0,IF($U722="Profit","N/A",0),IF($U722="Profit",$Q722/$H722,IF($U722="Disqualified",-1,0)))))</f>
        <v/>
      </c>
      <c r="U722" s="350">
        <f>IF($A722="","",IF(OR(LOWER($D722&amp;"")="n/a",ISNUMBER(SEARCH("subscription",LOWER($A722&amp;" "&amp;$M722&amp;""))),ISNUMBER(SEARCH("membership",LOWER($A722&amp;" "&amp;$M722&amp;"")))),"Subscription",IF(LOWER($L722&amp;"")="yes","Disqualified",IF($P722&gt;$H722,"Profit","Draw"))))</f>
        <v/>
      </c>
      <c r="V722">
        <f>IF(OR($A722="",$B722="",$C722="",$U722="Subscription"),"",IFERROR(ROUNDUP((IF(ISNUMBER($C722),$C722,DATEVALUE($C722))-IF(ISNUMBER($B722),$B722,DATEVALUE($B722)))/7,0),""))</f>
        <v/>
      </c>
      <c r="W722" s="352">
        <f>IF($U722="Subscription","",$Q722-$S722)</f>
        <v/>
      </c>
      <c r="X722">
        <f>IF(OR($A722="",$U722="Subscription",$J722="",$I722="",$J722=0,$I722=0,$I722&gt;$J722),"",$J722-$I722)</f>
        <v/>
      </c>
      <c r="Y722">
        <f>IF(OR($A722="",$U722="Subscription",$J722="",$J722=0,$X722=""),"",$X722/$J722)</f>
        <v/>
      </c>
    </row>
    <row r="723">
      <c r="B723" s="354" t="n"/>
      <c r="C723" s="354" t="n"/>
      <c r="E723" s="350" t="n"/>
      <c r="F723" s="350" t="n"/>
      <c r="G723" s="350" t="n"/>
      <c r="H723" s="350" t="n"/>
      <c r="I723" s="350" t="n"/>
      <c r="J723" s="352" t="n"/>
      <c r="M723" s="350" t="n"/>
      <c r="N723" s="350">
        <f>IF($A723="","",IF(OR(LOWER($D723&amp;"")="n/a",ISNUMBER(SEARCH("subscription",LOWER($A723&amp;" "&amp;$M723&amp;""))),ISNUMBER(SEARCH("membership",LOWER($A723&amp;" "&amp;$M723&amp;"")))),"",IF($G723="","",IF(ISNUMBER(SEARCH("non",LOWER($E723&amp;""))),$G723*0.85,$G723))))</f>
        <v/>
      </c>
      <c r="O723">
        <f>IF($A723="","",IF(OR(LOWER($D723&amp;"")="n/a",ISNUMBER(SEARCH("subscription",LOWER($A723&amp;" "&amp;$M723&amp;""))),ISNUMBER(SEARCH("membership",LOWER($A723&amp;" "&amp;$M723&amp;"")))),"",IF(OR($N723="",$I723="",$I723=0),"",$N723/$I723)))</f>
        <v/>
      </c>
      <c r="P723">
        <f>IF($A723="","",IF(OR(LOWER($D723&amp;"")="n/a",ISNUMBER(SEARCH("subscription",LOWER($A723&amp;" "&amp;$M723&amp;""))),ISNUMBER(SEARCH("membership",LOWER($A723&amp;" "&amp;$M723&amp;"")))),"",IF(LOWER($L723&amp;"")="yes",0,IF($K723&lt;&gt;"",$K723,IF($O723&lt;&gt;"",$O723,"")))))</f>
        <v/>
      </c>
      <c r="Q723">
        <f>IF($A723="","",IF($U723="Subscription","",IF($U723="Profit",$P723-$H723,0)))</f>
        <v/>
      </c>
      <c r="R723">
        <f>IF($A723="","",IF($U723="Subscription","",IF($U723="Draw",$H723,0)))</f>
        <v/>
      </c>
      <c r="S723">
        <f>IF($A723="","",IF($U723="Subscription","",IF($U723="Disqualified",$H723,0)))</f>
        <v/>
      </c>
      <c r="T723">
        <f>IF($A723="","",IF($U723="Subscription","",IF($H723=0,IF($U723="Profit","N/A",0),IF($U723="Profit",$Q723/$H723,IF($U723="Disqualified",-1,0)))))</f>
        <v/>
      </c>
      <c r="U723" s="350">
        <f>IF($A723="","",IF(OR(LOWER($D723&amp;"")="n/a",ISNUMBER(SEARCH("subscription",LOWER($A723&amp;" "&amp;$M723&amp;""))),ISNUMBER(SEARCH("membership",LOWER($A723&amp;" "&amp;$M723&amp;"")))),"Subscription",IF(LOWER($L723&amp;"")="yes","Disqualified",IF($P723&gt;$H723,"Profit","Draw"))))</f>
        <v/>
      </c>
      <c r="V723">
        <f>IF(OR($A723="",$B723="",$C723="",$U723="Subscription"),"",IFERROR(ROUNDUP((IF(ISNUMBER($C723),$C723,DATEVALUE($C723))-IF(ISNUMBER($B723),$B723,DATEVALUE($B723)))/7,0),""))</f>
        <v/>
      </c>
      <c r="W723" s="352">
        <f>IF($U723="Subscription","",$Q723-$S723)</f>
        <v/>
      </c>
      <c r="X723">
        <f>IF(OR($A723="",$U723="Subscription",$J723="",$I723="",$J723=0,$I723=0,$I723&gt;$J723),"",$J723-$I723)</f>
        <v/>
      </c>
      <c r="Y723">
        <f>IF(OR($A723="",$U723="Subscription",$J723="",$J723=0,$X723=""),"",$X723/$J723)</f>
        <v/>
      </c>
    </row>
    <row r="724">
      <c r="B724" s="354" t="n"/>
      <c r="C724" s="354" t="n"/>
      <c r="E724" s="350" t="n"/>
      <c r="F724" s="350" t="n"/>
      <c r="G724" s="350" t="n"/>
      <c r="H724" s="350" t="n"/>
      <c r="I724" s="350" t="n"/>
      <c r="J724" s="352" t="n"/>
      <c r="M724" s="350" t="n"/>
      <c r="N724" s="350">
        <f>IF($A724="","",IF(OR(LOWER($D724&amp;"")="n/a",ISNUMBER(SEARCH("subscription",LOWER($A724&amp;" "&amp;$M724&amp;""))),ISNUMBER(SEARCH("membership",LOWER($A724&amp;" "&amp;$M724&amp;"")))),"",IF($G724="","",IF(ISNUMBER(SEARCH("non",LOWER($E724&amp;""))),$G724*0.85,$G724))))</f>
        <v/>
      </c>
      <c r="O724">
        <f>IF($A724="","",IF(OR(LOWER($D724&amp;"")="n/a",ISNUMBER(SEARCH("subscription",LOWER($A724&amp;" "&amp;$M724&amp;""))),ISNUMBER(SEARCH("membership",LOWER($A724&amp;" "&amp;$M724&amp;"")))),"",IF(OR($N724="",$I724="",$I724=0),"",$N724/$I724)))</f>
        <v/>
      </c>
      <c r="P724">
        <f>IF($A724="","",IF(OR(LOWER($D724&amp;"")="n/a",ISNUMBER(SEARCH("subscription",LOWER($A724&amp;" "&amp;$M724&amp;""))),ISNUMBER(SEARCH("membership",LOWER($A724&amp;" "&amp;$M724&amp;"")))),"",IF(LOWER($L724&amp;"")="yes",0,IF($K724&lt;&gt;"",$K724,IF($O724&lt;&gt;"",$O724,"")))))</f>
        <v/>
      </c>
      <c r="Q724">
        <f>IF($A724="","",IF($U724="Subscription","",IF($U724="Profit",$P724-$H724,0)))</f>
        <v/>
      </c>
      <c r="R724">
        <f>IF($A724="","",IF($U724="Subscription","",IF($U724="Draw",$H724,0)))</f>
        <v/>
      </c>
      <c r="S724">
        <f>IF($A724="","",IF($U724="Subscription","",IF($U724="Disqualified",$H724,0)))</f>
        <v/>
      </c>
      <c r="T724">
        <f>IF($A724="","",IF($U724="Subscription","",IF($H724=0,IF($U724="Profit","N/A",0),IF($U724="Profit",$Q724/$H724,IF($U724="Disqualified",-1,0)))))</f>
        <v/>
      </c>
      <c r="U724" s="350">
        <f>IF($A724="","",IF(OR(LOWER($D724&amp;"")="n/a",ISNUMBER(SEARCH("subscription",LOWER($A724&amp;" "&amp;$M724&amp;""))),ISNUMBER(SEARCH("membership",LOWER($A724&amp;" "&amp;$M724&amp;"")))),"Subscription",IF(LOWER($L724&amp;"")="yes","Disqualified",IF($P724&gt;$H724,"Profit","Draw"))))</f>
        <v/>
      </c>
      <c r="V724">
        <f>IF(OR($A724="",$B724="",$C724="",$U724="Subscription"),"",IFERROR(ROUNDUP((IF(ISNUMBER($C724),$C724,DATEVALUE($C724))-IF(ISNUMBER($B724),$B724,DATEVALUE($B724)))/7,0),""))</f>
        <v/>
      </c>
      <c r="W724" s="352">
        <f>IF($U724="Subscription","",$Q724-$S724)</f>
        <v/>
      </c>
      <c r="X724">
        <f>IF(OR($A724="",$U724="Subscription",$J724="",$I724="",$J724=0,$I724=0,$I724&gt;$J724),"",$J724-$I724)</f>
        <v/>
      </c>
      <c r="Y724">
        <f>IF(OR($A724="",$U724="Subscription",$J724="",$J724=0,$X724=""),"",$X724/$J724)</f>
        <v/>
      </c>
    </row>
    <row r="725">
      <c r="B725" s="354" t="n"/>
      <c r="C725" s="354" t="n"/>
      <c r="E725" s="350" t="n"/>
      <c r="F725" s="350" t="n"/>
      <c r="G725" s="350" t="n"/>
      <c r="H725" s="350" t="n"/>
      <c r="I725" s="350" t="n"/>
      <c r="J725" s="352" t="n"/>
      <c r="M725" s="350" t="n"/>
      <c r="N725" s="350">
        <f>IF($A725="","",IF(OR(LOWER($D725&amp;"")="n/a",ISNUMBER(SEARCH("subscription",LOWER($A725&amp;" "&amp;$M725&amp;""))),ISNUMBER(SEARCH("membership",LOWER($A725&amp;" "&amp;$M725&amp;"")))),"",IF($G725="","",IF(ISNUMBER(SEARCH("non",LOWER($E725&amp;""))),$G725*0.85,$G725))))</f>
        <v/>
      </c>
      <c r="O725">
        <f>IF($A725="","",IF(OR(LOWER($D725&amp;"")="n/a",ISNUMBER(SEARCH("subscription",LOWER($A725&amp;" "&amp;$M725&amp;""))),ISNUMBER(SEARCH("membership",LOWER($A725&amp;" "&amp;$M725&amp;"")))),"",IF(OR($N725="",$I725="",$I725=0),"",$N725/$I725)))</f>
        <v/>
      </c>
      <c r="P725">
        <f>IF($A725="","",IF(OR(LOWER($D725&amp;"")="n/a",ISNUMBER(SEARCH("subscription",LOWER($A725&amp;" "&amp;$M725&amp;""))),ISNUMBER(SEARCH("membership",LOWER($A725&amp;" "&amp;$M725&amp;"")))),"",IF(LOWER($L725&amp;"")="yes",0,IF($K725&lt;&gt;"",$K725,IF($O725&lt;&gt;"",$O725,"")))))</f>
        <v/>
      </c>
      <c r="Q725">
        <f>IF($A725="","",IF($U725="Subscription","",IF($U725="Profit",$P725-$H725,0)))</f>
        <v/>
      </c>
      <c r="R725">
        <f>IF($A725="","",IF($U725="Subscription","",IF($U725="Draw",$H725,0)))</f>
        <v/>
      </c>
      <c r="S725">
        <f>IF($A725="","",IF($U725="Subscription","",IF($U725="Disqualified",$H725,0)))</f>
        <v/>
      </c>
      <c r="T725">
        <f>IF($A725="","",IF($U725="Subscription","",IF($H725=0,IF($U725="Profit","N/A",0),IF($U725="Profit",$Q725/$H725,IF($U725="Disqualified",-1,0)))))</f>
        <v/>
      </c>
      <c r="U725" s="350">
        <f>IF($A725="","",IF(OR(LOWER($D725&amp;"")="n/a",ISNUMBER(SEARCH("subscription",LOWER($A725&amp;" "&amp;$M725&amp;""))),ISNUMBER(SEARCH("membership",LOWER($A725&amp;" "&amp;$M725&amp;"")))),"Subscription",IF(LOWER($L725&amp;"")="yes","Disqualified",IF($P725&gt;$H725,"Profit","Draw"))))</f>
        <v/>
      </c>
      <c r="V725">
        <f>IF(OR($A725="",$B725="",$C725="",$U725="Subscription"),"",IFERROR(ROUNDUP((IF(ISNUMBER($C725),$C725,DATEVALUE($C725))-IF(ISNUMBER($B725),$B725,DATEVALUE($B725)))/7,0),""))</f>
        <v/>
      </c>
      <c r="W725" s="352">
        <f>IF($U725="Subscription","",$Q725-$S725)</f>
        <v/>
      </c>
      <c r="X725">
        <f>IF(OR($A725="",$U725="Subscription",$J725="",$I725="",$J725=0,$I725=0,$I725&gt;$J725),"",$J725-$I725)</f>
        <v/>
      </c>
      <c r="Y725">
        <f>IF(OR($A725="",$U725="Subscription",$J725="",$J725=0,$X725=""),"",$X725/$J725)</f>
        <v/>
      </c>
    </row>
    <row r="726">
      <c r="B726" s="354" t="n"/>
      <c r="C726" s="354" t="n"/>
      <c r="E726" s="350" t="n"/>
      <c r="F726" s="350" t="n"/>
      <c r="G726" s="350" t="n"/>
      <c r="H726" s="350" t="n"/>
      <c r="I726" s="350" t="n"/>
      <c r="J726" s="352" t="n"/>
      <c r="M726" s="350" t="n"/>
      <c r="N726" s="350">
        <f>IF($A726="","",IF(OR(LOWER($D726&amp;"")="n/a",ISNUMBER(SEARCH("subscription",LOWER($A726&amp;" "&amp;$M726&amp;""))),ISNUMBER(SEARCH("membership",LOWER($A726&amp;" "&amp;$M726&amp;"")))),"",IF($G726="","",IF(ISNUMBER(SEARCH("non",LOWER($E726&amp;""))),$G726*0.85,$G726))))</f>
        <v/>
      </c>
      <c r="O726">
        <f>IF($A726="","",IF(OR(LOWER($D726&amp;"")="n/a",ISNUMBER(SEARCH("subscription",LOWER($A726&amp;" "&amp;$M726&amp;""))),ISNUMBER(SEARCH("membership",LOWER($A726&amp;" "&amp;$M726&amp;"")))),"",IF(OR($N726="",$I726="",$I726=0),"",$N726/$I726)))</f>
        <v/>
      </c>
      <c r="P726">
        <f>IF($A726="","",IF(OR(LOWER($D726&amp;"")="n/a",ISNUMBER(SEARCH("subscription",LOWER($A726&amp;" "&amp;$M726&amp;""))),ISNUMBER(SEARCH("membership",LOWER($A726&amp;" "&amp;$M726&amp;"")))),"",IF(LOWER($L726&amp;"")="yes",0,IF($K726&lt;&gt;"",$K726,IF($O726&lt;&gt;"",$O726,"")))))</f>
        <v/>
      </c>
      <c r="Q726">
        <f>IF($A726="","",IF($U726="Subscription","",IF($U726="Profit",$P726-$H726,0)))</f>
        <v/>
      </c>
      <c r="R726">
        <f>IF($A726="","",IF($U726="Subscription","",IF($U726="Draw",$H726,0)))</f>
        <v/>
      </c>
      <c r="S726">
        <f>IF($A726="","",IF($U726="Subscription","",IF($U726="Disqualified",$H726,0)))</f>
        <v/>
      </c>
      <c r="T726">
        <f>IF($A726="","",IF($U726="Subscription","",IF($H726=0,IF($U726="Profit","N/A",0),IF($U726="Profit",$Q726/$H726,IF($U726="Disqualified",-1,0)))))</f>
        <v/>
      </c>
      <c r="U726" s="350">
        <f>IF($A726="","",IF(OR(LOWER($D726&amp;"")="n/a",ISNUMBER(SEARCH("subscription",LOWER($A726&amp;" "&amp;$M726&amp;""))),ISNUMBER(SEARCH("membership",LOWER($A726&amp;" "&amp;$M726&amp;"")))),"Subscription",IF(LOWER($L726&amp;"")="yes","Disqualified",IF($P726&gt;$H726,"Profit","Draw"))))</f>
        <v/>
      </c>
      <c r="V726">
        <f>IF(OR($A726="",$B726="",$C726="",$U726="Subscription"),"",IFERROR(ROUNDUP((IF(ISNUMBER($C726),$C726,DATEVALUE($C726))-IF(ISNUMBER($B726),$B726,DATEVALUE($B726)))/7,0),""))</f>
        <v/>
      </c>
      <c r="W726" s="352">
        <f>IF($U726="Subscription","",$Q726-$S726)</f>
        <v/>
      </c>
      <c r="X726">
        <f>IF(OR($A726="",$U726="Subscription",$J726="",$I726="",$J726=0,$I726=0,$I726&gt;$J726),"",$J726-$I726)</f>
        <v/>
      </c>
      <c r="Y726">
        <f>IF(OR($A726="",$U726="Subscription",$J726="",$J726=0,$X726=""),"",$X726/$J726)</f>
        <v/>
      </c>
    </row>
    <row r="727">
      <c r="B727" s="354" t="n"/>
      <c r="C727" s="354" t="n"/>
      <c r="E727" s="350" t="n"/>
      <c r="F727" s="350" t="n"/>
      <c r="G727" s="350" t="n"/>
      <c r="H727" s="350" t="n"/>
      <c r="I727" s="350" t="n"/>
      <c r="J727" s="352" t="n"/>
      <c r="M727" s="350" t="n"/>
      <c r="N727" s="350">
        <f>IF($A727="","",IF(OR(LOWER($D727&amp;"")="n/a",ISNUMBER(SEARCH("subscription",LOWER($A727&amp;" "&amp;$M727&amp;""))),ISNUMBER(SEARCH("membership",LOWER($A727&amp;" "&amp;$M727&amp;"")))),"",IF($G727="","",IF(ISNUMBER(SEARCH("non",LOWER($E727&amp;""))),$G727*0.85,$G727))))</f>
        <v/>
      </c>
      <c r="O727">
        <f>IF($A727="","",IF(OR(LOWER($D727&amp;"")="n/a",ISNUMBER(SEARCH("subscription",LOWER($A727&amp;" "&amp;$M727&amp;""))),ISNUMBER(SEARCH("membership",LOWER($A727&amp;" "&amp;$M727&amp;"")))),"",IF(OR($N727="",$I727="",$I727=0),"",$N727/$I727)))</f>
        <v/>
      </c>
      <c r="P727">
        <f>IF($A727="","",IF(OR(LOWER($D727&amp;"")="n/a",ISNUMBER(SEARCH("subscription",LOWER($A727&amp;" "&amp;$M727&amp;""))),ISNUMBER(SEARCH("membership",LOWER($A727&amp;" "&amp;$M727&amp;"")))),"",IF(LOWER($L727&amp;"")="yes",0,IF($K727&lt;&gt;"",$K727,IF($O727&lt;&gt;"",$O727,"")))))</f>
        <v/>
      </c>
      <c r="Q727">
        <f>IF($A727="","",IF($U727="Subscription","",IF($U727="Profit",$P727-$H727,0)))</f>
        <v/>
      </c>
      <c r="R727">
        <f>IF($A727="","",IF($U727="Subscription","",IF($U727="Draw",$H727,0)))</f>
        <v/>
      </c>
      <c r="S727">
        <f>IF($A727="","",IF($U727="Subscription","",IF($U727="Disqualified",$H727,0)))</f>
        <v/>
      </c>
      <c r="T727">
        <f>IF($A727="","",IF($U727="Subscription","",IF($H727=0,IF($U727="Profit","N/A",0),IF($U727="Profit",$Q727/$H727,IF($U727="Disqualified",-1,0)))))</f>
        <v/>
      </c>
      <c r="U727" s="350">
        <f>IF($A727="","",IF(OR(LOWER($D727&amp;"")="n/a",ISNUMBER(SEARCH("subscription",LOWER($A727&amp;" "&amp;$M727&amp;""))),ISNUMBER(SEARCH("membership",LOWER($A727&amp;" "&amp;$M727&amp;"")))),"Subscription",IF(LOWER($L727&amp;"")="yes","Disqualified",IF($P727&gt;$H727,"Profit","Draw"))))</f>
        <v/>
      </c>
      <c r="V727">
        <f>IF(OR($A727="",$B727="",$C727="",$U727="Subscription"),"",IFERROR(ROUNDUP((IF(ISNUMBER($C727),$C727,DATEVALUE($C727))-IF(ISNUMBER($B727),$B727,DATEVALUE($B727)))/7,0),""))</f>
        <v/>
      </c>
      <c r="W727" s="352">
        <f>IF($U727="Subscription","",$Q727-$S727)</f>
        <v/>
      </c>
      <c r="X727">
        <f>IF(OR($A727="",$U727="Subscription",$J727="",$I727="",$J727=0,$I727=0,$I727&gt;$J727),"",$J727-$I727)</f>
        <v/>
      </c>
      <c r="Y727">
        <f>IF(OR($A727="",$U727="Subscription",$J727="",$J727=0,$X727=""),"",$X727/$J727)</f>
        <v/>
      </c>
    </row>
    <row r="728">
      <c r="B728" s="354" t="n"/>
      <c r="C728" s="354" t="n"/>
      <c r="E728" s="350" t="n"/>
      <c r="F728" s="350" t="n"/>
      <c r="G728" s="350" t="n"/>
      <c r="H728" s="350" t="n"/>
      <c r="I728" s="350" t="n"/>
      <c r="J728" s="352" t="n"/>
      <c r="M728" s="350" t="n"/>
      <c r="N728" s="350">
        <f>IF($A728="","",IF(OR(LOWER($D728&amp;"")="n/a",ISNUMBER(SEARCH("subscription",LOWER($A728&amp;" "&amp;$M728&amp;""))),ISNUMBER(SEARCH("membership",LOWER($A728&amp;" "&amp;$M728&amp;"")))),"",IF($G728="","",IF(ISNUMBER(SEARCH("non",LOWER($E728&amp;""))),$G728*0.85,$G728))))</f>
        <v/>
      </c>
      <c r="O728">
        <f>IF($A728="","",IF(OR(LOWER($D728&amp;"")="n/a",ISNUMBER(SEARCH("subscription",LOWER($A728&amp;" "&amp;$M728&amp;""))),ISNUMBER(SEARCH("membership",LOWER($A728&amp;" "&amp;$M728&amp;"")))),"",IF(OR($N728="",$I728="",$I728=0),"",$N728/$I728)))</f>
        <v/>
      </c>
      <c r="P728">
        <f>IF($A728="","",IF(OR(LOWER($D728&amp;"")="n/a",ISNUMBER(SEARCH("subscription",LOWER($A728&amp;" "&amp;$M728&amp;""))),ISNUMBER(SEARCH("membership",LOWER($A728&amp;" "&amp;$M728&amp;"")))),"",IF(LOWER($L728&amp;"")="yes",0,IF($K728&lt;&gt;"",$K728,IF($O728&lt;&gt;"",$O728,"")))))</f>
        <v/>
      </c>
      <c r="Q728">
        <f>IF($A728="","",IF($U728="Subscription","",IF($U728="Profit",$P728-$H728,0)))</f>
        <v/>
      </c>
      <c r="R728">
        <f>IF($A728="","",IF($U728="Subscription","",IF($U728="Draw",$H728,0)))</f>
        <v/>
      </c>
      <c r="S728">
        <f>IF($A728="","",IF($U728="Subscription","",IF($U728="Disqualified",$H728,0)))</f>
        <v/>
      </c>
      <c r="T728">
        <f>IF($A728="","",IF($U728="Subscription","",IF($H728=0,IF($U728="Profit","N/A",0),IF($U728="Profit",$Q728/$H728,IF($U728="Disqualified",-1,0)))))</f>
        <v/>
      </c>
      <c r="U728" s="350">
        <f>IF($A728="","",IF(OR(LOWER($D728&amp;"")="n/a",ISNUMBER(SEARCH("subscription",LOWER($A728&amp;" "&amp;$M728&amp;""))),ISNUMBER(SEARCH("membership",LOWER($A728&amp;" "&amp;$M728&amp;"")))),"Subscription",IF(LOWER($L728&amp;"")="yes","Disqualified",IF($P728&gt;$H728,"Profit","Draw"))))</f>
        <v/>
      </c>
      <c r="V728">
        <f>IF(OR($A728="",$B728="",$C728="",$U728="Subscription"),"",IFERROR(ROUNDUP((IF(ISNUMBER($C728),$C728,DATEVALUE($C728))-IF(ISNUMBER($B728),$B728,DATEVALUE($B728)))/7,0),""))</f>
        <v/>
      </c>
      <c r="W728" s="352">
        <f>IF($U728="Subscription","",$Q728-$S728)</f>
        <v/>
      </c>
      <c r="X728">
        <f>IF(OR($A728="",$U728="Subscription",$J728="",$I728="",$J728=0,$I728=0,$I728&gt;$J728),"",$J728-$I728)</f>
        <v/>
      </c>
      <c r="Y728">
        <f>IF(OR($A728="",$U728="Subscription",$J728="",$J728=0,$X728=""),"",$X728/$J728)</f>
        <v/>
      </c>
    </row>
    <row r="729">
      <c r="B729" s="354" t="n"/>
      <c r="C729" s="354" t="n"/>
      <c r="E729" s="350" t="n"/>
      <c r="F729" s="350" t="n"/>
      <c r="G729" s="350" t="n"/>
      <c r="H729" s="350" t="n"/>
      <c r="I729" s="350" t="n"/>
      <c r="J729" s="352" t="n"/>
      <c r="M729" s="350" t="n"/>
      <c r="N729" s="350">
        <f>IF($A729="","",IF(OR(LOWER($D729&amp;"")="n/a",ISNUMBER(SEARCH("subscription",LOWER($A729&amp;" "&amp;$M729&amp;""))),ISNUMBER(SEARCH("membership",LOWER($A729&amp;" "&amp;$M729&amp;"")))),"",IF($G729="","",IF(ISNUMBER(SEARCH("non",LOWER($E729&amp;""))),$G729*0.85,$G729))))</f>
        <v/>
      </c>
      <c r="O729">
        <f>IF($A729="","",IF(OR(LOWER($D729&amp;"")="n/a",ISNUMBER(SEARCH("subscription",LOWER($A729&amp;" "&amp;$M729&amp;""))),ISNUMBER(SEARCH("membership",LOWER($A729&amp;" "&amp;$M729&amp;"")))),"",IF(OR($N729="",$I729="",$I729=0),"",$N729/$I729)))</f>
        <v/>
      </c>
      <c r="P729">
        <f>IF($A729="","",IF(OR(LOWER($D729&amp;"")="n/a",ISNUMBER(SEARCH("subscription",LOWER($A729&amp;" "&amp;$M729&amp;""))),ISNUMBER(SEARCH("membership",LOWER($A729&amp;" "&amp;$M729&amp;"")))),"",IF(LOWER($L729&amp;"")="yes",0,IF($K729&lt;&gt;"",$K729,IF($O729&lt;&gt;"",$O729,"")))))</f>
        <v/>
      </c>
      <c r="Q729">
        <f>IF($A729="","",IF($U729="Subscription","",IF($U729="Profit",$P729-$H729,0)))</f>
        <v/>
      </c>
      <c r="R729">
        <f>IF($A729="","",IF($U729="Subscription","",IF($U729="Draw",$H729,0)))</f>
        <v/>
      </c>
      <c r="S729">
        <f>IF($A729="","",IF($U729="Subscription","",IF($U729="Disqualified",$H729,0)))</f>
        <v/>
      </c>
      <c r="T729">
        <f>IF($A729="","",IF($U729="Subscription","",IF($H729=0,IF($U729="Profit","N/A",0),IF($U729="Profit",$Q729/$H729,IF($U729="Disqualified",-1,0)))))</f>
        <v/>
      </c>
      <c r="U729" s="350">
        <f>IF($A729="","",IF(OR(LOWER($D729&amp;"")="n/a",ISNUMBER(SEARCH("subscription",LOWER($A729&amp;" "&amp;$M729&amp;""))),ISNUMBER(SEARCH("membership",LOWER($A729&amp;" "&amp;$M729&amp;"")))),"Subscription",IF(LOWER($L729&amp;"")="yes","Disqualified",IF($P729&gt;$H729,"Profit","Draw"))))</f>
        <v/>
      </c>
      <c r="V729">
        <f>IF(OR($A729="",$B729="",$C729="",$U729="Subscription"),"",IFERROR(ROUNDUP((IF(ISNUMBER($C729),$C729,DATEVALUE($C729))-IF(ISNUMBER($B729),$B729,DATEVALUE($B729)))/7,0),""))</f>
        <v/>
      </c>
      <c r="W729" s="352">
        <f>IF($U729="Subscription","",$Q729-$S729)</f>
        <v/>
      </c>
      <c r="X729">
        <f>IF(OR($A729="",$U729="Subscription",$J729="",$I729="",$J729=0,$I729=0,$I729&gt;$J729),"",$J729-$I729)</f>
        <v/>
      </c>
      <c r="Y729">
        <f>IF(OR($A729="",$U729="Subscription",$J729="",$J729=0,$X729=""),"",$X729/$J729)</f>
        <v/>
      </c>
    </row>
    <row r="730">
      <c r="B730" s="354" t="n"/>
      <c r="C730" s="354" t="n"/>
      <c r="E730" s="350" t="n"/>
      <c r="F730" s="350" t="n"/>
      <c r="G730" s="350" t="n"/>
      <c r="H730" s="350" t="n"/>
      <c r="I730" s="350" t="n"/>
      <c r="J730" s="352" t="n"/>
      <c r="M730" s="350" t="n"/>
      <c r="N730" s="350">
        <f>IF($A730="","",IF(OR(LOWER($D730&amp;"")="n/a",ISNUMBER(SEARCH("subscription",LOWER($A730&amp;" "&amp;$M730&amp;""))),ISNUMBER(SEARCH("membership",LOWER($A730&amp;" "&amp;$M730&amp;"")))),"",IF($G730="","",IF(ISNUMBER(SEARCH("non",LOWER($E730&amp;""))),$G730*0.85,$G730))))</f>
        <v/>
      </c>
      <c r="O730">
        <f>IF($A730="","",IF(OR(LOWER($D730&amp;"")="n/a",ISNUMBER(SEARCH("subscription",LOWER($A730&amp;" "&amp;$M730&amp;""))),ISNUMBER(SEARCH("membership",LOWER($A730&amp;" "&amp;$M730&amp;"")))),"",IF(OR($N730="",$I730="",$I730=0),"",$N730/$I730)))</f>
        <v/>
      </c>
      <c r="P730">
        <f>IF($A730="","",IF(OR(LOWER($D730&amp;"")="n/a",ISNUMBER(SEARCH("subscription",LOWER($A730&amp;" "&amp;$M730&amp;""))),ISNUMBER(SEARCH("membership",LOWER($A730&amp;" "&amp;$M730&amp;"")))),"",IF(LOWER($L730&amp;"")="yes",0,IF($K730&lt;&gt;"",$K730,IF($O730&lt;&gt;"",$O730,"")))))</f>
        <v/>
      </c>
      <c r="Q730">
        <f>IF($A730="","",IF($U730="Subscription","",IF($U730="Profit",$P730-$H730,0)))</f>
        <v/>
      </c>
      <c r="R730">
        <f>IF($A730="","",IF($U730="Subscription","",IF($U730="Draw",$H730,0)))</f>
        <v/>
      </c>
      <c r="S730">
        <f>IF($A730="","",IF($U730="Subscription","",IF($U730="Disqualified",$H730,0)))</f>
        <v/>
      </c>
      <c r="T730">
        <f>IF($A730="","",IF($U730="Subscription","",IF($H730=0,IF($U730="Profit","N/A",0),IF($U730="Profit",$Q730/$H730,IF($U730="Disqualified",-1,0)))))</f>
        <v/>
      </c>
      <c r="U730" s="350">
        <f>IF($A730="","",IF(OR(LOWER($D730&amp;"")="n/a",ISNUMBER(SEARCH("subscription",LOWER($A730&amp;" "&amp;$M730&amp;""))),ISNUMBER(SEARCH("membership",LOWER($A730&amp;" "&amp;$M730&amp;"")))),"Subscription",IF(LOWER($L730&amp;"")="yes","Disqualified",IF($P730&gt;$H730,"Profit","Draw"))))</f>
        <v/>
      </c>
      <c r="V730">
        <f>IF(OR($A730="",$B730="",$C730="",$U730="Subscription"),"",IFERROR(ROUNDUP((IF(ISNUMBER($C730),$C730,DATEVALUE($C730))-IF(ISNUMBER($B730),$B730,DATEVALUE($B730)))/7,0),""))</f>
        <v/>
      </c>
      <c r="W730" s="352">
        <f>IF($U730="Subscription","",$Q730-$S730)</f>
        <v/>
      </c>
      <c r="X730">
        <f>IF(OR($A730="",$U730="Subscription",$J730="",$I730="",$J730=0,$I730=0,$I730&gt;$J730),"",$J730-$I730)</f>
        <v/>
      </c>
      <c r="Y730">
        <f>IF(OR($A730="",$U730="Subscription",$J730="",$J730=0,$X730=""),"",$X730/$J730)</f>
        <v/>
      </c>
    </row>
    <row r="731">
      <c r="B731" s="354" t="n"/>
      <c r="C731" s="354" t="n"/>
      <c r="E731" s="350" t="n"/>
      <c r="F731" s="350" t="n"/>
      <c r="G731" s="350" t="n"/>
      <c r="H731" s="350" t="n"/>
      <c r="I731" s="350" t="n"/>
      <c r="J731" s="352" t="n"/>
      <c r="M731" s="350" t="n"/>
      <c r="N731" s="350">
        <f>IF($A731="","",IF(OR(LOWER($D731&amp;"")="n/a",ISNUMBER(SEARCH("subscription",LOWER($A731&amp;" "&amp;$M731&amp;""))),ISNUMBER(SEARCH("membership",LOWER($A731&amp;" "&amp;$M731&amp;"")))),"",IF($G731="","",IF(ISNUMBER(SEARCH("non",LOWER($E731&amp;""))),$G731*0.85,$G731))))</f>
        <v/>
      </c>
      <c r="O731">
        <f>IF($A731="","",IF(OR(LOWER($D731&amp;"")="n/a",ISNUMBER(SEARCH("subscription",LOWER($A731&amp;" "&amp;$M731&amp;""))),ISNUMBER(SEARCH("membership",LOWER($A731&amp;" "&amp;$M731&amp;"")))),"",IF(OR($N731="",$I731="",$I731=0),"",$N731/$I731)))</f>
        <v/>
      </c>
      <c r="P731">
        <f>IF($A731="","",IF(OR(LOWER($D731&amp;"")="n/a",ISNUMBER(SEARCH("subscription",LOWER($A731&amp;" "&amp;$M731&amp;""))),ISNUMBER(SEARCH("membership",LOWER($A731&amp;" "&amp;$M731&amp;"")))),"",IF(LOWER($L731&amp;"")="yes",0,IF($K731&lt;&gt;"",$K731,IF($O731&lt;&gt;"",$O731,"")))))</f>
        <v/>
      </c>
      <c r="Q731">
        <f>IF($A731="","",IF($U731="Subscription","",IF($U731="Profit",$P731-$H731,0)))</f>
        <v/>
      </c>
      <c r="R731">
        <f>IF($A731="","",IF($U731="Subscription","",IF($U731="Draw",$H731,0)))</f>
        <v/>
      </c>
      <c r="S731">
        <f>IF($A731="","",IF($U731="Subscription","",IF($U731="Disqualified",$H731,0)))</f>
        <v/>
      </c>
      <c r="T731">
        <f>IF($A731="","",IF($U731="Subscription","",IF($H731=0,IF($U731="Profit","N/A",0),IF($U731="Profit",$Q731/$H731,IF($U731="Disqualified",-1,0)))))</f>
        <v/>
      </c>
      <c r="U731" s="350">
        <f>IF($A731="","",IF(OR(LOWER($D731&amp;"")="n/a",ISNUMBER(SEARCH("subscription",LOWER($A731&amp;" "&amp;$M731&amp;""))),ISNUMBER(SEARCH("membership",LOWER($A731&amp;" "&amp;$M731&amp;"")))),"Subscription",IF(LOWER($L731&amp;"")="yes","Disqualified",IF($P731&gt;$H731,"Profit","Draw"))))</f>
        <v/>
      </c>
      <c r="V731">
        <f>IF(OR($A731="",$B731="",$C731="",$U731="Subscription"),"",IFERROR(ROUNDUP((IF(ISNUMBER($C731),$C731,DATEVALUE($C731))-IF(ISNUMBER($B731),$B731,DATEVALUE($B731)))/7,0),""))</f>
        <v/>
      </c>
      <c r="W731" s="352">
        <f>IF($U731="Subscription","",$Q731-$S731)</f>
        <v/>
      </c>
      <c r="X731">
        <f>IF(OR($A731="",$U731="Subscription",$J731="",$I731="",$J731=0,$I731=0,$I731&gt;$J731),"",$J731-$I731)</f>
        <v/>
      </c>
      <c r="Y731">
        <f>IF(OR($A731="",$U731="Subscription",$J731="",$J731=0,$X731=""),"",$X731/$J731)</f>
        <v/>
      </c>
    </row>
    <row r="732">
      <c r="B732" s="354" t="n"/>
      <c r="C732" s="354" t="n"/>
      <c r="E732" s="350" t="n"/>
      <c r="F732" s="350" t="n"/>
      <c r="G732" s="350" t="n"/>
      <c r="H732" s="350" t="n"/>
      <c r="I732" s="350" t="n"/>
      <c r="J732" s="352" t="n"/>
      <c r="M732" s="350" t="n"/>
      <c r="N732" s="350">
        <f>IF($A732="","",IF(OR(LOWER($D732&amp;"")="n/a",ISNUMBER(SEARCH("subscription",LOWER($A732&amp;" "&amp;$M732&amp;""))),ISNUMBER(SEARCH("membership",LOWER($A732&amp;" "&amp;$M732&amp;"")))),"",IF($G732="","",IF(ISNUMBER(SEARCH("non",LOWER($E732&amp;""))),$G732*0.85,$G732))))</f>
        <v/>
      </c>
      <c r="O732">
        <f>IF($A732="","",IF(OR(LOWER($D732&amp;"")="n/a",ISNUMBER(SEARCH("subscription",LOWER($A732&amp;" "&amp;$M732&amp;""))),ISNUMBER(SEARCH("membership",LOWER($A732&amp;" "&amp;$M732&amp;"")))),"",IF(OR($N732="",$I732="",$I732=0),"",$N732/$I732)))</f>
        <v/>
      </c>
      <c r="P732">
        <f>IF($A732="","",IF(OR(LOWER($D732&amp;"")="n/a",ISNUMBER(SEARCH("subscription",LOWER($A732&amp;" "&amp;$M732&amp;""))),ISNUMBER(SEARCH("membership",LOWER($A732&amp;" "&amp;$M732&amp;"")))),"",IF(LOWER($L732&amp;"")="yes",0,IF($K732&lt;&gt;"",$K732,IF($O732&lt;&gt;"",$O732,"")))))</f>
        <v/>
      </c>
      <c r="Q732">
        <f>IF($A732="","",IF($U732="Subscription","",IF($U732="Profit",$P732-$H732,0)))</f>
        <v/>
      </c>
      <c r="R732">
        <f>IF($A732="","",IF($U732="Subscription","",IF($U732="Draw",$H732,0)))</f>
        <v/>
      </c>
      <c r="S732">
        <f>IF($A732="","",IF($U732="Subscription","",IF($U732="Disqualified",$H732,0)))</f>
        <v/>
      </c>
      <c r="T732">
        <f>IF($A732="","",IF($U732="Subscription","",IF($H732=0,IF($U732="Profit","N/A",0),IF($U732="Profit",$Q732/$H732,IF($U732="Disqualified",-1,0)))))</f>
        <v/>
      </c>
      <c r="U732" s="350">
        <f>IF($A732="","",IF(OR(LOWER($D732&amp;"")="n/a",ISNUMBER(SEARCH("subscription",LOWER($A732&amp;" "&amp;$M732&amp;""))),ISNUMBER(SEARCH("membership",LOWER($A732&amp;" "&amp;$M732&amp;"")))),"Subscription",IF(LOWER($L732&amp;"")="yes","Disqualified",IF($P732&gt;$H732,"Profit","Draw"))))</f>
        <v/>
      </c>
      <c r="V732">
        <f>IF(OR($A732="",$B732="",$C732="",$U732="Subscription"),"",IFERROR(ROUNDUP((IF(ISNUMBER($C732),$C732,DATEVALUE($C732))-IF(ISNUMBER($B732),$B732,DATEVALUE($B732)))/7,0),""))</f>
        <v/>
      </c>
      <c r="W732" s="352">
        <f>IF($U732="Subscription","",$Q732-$S732)</f>
        <v/>
      </c>
      <c r="X732">
        <f>IF(OR($A732="",$U732="Subscription",$J732="",$I732="",$J732=0,$I732=0,$I732&gt;$J732),"",$J732-$I732)</f>
        <v/>
      </c>
      <c r="Y732">
        <f>IF(OR($A732="",$U732="Subscription",$J732="",$J732=0,$X732=""),"",$X732/$J732)</f>
        <v/>
      </c>
    </row>
    <row r="733">
      <c r="B733" s="354" t="n"/>
      <c r="C733" s="354" t="n"/>
      <c r="E733" s="350" t="n"/>
      <c r="F733" s="350" t="n"/>
      <c r="G733" s="350" t="n"/>
      <c r="H733" s="350" t="n"/>
      <c r="I733" s="350" t="n"/>
      <c r="J733" s="352" t="n"/>
      <c r="M733" s="350" t="n"/>
      <c r="N733" s="350">
        <f>IF($A733="","",IF(OR(LOWER($D733&amp;"")="n/a",ISNUMBER(SEARCH("subscription",LOWER($A733&amp;" "&amp;$M733&amp;""))),ISNUMBER(SEARCH("membership",LOWER($A733&amp;" "&amp;$M733&amp;"")))),"",IF($G733="","",IF(ISNUMBER(SEARCH("non",LOWER($E733&amp;""))),$G733*0.85,$G733))))</f>
        <v/>
      </c>
      <c r="O733">
        <f>IF($A733="","",IF(OR(LOWER($D733&amp;"")="n/a",ISNUMBER(SEARCH("subscription",LOWER($A733&amp;" "&amp;$M733&amp;""))),ISNUMBER(SEARCH("membership",LOWER($A733&amp;" "&amp;$M733&amp;"")))),"",IF(OR($N733="",$I733="",$I733=0),"",$N733/$I733)))</f>
        <v/>
      </c>
      <c r="P733">
        <f>IF($A733="","",IF(OR(LOWER($D733&amp;"")="n/a",ISNUMBER(SEARCH("subscription",LOWER($A733&amp;" "&amp;$M733&amp;""))),ISNUMBER(SEARCH("membership",LOWER($A733&amp;" "&amp;$M733&amp;"")))),"",IF(LOWER($L733&amp;"")="yes",0,IF($K733&lt;&gt;"",$K733,IF($O733&lt;&gt;"",$O733,"")))))</f>
        <v/>
      </c>
      <c r="Q733">
        <f>IF($A733="","",IF($U733="Subscription","",IF($U733="Profit",$P733-$H733,0)))</f>
        <v/>
      </c>
      <c r="R733">
        <f>IF($A733="","",IF($U733="Subscription","",IF($U733="Draw",$H733,0)))</f>
        <v/>
      </c>
      <c r="S733">
        <f>IF($A733="","",IF($U733="Subscription","",IF($U733="Disqualified",$H733,0)))</f>
        <v/>
      </c>
      <c r="T733">
        <f>IF($A733="","",IF($U733="Subscription","",IF($H733=0,IF($U733="Profit","N/A",0),IF($U733="Profit",$Q733/$H733,IF($U733="Disqualified",-1,0)))))</f>
        <v/>
      </c>
      <c r="U733" s="350">
        <f>IF($A733="","",IF(OR(LOWER($D733&amp;"")="n/a",ISNUMBER(SEARCH("subscription",LOWER($A733&amp;" "&amp;$M733&amp;""))),ISNUMBER(SEARCH("membership",LOWER($A733&amp;" "&amp;$M733&amp;"")))),"Subscription",IF(LOWER($L733&amp;"")="yes","Disqualified",IF($P733&gt;$H733,"Profit","Draw"))))</f>
        <v/>
      </c>
      <c r="V733">
        <f>IF(OR($A733="",$B733="",$C733="",$U733="Subscription"),"",IFERROR(ROUNDUP((IF(ISNUMBER($C733),$C733,DATEVALUE($C733))-IF(ISNUMBER($B733),$B733,DATEVALUE($B733)))/7,0),""))</f>
        <v/>
      </c>
      <c r="W733" s="352">
        <f>IF($U733="Subscription","",$Q733-$S733)</f>
        <v/>
      </c>
      <c r="X733">
        <f>IF(OR($A733="",$U733="Subscription",$J733="",$I733="",$J733=0,$I733=0,$I733&gt;$J733),"",$J733-$I733)</f>
        <v/>
      </c>
      <c r="Y733">
        <f>IF(OR($A733="",$U733="Subscription",$J733="",$J733=0,$X733=""),"",$X733/$J733)</f>
        <v/>
      </c>
    </row>
    <row r="734">
      <c r="B734" s="354" t="n"/>
      <c r="C734" s="354" t="n"/>
      <c r="E734" s="350" t="n"/>
      <c r="F734" s="350" t="n"/>
      <c r="G734" s="350" t="n"/>
      <c r="H734" s="350" t="n"/>
      <c r="I734" s="350" t="n"/>
      <c r="J734" s="352" t="n"/>
      <c r="M734" s="350" t="n"/>
      <c r="N734" s="350">
        <f>IF($A734="","",IF(OR(LOWER($D734&amp;"")="n/a",ISNUMBER(SEARCH("subscription",LOWER($A734&amp;" "&amp;$M734&amp;""))),ISNUMBER(SEARCH("membership",LOWER($A734&amp;" "&amp;$M734&amp;"")))),"",IF($G734="","",IF(ISNUMBER(SEARCH("non",LOWER($E734&amp;""))),$G734*0.85,$G734))))</f>
        <v/>
      </c>
      <c r="O734">
        <f>IF($A734="","",IF(OR(LOWER($D734&amp;"")="n/a",ISNUMBER(SEARCH("subscription",LOWER($A734&amp;" "&amp;$M734&amp;""))),ISNUMBER(SEARCH("membership",LOWER($A734&amp;" "&amp;$M734&amp;"")))),"",IF(OR($N734="",$I734="",$I734=0),"",$N734/$I734)))</f>
        <v/>
      </c>
      <c r="P734">
        <f>IF($A734="","",IF(OR(LOWER($D734&amp;"")="n/a",ISNUMBER(SEARCH("subscription",LOWER($A734&amp;" "&amp;$M734&amp;""))),ISNUMBER(SEARCH("membership",LOWER($A734&amp;" "&amp;$M734&amp;"")))),"",IF(LOWER($L734&amp;"")="yes",0,IF($K734&lt;&gt;"",$K734,IF($O734&lt;&gt;"",$O734,"")))))</f>
        <v/>
      </c>
      <c r="Q734">
        <f>IF($A734="","",IF($U734="Subscription","",IF($U734="Profit",$P734-$H734,0)))</f>
        <v/>
      </c>
      <c r="R734">
        <f>IF($A734="","",IF($U734="Subscription","",IF($U734="Draw",$H734,0)))</f>
        <v/>
      </c>
      <c r="S734">
        <f>IF($A734="","",IF($U734="Subscription","",IF($U734="Disqualified",$H734,0)))</f>
        <v/>
      </c>
      <c r="T734">
        <f>IF($A734="","",IF($U734="Subscription","",IF($H734=0,IF($U734="Profit","N/A",0),IF($U734="Profit",$Q734/$H734,IF($U734="Disqualified",-1,0)))))</f>
        <v/>
      </c>
      <c r="U734" s="350">
        <f>IF($A734="","",IF(OR(LOWER($D734&amp;"")="n/a",ISNUMBER(SEARCH("subscription",LOWER($A734&amp;" "&amp;$M734&amp;""))),ISNUMBER(SEARCH("membership",LOWER($A734&amp;" "&amp;$M734&amp;"")))),"Subscription",IF(LOWER($L734&amp;"")="yes","Disqualified",IF($P734&gt;$H734,"Profit","Draw"))))</f>
        <v/>
      </c>
      <c r="V734">
        <f>IF(OR($A734="",$B734="",$C734="",$U734="Subscription"),"",IFERROR(ROUNDUP((IF(ISNUMBER($C734),$C734,DATEVALUE($C734))-IF(ISNUMBER($B734),$B734,DATEVALUE($B734)))/7,0),""))</f>
        <v/>
      </c>
      <c r="W734" s="352">
        <f>IF($U734="Subscription","",$Q734-$S734)</f>
        <v/>
      </c>
      <c r="X734">
        <f>IF(OR($A734="",$U734="Subscription",$J734="",$I734="",$J734=0,$I734=0,$I734&gt;$J734),"",$J734-$I734)</f>
        <v/>
      </c>
      <c r="Y734">
        <f>IF(OR($A734="",$U734="Subscription",$J734="",$J734=0,$X734=""),"",$X734/$J734)</f>
        <v/>
      </c>
    </row>
    <row r="735">
      <c r="B735" s="354" t="n"/>
      <c r="C735" s="354" t="n"/>
      <c r="E735" s="350" t="n"/>
      <c r="F735" s="350" t="n"/>
      <c r="G735" s="350" t="n"/>
      <c r="H735" s="350" t="n"/>
      <c r="I735" s="350" t="n"/>
      <c r="J735" s="352" t="n"/>
      <c r="M735" s="350" t="n"/>
      <c r="N735" s="350">
        <f>IF($A735="","",IF(OR(LOWER($D735&amp;"")="n/a",ISNUMBER(SEARCH("subscription",LOWER($A735&amp;" "&amp;$M735&amp;""))),ISNUMBER(SEARCH("membership",LOWER($A735&amp;" "&amp;$M735&amp;"")))),"",IF($G735="","",IF(ISNUMBER(SEARCH("non",LOWER($E735&amp;""))),$G735*0.85,$G735))))</f>
        <v/>
      </c>
      <c r="O735">
        <f>IF($A735="","",IF(OR(LOWER($D735&amp;"")="n/a",ISNUMBER(SEARCH("subscription",LOWER($A735&amp;" "&amp;$M735&amp;""))),ISNUMBER(SEARCH("membership",LOWER($A735&amp;" "&amp;$M735&amp;"")))),"",IF(OR($N735="",$I735="",$I735=0),"",$N735/$I735)))</f>
        <v/>
      </c>
      <c r="P735">
        <f>IF($A735="","",IF(OR(LOWER($D735&amp;"")="n/a",ISNUMBER(SEARCH("subscription",LOWER($A735&amp;" "&amp;$M735&amp;""))),ISNUMBER(SEARCH("membership",LOWER($A735&amp;" "&amp;$M735&amp;"")))),"",IF(LOWER($L735&amp;"")="yes",0,IF($K735&lt;&gt;"",$K735,IF($O735&lt;&gt;"",$O735,"")))))</f>
        <v/>
      </c>
      <c r="Q735">
        <f>IF($A735="","",IF($U735="Subscription","",IF($U735="Profit",$P735-$H735,0)))</f>
        <v/>
      </c>
      <c r="R735">
        <f>IF($A735="","",IF($U735="Subscription","",IF($U735="Draw",$H735,0)))</f>
        <v/>
      </c>
      <c r="S735">
        <f>IF($A735="","",IF($U735="Subscription","",IF($U735="Disqualified",$H735,0)))</f>
        <v/>
      </c>
      <c r="T735">
        <f>IF($A735="","",IF($U735="Subscription","",IF($H735=0,IF($U735="Profit","N/A",0),IF($U735="Profit",$Q735/$H735,IF($U735="Disqualified",-1,0)))))</f>
        <v/>
      </c>
      <c r="U735" s="350">
        <f>IF($A735="","",IF(OR(LOWER($D735&amp;"")="n/a",ISNUMBER(SEARCH("subscription",LOWER($A735&amp;" "&amp;$M735&amp;""))),ISNUMBER(SEARCH("membership",LOWER($A735&amp;" "&amp;$M735&amp;"")))),"Subscription",IF(LOWER($L735&amp;"")="yes","Disqualified",IF($P735&gt;$H735,"Profit","Draw"))))</f>
        <v/>
      </c>
      <c r="V735">
        <f>IF(OR($A735="",$B735="",$C735="",$U735="Subscription"),"",IFERROR(ROUNDUP((IF(ISNUMBER($C735),$C735,DATEVALUE($C735))-IF(ISNUMBER($B735),$B735,DATEVALUE($B735)))/7,0),""))</f>
        <v/>
      </c>
      <c r="W735" s="352">
        <f>IF($U735="Subscription","",$Q735-$S735)</f>
        <v/>
      </c>
      <c r="X735">
        <f>IF(OR($A735="",$U735="Subscription",$J735="",$I735="",$J735=0,$I735=0,$I735&gt;$J735),"",$J735-$I735)</f>
        <v/>
      </c>
      <c r="Y735">
        <f>IF(OR($A735="",$U735="Subscription",$J735="",$J735=0,$X735=""),"",$X735/$J735)</f>
        <v/>
      </c>
    </row>
    <row r="736">
      <c r="B736" s="354" t="n"/>
      <c r="C736" s="354" t="n"/>
      <c r="E736" s="350" t="n"/>
      <c r="F736" s="350" t="n"/>
      <c r="G736" s="350" t="n"/>
      <c r="H736" s="350" t="n"/>
      <c r="I736" s="350" t="n"/>
      <c r="J736" s="352" t="n"/>
      <c r="M736" s="350" t="n"/>
      <c r="N736" s="350">
        <f>IF($A736="","",IF(OR(LOWER($D736&amp;"")="n/a",ISNUMBER(SEARCH("subscription",LOWER($A736&amp;" "&amp;$M736&amp;""))),ISNUMBER(SEARCH("membership",LOWER($A736&amp;" "&amp;$M736&amp;"")))),"",IF($G736="","",IF(ISNUMBER(SEARCH("non",LOWER($E736&amp;""))),$G736*0.85,$G736))))</f>
        <v/>
      </c>
      <c r="O736">
        <f>IF($A736="","",IF(OR(LOWER($D736&amp;"")="n/a",ISNUMBER(SEARCH("subscription",LOWER($A736&amp;" "&amp;$M736&amp;""))),ISNUMBER(SEARCH("membership",LOWER($A736&amp;" "&amp;$M736&amp;"")))),"",IF(OR($N736="",$I736="",$I736=0),"",$N736/$I736)))</f>
        <v/>
      </c>
      <c r="P736">
        <f>IF($A736="","",IF(OR(LOWER($D736&amp;"")="n/a",ISNUMBER(SEARCH("subscription",LOWER($A736&amp;" "&amp;$M736&amp;""))),ISNUMBER(SEARCH("membership",LOWER($A736&amp;" "&amp;$M736&amp;"")))),"",IF(LOWER($L736&amp;"")="yes",0,IF($K736&lt;&gt;"",$K736,IF($O736&lt;&gt;"",$O736,"")))))</f>
        <v/>
      </c>
      <c r="Q736">
        <f>IF($A736="","",IF($U736="Subscription","",IF($U736="Profit",$P736-$H736,0)))</f>
        <v/>
      </c>
      <c r="R736">
        <f>IF($A736="","",IF($U736="Subscription","",IF($U736="Draw",$H736,0)))</f>
        <v/>
      </c>
      <c r="S736">
        <f>IF($A736="","",IF($U736="Subscription","",IF($U736="Disqualified",$H736,0)))</f>
        <v/>
      </c>
      <c r="T736">
        <f>IF($A736="","",IF($U736="Subscription","",IF($H736=0,IF($U736="Profit","N/A",0),IF($U736="Profit",$Q736/$H736,IF($U736="Disqualified",-1,0)))))</f>
        <v/>
      </c>
      <c r="U736" s="350">
        <f>IF($A736="","",IF(OR(LOWER($D736&amp;"")="n/a",ISNUMBER(SEARCH("subscription",LOWER($A736&amp;" "&amp;$M736&amp;""))),ISNUMBER(SEARCH("membership",LOWER($A736&amp;" "&amp;$M736&amp;"")))),"Subscription",IF(LOWER($L736&amp;"")="yes","Disqualified",IF($P736&gt;$H736,"Profit","Draw"))))</f>
        <v/>
      </c>
      <c r="V736">
        <f>IF(OR($A736="",$B736="",$C736="",$U736="Subscription"),"",IFERROR(ROUNDUP((IF(ISNUMBER($C736),$C736,DATEVALUE($C736))-IF(ISNUMBER($B736),$B736,DATEVALUE($B736)))/7,0),""))</f>
        <v/>
      </c>
      <c r="W736" s="352">
        <f>IF($U736="Subscription","",$Q736-$S736)</f>
        <v/>
      </c>
      <c r="X736">
        <f>IF(OR($A736="",$U736="Subscription",$J736="",$I736="",$J736=0,$I736=0,$I736&gt;$J736),"",$J736-$I736)</f>
        <v/>
      </c>
      <c r="Y736">
        <f>IF(OR($A736="",$U736="Subscription",$J736="",$J736=0,$X736=""),"",$X736/$J736)</f>
        <v/>
      </c>
    </row>
    <row r="737">
      <c r="B737" s="354" t="n"/>
      <c r="C737" s="354" t="n"/>
      <c r="E737" s="350" t="n"/>
      <c r="F737" s="350" t="n"/>
      <c r="G737" s="350" t="n"/>
      <c r="H737" s="350" t="n"/>
      <c r="I737" s="350" t="n"/>
      <c r="J737" s="352" t="n"/>
      <c r="M737" s="350" t="n"/>
      <c r="N737" s="350">
        <f>IF($A737="","",IF(OR(LOWER($D737&amp;"")="n/a",ISNUMBER(SEARCH("subscription",LOWER($A737&amp;" "&amp;$M737&amp;""))),ISNUMBER(SEARCH("membership",LOWER($A737&amp;" "&amp;$M737&amp;"")))),"",IF($G737="","",IF(ISNUMBER(SEARCH("non",LOWER($E737&amp;""))),$G737*0.85,$G737))))</f>
        <v/>
      </c>
      <c r="O737">
        <f>IF($A737="","",IF(OR(LOWER($D737&amp;"")="n/a",ISNUMBER(SEARCH("subscription",LOWER($A737&amp;" "&amp;$M737&amp;""))),ISNUMBER(SEARCH("membership",LOWER($A737&amp;" "&amp;$M737&amp;"")))),"",IF(OR($N737="",$I737="",$I737=0),"",$N737/$I737)))</f>
        <v/>
      </c>
      <c r="P737">
        <f>IF($A737="","",IF(OR(LOWER($D737&amp;"")="n/a",ISNUMBER(SEARCH("subscription",LOWER($A737&amp;" "&amp;$M737&amp;""))),ISNUMBER(SEARCH("membership",LOWER($A737&amp;" "&amp;$M737&amp;"")))),"",IF(LOWER($L737&amp;"")="yes",0,IF($K737&lt;&gt;"",$K737,IF($O737&lt;&gt;"",$O737,"")))))</f>
        <v/>
      </c>
      <c r="Q737">
        <f>IF($A737="","",IF($U737="Subscription","",IF($U737="Profit",$P737-$H737,0)))</f>
        <v/>
      </c>
      <c r="R737">
        <f>IF($A737="","",IF($U737="Subscription","",IF($U737="Draw",$H737,0)))</f>
        <v/>
      </c>
      <c r="S737">
        <f>IF($A737="","",IF($U737="Subscription","",IF($U737="Disqualified",$H737,0)))</f>
        <v/>
      </c>
      <c r="T737">
        <f>IF($A737="","",IF($U737="Subscription","",IF($H737=0,IF($U737="Profit","N/A",0),IF($U737="Profit",$Q737/$H737,IF($U737="Disqualified",-1,0)))))</f>
        <v/>
      </c>
      <c r="U737" s="350">
        <f>IF($A737="","",IF(OR(LOWER($D737&amp;"")="n/a",ISNUMBER(SEARCH("subscription",LOWER($A737&amp;" "&amp;$M737&amp;""))),ISNUMBER(SEARCH("membership",LOWER($A737&amp;" "&amp;$M737&amp;"")))),"Subscription",IF(LOWER($L737&amp;"")="yes","Disqualified",IF($P737&gt;$H737,"Profit","Draw"))))</f>
        <v/>
      </c>
      <c r="V737">
        <f>IF(OR($A737="",$B737="",$C737="",$U737="Subscription"),"",IFERROR(ROUNDUP((IF(ISNUMBER($C737),$C737,DATEVALUE($C737))-IF(ISNUMBER($B737),$B737,DATEVALUE($B737)))/7,0),""))</f>
        <v/>
      </c>
      <c r="W737" s="352">
        <f>IF($U737="Subscription","",$Q737-$S737)</f>
        <v/>
      </c>
      <c r="X737">
        <f>IF(OR($A737="",$U737="Subscription",$J737="",$I737="",$J737=0,$I737=0,$I737&gt;$J737),"",$J737-$I737)</f>
        <v/>
      </c>
      <c r="Y737">
        <f>IF(OR($A737="",$U737="Subscription",$J737="",$J737=0,$X737=""),"",$X737/$J737)</f>
        <v/>
      </c>
    </row>
    <row r="738">
      <c r="B738" s="354" t="n"/>
      <c r="C738" s="354" t="n"/>
      <c r="E738" s="350" t="n"/>
      <c r="F738" s="350" t="n"/>
      <c r="G738" s="350" t="n"/>
      <c r="H738" s="350" t="n"/>
      <c r="I738" s="350" t="n"/>
      <c r="J738" s="352" t="n"/>
      <c r="M738" s="350" t="n"/>
      <c r="N738" s="350">
        <f>IF($A738="","",IF(OR(LOWER($D738&amp;"")="n/a",ISNUMBER(SEARCH("subscription",LOWER($A738&amp;" "&amp;$M738&amp;""))),ISNUMBER(SEARCH("membership",LOWER($A738&amp;" "&amp;$M738&amp;"")))),"",IF($G738="","",IF(ISNUMBER(SEARCH("non",LOWER($E738&amp;""))),$G738*0.85,$G738))))</f>
        <v/>
      </c>
      <c r="O738">
        <f>IF($A738="","",IF(OR(LOWER($D738&amp;"")="n/a",ISNUMBER(SEARCH("subscription",LOWER($A738&amp;" "&amp;$M738&amp;""))),ISNUMBER(SEARCH("membership",LOWER($A738&amp;" "&amp;$M738&amp;"")))),"",IF(OR($N738="",$I738="",$I738=0),"",$N738/$I738)))</f>
        <v/>
      </c>
      <c r="P738">
        <f>IF($A738="","",IF(OR(LOWER($D738&amp;"")="n/a",ISNUMBER(SEARCH("subscription",LOWER($A738&amp;" "&amp;$M738&amp;""))),ISNUMBER(SEARCH("membership",LOWER($A738&amp;" "&amp;$M738&amp;"")))),"",IF(LOWER($L738&amp;"")="yes",0,IF($K738&lt;&gt;"",$K738,IF($O738&lt;&gt;"",$O738,"")))))</f>
        <v/>
      </c>
      <c r="Q738">
        <f>IF($A738="","",IF($U738="Subscription","",IF($U738="Profit",$P738-$H738,0)))</f>
        <v/>
      </c>
      <c r="R738">
        <f>IF($A738="","",IF($U738="Subscription","",IF($U738="Draw",$H738,0)))</f>
        <v/>
      </c>
      <c r="S738">
        <f>IF($A738="","",IF($U738="Subscription","",IF($U738="Disqualified",$H738,0)))</f>
        <v/>
      </c>
      <c r="T738">
        <f>IF($A738="","",IF($U738="Subscription","",IF($H738=0,IF($U738="Profit","N/A",0),IF($U738="Profit",$Q738/$H738,IF($U738="Disqualified",-1,0)))))</f>
        <v/>
      </c>
      <c r="U738" s="350">
        <f>IF($A738="","",IF(OR(LOWER($D738&amp;"")="n/a",ISNUMBER(SEARCH("subscription",LOWER($A738&amp;" "&amp;$M738&amp;""))),ISNUMBER(SEARCH("membership",LOWER($A738&amp;" "&amp;$M738&amp;"")))),"Subscription",IF(LOWER($L738&amp;"")="yes","Disqualified",IF($P738&gt;$H738,"Profit","Draw"))))</f>
        <v/>
      </c>
      <c r="V738">
        <f>IF(OR($A738="",$B738="",$C738="",$U738="Subscription"),"",IFERROR(ROUNDUP((IF(ISNUMBER($C738),$C738,DATEVALUE($C738))-IF(ISNUMBER($B738),$B738,DATEVALUE($B738)))/7,0),""))</f>
        <v/>
      </c>
      <c r="W738" s="352">
        <f>IF($U738="Subscription","",$Q738-$S738)</f>
        <v/>
      </c>
      <c r="X738">
        <f>IF(OR($A738="",$U738="Subscription",$J738="",$I738="",$J738=0,$I738=0,$I738&gt;$J738),"",$J738-$I738)</f>
        <v/>
      </c>
      <c r="Y738">
        <f>IF(OR($A738="",$U738="Subscription",$J738="",$J738=0,$X738=""),"",$X738/$J738)</f>
        <v/>
      </c>
    </row>
    <row r="739">
      <c r="B739" s="354" t="n"/>
      <c r="C739" s="354" t="n"/>
      <c r="E739" s="350" t="n"/>
      <c r="F739" s="350" t="n"/>
      <c r="G739" s="350" t="n"/>
      <c r="H739" s="350" t="n"/>
      <c r="I739" s="350" t="n"/>
      <c r="J739" s="352" t="n"/>
      <c r="M739" s="350" t="n"/>
      <c r="N739" s="350">
        <f>IF($A739="","",IF(OR(LOWER($D739&amp;"")="n/a",ISNUMBER(SEARCH("subscription",LOWER($A739&amp;" "&amp;$M739&amp;""))),ISNUMBER(SEARCH("membership",LOWER($A739&amp;" "&amp;$M739&amp;"")))),"",IF($G739="","",IF(ISNUMBER(SEARCH("non",LOWER($E739&amp;""))),$G739*0.85,$G739))))</f>
        <v/>
      </c>
      <c r="O739">
        <f>IF($A739="","",IF(OR(LOWER($D739&amp;"")="n/a",ISNUMBER(SEARCH("subscription",LOWER($A739&amp;" "&amp;$M739&amp;""))),ISNUMBER(SEARCH("membership",LOWER($A739&amp;" "&amp;$M739&amp;"")))),"",IF(OR($N739="",$I739="",$I739=0),"",$N739/$I739)))</f>
        <v/>
      </c>
      <c r="P739">
        <f>IF($A739="","",IF(OR(LOWER($D739&amp;"")="n/a",ISNUMBER(SEARCH("subscription",LOWER($A739&amp;" "&amp;$M739&amp;""))),ISNUMBER(SEARCH("membership",LOWER($A739&amp;" "&amp;$M739&amp;"")))),"",IF(LOWER($L739&amp;"")="yes",0,IF($K739&lt;&gt;"",$K739,IF($O739&lt;&gt;"",$O739,"")))))</f>
        <v/>
      </c>
      <c r="Q739">
        <f>IF($A739="","",IF($U739="Subscription","",IF($U739="Profit",$P739-$H739,0)))</f>
        <v/>
      </c>
      <c r="R739">
        <f>IF($A739="","",IF($U739="Subscription","",IF($U739="Draw",$H739,0)))</f>
        <v/>
      </c>
      <c r="S739">
        <f>IF($A739="","",IF($U739="Subscription","",IF($U739="Disqualified",$H739,0)))</f>
        <v/>
      </c>
      <c r="T739">
        <f>IF($A739="","",IF($U739="Subscription","",IF($H739=0,IF($U739="Profit","N/A",0),IF($U739="Profit",$Q739/$H739,IF($U739="Disqualified",-1,0)))))</f>
        <v/>
      </c>
      <c r="U739" s="350">
        <f>IF($A739="","",IF(OR(LOWER($D739&amp;"")="n/a",ISNUMBER(SEARCH("subscription",LOWER($A739&amp;" "&amp;$M739&amp;""))),ISNUMBER(SEARCH("membership",LOWER($A739&amp;" "&amp;$M739&amp;"")))),"Subscription",IF(LOWER($L739&amp;"")="yes","Disqualified",IF($P739&gt;$H739,"Profit","Draw"))))</f>
        <v/>
      </c>
      <c r="V739">
        <f>IF(OR($A739="",$B739="",$C739="",$U739="Subscription"),"",IFERROR(ROUNDUP((IF(ISNUMBER($C739),$C739,DATEVALUE($C739))-IF(ISNUMBER($B739),$B739,DATEVALUE($B739)))/7,0),""))</f>
        <v/>
      </c>
      <c r="W739" s="352">
        <f>IF($U739="Subscription","",$Q739-$S739)</f>
        <v/>
      </c>
      <c r="X739">
        <f>IF(OR($A739="",$U739="Subscription",$J739="",$I739="",$J739=0,$I739=0,$I739&gt;$J739),"",$J739-$I739)</f>
        <v/>
      </c>
      <c r="Y739">
        <f>IF(OR($A739="",$U739="Subscription",$J739="",$J739=0,$X739=""),"",$X739/$J739)</f>
        <v/>
      </c>
    </row>
    <row r="740">
      <c r="B740" s="354" t="n"/>
      <c r="C740" s="354" t="n"/>
      <c r="E740" s="350" t="n"/>
      <c r="F740" s="350" t="n"/>
      <c r="G740" s="350" t="n"/>
      <c r="H740" s="350" t="n"/>
      <c r="I740" s="350" t="n"/>
      <c r="J740" s="352" t="n"/>
      <c r="M740" s="350" t="n"/>
      <c r="N740" s="350">
        <f>IF($A740="","",IF(OR(LOWER($D740&amp;"")="n/a",ISNUMBER(SEARCH("subscription",LOWER($A740&amp;" "&amp;$M740&amp;""))),ISNUMBER(SEARCH("membership",LOWER($A740&amp;" "&amp;$M740&amp;"")))),"",IF($G740="","",IF(ISNUMBER(SEARCH("non",LOWER($E740&amp;""))),$G740*0.85,$G740))))</f>
        <v/>
      </c>
      <c r="O740">
        <f>IF($A740="","",IF(OR(LOWER($D740&amp;"")="n/a",ISNUMBER(SEARCH("subscription",LOWER($A740&amp;" "&amp;$M740&amp;""))),ISNUMBER(SEARCH("membership",LOWER($A740&amp;" "&amp;$M740&amp;"")))),"",IF(OR($N740="",$I740="",$I740=0),"",$N740/$I740)))</f>
        <v/>
      </c>
      <c r="P740">
        <f>IF($A740="","",IF(OR(LOWER($D740&amp;"")="n/a",ISNUMBER(SEARCH("subscription",LOWER($A740&amp;" "&amp;$M740&amp;""))),ISNUMBER(SEARCH("membership",LOWER($A740&amp;" "&amp;$M740&amp;"")))),"",IF(LOWER($L740&amp;"")="yes",0,IF($K740&lt;&gt;"",$K740,IF($O740&lt;&gt;"",$O740,"")))))</f>
        <v/>
      </c>
      <c r="Q740">
        <f>IF($A740="","",IF($U740="Subscription","",IF($U740="Profit",$P740-$H740,0)))</f>
        <v/>
      </c>
      <c r="R740">
        <f>IF($A740="","",IF($U740="Subscription","",IF($U740="Draw",$H740,0)))</f>
        <v/>
      </c>
      <c r="S740">
        <f>IF($A740="","",IF($U740="Subscription","",IF($U740="Disqualified",$H740,0)))</f>
        <v/>
      </c>
      <c r="T740">
        <f>IF($A740="","",IF($U740="Subscription","",IF($H740=0,IF($U740="Profit","N/A",0),IF($U740="Profit",$Q740/$H740,IF($U740="Disqualified",-1,0)))))</f>
        <v/>
      </c>
      <c r="U740" s="350">
        <f>IF($A740="","",IF(OR(LOWER($D740&amp;"")="n/a",ISNUMBER(SEARCH("subscription",LOWER($A740&amp;" "&amp;$M740&amp;""))),ISNUMBER(SEARCH("membership",LOWER($A740&amp;" "&amp;$M740&amp;"")))),"Subscription",IF(LOWER($L740&amp;"")="yes","Disqualified",IF($P740&gt;$H740,"Profit","Draw"))))</f>
        <v/>
      </c>
      <c r="V740">
        <f>IF(OR($A740="",$B740="",$C740="",$U740="Subscription"),"",IFERROR(ROUNDUP((IF(ISNUMBER($C740),$C740,DATEVALUE($C740))-IF(ISNUMBER($B740),$B740,DATEVALUE($B740)))/7,0),""))</f>
        <v/>
      </c>
      <c r="W740" s="352">
        <f>IF($U740="Subscription","",$Q740-$S740)</f>
        <v/>
      </c>
      <c r="X740">
        <f>IF(OR($A740="",$U740="Subscription",$J740="",$I740="",$J740=0,$I740=0,$I740&gt;$J740),"",$J740-$I740)</f>
        <v/>
      </c>
      <c r="Y740">
        <f>IF(OR($A740="",$U740="Subscription",$J740="",$J740=0,$X740=""),"",$X740/$J740)</f>
        <v/>
      </c>
    </row>
    <row r="741">
      <c r="B741" s="354" t="n"/>
      <c r="C741" s="354" t="n"/>
      <c r="E741" s="350" t="n"/>
      <c r="F741" s="350" t="n"/>
      <c r="G741" s="350" t="n"/>
      <c r="H741" s="350" t="n"/>
      <c r="I741" s="350" t="n"/>
      <c r="J741" s="352" t="n"/>
      <c r="M741" s="350" t="n"/>
      <c r="N741" s="350">
        <f>IF($A741="","",IF(OR(LOWER($D741&amp;"")="n/a",ISNUMBER(SEARCH("subscription",LOWER($A741&amp;" "&amp;$M741&amp;""))),ISNUMBER(SEARCH("membership",LOWER($A741&amp;" "&amp;$M741&amp;"")))),"",IF($G741="","",IF(ISNUMBER(SEARCH("non",LOWER($E741&amp;""))),$G741*0.85,$G741))))</f>
        <v/>
      </c>
      <c r="O741">
        <f>IF($A741="","",IF(OR(LOWER($D741&amp;"")="n/a",ISNUMBER(SEARCH("subscription",LOWER($A741&amp;" "&amp;$M741&amp;""))),ISNUMBER(SEARCH("membership",LOWER($A741&amp;" "&amp;$M741&amp;"")))),"",IF(OR($N741="",$I741="",$I741=0),"",$N741/$I741)))</f>
        <v/>
      </c>
      <c r="P741">
        <f>IF($A741="","",IF(OR(LOWER($D741&amp;"")="n/a",ISNUMBER(SEARCH("subscription",LOWER($A741&amp;" "&amp;$M741&amp;""))),ISNUMBER(SEARCH("membership",LOWER($A741&amp;" "&amp;$M741&amp;"")))),"",IF(LOWER($L741&amp;"")="yes",0,IF($K741&lt;&gt;"",$K741,IF($O741&lt;&gt;"",$O741,"")))))</f>
        <v/>
      </c>
      <c r="Q741">
        <f>IF($A741="","",IF($U741="Subscription","",IF($U741="Profit",$P741-$H741,0)))</f>
        <v/>
      </c>
      <c r="R741">
        <f>IF($A741="","",IF($U741="Subscription","",IF($U741="Draw",$H741,0)))</f>
        <v/>
      </c>
      <c r="S741">
        <f>IF($A741="","",IF($U741="Subscription","",IF($U741="Disqualified",$H741,0)))</f>
        <v/>
      </c>
      <c r="T741">
        <f>IF($A741="","",IF($U741="Subscription","",IF($H741=0,IF($U741="Profit","N/A",0),IF($U741="Profit",$Q741/$H741,IF($U741="Disqualified",-1,0)))))</f>
        <v/>
      </c>
      <c r="U741" s="350">
        <f>IF($A741="","",IF(OR(LOWER($D741&amp;"")="n/a",ISNUMBER(SEARCH("subscription",LOWER($A741&amp;" "&amp;$M741&amp;""))),ISNUMBER(SEARCH("membership",LOWER($A741&amp;" "&amp;$M741&amp;"")))),"Subscription",IF(LOWER($L741&amp;"")="yes","Disqualified",IF($P741&gt;$H741,"Profit","Draw"))))</f>
        <v/>
      </c>
      <c r="V741">
        <f>IF(OR($A741="",$B741="",$C741="",$U741="Subscription"),"",IFERROR(ROUNDUP((IF(ISNUMBER($C741),$C741,DATEVALUE($C741))-IF(ISNUMBER($B741),$B741,DATEVALUE($B741)))/7,0),""))</f>
        <v/>
      </c>
      <c r="W741" s="352">
        <f>IF($U741="Subscription","",$Q741-$S741)</f>
        <v/>
      </c>
      <c r="X741">
        <f>IF(OR($A741="",$U741="Subscription",$J741="",$I741="",$J741=0,$I741=0,$I741&gt;$J741),"",$J741-$I741)</f>
        <v/>
      </c>
      <c r="Y741">
        <f>IF(OR($A741="",$U741="Subscription",$J741="",$J741=0,$X741=""),"",$X741/$J741)</f>
        <v/>
      </c>
    </row>
    <row r="742">
      <c r="B742" s="354" t="n"/>
      <c r="C742" s="354" t="n"/>
      <c r="E742" s="350" t="n"/>
      <c r="F742" s="350" t="n"/>
      <c r="G742" s="350" t="n"/>
      <c r="H742" s="350" t="n"/>
      <c r="I742" s="350" t="n"/>
      <c r="J742" s="352" t="n"/>
      <c r="M742" s="350" t="n"/>
      <c r="N742" s="350">
        <f>IF($A742="","",IF(OR(LOWER($D742&amp;"")="n/a",ISNUMBER(SEARCH("subscription",LOWER($A742&amp;" "&amp;$M742&amp;""))),ISNUMBER(SEARCH("membership",LOWER($A742&amp;" "&amp;$M742&amp;"")))),"",IF($G742="","",IF(ISNUMBER(SEARCH("non",LOWER($E742&amp;""))),$G742*0.85,$G742))))</f>
        <v/>
      </c>
      <c r="O742">
        <f>IF($A742="","",IF(OR(LOWER($D742&amp;"")="n/a",ISNUMBER(SEARCH("subscription",LOWER($A742&amp;" "&amp;$M742&amp;""))),ISNUMBER(SEARCH("membership",LOWER($A742&amp;" "&amp;$M742&amp;"")))),"",IF(OR($N742="",$I742="",$I742=0),"",$N742/$I742)))</f>
        <v/>
      </c>
      <c r="P742">
        <f>IF($A742="","",IF(OR(LOWER($D742&amp;"")="n/a",ISNUMBER(SEARCH("subscription",LOWER($A742&amp;" "&amp;$M742&amp;""))),ISNUMBER(SEARCH("membership",LOWER($A742&amp;" "&amp;$M742&amp;"")))),"",IF(LOWER($L742&amp;"")="yes",0,IF($K742&lt;&gt;"",$K742,IF($O742&lt;&gt;"",$O742,"")))))</f>
        <v/>
      </c>
      <c r="Q742">
        <f>IF($A742="","",IF($U742="Subscription","",IF($U742="Profit",$P742-$H742,0)))</f>
        <v/>
      </c>
      <c r="R742">
        <f>IF($A742="","",IF($U742="Subscription","",IF($U742="Draw",$H742,0)))</f>
        <v/>
      </c>
      <c r="S742">
        <f>IF($A742="","",IF($U742="Subscription","",IF($U742="Disqualified",$H742,0)))</f>
        <v/>
      </c>
      <c r="T742">
        <f>IF($A742="","",IF($U742="Subscription","",IF($H742=0,IF($U742="Profit","N/A",0),IF($U742="Profit",$Q742/$H742,IF($U742="Disqualified",-1,0)))))</f>
        <v/>
      </c>
      <c r="U742" s="350">
        <f>IF($A742="","",IF(OR(LOWER($D742&amp;"")="n/a",ISNUMBER(SEARCH("subscription",LOWER($A742&amp;" "&amp;$M742&amp;""))),ISNUMBER(SEARCH("membership",LOWER($A742&amp;" "&amp;$M742&amp;"")))),"Subscription",IF(LOWER($L742&amp;"")="yes","Disqualified",IF($P742&gt;$H742,"Profit","Draw"))))</f>
        <v/>
      </c>
      <c r="V742">
        <f>IF(OR($A742="",$B742="",$C742="",$U742="Subscription"),"",IFERROR(ROUNDUP((IF(ISNUMBER($C742),$C742,DATEVALUE($C742))-IF(ISNUMBER($B742),$B742,DATEVALUE($B742)))/7,0),""))</f>
        <v/>
      </c>
      <c r="W742" s="352">
        <f>IF($U742="Subscription","",$Q742-$S742)</f>
        <v/>
      </c>
      <c r="X742">
        <f>IF(OR($A742="",$U742="Subscription",$J742="",$I742="",$J742=0,$I742=0,$I742&gt;$J742),"",$J742-$I742)</f>
        <v/>
      </c>
      <c r="Y742">
        <f>IF(OR($A742="",$U742="Subscription",$J742="",$J742=0,$X742=""),"",$X742/$J742)</f>
        <v/>
      </c>
    </row>
    <row r="743">
      <c r="B743" s="354" t="n"/>
      <c r="C743" s="354" t="n"/>
      <c r="E743" s="350" t="n"/>
      <c r="F743" s="350" t="n"/>
      <c r="G743" s="350" t="n"/>
      <c r="H743" s="350" t="n"/>
      <c r="I743" s="350" t="n"/>
      <c r="J743" s="352" t="n"/>
      <c r="M743" s="350" t="n"/>
      <c r="N743" s="350">
        <f>IF($A743="","",IF(OR(LOWER($D743&amp;"")="n/a",ISNUMBER(SEARCH("subscription",LOWER($A743&amp;" "&amp;$M743&amp;""))),ISNUMBER(SEARCH("membership",LOWER($A743&amp;" "&amp;$M743&amp;"")))),"",IF($G743="","",IF(ISNUMBER(SEARCH("non",LOWER($E743&amp;""))),$G743*0.85,$G743))))</f>
        <v/>
      </c>
      <c r="O743">
        <f>IF($A743="","",IF(OR(LOWER($D743&amp;"")="n/a",ISNUMBER(SEARCH("subscription",LOWER($A743&amp;" "&amp;$M743&amp;""))),ISNUMBER(SEARCH("membership",LOWER($A743&amp;" "&amp;$M743&amp;"")))),"",IF(OR($N743="",$I743="",$I743=0),"",$N743/$I743)))</f>
        <v/>
      </c>
      <c r="P743">
        <f>IF($A743="","",IF(OR(LOWER($D743&amp;"")="n/a",ISNUMBER(SEARCH("subscription",LOWER($A743&amp;" "&amp;$M743&amp;""))),ISNUMBER(SEARCH("membership",LOWER($A743&amp;" "&amp;$M743&amp;"")))),"",IF(LOWER($L743&amp;"")="yes",0,IF($K743&lt;&gt;"",$K743,IF($O743&lt;&gt;"",$O743,"")))))</f>
        <v/>
      </c>
      <c r="Q743">
        <f>IF($A743="","",IF($U743="Subscription","",IF($U743="Profit",$P743-$H743,0)))</f>
        <v/>
      </c>
      <c r="R743">
        <f>IF($A743="","",IF($U743="Subscription","",IF($U743="Draw",$H743,0)))</f>
        <v/>
      </c>
      <c r="S743">
        <f>IF($A743="","",IF($U743="Subscription","",IF($U743="Disqualified",$H743,0)))</f>
        <v/>
      </c>
      <c r="T743">
        <f>IF($A743="","",IF($U743="Subscription","",IF($H743=0,IF($U743="Profit","N/A",0),IF($U743="Profit",$Q743/$H743,IF($U743="Disqualified",-1,0)))))</f>
        <v/>
      </c>
      <c r="U743" s="350">
        <f>IF($A743="","",IF(OR(LOWER($D743&amp;"")="n/a",ISNUMBER(SEARCH("subscription",LOWER($A743&amp;" "&amp;$M743&amp;""))),ISNUMBER(SEARCH("membership",LOWER($A743&amp;" "&amp;$M743&amp;"")))),"Subscription",IF(LOWER($L743&amp;"")="yes","Disqualified",IF($P743&gt;$H743,"Profit","Draw"))))</f>
        <v/>
      </c>
      <c r="V743">
        <f>IF(OR($A743="",$B743="",$C743="",$U743="Subscription"),"",IFERROR(ROUNDUP((IF(ISNUMBER($C743),$C743,DATEVALUE($C743))-IF(ISNUMBER($B743),$B743,DATEVALUE($B743)))/7,0),""))</f>
        <v/>
      </c>
      <c r="W743" s="352">
        <f>IF($U743="Subscription","",$Q743-$S743)</f>
        <v/>
      </c>
      <c r="X743">
        <f>IF(OR($A743="",$U743="Subscription",$J743="",$I743="",$J743=0,$I743=0,$I743&gt;$J743),"",$J743-$I743)</f>
        <v/>
      </c>
      <c r="Y743">
        <f>IF(OR($A743="",$U743="Subscription",$J743="",$J743=0,$X743=""),"",$X743/$J743)</f>
        <v/>
      </c>
    </row>
    <row r="744">
      <c r="B744" s="354" t="n"/>
      <c r="C744" s="354" t="n"/>
      <c r="E744" s="350" t="n"/>
      <c r="F744" s="350" t="n"/>
      <c r="G744" s="350" t="n"/>
      <c r="H744" s="350" t="n"/>
      <c r="I744" s="350" t="n"/>
      <c r="J744" s="352" t="n"/>
      <c r="M744" s="350" t="n"/>
      <c r="N744" s="350">
        <f>IF($A744="","",IF(OR(LOWER($D744&amp;"")="n/a",ISNUMBER(SEARCH("subscription",LOWER($A744&amp;" "&amp;$M744&amp;""))),ISNUMBER(SEARCH("membership",LOWER($A744&amp;" "&amp;$M744&amp;"")))),"",IF($G744="","",IF(ISNUMBER(SEARCH("non",LOWER($E744&amp;""))),$G744*0.85,$G744))))</f>
        <v/>
      </c>
      <c r="O744">
        <f>IF($A744="","",IF(OR(LOWER($D744&amp;"")="n/a",ISNUMBER(SEARCH("subscription",LOWER($A744&amp;" "&amp;$M744&amp;""))),ISNUMBER(SEARCH("membership",LOWER($A744&amp;" "&amp;$M744&amp;"")))),"",IF(OR($N744="",$I744="",$I744=0),"",$N744/$I744)))</f>
        <v/>
      </c>
      <c r="P744">
        <f>IF($A744="","",IF(OR(LOWER($D744&amp;"")="n/a",ISNUMBER(SEARCH("subscription",LOWER($A744&amp;" "&amp;$M744&amp;""))),ISNUMBER(SEARCH("membership",LOWER($A744&amp;" "&amp;$M744&amp;"")))),"",IF(LOWER($L744&amp;"")="yes",0,IF($K744&lt;&gt;"",$K744,IF($O744&lt;&gt;"",$O744,"")))))</f>
        <v/>
      </c>
      <c r="Q744">
        <f>IF($A744="","",IF($U744="Subscription","",IF($U744="Profit",$P744-$H744,0)))</f>
        <v/>
      </c>
      <c r="R744">
        <f>IF($A744="","",IF($U744="Subscription","",IF($U744="Draw",$H744,0)))</f>
        <v/>
      </c>
      <c r="S744">
        <f>IF($A744="","",IF($U744="Subscription","",IF($U744="Disqualified",$H744,0)))</f>
        <v/>
      </c>
      <c r="T744">
        <f>IF($A744="","",IF($U744="Subscription","",IF($H744=0,IF($U744="Profit","N/A",0),IF($U744="Profit",$Q744/$H744,IF($U744="Disqualified",-1,0)))))</f>
        <v/>
      </c>
      <c r="U744" s="350">
        <f>IF($A744="","",IF(OR(LOWER($D744&amp;"")="n/a",ISNUMBER(SEARCH("subscription",LOWER($A744&amp;" "&amp;$M744&amp;""))),ISNUMBER(SEARCH("membership",LOWER($A744&amp;" "&amp;$M744&amp;"")))),"Subscription",IF(LOWER($L744&amp;"")="yes","Disqualified",IF($P744&gt;$H744,"Profit","Draw"))))</f>
        <v/>
      </c>
      <c r="V744">
        <f>IF(OR($A744="",$B744="",$C744="",$U744="Subscription"),"",IFERROR(ROUNDUP((IF(ISNUMBER($C744),$C744,DATEVALUE($C744))-IF(ISNUMBER($B744),$B744,DATEVALUE($B744)))/7,0),""))</f>
        <v/>
      </c>
      <c r="W744" s="352">
        <f>IF($U744="Subscription","",$Q744-$S744)</f>
        <v/>
      </c>
      <c r="X744">
        <f>IF(OR($A744="",$U744="Subscription",$J744="",$I744="",$J744=0,$I744=0,$I744&gt;$J744),"",$J744-$I744)</f>
        <v/>
      </c>
      <c r="Y744">
        <f>IF(OR($A744="",$U744="Subscription",$J744="",$J744=0,$X744=""),"",$X744/$J744)</f>
        <v/>
      </c>
    </row>
    <row r="745">
      <c r="B745" s="354" t="n"/>
      <c r="C745" s="354" t="n"/>
      <c r="E745" s="350" t="n"/>
      <c r="F745" s="350" t="n"/>
      <c r="G745" s="350" t="n"/>
      <c r="H745" s="350" t="n"/>
      <c r="I745" s="350" t="n"/>
      <c r="J745" s="352" t="n"/>
      <c r="M745" s="350" t="n"/>
      <c r="N745" s="350">
        <f>IF($A745="","",IF(OR(LOWER($D745&amp;"")="n/a",ISNUMBER(SEARCH("subscription",LOWER($A745&amp;" "&amp;$M745&amp;""))),ISNUMBER(SEARCH("membership",LOWER($A745&amp;" "&amp;$M745&amp;"")))),"",IF($G745="","",IF(ISNUMBER(SEARCH("non",LOWER($E745&amp;""))),$G745*0.85,$G745))))</f>
        <v/>
      </c>
      <c r="O745">
        <f>IF($A745="","",IF(OR(LOWER($D745&amp;"")="n/a",ISNUMBER(SEARCH("subscription",LOWER($A745&amp;" "&amp;$M745&amp;""))),ISNUMBER(SEARCH("membership",LOWER($A745&amp;" "&amp;$M745&amp;"")))),"",IF(OR($N745="",$I745="",$I745=0),"",$N745/$I745)))</f>
        <v/>
      </c>
      <c r="P745">
        <f>IF($A745="","",IF(OR(LOWER($D745&amp;"")="n/a",ISNUMBER(SEARCH("subscription",LOWER($A745&amp;" "&amp;$M745&amp;""))),ISNUMBER(SEARCH("membership",LOWER($A745&amp;" "&amp;$M745&amp;"")))),"",IF(LOWER($L745&amp;"")="yes",0,IF($K745&lt;&gt;"",$K745,IF($O745&lt;&gt;"",$O745,"")))))</f>
        <v/>
      </c>
      <c r="Q745">
        <f>IF($A745="","",IF($U745="Subscription","",IF($U745="Profit",$P745-$H745,0)))</f>
        <v/>
      </c>
      <c r="R745">
        <f>IF($A745="","",IF($U745="Subscription","",IF($U745="Draw",$H745,0)))</f>
        <v/>
      </c>
      <c r="S745">
        <f>IF($A745="","",IF($U745="Subscription","",IF($U745="Disqualified",$H745,0)))</f>
        <v/>
      </c>
      <c r="T745">
        <f>IF($A745="","",IF($U745="Subscription","",IF($H745=0,IF($U745="Profit","N/A",0),IF($U745="Profit",$Q745/$H745,IF($U745="Disqualified",-1,0)))))</f>
        <v/>
      </c>
      <c r="U745" s="350">
        <f>IF($A745="","",IF(OR(LOWER($D745&amp;"")="n/a",ISNUMBER(SEARCH("subscription",LOWER($A745&amp;" "&amp;$M745&amp;""))),ISNUMBER(SEARCH("membership",LOWER($A745&amp;" "&amp;$M745&amp;"")))),"Subscription",IF(LOWER($L745&amp;"")="yes","Disqualified",IF($P745&gt;$H745,"Profit","Draw"))))</f>
        <v/>
      </c>
      <c r="V745">
        <f>IF(OR($A745="",$B745="",$C745="",$U745="Subscription"),"",IFERROR(ROUNDUP((IF(ISNUMBER($C745),$C745,DATEVALUE($C745))-IF(ISNUMBER($B745),$B745,DATEVALUE($B745)))/7,0),""))</f>
        <v/>
      </c>
      <c r="W745" s="352">
        <f>IF($U745="Subscription","",$Q745-$S745)</f>
        <v/>
      </c>
      <c r="X745">
        <f>IF(OR($A745="",$U745="Subscription",$J745="",$I745="",$J745=0,$I745=0,$I745&gt;$J745),"",$J745-$I745)</f>
        <v/>
      </c>
      <c r="Y745">
        <f>IF(OR($A745="",$U745="Subscription",$J745="",$J745=0,$X745=""),"",$X745/$J745)</f>
        <v/>
      </c>
    </row>
    <row r="746">
      <c r="B746" s="354" t="n"/>
      <c r="C746" s="354" t="n"/>
      <c r="E746" s="350" t="n"/>
      <c r="F746" s="350" t="n"/>
      <c r="G746" s="350" t="n"/>
      <c r="H746" s="350" t="n"/>
      <c r="I746" s="350" t="n"/>
      <c r="J746" s="352" t="n"/>
      <c r="M746" s="350" t="n"/>
      <c r="N746" s="350">
        <f>IF($A746="","",IF(OR(LOWER($D746&amp;"")="n/a",ISNUMBER(SEARCH("subscription",LOWER($A746&amp;" "&amp;$M746&amp;""))),ISNUMBER(SEARCH("membership",LOWER($A746&amp;" "&amp;$M746&amp;"")))),"",IF($G746="","",IF(ISNUMBER(SEARCH("non",LOWER($E746&amp;""))),$G746*0.85,$G746))))</f>
        <v/>
      </c>
      <c r="O746">
        <f>IF($A746="","",IF(OR(LOWER($D746&amp;"")="n/a",ISNUMBER(SEARCH("subscription",LOWER($A746&amp;" "&amp;$M746&amp;""))),ISNUMBER(SEARCH("membership",LOWER($A746&amp;" "&amp;$M746&amp;"")))),"",IF(OR($N746="",$I746="",$I746=0),"",$N746/$I746)))</f>
        <v/>
      </c>
      <c r="P746">
        <f>IF($A746="","",IF(OR(LOWER($D746&amp;"")="n/a",ISNUMBER(SEARCH("subscription",LOWER($A746&amp;" "&amp;$M746&amp;""))),ISNUMBER(SEARCH("membership",LOWER($A746&amp;" "&amp;$M746&amp;"")))),"",IF(LOWER($L746&amp;"")="yes",0,IF($K746&lt;&gt;"",$K746,IF($O746&lt;&gt;"",$O746,"")))))</f>
        <v/>
      </c>
      <c r="Q746">
        <f>IF($A746="","",IF($U746="Subscription","",IF($U746="Profit",$P746-$H746,0)))</f>
        <v/>
      </c>
      <c r="R746">
        <f>IF($A746="","",IF($U746="Subscription","",IF($U746="Draw",$H746,0)))</f>
        <v/>
      </c>
      <c r="S746">
        <f>IF($A746="","",IF($U746="Subscription","",IF($U746="Disqualified",$H746,0)))</f>
        <v/>
      </c>
      <c r="T746">
        <f>IF($A746="","",IF($U746="Subscription","",IF($H746=0,IF($U746="Profit","N/A",0),IF($U746="Profit",$Q746/$H746,IF($U746="Disqualified",-1,0)))))</f>
        <v/>
      </c>
      <c r="U746" s="350">
        <f>IF($A746="","",IF(OR(LOWER($D746&amp;"")="n/a",ISNUMBER(SEARCH("subscription",LOWER($A746&amp;" "&amp;$M746&amp;""))),ISNUMBER(SEARCH("membership",LOWER($A746&amp;" "&amp;$M746&amp;"")))),"Subscription",IF(LOWER($L746&amp;"")="yes","Disqualified",IF($P746&gt;$H746,"Profit","Draw"))))</f>
        <v/>
      </c>
      <c r="V746">
        <f>IF(OR($A746="",$B746="",$C746="",$U746="Subscription"),"",IFERROR(ROUNDUP((IF(ISNUMBER($C746),$C746,DATEVALUE($C746))-IF(ISNUMBER($B746),$B746,DATEVALUE($B746)))/7,0),""))</f>
        <v/>
      </c>
      <c r="W746" s="352">
        <f>IF($U746="Subscription","",$Q746-$S746)</f>
        <v/>
      </c>
      <c r="X746">
        <f>IF(OR($A746="",$U746="Subscription",$J746="",$I746="",$J746=0,$I746=0,$I746&gt;$J746),"",$J746-$I746)</f>
        <v/>
      </c>
      <c r="Y746">
        <f>IF(OR($A746="",$U746="Subscription",$J746="",$J746=0,$X746=""),"",$X746/$J746)</f>
        <v/>
      </c>
    </row>
    <row r="747">
      <c r="B747" s="354" t="n"/>
      <c r="C747" s="354" t="n"/>
      <c r="E747" s="350" t="n"/>
      <c r="F747" s="350" t="n"/>
      <c r="G747" s="350" t="n"/>
      <c r="H747" s="350" t="n"/>
      <c r="I747" s="350" t="n"/>
      <c r="J747" s="352" t="n"/>
      <c r="M747" s="350" t="n"/>
      <c r="N747" s="350">
        <f>IF($A747="","",IF(OR(LOWER($D747&amp;"")="n/a",ISNUMBER(SEARCH("subscription",LOWER($A747&amp;" "&amp;$M747&amp;""))),ISNUMBER(SEARCH("membership",LOWER($A747&amp;" "&amp;$M747&amp;"")))),"",IF($G747="","",IF(ISNUMBER(SEARCH("non",LOWER($E747&amp;""))),$G747*0.85,$G747))))</f>
        <v/>
      </c>
      <c r="O747">
        <f>IF($A747="","",IF(OR(LOWER($D747&amp;"")="n/a",ISNUMBER(SEARCH("subscription",LOWER($A747&amp;" "&amp;$M747&amp;""))),ISNUMBER(SEARCH("membership",LOWER($A747&amp;" "&amp;$M747&amp;"")))),"",IF(OR($N747="",$I747="",$I747=0),"",$N747/$I747)))</f>
        <v/>
      </c>
      <c r="P747">
        <f>IF($A747="","",IF(OR(LOWER($D747&amp;"")="n/a",ISNUMBER(SEARCH("subscription",LOWER($A747&amp;" "&amp;$M747&amp;""))),ISNUMBER(SEARCH("membership",LOWER($A747&amp;" "&amp;$M747&amp;"")))),"",IF(LOWER($L747&amp;"")="yes",0,IF($K747&lt;&gt;"",$K747,IF($O747&lt;&gt;"",$O747,"")))))</f>
        <v/>
      </c>
      <c r="Q747">
        <f>IF($A747="","",IF($U747="Subscription","",IF($U747="Profit",$P747-$H747,0)))</f>
        <v/>
      </c>
      <c r="R747">
        <f>IF($A747="","",IF($U747="Subscription","",IF($U747="Draw",$H747,0)))</f>
        <v/>
      </c>
      <c r="S747">
        <f>IF($A747="","",IF($U747="Subscription","",IF($U747="Disqualified",$H747,0)))</f>
        <v/>
      </c>
      <c r="T747">
        <f>IF($A747="","",IF($U747="Subscription","",IF($H747=0,IF($U747="Profit","N/A",0),IF($U747="Profit",$Q747/$H747,IF($U747="Disqualified",-1,0)))))</f>
        <v/>
      </c>
      <c r="U747" s="350">
        <f>IF($A747="","",IF(OR(LOWER($D747&amp;"")="n/a",ISNUMBER(SEARCH("subscription",LOWER($A747&amp;" "&amp;$M747&amp;""))),ISNUMBER(SEARCH("membership",LOWER($A747&amp;" "&amp;$M747&amp;"")))),"Subscription",IF(LOWER($L747&amp;"")="yes","Disqualified",IF($P747&gt;$H747,"Profit","Draw"))))</f>
        <v/>
      </c>
      <c r="V747">
        <f>IF(OR($A747="",$B747="",$C747="",$U747="Subscription"),"",IFERROR(ROUNDUP((IF(ISNUMBER($C747),$C747,DATEVALUE($C747))-IF(ISNUMBER($B747),$B747,DATEVALUE($B747)))/7,0),""))</f>
        <v/>
      </c>
      <c r="W747" s="352">
        <f>IF($U747="Subscription","",$Q747-$S747)</f>
        <v/>
      </c>
      <c r="X747">
        <f>IF(OR($A747="",$U747="Subscription",$J747="",$I747="",$J747=0,$I747=0,$I747&gt;$J747),"",$J747-$I747)</f>
        <v/>
      </c>
      <c r="Y747">
        <f>IF(OR($A747="",$U747="Subscription",$J747="",$J747=0,$X747=""),"",$X747/$J747)</f>
        <v/>
      </c>
    </row>
    <row r="748">
      <c r="B748" s="354" t="n"/>
      <c r="C748" s="354" t="n"/>
      <c r="E748" s="350" t="n"/>
      <c r="F748" s="350" t="n"/>
      <c r="G748" s="350" t="n"/>
      <c r="H748" s="350" t="n"/>
      <c r="I748" s="350" t="n"/>
      <c r="J748" s="352" t="n"/>
      <c r="M748" s="350" t="n"/>
      <c r="N748" s="350">
        <f>IF($A748="","",IF(OR(LOWER($D748&amp;"")="n/a",ISNUMBER(SEARCH("subscription",LOWER($A748&amp;" "&amp;$M748&amp;""))),ISNUMBER(SEARCH("membership",LOWER($A748&amp;" "&amp;$M748&amp;"")))),"",IF($G748="","",IF(ISNUMBER(SEARCH("non",LOWER($E748&amp;""))),$G748*0.85,$G748))))</f>
        <v/>
      </c>
      <c r="O748">
        <f>IF($A748="","",IF(OR(LOWER($D748&amp;"")="n/a",ISNUMBER(SEARCH("subscription",LOWER($A748&amp;" "&amp;$M748&amp;""))),ISNUMBER(SEARCH("membership",LOWER($A748&amp;" "&amp;$M748&amp;"")))),"",IF(OR($N748="",$I748="",$I748=0),"",$N748/$I748)))</f>
        <v/>
      </c>
      <c r="P748">
        <f>IF($A748="","",IF(OR(LOWER($D748&amp;"")="n/a",ISNUMBER(SEARCH("subscription",LOWER($A748&amp;" "&amp;$M748&amp;""))),ISNUMBER(SEARCH("membership",LOWER($A748&amp;" "&amp;$M748&amp;"")))),"",IF(LOWER($L748&amp;"")="yes",0,IF($K748&lt;&gt;"",$K748,IF($O748&lt;&gt;"",$O748,"")))))</f>
        <v/>
      </c>
      <c r="Q748">
        <f>IF($A748="","",IF($U748="Subscription","",IF($U748="Profit",$P748-$H748,0)))</f>
        <v/>
      </c>
      <c r="R748">
        <f>IF($A748="","",IF($U748="Subscription","",IF($U748="Draw",$H748,0)))</f>
        <v/>
      </c>
      <c r="S748">
        <f>IF($A748="","",IF($U748="Subscription","",IF($U748="Disqualified",$H748,0)))</f>
        <v/>
      </c>
      <c r="T748">
        <f>IF($A748="","",IF($U748="Subscription","",IF($H748=0,IF($U748="Profit","N/A",0),IF($U748="Profit",$Q748/$H748,IF($U748="Disqualified",-1,0)))))</f>
        <v/>
      </c>
      <c r="U748" s="350">
        <f>IF($A748="","",IF(OR(LOWER($D748&amp;"")="n/a",ISNUMBER(SEARCH("subscription",LOWER($A748&amp;" "&amp;$M748&amp;""))),ISNUMBER(SEARCH("membership",LOWER($A748&amp;" "&amp;$M748&amp;"")))),"Subscription",IF(LOWER($L748&amp;"")="yes","Disqualified",IF($P748&gt;$H748,"Profit","Draw"))))</f>
        <v/>
      </c>
      <c r="V748">
        <f>IF(OR($A748="",$B748="",$C748="",$U748="Subscription"),"",IFERROR(ROUNDUP((IF(ISNUMBER($C748),$C748,DATEVALUE($C748))-IF(ISNUMBER($B748),$B748,DATEVALUE($B748)))/7,0),""))</f>
        <v/>
      </c>
      <c r="W748" s="352">
        <f>IF($U748="Subscription","",$Q748-$S748)</f>
        <v/>
      </c>
      <c r="X748">
        <f>IF(OR($A748="",$U748="Subscription",$J748="",$I748="",$J748=0,$I748=0,$I748&gt;$J748),"",$J748-$I748)</f>
        <v/>
      </c>
      <c r="Y748">
        <f>IF(OR($A748="",$U748="Subscription",$J748="",$J748=0,$X748=""),"",$X748/$J748)</f>
        <v/>
      </c>
    </row>
    <row r="749">
      <c r="B749" s="354" t="n"/>
      <c r="C749" s="354" t="n"/>
      <c r="E749" s="350" t="n"/>
      <c r="F749" s="350" t="n"/>
      <c r="G749" s="350" t="n"/>
      <c r="H749" s="350" t="n"/>
      <c r="I749" s="350" t="n"/>
      <c r="J749" s="352" t="n"/>
      <c r="M749" s="350" t="n"/>
      <c r="N749" s="350">
        <f>IF($A749="","",IF(OR(LOWER($D749&amp;"")="n/a",ISNUMBER(SEARCH("subscription",LOWER($A749&amp;" "&amp;$M749&amp;""))),ISNUMBER(SEARCH("membership",LOWER($A749&amp;" "&amp;$M749&amp;"")))),"",IF($G749="","",IF(ISNUMBER(SEARCH("non",LOWER($E749&amp;""))),$G749*0.85,$G749))))</f>
        <v/>
      </c>
      <c r="O749">
        <f>IF($A749="","",IF(OR(LOWER($D749&amp;"")="n/a",ISNUMBER(SEARCH("subscription",LOWER($A749&amp;" "&amp;$M749&amp;""))),ISNUMBER(SEARCH("membership",LOWER($A749&amp;" "&amp;$M749&amp;"")))),"",IF(OR($N749="",$I749="",$I749=0),"",$N749/$I749)))</f>
        <v/>
      </c>
      <c r="P749">
        <f>IF($A749="","",IF(OR(LOWER($D749&amp;"")="n/a",ISNUMBER(SEARCH("subscription",LOWER($A749&amp;" "&amp;$M749&amp;""))),ISNUMBER(SEARCH("membership",LOWER($A749&amp;" "&amp;$M749&amp;"")))),"",IF(LOWER($L749&amp;"")="yes",0,IF($K749&lt;&gt;"",$K749,IF($O749&lt;&gt;"",$O749,"")))))</f>
        <v/>
      </c>
      <c r="Q749">
        <f>IF($A749="","",IF($U749="Subscription","",IF($U749="Profit",$P749-$H749,0)))</f>
        <v/>
      </c>
      <c r="R749">
        <f>IF($A749="","",IF($U749="Subscription","",IF($U749="Draw",$H749,0)))</f>
        <v/>
      </c>
      <c r="S749">
        <f>IF($A749="","",IF($U749="Subscription","",IF($U749="Disqualified",$H749,0)))</f>
        <v/>
      </c>
      <c r="T749">
        <f>IF($A749="","",IF($U749="Subscription","",IF($H749=0,IF($U749="Profit","N/A",0),IF($U749="Profit",$Q749/$H749,IF($U749="Disqualified",-1,0)))))</f>
        <v/>
      </c>
      <c r="U749" s="350">
        <f>IF($A749="","",IF(OR(LOWER($D749&amp;"")="n/a",ISNUMBER(SEARCH("subscription",LOWER($A749&amp;" "&amp;$M749&amp;""))),ISNUMBER(SEARCH("membership",LOWER($A749&amp;" "&amp;$M749&amp;"")))),"Subscription",IF(LOWER($L749&amp;"")="yes","Disqualified",IF($P749&gt;$H749,"Profit","Draw"))))</f>
        <v/>
      </c>
      <c r="V749">
        <f>IF(OR($A749="",$B749="",$C749="",$U749="Subscription"),"",IFERROR(ROUNDUP((IF(ISNUMBER($C749),$C749,DATEVALUE($C749))-IF(ISNUMBER($B749),$B749,DATEVALUE($B749)))/7,0),""))</f>
        <v/>
      </c>
      <c r="W749" s="352">
        <f>IF($U749="Subscription","",$Q749-$S749)</f>
        <v/>
      </c>
      <c r="X749">
        <f>IF(OR($A749="",$U749="Subscription",$J749="",$I749="",$J749=0,$I749=0,$I749&gt;$J749),"",$J749-$I749)</f>
        <v/>
      </c>
      <c r="Y749">
        <f>IF(OR($A749="",$U749="Subscription",$J749="",$J749=0,$X749=""),"",$X749/$J749)</f>
        <v/>
      </c>
    </row>
    <row r="750">
      <c r="B750" s="354" t="n"/>
      <c r="C750" s="354" t="n"/>
      <c r="E750" s="350" t="n"/>
      <c r="F750" s="350" t="n"/>
      <c r="G750" s="350" t="n"/>
      <c r="H750" s="350" t="n"/>
      <c r="I750" s="350" t="n"/>
      <c r="J750" s="352" t="n"/>
      <c r="M750" s="350" t="n"/>
      <c r="N750" s="350">
        <f>IF($A750="","",IF(OR(LOWER($D750&amp;"")="n/a",ISNUMBER(SEARCH("subscription",LOWER($A750&amp;" "&amp;$M750&amp;""))),ISNUMBER(SEARCH("membership",LOWER($A750&amp;" "&amp;$M750&amp;"")))),"",IF($G750="","",IF(ISNUMBER(SEARCH("non",LOWER($E750&amp;""))),$G750*0.85,$G750))))</f>
        <v/>
      </c>
      <c r="O750">
        <f>IF($A750="","",IF(OR(LOWER($D750&amp;"")="n/a",ISNUMBER(SEARCH("subscription",LOWER($A750&amp;" "&amp;$M750&amp;""))),ISNUMBER(SEARCH("membership",LOWER($A750&amp;" "&amp;$M750&amp;"")))),"",IF(OR($N750="",$I750="",$I750=0),"",$N750/$I750)))</f>
        <v/>
      </c>
      <c r="P750">
        <f>IF($A750="","",IF(OR(LOWER($D750&amp;"")="n/a",ISNUMBER(SEARCH("subscription",LOWER($A750&amp;" "&amp;$M750&amp;""))),ISNUMBER(SEARCH("membership",LOWER($A750&amp;" "&amp;$M750&amp;"")))),"",IF(LOWER($L750&amp;"")="yes",0,IF($K750&lt;&gt;"",$K750,IF($O750&lt;&gt;"",$O750,"")))))</f>
        <v/>
      </c>
      <c r="Q750">
        <f>IF($A750="","",IF($U750="Subscription","",IF($U750="Profit",$P750-$H750,0)))</f>
        <v/>
      </c>
      <c r="R750">
        <f>IF($A750="","",IF($U750="Subscription","",IF($U750="Draw",$H750,0)))</f>
        <v/>
      </c>
      <c r="S750">
        <f>IF($A750="","",IF($U750="Subscription","",IF($U750="Disqualified",$H750,0)))</f>
        <v/>
      </c>
      <c r="T750">
        <f>IF($A750="","",IF($U750="Subscription","",IF($H750=0,IF($U750="Profit","N/A",0),IF($U750="Profit",$Q750/$H750,IF($U750="Disqualified",-1,0)))))</f>
        <v/>
      </c>
      <c r="U750" s="350">
        <f>IF($A750="","",IF(OR(LOWER($D750&amp;"")="n/a",ISNUMBER(SEARCH("subscription",LOWER($A750&amp;" "&amp;$M750&amp;""))),ISNUMBER(SEARCH("membership",LOWER($A750&amp;" "&amp;$M750&amp;"")))),"Subscription",IF(LOWER($L750&amp;"")="yes","Disqualified",IF($P750&gt;$H750,"Profit","Draw"))))</f>
        <v/>
      </c>
      <c r="V750">
        <f>IF(OR($A750="",$B750="",$C750="",$U750="Subscription"),"",IFERROR(ROUNDUP((IF(ISNUMBER($C750),$C750,DATEVALUE($C750))-IF(ISNUMBER($B750),$B750,DATEVALUE($B750)))/7,0),""))</f>
        <v/>
      </c>
      <c r="W750" s="352">
        <f>IF($U750="Subscription","",$Q750-$S750)</f>
        <v/>
      </c>
      <c r="X750">
        <f>IF(OR($A750="",$U750="Subscription",$J750="",$I750="",$J750=0,$I750=0,$I750&gt;$J750),"",$J750-$I750)</f>
        <v/>
      </c>
      <c r="Y750">
        <f>IF(OR($A750="",$U750="Subscription",$J750="",$J750=0,$X750=""),"",$X750/$J750)</f>
        <v/>
      </c>
    </row>
    <row r="751">
      <c r="B751" s="354" t="n"/>
      <c r="C751" s="354" t="n"/>
      <c r="E751" s="350" t="n"/>
      <c r="F751" s="350" t="n"/>
      <c r="G751" s="350" t="n"/>
      <c r="H751" s="350" t="n"/>
      <c r="I751" s="350" t="n"/>
      <c r="J751" s="352" t="n"/>
      <c r="M751" s="350" t="n"/>
      <c r="N751" s="350">
        <f>IF($A751="","",IF(OR(LOWER($D751&amp;"")="n/a",ISNUMBER(SEARCH("subscription",LOWER($A751&amp;" "&amp;$M751&amp;""))),ISNUMBER(SEARCH("membership",LOWER($A751&amp;" "&amp;$M751&amp;"")))),"",IF($G751="","",IF(ISNUMBER(SEARCH("non",LOWER($E751&amp;""))),$G751*0.85,$G751))))</f>
        <v/>
      </c>
      <c r="O751">
        <f>IF($A751="","",IF(OR(LOWER($D751&amp;"")="n/a",ISNUMBER(SEARCH("subscription",LOWER($A751&amp;" "&amp;$M751&amp;""))),ISNUMBER(SEARCH("membership",LOWER($A751&amp;" "&amp;$M751&amp;"")))),"",IF(OR($N751="",$I751="",$I751=0),"",$N751/$I751)))</f>
        <v/>
      </c>
      <c r="P751">
        <f>IF($A751="","",IF(OR(LOWER($D751&amp;"")="n/a",ISNUMBER(SEARCH("subscription",LOWER($A751&amp;" "&amp;$M751&amp;""))),ISNUMBER(SEARCH("membership",LOWER($A751&amp;" "&amp;$M751&amp;"")))),"",IF(LOWER($L751&amp;"")="yes",0,IF($K751&lt;&gt;"",$K751,IF($O751&lt;&gt;"",$O751,"")))))</f>
        <v/>
      </c>
      <c r="Q751">
        <f>IF($A751="","",IF($U751="Subscription","",IF($U751="Profit",$P751-$H751,0)))</f>
        <v/>
      </c>
      <c r="R751">
        <f>IF($A751="","",IF($U751="Subscription","",IF($U751="Draw",$H751,0)))</f>
        <v/>
      </c>
      <c r="S751">
        <f>IF($A751="","",IF($U751="Subscription","",IF($U751="Disqualified",$H751,0)))</f>
        <v/>
      </c>
      <c r="T751">
        <f>IF($A751="","",IF($U751="Subscription","",IF($H751=0,IF($U751="Profit","N/A",0),IF($U751="Profit",$Q751/$H751,IF($U751="Disqualified",-1,0)))))</f>
        <v/>
      </c>
      <c r="U751" s="350">
        <f>IF($A751="","",IF(OR(LOWER($D751&amp;"")="n/a",ISNUMBER(SEARCH("subscription",LOWER($A751&amp;" "&amp;$M751&amp;""))),ISNUMBER(SEARCH("membership",LOWER($A751&amp;" "&amp;$M751&amp;"")))),"Subscription",IF(LOWER($L751&amp;"")="yes","Disqualified",IF($P751&gt;$H751,"Profit","Draw"))))</f>
        <v/>
      </c>
      <c r="V751">
        <f>IF(OR($A751="",$B751="",$C751="",$U751="Subscription"),"",IFERROR(ROUNDUP((IF(ISNUMBER($C751),$C751,DATEVALUE($C751))-IF(ISNUMBER($B751),$B751,DATEVALUE($B751)))/7,0),""))</f>
        <v/>
      </c>
      <c r="W751" s="352">
        <f>IF($U751="Subscription","",$Q751-$S751)</f>
        <v/>
      </c>
      <c r="X751">
        <f>IF(OR($A751="",$U751="Subscription",$J751="",$I751="",$J751=0,$I751=0,$I751&gt;$J751),"",$J751-$I751)</f>
        <v/>
      </c>
      <c r="Y751">
        <f>IF(OR($A751="",$U751="Subscription",$J751="",$J751=0,$X751=""),"",$X751/$J751)</f>
        <v/>
      </c>
    </row>
    <row r="752">
      <c r="B752" s="354" t="n"/>
      <c r="C752" s="354" t="n"/>
      <c r="E752" s="350" t="n"/>
      <c r="F752" s="350" t="n"/>
      <c r="G752" s="350" t="n"/>
      <c r="H752" s="350" t="n"/>
      <c r="I752" s="350" t="n"/>
      <c r="J752" s="352" t="n"/>
      <c r="M752" s="350" t="n"/>
      <c r="N752" s="350">
        <f>IF($A752="","",IF(OR(LOWER($D752&amp;"")="n/a",ISNUMBER(SEARCH("subscription",LOWER($A752&amp;" "&amp;$M752&amp;""))),ISNUMBER(SEARCH("membership",LOWER($A752&amp;" "&amp;$M752&amp;"")))),"",IF($G752="","",IF(ISNUMBER(SEARCH("non",LOWER($E752&amp;""))),$G752*0.85,$G752))))</f>
        <v/>
      </c>
      <c r="O752">
        <f>IF($A752="","",IF(OR(LOWER($D752&amp;"")="n/a",ISNUMBER(SEARCH("subscription",LOWER($A752&amp;" "&amp;$M752&amp;""))),ISNUMBER(SEARCH("membership",LOWER($A752&amp;" "&amp;$M752&amp;"")))),"",IF(OR($N752="",$I752="",$I752=0),"",$N752/$I752)))</f>
        <v/>
      </c>
      <c r="P752">
        <f>IF($A752="","",IF(OR(LOWER($D752&amp;"")="n/a",ISNUMBER(SEARCH("subscription",LOWER($A752&amp;" "&amp;$M752&amp;""))),ISNUMBER(SEARCH("membership",LOWER($A752&amp;" "&amp;$M752&amp;"")))),"",IF(LOWER($L752&amp;"")="yes",0,IF($K752&lt;&gt;"",$K752,IF($O752&lt;&gt;"",$O752,"")))))</f>
        <v/>
      </c>
      <c r="Q752">
        <f>IF($A752="","",IF($U752="Subscription","",IF($U752="Profit",$P752-$H752,0)))</f>
        <v/>
      </c>
      <c r="R752">
        <f>IF($A752="","",IF($U752="Subscription","",IF($U752="Draw",$H752,0)))</f>
        <v/>
      </c>
      <c r="S752">
        <f>IF($A752="","",IF($U752="Subscription","",IF($U752="Disqualified",$H752,0)))</f>
        <v/>
      </c>
      <c r="T752">
        <f>IF($A752="","",IF($U752="Subscription","",IF($H752=0,IF($U752="Profit","N/A",0),IF($U752="Profit",$Q752/$H752,IF($U752="Disqualified",-1,0)))))</f>
        <v/>
      </c>
      <c r="U752" s="350">
        <f>IF($A752="","",IF(OR(LOWER($D752&amp;"")="n/a",ISNUMBER(SEARCH("subscription",LOWER($A752&amp;" "&amp;$M752&amp;""))),ISNUMBER(SEARCH("membership",LOWER($A752&amp;" "&amp;$M752&amp;"")))),"Subscription",IF(LOWER($L752&amp;"")="yes","Disqualified",IF($P752&gt;$H752,"Profit","Draw"))))</f>
        <v/>
      </c>
      <c r="V752">
        <f>IF(OR($A752="",$B752="",$C752="",$U752="Subscription"),"",IFERROR(ROUNDUP((IF(ISNUMBER($C752),$C752,DATEVALUE($C752))-IF(ISNUMBER($B752),$B752,DATEVALUE($B752)))/7,0),""))</f>
        <v/>
      </c>
      <c r="W752" s="352">
        <f>IF($U752="Subscription","",$Q752-$S752)</f>
        <v/>
      </c>
      <c r="X752">
        <f>IF(OR($A752="",$U752="Subscription",$J752="",$I752="",$J752=0,$I752=0,$I752&gt;$J752),"",$J752-$I752)</f>
        <v/>
      </c>
      <c r="Y752">
        <f>IF(OR($A752="",$U752="Subscription",$J752="",$J752=0,$X752=""),"",$X752/$J752)</f>
        <v/>
      </c>
    </row>
    <row r="753">
      <c r="B753" s="354" t="n"/>
      <c r="C753" s="354" t="n"/>
      <c r="E753" s="350" t="n"/>
      <c r="F753" s="350" t="n"/>
      <c r="G753" s="350" t="n"/>
      <c r="H753" s="350" t="n"/>
      <c r="I753" s="350" t="n"/>
      <c r="J753" s="352" t="n"/>
      <c r="M753" s="350" t="n"/>
      <c r="N753" s="350">
        <f>IF($A753="","",IF(OR(LOWER($D753&amp;"")="n/a",ISNUMBER(SEARCH("subscription",LOWER($A753&amp;" "&amp;$M753&amp;""))),ISNUMBER(SEARCH("membership",LOWER($A753&amp;" "&amp;$M753&amp;"")))),"",IF($G753="","",IF(ISNUMBER(SEARCH("non",LOWER($E753&amp;""))),$G753*0.85,$G753))))</f>
        <v/>
      </c>
      <c r="O753">
        <f>IF($A753="","",IF(OR(LOWER($D753&amp;"")="n/a",ISNUMBER(SEARCH("subscription",LOWER($A753&amp;" "&amp;$M753&amp;""))),ISNUMBER(SEARCH("membership",LOWER($A753&amp;" "&amp;$M753&amp;"")))),"",IF(OR($N753="",$I753="",$I753=0),"",$N753/$I753)))</f>
        <v/>
      </c>
      <c r="P753">
        <f>IF($A753="","",IF(OR(LOWER($D753&amp;"")="n/a",ISNUMBER(SEARCH("subscription",LOWER($A753&amp;" "&amp;$M753&amp;""))),ISNUMBER(SEARCH("membership",LOWER($A753&amp;" "&amp;$M753&amp;"")))),"",IF(LOWER($L753&amp;"")="yes",0,IF($K753&lt;&gt;"",$K753,IF($O753&lt;&gt;"",$O753,"")))))</f>
        <v/>
      </c>
      <c r="Q753">
        <f>IF($A753="","",IF($U753="Subscription","",IF($U753="Profit",$P753-$H753,0)))</f>
        <v/>
      </c>
      <c r="R753">
        <f>IF($A753="","",IF($U753="Subscription","",IF($U753="Draw",$H753,0)))</f>
        <v/>
      </c>
      <c r="S753">
        <f>IF($A753="","",IF($U753="Subscription","",IF($U753="Disqualified",$H753,0)))</f>
        <v/>
      </c>
      <c r="T753">
        <f>IF($A753="","",IF($U753="Subscription","",IF($H753=0,IF($U753="Profit","N/A",0),IF($U753="Profit",$Q753/$H753,IF($U753="Disqualified",-1,0)))))</f>
        <v/>
      </c>
      <c r="U753" s="350">
        <f>IF($A753="","",IF(OR(LOWER($D753&amp;"")="n/a",ISNUMBER(SEARCH("subscription",LOWER($A753&amp;" "&amp;$M753&amp;""))),ISNUMBER(SEARCH("membership",LOWER($A753&amp;" "&amp;$M753&amp;"")))),"Subscription",IF(LOWER($L753&amp;"")="yes","Disqualified",IF($P753&gt;$H753,"Profit","Draw"))))</f>
        <v/>
      </c>
      <c r="V753">
        <f>IF(OR($A753="",$B753="",$C753="",$U753="Subscription"),"",IFERROR(ROUNDUP((IF(ISNUMBER($C753),$C753,DATEVALUE($C753))-IF(ISNUMBER($B753),$B753,DATEVALUE($B753)))/7,0),""))</f>
        <v/>
      </c>
      <c r="W753" s="352">
        <f>IF($U753="Subscription","",$Q753-$S753)</f>
        <v/>
      </c>
      <c r="X753">
        <f>IF(OR($A753="",$U753="Subscription",$J753="",$I753="",$J753=0,$I753=0,$I753&gt;$J753),"",$J753-$I753)</f>
        <v/>
      </c>
      <c r="Y753">
        <f>IF(OR($A753="",$U753="Subscription",$J753="",$J753=0,$X753=""),"",$X753/$J753)</f>
        <v/>
      </c>
    </row>
    <row r="754">
      <c r="B754" s="354" t="n"/>
      <c r="C754" s="354" t="n"/>
      <c r="E754" s="350" t="n"/>
      <c r="F754" s="350" t="n"/>
      <c r="G754" s="350" t="n"/>
      <c r="H754" s="350" t="n"/>
      <c r="I754" s="350" t="n"/>
      <c r="J754" s="352" t="n"/>
      <c r="M754" s="350" t="n"/>
      <c r="N754" s="350">
        <f>IF($A754="","",IF(OR(LOWER($D754&amp;"")="n/a",ISNUMBER(SEARCH("subscription",LOWER($A754&amp;" "&amp;$M754&amp;""))),ISNUMBER(SEARCH("membership",LOWER($A754&amp;" "&amp;$M754&amp;"")))),"",IF($G754="","",IF(ISNUMBER(SEARCH("non",LOWER($E754&amp;""))),$G754*0.85,$G754))))</f>
        <v/>
      </c>
      <c r="O754">
        <f>IF($A754="","",IF(OR(LOWER($D754&amp;"")="n/a",ISNUMBER(SEARCH("subscription",LOWER($A754&amp;" "&amp;$M754&amp;""))),ISNUMBER(SEARCH("membership",LOWER($A754&amp;" "&amp;$M754&amp;"")))),"",IF(OR($N754="",$I754="",$I754=0),"",$N754/$I754)))</f>
        <v/>
      </c>
      <c r="P754">
        <f>IF($A754="","",IF(OR(LOWER($D754&amp;"")="n/a",ISNUMBER(SEARCH("subscription",LOWER($A754&amp;" "&amp;$M754&amp;""))),ISNUMBER(SEARCH("membership",LOWER($A754&amp;" "&amp;$M754&amp;"")))),"",IF(LOWER($L754&amp;"")="yes",0,IF($K754&lt;&gt;"",$K754,IF($O754&lt;&gt;"",$O754,"")))))</f>
        <v/>
      </c>
      <c r="Q754">
        <f>IF($A754="","",IF($U754="Subscription","",IF($U754="Profit",$P754-$H754,0)))</f>
        <v/>
      </c>
      <c r="R754">
        <f>IF($A754="","",IF($U754="Subscription","",IF($U754="Draw",$H754,0)))</f>
        <v/>
      </c>
      <c r="S754">
        <f>IF($A754="","",IF($U754="Subscription","",IF($U754="Disqualified",$H754,0)))</f>
        <v/>
      </c>
      <c r="T754">
        <f>IF($A754="","",IF($U754="Subscription","",IF($H754=0,IF($U754="Profit","N/A",0),IF($U754="Profit",$Q754/$H754,IF($U754="Disqualified",-1,0)))))</f>
        <v/>
      </c>
      <c r="U754" s="350">
        <f>IF($A754="","",IF(OR(LOWER($D754&amp;"")="n/a",ISNUMBER(SEARCH("subscription",LOWER($A754&amp;" "&amp;$M754&amp;""))),ISNUMBER(SEARCH("membership",LOWER($A754&amp;" "&amp;$M754&amp;"")))),"Subscription",IF(LOWER($L754&amp;"")="yes","Disqualified",IF($P754&gt;$H754,"Profit","Draw"))))</f>
        <v/>
      </c>
      <c r="V754">
        <f>IF(OR($A754="",$B754="",$C754="",$U754="Subscription"),"",IFERROR(ROUNDUP((IF(ISNUMBER($C754),$C754,DATEVALUE($C754))-IF(ISNUMBER($B754),$B754,DATEVALUE($B754)))/7,0),""))</f>
        <v/>
      </c>
      <c r="W754" s="352">
        <f>IF($U754="Subscription","",$Q754-$S754)</f>
        <v/>
      </c>
      <c r="X754">
        <f>IF(OR($A754="",$U754="Subscription",$J754="",$I754="",$J754=0,$I754=0,$I754&gt;$J754),"",$J754-$I754)</f>
        <v/>
      </c>
      <c r="Y754">
        <f>IF(OR($A754="",$U754="Subscription",$J754="",$J754=0,$X754=""),"",$X754/$J754)</f>
        <v/>
      </c>
    </row>
    <row r="755">
      <c r="B755" s="354" t="n"/>
      <c r="C755" s="354" t="n"/>
      <c r="E755" s="350" t="n"/>
      <c r="F755" s="350" t="n"/>
      <c r="G755" s="350" t="n"/>
      <c r="H755" s="350" t="n"/>
      <c r="I755" s="350" t="n"/>
      <c r="J755" s="352" t="n"/>
      <c r="M755" s="350" t="n"/>
      <c r="N755" s="350">
        <f>IF($A755="","",IF(OR(LOWER($D755&amp;"")="n/a",ISNUMBER(SEARCH("subscription",LOWER($A755&amp;" "&amp;$M755&amp;""))),ISNUMBER(SEARCH("membership",LOWER($A755&amp;" "&amp;$M755&amp;"")))),"",IF($G755="","",IF(ISNUMBER(SEARCH("non",LOWER($E755&amp;""))),$G755*0.85,$G755))))</f>
        <v/>
      </c>
      <c r="O755">
        <f>IF($A755="","",IF(OR(LOWER($D755&amp;"")="n/a",ISNUMBER(SEARCH("subscription",LOWER($A755&amp;" "&amp;$M755&amp;""))),ISNUMBER(SEARCH("membership",LOWER($A755&amp;" "&amp;$M755&amp;"")))),"",IF(OR($N755="",$I755="",$I755=0),"",$N755/$I755)))</f>
        <v/>
      </c>
      <c r="P755">
        <f>IF($A755="","",IF(OR(LOWER($D755&amp;"")="n/a",ISNUMBER(SEARCH("subscription",LOWER($A755&amp;" "&amp;$M755&amp;""))),ISNUMBER(SEARCH("membership",LOWER($A755&amp;" "&amp;$M755&amp;"")))),"",IF(LOWER($L755&amp;"")="yes",0,IF($K755&lt;&gt;"",$K755,IF($O755&lt;&gt;"",$O755,"")))))</f>
        <v/>
      </c>
      <c r="Q755">
        <f>IF($A755="","",IF($U755="Subscription","",IF($U755="Profit",$P755-$H755,0)))</f>
        <v/>
      </c>
      <c r="R755">
        <f>IF($A755="","",IF($U755="Subscription","",IF($U755="Draw",$H755,0)))</f>
        <v/>
      </c>
      <c r="S755">
        <f>IF($A755="","",IF($U755="Subscription","",IF($U755="Disqualified",$H755,0)))</f>
        <v/>
      </c>
      <c r="T755">
        <f>IF($A755="","",IF($U755="Subscription","",IF($H755=0,IF($U755="Profit","N/A",0),IF($U755="Profit",$Q755/$H755,IF($U755="Disqualified",-1,0)))))</f>
        <v/>
      </c>
      <c r="U755" s="350">
        <f>IF($A755="","",IF(OR(LOWER($D755&amp;"")="n/a",ISNUMBER(SEARCH("subscription",LOWER($A755&amp;" "&amp;$M755&amp;""))),ISNUMBER(SEARCH("membership",LOWER($A755&amp;" "&amp;$M755&amp;"")))),"Subscription",IF(LOWER($L755&amp;"")="yes","Disqualified",IF($P755&gt;$H755,"Profit","Draw"))))</f>
        <v/>
      </c>
      <c r="V755">
        <f>IF(OR($A755="",$B755="",$C755="",$U755="Subscription"),"",IFERROR(ROUNDUP((IF(ISNUMBER($C755),$C755,DATEVALUE($C755))-IF(ISNUMBER($B755),$B755,DATEVALUE($B755)))/7,0),""))</f>
        <v/>
      </c>
      <c r="W755" s="352">
        <f>IF($U755="Subscription","",$Q755-$S755)</f>
        <v/>
      </c>
      <c r="X755">
        <f>IF(OR($A755="",$U755="Subscription",$J755="",$I755="",$J755=0,$I755=0,$I755&gt;$J755),"",$J755-$I755)</f>
        <v/>
      </c>
      <c r="Y755">
        <f>IF(OR($A755="",$U755="Subscription",$J755="",$J755=0,$X755=""),"",$X755/$J755)</f>
        <v/>
      </c>
    </row>
    <row r="756">
      <c r="B756" s="354" t="n"/>
      <c r="C756" s="354" t="n"/>
      <c r="E756" s="350" t="n"/>
      <c r="F756" s="350" t="n"/>
      <c r="G756" s="350" t="n"/>
      <c r="H756" s="350" t="n"/>
      <c r="I756" s="350" t="n"/>
      <c r="J756" s="352" t="n"/>
      <c r="M756" s="350" t="n"/>
      <c r="N756" s="350">
        <f>IF($A756="","",IF(OR(LOWER($D756&amp;"")="n/a",ISNUMBER(SEARCH("subscription",LOWER($A756&amp;" "&amp;$M756&amp;""))),ISNUMBER(SEARCH("membership",LOWER($A756&amp;" "&amp;$M756&amp;"")))),"",IF($G756="","",IF(ISNUMBER(SEARCH("non",LOWER($E756&amp;""))),$G756*0.85,$G756))))</f>
        <v/>
      </c>
      <c r="O756">
        <f>IF($A756="","",IF(OR(LOWER($D756&amp;"")="n/a",ISNUMBER(SEARCH("subscription",LOWER($A756&amp;" "&amp;$M756&amp;""))),ISNUMBER(SEARCH("membership",LOWER($A756&amp;" "&amp;$M756&amp;"")))),"",IF(OR($N756="",$I756="",$I756=0),"",$N756/$I756)))</f>
        <v/>
      </c>
      <c r="P756">
        <f>IF($A756="","",IF(OR(LOWER($D756&amp;"")="n/a",ISNUMBER(SEARCH("subscription",LOWER($A756&amp;" "&amp;$M756&amp;""))),ISNUMBER(SEARCH("membership",LOWER($A756&amp;" "&amp;$M756&amp;"")))),"",IF(LOWER($L756&amp;"")="yes",0,IF($K756&lt;&gt;"",$K756,IF($O756&lt;&gt;"",$O756,"")))))</f>
        <v/>
      </c>
      <c r="Q756">
        <f>IF($A756="","",IF($U756="Subscription","",IF($U756="Profit",$P756-$H756,0)))</f>
        <v/>
      </c>
      <c r="R756">
        <f>IF($A756="","",IF($U756="Subscription","",IF($U756="Draw",$H756,0)))</f>
        <v/>
      </c>
      <c r="S756">
        <f>IF($A756="","",IF($U756="Subscription","",IF($U756="Disqualified",$H756,0)))</f>
        <v/>
      </c>
      <c r="T756">
        <f>IF($A756="","",IF($U756="Subscription","",IF($H756=0,IF($U756="Profit","N/A",0),IF($U756="Profit",$Q756/$H756,IF($U756="Disqualified",-1,0)))))</f>
        <v/>
      </c>
      <c r="U756" s="350">
        <f>IF($A756="","",IF(OR(LOWER($D756&amp;"")="n/a",ISNUMBER(SEARCH("subscription",LOWER($A756&amp;" "&amp;$M756&amp;""))),ISNUMBER(SEARCH("membership",LOWER($A756&amp;" "&amp;$M756&amp;"")))),"Subscription",IF(LOWER($L756&amp;"")="yes","Disqualified",IF($P756&gt;$H756,"Profit","Draw"))))</f>
        <v/>
      </c>
      <c r="V756">
        <f>IF(OR($A756="",$B756="",$C756="",$U756="Subscription"),"",IFERROR(ROUNDUP((IF(ISNUMBER($C756),$C756,DATEVALUE($C756))-IF(ISNUMBER($B756),$B756,DATEVALUE($B756)))/7,0),""))</f>
        <v/>
      </c>
      <c r="W756" s="352">
        <f>IF($U756="Subscription","",$Q756-$S756)</f>
        <v/>
      </c>
      <c r="X756">
        <f>IF(OR($A756="",$U756="Subscription",$J756="",$I756="",$J756=0,$I756=0,$I756&gt;$J756),"",$J756-$I756)</f>
        <v/>
      </c>
      <c r="Y756">
        <f>IF(OR($A756="",$U756="Subscription",$J756="",$J756=0,$X756=""),"",$X756/$J756)</f>
        <v/>
      </c>
    </row>
    <row r="757">
      <c r="B757" s="354" t="n"/>
      <c r="C757" s="354" t="n"/>
      <c r="E757" s="350" t="n"/>
      <c r="F757" s="350" t="n"/>
      <c r="G757" s="350" t="n"/>
      <c r="H757" s="350" t="n"/>
      <c r="I757" s="350" t="n"/>
      <c r="J757" s="352" t="n"/>
      <c r="M757" s="350" t="n"/>
      <c r="N757" s="350">
        <f>IF($A757="","",IF(OR(LOWER($D757&amp;"")="n/a",ISNUMBER(SEARCH("subscription",LOWER($A757&amp;" "&amp;$M757&amp;""))),ISNUMBER(SEARCH("membership",LOWER($A757&amp;" "&amp;$M757&amp;"")))),"",IF($G757="","",IF(ISNUMBER(SEARCH("non",LOWER($E757&amp;""))),$G757*0.85,$G757))))</f>
        <v/>
      </c>
      <c r="O757">
        <f>IF($A757="","",IF(OR(LOWER($D757&amp;"")="n/a",ISNUMBER(SEARCH("subscription",LOWER($A757&amp;" "&amp;$M757&amp;""))),ISNUMBER(SEARCH("membership",LOWER($A757&amp;" "&amp;$M757&amp;"")))),"",IF(OR($N757="",$I757="",$I757=0),"",$N757/$I757)))</f>
        <v/>
      </c>
      <c r="P757">
        <f>IF($A757="","",IF(OR(LOWER($D757&amp;"")="n/a",ISNUMBER(SEARCH("subscription",LOWER($A757&amp;" "&amp;$M757&amp;""))),ISNUMBER(SEARCH("membership",LOWER($A757&amp;" "&amp;$M757&amp;"")))),"",IF(LOWER($L757&amp;"")="yes",0,IF($K757&lt;&gt;"",$K757,IF($O757&lt;&gt;"",$O757,"")))))</f>
        <v/>
      </c>
      <c r="Q757">
        <f>IF($A757="","",IF($U757="Subscription","",IF($U757="Profit",$P757-$H757,0)))</f>
        <v/>
      </c>
      <c r="R757">
        <f>IF($A757="","",IF($U757="Subscription","",IF($U757="Draw",$H757,0)))</f>
        <v/>
      </c>
      <c r="S757">
        <f>IF($A757="","",IF($U757="Subscription","",IF($U757="Disqualified",$H757,0)))</f>
        <v/>
      </c>
      <c r="T757">
        <f>IF($A757="","",IF($U757="Subscription","",IF($H757=0,IF($U757="Profit","N/A",0),IF($U757="Profit",$Q757/$H757,IF($U757="Disqualified",-1,0)))))</f>
        <v/>
      </c>
      <c r="U757" s="350">
        <f>IF($A757="","",IF(OR(LOWER($D757&amp;"")="n/a",ISNUMBER(SEARCH("subscription",LOWER($A757&amp;" "&amp;$M757&amp;""))),ISNUMBER(SEARCH("membership",LOWER($A757&amp;" "&amp;$M757&amp;"")))),"Subscription",IF(LOWER($L757&amp;"")="yes","Disqualified",IF($P757&gt;$H757,"Profit","Draw"))))</f>
        <v/>
      </c>
      <c r="V757">
        <f>IF(OR($A757="",$B757="",$C757="",$U757="Subscription"),"",IFERROR(ROUNDUP((IF(ISNUMBER($C757),$C757,DATEVALUE($C757))-IF(ISNUMBER($B757),$B757,DATEVALUE($B757)))/7,0),""))</f>
        <v/>
      </c>
      <c r="W757" s="352">
        <f>IF($U757="Subscription","",$Q757-$S757)</f>
        <v/>
      </c>
      <c r="X757">
        <f>IF(OR($A757="",$U757="Subscription",$J757="",$I757="",$J757=0,$I757=0,$I757&gt;$J757),"",$J757-$I757)</f>
        <v/>
      </c>
      <c r="Y757">
        <f>IF(OR($A757="",$U757="Subscription",$J757="",$J757=0,$X757=""),"",$X757/$J757)</f>
        <v/>
      </c>
    </row>
    <row r="758">
      <c r="B758" s="354" t="n"/>
      <c r="C758" s="354" t="n"/>
      <c r="E758" s="350" t="n"/>
      <c r="F758" s="350" t="n"/>
      <c r="G758" s="350" t="n"/>
      <c r="H758" s="350" t="n"/>
      <c r="I758" s="350" t="n"/>
      <c r="J758" s="352" t="n"/>
      <c r="M758" s="350" t="n"/>
      <c r="N758" s="350">
        <f>IF($A758="","",IF(OR(LOWER($D758&amp;"")="n/a",ISNUMBER(SEARCH("subscription",LOWER($A758&amp;" "&amp;$M758&amp;""))),ISNUMBER(SEARCH("membership",LOWER($A758&amp;" "&amp;$M758&amp;"")))),"",IF($G758="","",IF(ISNUMBER(SEARCH("non",LOWER($E758&amp;""))),$G758*0.85,$G758))))</f>
        <v/>
      </c>
      <c r="O758">
        <f>IF($A758="","",IF(OR(LOWER($D758&amp;"")="n/a",ISNUMBER(SEARCH("subscription",LOWER($A758&amp;" "&amp;$M758&amp;""))),ISNUMBER(SEARCH("membership",LOWER($A758&amp;" "&amp;$M758&amp;"")))),"",IF(OR($N758="",$I758="",$I758=0),"",$N758/$I758)))</f>
        <v/>
      </c>
      <c r="P758">
        <f>IF($A758="","",IF(OR(LOWER($D758&amp;"")="n/a",ISNUMBER(SEARCH("subscription",LOWER($A758&amp;" "&amp;$M758&amp;""))),ISNUMBER(SEARCH("membership",LOWER($A758&amp;" "&amp;$M758&amp;"")))),"",IF(LOWER($L758&amp;"")="yes",0,IF($K758&lt;&gt;"",$K758,IF($O758&lt;&gt;"",$O758,"")))))</f>
        <v/>
      </c>
      <c r="Q758">
        <f>IF($A758="","",IF($U758="Subscription","",IF($U758="Profit",$P758-$H758,0)))</f>
        <v/>
      </c>
      <c r="R758">
        <f>IF($A758="","",IF($U758="Subscription","",IF($U758="Draw",$H758,0)))</f>
        <v/>
      </c>
      <c r="S758">
        <f>IF($A758="","",IF($U758="Subscription","",IF($U758="Disqualified",$H758,0)))</f>
        <v/>
      </c>
      <c r="T758">
        <f>IF($A758="","",IF($U758="Subscription","",IF($H758=0,IF($U758="Profit","N/A",0),IF($U758="Profit",$Q758/$H758,IF($U758="Disqualified",-1,0)))))</f>
        <v/>
      </c>
      <c r="U758" s="350">
        <f>IF($A758="","",IF(OR(LOWER($D758&amp;"")="n/a",ISNUMBER(SEARCH("subscription",LOWER($A758&amp;" "&amp;$M758&amp;""))),ISNUMBER(SEARCH("membership",LOWER($A758&amp;" "&amp;$M758&amp;"")))),"Subscription",IF(LOWER($L758&amp;"")="yes","Disqualified",IF($P758&gt;$H758,"Profit","Draw"))))</f>
        <v/>
      </c>
      <c r="V758">
        <f>IF(OR($A758="",$B758="",$C758="",$U758="Subscription"),"",IFERROR(ROUNDUP((IF(ISNUMBER($C758),$C758,DATEVALUE($C758))-IF(ISNUMBER($B758),$B758,DATEVALUE($B758)))/7,0),""))</f>
        <v/>
      </c>
      <c r="W758" s="352">
        <f>IF($U758="Subscription","",$Q758-$S758)</f>
        <v/>
      </c>
      <c r="X758">
        <f>IF(OR($A758="",$U758="Subscription",$J758="",$I758="",$J758=0,$I758=0,$I758&gt;$J758),"",$J758-$I758)</f>
        <v/>
      </c>
      <c r="Y758">
        <f>IF(OR($A758="",$U758="Subscription",$J758="",$J758=0,$X758=""),"",$X758/$J758)</f>
        <v/>
      </c>
    </row>
    <row r="759">
      <c r="B759" s="354" t="n"/>
      <c r="C759" s="354" t="n"/>
      <c r="E759" s="350" t="n"/>
      <c r="F759" s="350" t="n"/>
      <c r="G759" s="350" t="n"/>
      <c r="H759" s="350" t="n"/>
      <c r="I759" s="350" t="n"/>
      <c r="J759" s="352" t="n"/>
      <c r="M759" s="350" t="n"/>
      <c r="N759" s="350">
        <f>IF($A759="","",IF(OR(LOWER($D759&amp;"")="n/a",ISNUMBER(SEARCH("subscription",LOWER($A759&amp;" "&amp;$M759&amp;""))),ISNUMBER(SEARCH("membership",LOWER($A759&amp;" "&amp;$M759&amp;"")))),"",IF($G759="","",IF(ISNUMBER(SEARCH("non",LOWER($E759&amp;""))),$G759*0.85,$G759))))</f>
        <v/>
      </c>
      <c r="O759">
        <f>IF($A759="","",IF(OR(LOWER($D759&amp;"")="n/a",ISNUMBER(SEARCH("subscription",LOWER($A759&amp;" "&amp;$M759&amp;""))),ISNUMBER(SEARCH("membership",LOWER($A759&amp;" "&amp;$M759&amp;"")))),"",IF(OR($N759="",$I759="",$I759=0),"",$N759/$I759)))</f>
        <v/>
      </c>
      <c r="P759">
        <f>IF($A759="","",IF(OR(LOWER($D759&amp;"")="n/a",ISNUMBER(SEARCH("subscription",LOWER($A759&amp;" "&amp;$M759&amp;""))),ISNUMBER(SEARCH("membership",LOWER($A759&amp;" "&amp;$M759&amp;"")))),"",IF(LOWER($L759&amp;"")="yes",0,IF($K759&lt;&gt;"",$K759,IF($O759&lt;&gt;"",$O759,"")))))</f>
        <v/>
      </c>
      <c r="Q759">
        <f>IF($A759="","",IF($U759="Subscription","",IF($U759="Profit",$P759-$H759,0)))</f>
        <v/>
      </c>
      <c r="R759">
        <f>IF($A759="","",IF($U759="Subscription","",IF($U759="Draw",$H759,0)))</f>
        <v/>
      </c>
      <c r="S759">
        <f>IF($A759="","",IF($U759="Subscription","",IF($U759="Disqualified",$H759,0)))</f>
        <v/>
      </c>
      <c r="T759">
        <f>IF($A759="","",IF($U759="Subscription","",IF($H759=0,IF($U759="Profit","N/A",0),IF($U759="Profit",$Q759/$H759,IF($U759="Disqualified",-1,0)))))</f>
        <v/>
      </c>
      <c r="U759" s="350">
        <f>IF($A759="","",IF(OR(LOWER($D759&amp;"")="n/a",ISNUMBER(SEARCH("subscription",LOWER($A759&amp;" "&amp;$M759&amp;""))),ISNUMBER(SEARCH("membership",LOWER($A759&amp;" "&amp;$M759&amp;"")))),"Subscription",IF(LOWER($L759&amp;"")="yes","Disqualified",IF($P759&gt;$H759,"Profit","Draw"))))</f>
        <v/>
      </c>
      <c r="V759">
        <f>IF(OR($A759="",$B759="",$C759="",$U759="Subscription"),"",IFERROR(ROUNDUP((IF(ISNUMBER($C759),$C759,DATEVALUE($C759))-IF(ISNUMBER($B759),$B759,DATEVALUE($B759)))/7,0),""))</f>
        <v/>
      </c>
      <c r="W759" s="352">
        <f>IF($U759="Subscription","",$Q759-$S759)</f>
        <v/>
      </c>
      <c r="X759">
        <f>IF(OR($A759="",$U759="Subscription",$J759="",$I759="",$J759=0,$I759=0,$I759&gt;$J759),"",$J759-$I759)</f>
        <v/>
      </c>
      <c r="Y759">
        <f>IF(OR($A759="",$U759="Subscription",$J759="",$J759=0,$X759=""),"",$X759/$J759)</f>
        <v/>
      </c>
    </row>
    <row r="760">
      <c r="B760" s="354" t="n"/>
      <c r="C760" s="354" t="n"/>
      <c r="E760" s="350" t="n"/>
      <c r="F760" s="350" t="n"/>
      <c r="G760" s="350" t="n"/>
      <c r="H760" s="350" t="n"/>
      <c r="I760" s="350" t="n"/>
      <c r="J760" s="352" t="n"/>
      <c r="M760" s="350" t="n"/>
      <c r="N760" s="350">
        <f>IF($A760="","",IF(OR(LOWER($D760&amp;"")="n/a",ISNUMBER(SEARCH("subscription",LOWER($A760&amp;" "&amp;$M760&amp;""))),ISNUMBER(SEARCH("membership",LOWER($A760&amp;" "&amp;$M760&amp;"")))),"",IF($G760="","",IF(ISNUMBER(SEARCH("non",LOWER($E760&amp;""))),$G760*0.85,$G760))))</f>
        <v/>
      </c>
      <c r="O760">
        <f>IF($A760="","",IF(OR(LOWER($D760&amp;"")="n/a",ISNUMBER(SEARCH("subscription",LOWER($A760&amp;" "&amp;$M760&amp;""))),ISNUMBER(SEARCH("membership",LOWER($A760&amp;" "&amp;$M760&amp;"")))),"",IF(OR($N760="",$I760="",$I760=0),"",$N760/$I760)))</f>
        <v/>
      </c>
      <c r="P760">
        <f>IF($A760="","",IF(OR(LOWER($D760&amp;"")="n/a",ISNUMBER(SEARCH("subscription",LOWER($A760&amp;" "&amp;$M760&amp;""))),ISNUMBER(SEARCH("membership",LOWER($A760&amp;" "&amp;$M760&amp;"")))),"",IF(LOWER($L760&amp;"")="yes",0,IF($K760&lt;&gt;"",$K760,IF($O760&lt;&gt;"",$O760,"")))))</f>
        <v/>
      </c>
      <c r="Q760">
        <f>IF($A760="","",IF($U760="Subscription","",IF($U760="Profit",$P760-$H760,0)))</f>
        <v/>
      </c>
      <c r="R760">
        <f>IF($A760="","",IF($U760="Subscription","",IF($U760="Draw",$H760,0)))</f>
        <v/>
      </c>
      <c r="S760">
        <f>IF($A760="","",IF($U760="Subscription","",IF($U760="Disqualified",$H760,0)))</f>
        <v/>
      </c>
      <c r="T760">
        <f>IF($A760="","",IF($U760="Subscription","",IF($H760=0,IF($U760="Profit","N/A",0),IF($U760="Profit",$Q760/$H760,IF($U760="Disqualified",-1,0)))))</f>
        <v/>
      </c>
      <c r="U760" s="350">
        <f>IF($A760="","",IF(OR(LOWER($D760&amp;"")="n/a",ISNUMBER(SEARCH("subscription",LOWER($A760&amp;" "&amp;$M760&amp;""))),ISNUMBER(SEARCH("membership",LOWER($A760&amp;" "&amp;$M760&amp;"")))),"Subscription",IF(LOWER($L760&amp;"")="yes","Disqualified",IF($P760&gt;$H760,"Profit","Draw"))))</f>
        <v/>
      </c>
      <c r="V760">
        <f>IF(OR($A760="",$B760="",$C760="",$U760="Subscription"),"",IFERROR(ROUNDUP((IF(ISNUMBER($C760),$C760,DATEVALUE($C760))-IF(ISNUMBER($B760),$B760,DATEVALUE($B760)))/7,0),""))</f>
        <v/>
      </c>
      <c r="W760" s="352">
        <f>IF($U760="Subscription","",$Q760-$S760)</f>
        <v/>
      </c>
      <c r="X760">
        <f>IF(OR($A760="",$U760="Subscription",$J760="",$I760="",$J760=0,$I760=0,$I760&gt;$J760),"",$J760-$I760)</f>
        <v/>
      </c>
      <c r="Y760">
        <f>IF(OR($A760="",$U760="Subscription",$J760="",$J760=0,$X760=""),"",$X760/$J760)</f>
        <v/>
      </c>
    </row>
    <row r="761">
      <c r="B761" s="354" t="n"/>
      <c r="C761" s="354" t="n"/>
      <c r="E761" s="350" t="n"/>
      <c r="F761" s="350" t="n"/>
      <c r="G761" s="350" t="n"/>
      <c r="H761" s="350" t="n"/>
      <c r="I761" s="350" t="n"/>
      <c r="J761" s="352" t="n"/>
      <c r="M761" s="350" t="n"/>
      <c r="N761" s="350">
        <f>IF($A761="","",IF(OR(LOWER($D761&amp;"")="n/a",ISNUMBER(SEARCH("subscription",LOWER($A761&amp;" "&amp;$M761&amp;""))),ISNUMBER(SEARCH("membership",LOWER($A761&amp;" "&amp;$M761&amp;"")))),"",IF($G761="","",IF(ISNUMBER(SEARCH("non",LOWER($E761&amp;""))),$G761*0.85,$G761))))</f>
        <v/>
      </c>
      <c r="O761">
        <f>IF($A761="","",IF(OR(LOWER($D761&amp;"")="n/a",ISNUMBER(SEARCH("subscription",LOWER($A761&amp;" "&amp;$M761&amp;""))),ISNUMBER(SEARCH("membership",LOWER($A761&amp;" "&amp;$M761&amp;"")))),"",IF(OR($N761="",$I761="",$I761=0),"",$N761/$I761)))</f>
        <v/>
      </c>
      <c r="P761">
        <f>IF($A761="","",IF(OR(LOWER($D761&amp;"")="n/a",ISNUMBER(SEARCH("subscription",LOWER($A761&amp;" "&amp;$M761&amp;""))),ISNUMBER(SEARCH("membership",LOWER($A761&amp;" "&amp;$M761&amp;"")))),"",IF(LOWER($L761&amp;"")="yes",0,IF($K761&lt;&gt;"",$K761,IF($O761&lt;&gt;"",$O761,"")))))</f>
        <v/>
      </c>
      <c r="Q761">
        <f>IF($A761="","",IF($U761="Subscription","",IF($U761="Profit",$P761-$H761,0)))</f>
        <v/>
      </c>
      <c r="R761">
        <f>IF($A761="","",IF($U761="Subscription","",IF($U761="Draw",$H761,0)))</f>
        <v/>
      </c>
      <c r="S761">
        <f>IF($A761="","",IF($U761="Subscription","",IF($U761="Disqualified",$H761,0)))</f>
        <v/>
      </c>
      <c r="T761">
        <f>IF($A761="","",IF($U761="Subscription","",IF($H761=0,IF($U761="Profit","N/A",0),IF($U761="Profit",$Q761/$H761,IF($U761="Disqualified",-1,0)))))</f>
        <v/>
      </c>
      <c r="U761" s="350">
        <f>IF($A761="","",IF(OR(LOWER($D761&amp;"")="n/a",ISNUMBER(SEARCH("subscription",LOWER($A761&amp;" "&amp;$M761&amp;""))),ISNUMBER(SEARCH("membership",LOWER($A761&amp;" "&amp;$M761&amp;"")))),"Subscription",IF(LOWER($L761&amp;"")="yes","Disqualified",IF($P761&gt;$H761,"Profit","Draw"))))</f>
        <v/>
      </c>
      <c r="V761">
        <f>IF(OR($A761="",$B761="",$C761="",$U761="Subscription"),"",IFERROR(ROUNDUP((IF(ISNUMBER($C761),$C761,DATEVALUE($C761))-IF(ISNUMBER($B761),$B761,DATEVALUE($B761)))/7,0),""))</f>
        <v/>
      </c>
      <c r="W761" s="352">
        <f>IF($U761="Subscription","",$Q761-$S761)</f>
        <v/>
      </c>
      <c r="X761">
        <f>IF(OR($A761="",$U761="Subscription",$J761="",$I761="",$J761=0,$I761=0,$I761&gt;$J761),"",$J761-$I761)</f>
        <v/>
      </c>
      <c r="Y761">
        <f>IF(OR($A761="",$U761="Subscription",$J761="",$J761=0,$X761=""),"",$X761/$J761)</f>
        <v/>
      </c>
    </row>
    <row r="762">
      <c r="B762" s="354" t="n"/>
      <c r="C762" s="354" t="n"/>
      <c r="E762" s="350" t="n"/>
      <c r="F762" s="350" t="n"/>
      <c r="G762" s="350" t="n"/>
      <c r="H762" s="350" t="n"/>
      <c r="I762" s="350" t="n"/>
      <c r="J762" s="352" t="n"/>
      <c r="M762" s="350" t="n"/>
      <c r="N762" s="350">
        <f>IF($A762="","",IF(OR(LOWER($D762&amp;"")="n/a",ISNUMBER(SEARCH("subscription",LOWER($A762&amp;" "&amp;$M762&amp;""))),ISNUMBER(SEARCH("membership",LOWER($A762&amp;" "&amp;$M762&amp;"")))),"",IF($G762="","",IF(ISNUMBER(SEARCH("non",LOWER($E762&amp;""))),$G762*0.85,$G762))))</f>
        <v/>
      </c>
      <c r="O762">
        <f>IF($A762="","",IF(OR(LOWER($D762&amp;"")="n/a",ISNUMBER(SEARCH("subscription",LOWER($A762&amp;" "&amp;$M762&amp;""))),ISNUMBER(SEARCH("membership",LOWER($A762&amp;" "&amp;$M762&amp;"")))),"",IF(OR($N762="",$I762="",$I762=0),"",$N762/$I762)))</f>
        <v/>
      </c>
      <c r="P762">
        <f>IF($A762="","",IF(OR(LOWER($D762&amp;"")="n/a",ISNUMBER(SEARCH("subscription",LOWER($A762&amp;" "&amp;$M762&amp;""))),ISNUMBER(SEARCH("membership",LOWER($A762&amp;" "&amp;$M762&amp;"")))),"",IF(LOWER($L762&amp;"")="yes",0,IF($K762&lt;&gt;"",$K762,IF($O762&lt;&gt;"",$O762,"")))))</f>
        <v/>
      </c>
      <c r="Q762">
        <f>IF($A762="","",IF($U762="Subscription","",IF($U762="Profit",$P762-$H762,0)))</f>
        <v/>
      </c>
      <c r="R762">
        <f>IF($A762="","",IF($U762="Subscription","",IF($U762="Draw",$H762,0)))</f>
        <v/>
      </c>
      <c r="S762">
        <f>IF($A762="","",IF($U762="Subscription","",IF($U762="Disqualified",$H762,0)))</f>
        <v/>
      </c>
      <c r="T762">
        <f>IF($A762="","",IF($U762="Subscription","",IF($H762=0,IF($U762="Profit","N/A",0),IF($U762="Profit",$Q762/$H762,IF($U762="Disqualified",-1,0)))))</f>
        <v/>
      </c>
      <c r="U762" s="350">
        <f>IF($A762="","",IF(OR(LOWER($D762&amp;"")="n/a",ISNUMBER(SEARCH("subscription",LOWER($A762&amp;" "&amp;$M762&amp;""))),ISNUMBER(SEARCH("membership",LOWER($A762&amp;" "&amp;$M762&amp;"")))),"Subscription",IF(LOWER($L762&amp;"")="yes","Disqualified",IF($P762&gt;$H762,"Profit","Draw"))))</f>
        <v/>
      </c>
      <c r="V762">
        <f>IF(OR($A762="",$B762="",$C762="",$U762="Subscription"),"",IFERROR(ROUNDUP((IF(ISNUMBER($C762),$C762,DATEVALUE($C762))-IF(ISNUMBER($B762),$B762,DATEVALUE($B762)))/7,0),""))</f>
        <v/>
      </c>
      <c r="W762" s="352">
        <f>IF($U762="Subscription","",$Q762-$S762)</f>
        <v/>
      </c>
      <c r="X762">
        <f>IF(OR($A762="",$U762="Subscription",$J762="",$I762="",$J762=0,$I762=0,$I762&gt;$J762),"",$J762-$I762)</f>
        <v/>
      </c>
      <c r="Y762">
        <f>IF(OR($A762="",$U762="Subscription",$J762="",$J762=0,$X762=""),"",$X762/$J762)</f>
        <v/>
      </c>
    </row>
    <row r="763">
      <c r="B763" s="354" t="n"/>
      <c r="C763" s="354" t="n"/>
      <c r="E763" s="350" t="n"/>
      <c r="F763" s="350" t="n"/>
      <c r="G763" s="350" t="n"/>
      <c r="H763" s="350" t="n"/>
      <c r="I763" s="350" t="n"/>
      <c r="J763" s="352" t="n"/>
      <c r="M763" s="350" t="n"/>
      <c r="N763" s="350">
        <f>IF($A763="","",IF(OR(LOWER($D763&amp;"")="n/a",ISNUMBER(SEARCH("subscription",LOWER($A763&amp;" "&amp;$M763&amp;""))),ISNUMBER(SEARCH("membership",LOWER($A763&amp;" "&amp;$M763&amp;"")))),"",IF($G763="","",IF(ISNUMBER(SEARCH("non",LOWER($E763&amp;""))),$G763*0.85,$G763))))</f>
        <v/>
      </c>
      <c r="O763">
        <f>IF($A763="","",IF(OR(LOWER($D763&amp;"")="n/a",ISNUMBER(SEARCH("subscription",LOWER($A763&amp;" "&amp;$M763&amp;""))),ISNUMBER(SEARCH("membership",LOWER($A763&amp;" "&amp;$M763&amp;"")))),"",IF(OR($N763="",$I763="",$I763=0),"",$N763/$I763)))</f>
        <v/>
      </c>
      <c r="P763">
        <f>IF($A763="","",IF(OR(LOWER($D763&amp;"")="n/a",ISNUMBER(SEARCH("subscription",LOWER($A763&amp;" "&amp;$M763&amp;""))),ISNUMBER(SEARCH("membership",LOWER($A763&amp;" "&amp;$M763&amp;"")))),"",IF(LOWER($L763&amp;"")="yes",0,IF($K763&lt;&gt;"",$K763,IF($O763&lt;&gt;"",$O763,"")))))</f>
        <v/>
      </c>
      <c r="Q763">
        <f>IF($A763="","",IF($U763="Subscription","",IF($U763="Profit",$P763-$H763,0)))</f>
        <v/>
      </c>
      <c r="R763">
        <f>IF($A763="","",IF($U763="Subscription","",IF($U763="Draw",$H763,0)))</f>
        <v/>
      </c>
      <c r="S763">
        <f>IF($A763="","",IF($U763="Subscription","",IF($U763="Disqualified",$H763,0)))</f>
        <v/>
      </c>
      <c r="T763">
        <f>IF($A763="","",IF($U763="Subscription","",IF($H763=0,IF($U763="Profit","N/A",0),IF($U763="Profit",$Q763/$H763,IF($U763="Disqualified",-1,0)))))</f>
        <v/>
      </c>
      <c r="U763" s="350">
        <f>IF($A763="","",IF(OR(LOWER($D763&amp;"")="n/a",ISNUMBER(SEARCH("subscription",LOWER($A763&amp;" "&amp;$M763&amp;""))),ISNUMBER(SEARCH("membership",LOWER($A763&amp;" "&amp;$M763&amp;"")))),"Subscription",IF(LOWER($L763&amp;"")="yes","Disqualified",IF($P763&gt;$H763,"Profit","Draw"))))</f>
        <v/>
      </c>
      <c r="V763">
        <f>IF(OR($A763="",$B763="",$C763="",$U763="Subscription"),"",IFERROR(ROUNDUP((IF(ISNUMBER($C763),$C763,DATEVALUE($C763))-IF(ISNUMBER($B763),$B763,DATEVALUE($B763)))/7,0),""))</f>
        <v/>
      </c>
      <c r="W763" s="352">
        <f>IF($U763="Subscription","",$Q763-$S763)</f>
        <v/>
      </c>
      <c r="X763">
        <f>IF(OR($A763="",$U763="Subscription",$J763="",$I763="",$J763=0,$I763=0,$I763&gt;$J763),"",$J763-$I763)</f>
        <v/>
      </c>
      <c r="Y763">
        <f>IF(OR($A763="",$U763="Subscription",$J763="",$J763=0,$X763=""),"",$X763/$J763)</f>
        <v/>
      </c>
    </row>
    <row r="764">
      <c r="B764" s="354" t="n"/>
      <c r="C764" s="354" t="n"/>
      <c r="E764" s="350" t="n"/>
      <c r="F764" s="350" t="n"/>
      <c r="G764" s="350" t="n"/>
      <c r="H764" s="350" t="n"/>
      <c r="I764" s="350" t="n"/>
      <c r="J764" s="352" t="n"/>
      <c r="M764" s="350" t="n"/>
      <c r="N764" s="350">
        <f>IF($A764="","",IF(OR(LOWER($D764&amp;"")="n/a",ISNUMBER(SEARCH("subscription",LOWER($A764&amp;" "&amp;$M764&amp;""))),ISNUMBER(SEARCH("membership",LOWER($A764&amp;" "&amp;$M764&amp;"")))),"",IF($G764="","",IF(ISNUMBER(SEARCH("non",LOWER($E764&amp;""))),$G764*0.85,$G764))))</f>
        <v/>
      </c>
      <c r="O764">
        <f>IF($A764="","",IF(OR(LOWER($D764&amp;"")="n/a",ISNUMBER(SEARCH("subscription",LOWER($A764&amp;" "&amp;$M764&amp;""))),ISNUMBER(SEARCH("membership",LOWER($A764&amp;" "&amp;$M764&amp;"")))),"",IF(OR($N764="",$I764="",$I764=0),"",$N764/$I764)))</f>
        <v/>
      </c>
      <c r="P764">
        <f>IF($A764="","",IF(OR(LOWER($D764&amp;"")="n/a",ISNUMBER(SEARCH("subscription",LOWER($A764&amp;" "&amp;$M764&amp;""))),ISNUMBER(SEARCH("membership",LOWER($A764&amp;" "&amp;$M764&amp;"")))),"",IF(LOWER($L764&amp;"")="yes",0,IF($K764&lt;&gt;"",$K764,IF($O764&lt;&gt;"",$O764,"")))))</f>
        <v/>
      </c>
      <c r="Q764">
        <f>IF($A764="","",IF($U764="Subscription","",IF($U764="Profit",$P764-$H764,0)))</f>
        <v/>
      </c>
      <c r="R764">
        <f>IF($A764="","",IF($U764="Subscription","",IF($U764="Draw",$H764,0)))</f>
        <v/>
      </c>
      <c r="S764">
        <f>IF($A764="","",IF($U764="Subscription","",IF($U764="Disqualified",$H764,0)))</f>
        <v/>
      </c>
      <c r="T764">
        <f>IF($A764="","",IF($U764="Subscription","",IF($H764=0,IF($U764="Profit","N/A",0),IF($U764="Profit",$Q764/$H764,IF($U764="Disqualified",-1,0)))))</f>
        <v/>
      </c>
      <c r="U764" s="350">
        <f>IF($A764="","",IF(OR(LOWER($D764&amp;"")="n/a",ISNUMBER(SEARCH("subscription",LOWER($A764&amp;" "&amp;$M764&amp;""))),ISNUMBER(SEARCH("membership",LOWER($A764&amp;" "&amp;$M764&amp;"")))),"Subscription",IF(LOWER($L764&amp;"")="yes","Disqualified",IF($P764&gt;$H764,"Profit","Draw"))))</f>
        <v/>
      </c>
      <c r="V764">
        <f>IF(OR($A764="",$B764="",$C764="",$U764="Subscription"),"",IFERROR(ROUNDUP((IF(ISNUMBER($C764),$C764,DATEVALUE($C764))-IF(ISNUMBER($B764),$B764,DATEVALUE($B764)))/7,0),""))</f>
        <v/>
      </c>
      <c r="W764" s="352">
        <f>IF($U764="Subscription","",$Q764-$S764)</f>
        <v/>
      </c>
      <c r="X764">
        <f>IF(OR($A764="",$U764="Subscription",$J764="",$I764="",$J764=0,$I764=0,$I764&gt;$J764),"",$J764-$I764)</f>
        <v/>
      </c>
      <c r="Y764">
        <f>IF(OR($A764="",$U764="Subscription",$J764="",$J764=0,$X764=""),"",$X764/$J764)</f>
        <v/>
      </c>
    </row>
    <row r="765">
      <c r="B765" s="354" t="n"/>
      <c r="C765" s="354" t="n"/>
      <c r="E765" s="350" t="n"/>
      <c r="F765" s="350" t="n"/>
      <c r="G765" s="350" t="n"/>
      <c r="H765" s="350" t="n"/>
      <c r="I765" s="350" t="n"/>
      <c r="J765" s="352" t="n"/>
      <c r="M765" s="350" t="n"/>
      <c r="N765" s="350">
        <f>IF($A765="","",IF(OR(LOWER($D765&amp;"")="n/a",ISNUMBER(SEARCH("subscription",LOWER($A765&amp;" "&amp;$M765&amp;""))),ISNUMBER(SEARCH("membership",LOWER($A765&amp;" "&amp;$M765&amp;"")))),"",IF($G765="","",IF(ISNUMBER(SEARCH("non",LOWER($E765&amp;""))),$G765*0.85,$G765))))</f>
        <v/>
      </c>
      <c r="O765">
        <f>IF($A765="","",IF(OR(LOWER($D765&amp;"")="n/a",ISNUMBER(SEARCH("subscription",LOWER($A765&amp;" "&amp;$M765&amp;""))),ISNUMBER(SEARCH("membership",LOWER($A765&amp;" "&amp;$M765&amp;"")))),"",IF(OR($N765="",$I765="",$I765=0),"",$N765/$I765)))</f>
        <v/>
      </c>
      <c r="P765">
        <f>IF($A765="","",IF(OR(LOWER($D765&amp;"")="n/a",ISNUMBER(SEARCH("subscription",LOWER($A765&amp;" "&amp;$M765&amp;""))),ISNUMBER(SEARCH("membership",LOWER($A765&amp;" "&amp;$M765&amp;"")))),"",IF(LOWER($L765&amp;"")="yes",0,IF($K765&lt;&gt;"",$K765,IF($O765&lt;&gt;"",$O765,"")))))</f>
        <v/>
      </c>
      <c r="Q765">
        <f>IF($A765="","",IF($U765="Subscription","",IF($U765="Profit",$P765-$H765,0)))</f>
        <v/>
      </c>
      <c r="R765">
        <f>IF($A765="","",IF($U765="Subscription","",IF($U765="Draw",$H765,0)))</f>
        <v/>
      </c>
      <c r="S765">
        <f>IF($A765="","",IF($U765="Subscription","",IF($U765="Disqualified",$H765,0)))</f>
        <v/>
      </c>
      <c r="T765">
        <f>IF($A765="","",IF($U765="Subscription","",IF($H765=0,IF($U765="Profit","N/A",0),IF($U765="Profit",$Q765/$H765,IF($U765="Disqualified",-1,0)))))</f>
        <v/>
      </c>
      <c r="U765" s="350">
        <f>IF($A765="","",IF(OR(LOWER($D765&amp;"")="n/a",ISNUMBER(SEARCH("subscription",LOWER($A765&amp;" "&amp;$M765&amp;""))),ISNUMBER(SEARCH("membership",LOWER($A765&amp;" "&amp;$M765&amp;"")))),"Subscription",IF(LOWER($L765&amp;"")="yes","Disqualified",IF($P765&gt;$H765,"Profit","Draw"))))</f>
        <v/>
      </c>
      <c r="V765">
        <f>IF(OR($A765="",$B765="",$C765="",$U765="Subscription"),"",IFERROR(ROUNDUP((IF(ISNUMBER($C765),$C765,DATEVALUE($C765))-IF(ISNUMBER($B765),$B765,DATEVALUE($B765)))/7,0),""))</f>
        <v/>
      </c>
      <c r="W765" s="352">
        <f>IF($U765="Subscription","",$Q765-$S765)</f>
        <v/>
      </c>
      <c r="X765">
        <f>IF(OR($A765="",$U765="Subscription",$J765="",$I765="",$J765=0,$I765=0,$I765&gt;$J765),"",$J765-$I765)</f>
        <v/>
      </c>
      <c r="Y765">
        <f>IF(OR($A765="",$U765="Subscription",$J765="",$J765=0,$X765=""),"",$X765/$J765)</f>
        <v/>
      </c>
    </row>
    <row r="766">
      <c r="B766" s="354" t="n"/>
      <c r="C766" s="354" t="n"/>
      <c r="E766" s="350" t="n"/>
      <c r="F766" s="350" t="n"/>
      <c r="G766" s="350" t="n"/>
      <c r="H766" s="350" t="n"/>
      <c r="I766" s="350" t="n"/>
      <c r="J766" s="352" t="n"/>
      <c r="M766" s="350" t="n"/>
      <c r="N766" s="350">
        <f>IF($A766="","",IF(OR(LOWER($D766&amp;"")="n/a",ISNUMBER(SEARCH("subscription",LOWER($A766&amp;" "&amp;$M766&amp;""))),ISNUMBER(SEARCH("membership",LOWER($A766&amp;" "&amp;$M766&amp;"")))),"",IF($G766="","",IF(ISNUMBER(SEARCH("non",LOWER($E766&amp;""))),$G766*0.85,$G766))))</f>
        <v/>
      </c>
      <c r="O766">
        <f>IF($A766="","",IF(OR(LOWER($D766&amp;"")="n/a",ISNUMBER(SEARCH("subscription",LOWER($A766&amp;" "&amp;$M766&amp;""))),ISNUMBER(SEARCH("membership",LOWER($A766&amp;" "&amp;$M766&amp;"")))),"",IF(OR($N766="",$I766="",$I766=0),"",$N766/$I766)))</f>
        <v/>
      </c>
      <c r="P766">
        <f>IF($A766="","",IF(OR(LOWER($D766&amp;"")="n/a",ISNUMBER(SEARCH("subscription",LOWER($A766&amp;" "&amp;$M766&amp;""))),ISNUMBER(SEARCH("membership",LOWER($A766&amp;" "&amp;$M766&amp;"")))),"",IF(LOWER($L766&amp;"")="yes",0,IF($K766&lt;&gt;"",$K766,IF($O766&lt;&gt;"",$O766,"")))))</f>
        <v/>
      </c>
      <c r="Q766">
        <f>IF($A766="","",IF($U766="Subscription","",IF($U766="Profit",$P766-$H766,0)))</f>
        <v/>
      </c>
      <c r="R766">
        <f>IF($A766="","",IF($U766="Subscription","",IF($U766="Draw",$H766,0)))</f>
        <v/>
      </c>
      <c r="S766">
        <f>IF($A766="","",IF($U766="Subscription","",IF($U766="Disqualified",$H766,0)))</f>
        <v/>
      </c>
      <c r="T766">
        <f>IF($A766="","",IF($U766="Subscription","",IF($H766=0,IF($U766="Profit","N/A",0),IF($U766="Profit",$Q766/$H766,IF($U766="Disqualified",-1,0)))))</f>
        <v/>
      </c>
      <c r="U766" s="350">
        <f>IF($A766="","",IF(OR(LOWER($D766&amp;"")="n/a",ISNUMBER(SEARCH("subscription",LOWER($A766&amp;" "&amp;$M766&amp;""))),ISNUMBER(SEARCH("membership",LOWER($A766&amp;" "&amp;$M766&amp;"")))),"Subscription",IF(LOWER($L766&amp;"")="yes","Disqualified",IF($P766&gt;$H766,"Profit","Draw"))))</f>
        <v/>
      </c>
      <c r="V766">
        <f>IF(OR($A766="",$B766="",$C766="",$U766="Subscription"),"",IFERROR(ROUNDUP((IF(ISNUMBER($C766),$C766,DATEVALUE($C766))-IF(ISNUMBER($B766),$B766,DATEVALUE($B766)))/7,0),""))</f>
        <v/>
      </c>
      <c r="W766" s="352">
        <f>IF($U766="Subscription","",$Q766-$S766)</f>
        <v/>
      </c>
      <c r="X766">
        <f>IF(OR($A766="",$U766="Subscription",$J766="",$I766="",$J766=0,$I766=0,$I766&gt;$J766),"",$J766-$I766)</f>
        <v/>
      </c>
      <c r="Y766">
        <f>IF(OR($A766="",$U766="Subscription",$J766="",$J766=0,$X766=""),"",$X766/$J766)</f>
        <v/>
      </c>
    </row>
    <row r="767">
      <c r="B767" s="354" t="n"/>
      <c r="C767" s="354" t="n"/>
      <c r="E767" s="350" t="n"/>
      <c r="F767" s="350" t="n"/>
      <c r="G767" s="350" t="n"/>
      <c r="H767" s="350" t="n"/>
      <c r="I767" s="350" t="n"/>
      <c r="J767" s="352" t="n"/>
      <c r="M767" s="350" t="n"/>
      <c r="N767" s="350">
        <f>IF($A767="","",IF(OR(LOWER($D767&amp;"")="n/a",ISNUMBER(SEARCH("subscription",LOWER($A767&amp;" "&amp;$M767&amp;""))),ISNUMBER(SEARCH("membership",LOWER($A767&amp;" "&amp;$M767&amp;"")))),"",IF($G767="","",IF(ISNUMBER(SEARCH("non",LOWER($E767&amp;""))),$G767*0.85,$G767))))</f>
        <v/>
      </c>
      <c r="O767">
        <f>IF($A767="","",IF(OR(LOWER($D767&amp;"")="n/a",ISNUMBER(SEARCH("subscription",LOWER($A767&amp;" "&amp;$M767&amp;""))),ISNUMBER(SEARCH("membership",LOWER($A767&amp;" "&amp;$M767&amp;"")))),"",IF(OR($N767="",$I767="",$I767=0),"",$N767/$I767)))</f>
        <v/>
      </c>
      <c r="P767">
        <f>IF($A767="","",IF(OR(LOWER($D767&amp;"")="n/a",ISNUMBER(SEARCH("subscription",LOWER($A767&amp;" "&amp;$M767&amp;""))),ISNUMBER(SEARCH("membership",LOWER($A767&amp;" "&amp;$M767&amp;"")))),"",IF(LOWER($L767&amp;"")="yes",0,IF($K767&lt;&gt;"",$K767,IF($O767&lt;&gt;"",$O767,"")))))</f>
        <v/>
      </c>
      <c r="Q767">
        <f>IF($A767="","",IF($U767="Subscription","",IF($U767="Profit",$P767-$H767,0)))</f>
        <v/>
      </c>
      <c r="R767">
        <f>IF($A767="","",IF($U767="Subscription","",IF($U767="Draw",$H767,0)))</f>
        <v/>
      </c>
      <c r="S767">
        <f>IF($A767="","",IF($U767="Subscription","",IF($U767="Disqualified",$H767,0)))</f>
        <v/>
      </c>
      <c r="T767">
        <f>IF($A767="","",IF($U767="Subscription","",IF($H767=0,IF($U767="Profit","N/A",0),IF($U767="Profit",$Q767/$H767,IF($U767="Disqualified",-1,0)))))</f>
        <v/>
      </c>
      <c r="U767" s="350">
        <f>IF($A767="","",IF(OR(LOWER($D767&amp;"")="n/a",ISNUMBER(SEARCH("subscription",LOWER($A767&amp;" "&amp;$M767&amp;""))),ISNUMBER(SEARCH("membership",LOWER($A767&amp;" "&amp;$M767&amp;"")))),"Subscription",IF(LOWER($L767&amp;"")="yes","Disqualified",IF($P767&gt;$H767,"Profit","Draw"))))</f>
        <v/>
      </c>
      <c r="V767">
        <f>IF(OR($A767="",$B767="",$C767="",$U767="Subscription"),"",IFERROR(ROUNDUP((IF(ISNUMBER($C767),$C767,DATEVALUE($C767))-IF(ISNUMBER($B767),$B767,DATEVALUE($B767)))/7,0),""))</f>
        <v/>
      </c>
      <c r="W767" s="352">
        <f>IF($U767="Subscription","",$Q767-$S767)</f>
        <v/>
      </c>
      <c r="X767">
        <f>IF(OR($A767="",$U767="Subscription",$J767="",$I767="",$J767=0,$I767=0,$I767&gt;$J767),"",$J767-$I767)</f>
        <v/>
      </c>
      <c r="Y767">
        <f>IF(OR($A767="",$U767="Subscription",$J767="",$J767=0,$X767=""),"",$X767/$J767)</f>
        <v/>
      </c>
    </row>
    <row r="768">
      <c r="B768" s="354" t="n"/>
      <c r="C768" s="354" t="n"/>
      <c r="E768" s="350" t="n"/>
      <c r="F768" s="350" t="n"/>
      <c r="G768" s="350" t="n"/>
      <c r="H768" s="350" t="n"/>
      <c r="I768" s="350" t="n"/>
      <c r="J768" s="352" t="n"/>
      <c r="M768" s="350" t="n"/>
      <c r="N768" s="350">
        <f>IF($A768="","",IF(OR(LOWER($D768&amp;"")="n/a",ISNUMBER(SEARCH("subscription",LOWER($A768&amp;" "&amp;$M768&amp;""))),ISNUMBER(SEARCH("membership",LOWER($A768&amp;" "&amp;$M768&amp;"")))),"",IF($G768="","",IF(ISNUMBER(SEARCH("non",LOWER($E768&amp;""))),$G768*0.85,$G768))))</f>
        <v/>
      </c>
      <c r="O768">
        <f>IF($A768="","",IF(OR(LOWER($D768&amp;"")="n/a",ISNUMBER(SEARCH("subscription",LOWER($A768&amp;" "&amp;$M768&amp;""))),ISNUMBER(SEARCH("membership",LOWER($A768&amp;" "&amp;$M768&amp;"")))),"",IF(OR($N768="",$I768="",$I768=0),"",$N768/$I768)))</f>
        <v/>
      </c>
      <c r="P768">
        <f>IF($A768="","",IF(OR(LOWER($D768&amp;"")="n/a",ISNUMBER(SEARCH("subscription",LOWER($A768&amp;" "&amp;$M768&amp;""))),ISNUMBER(SEARCH("membership",LOWER($A768&amp;" "&amp;$M768&amp;"")))),"",IF(LOWER($L768&amp;"")="yes",0,IF($K768&lt;&gt;"",$K768,IF($O768&lt;&gt;"",$O768,"")))))</f>
        <v/>
      </c>
      <c r="Q768">
        <f>IF($A768="","",IF($U768="Subscription","",IF($U768="Profit",$P768-$H768,0)))</f>
        <v/>
      </c>
      <c r="R768">
        <f>IF($A768="","",IF($U768="Subscription","",IF($U768="Draw",$H768,0)))</f>
        <v/>
      </c>
      <c r="S768">
        <f>IF($A768="","",IF($U768="Subscription","",IF($U768="Disqualified",$H768,0)))</f>
        <v/>
      </c>
      <c r="T768">
        <f>IF($A768="","",IF($U768="Subscription","",IF($H768=0,IF($U768="Profit","N/A",0),IF($U768="Profit",$Q768/$H768,IF($U768="Disqualified",-1,0)))))</f>
        <v/>
      </c>
      <c r="U768" s="350">
        <f>IF($A768="","",IF(OR(LOWER($D768&amp;"")="n/a",ISNUMBER(SEARCH("subscription",LOWER($A768&amp;" "&amp;$M768&amp;""))),ISNUMBER(SEARCH("membership",LOWER($A768&amp;" "&amp;$M768&amp;"")))),"Subscription",IF(LOWER($L768&amp;"")="yes","Disqualified",IF($P768&gt;$H768,"Profit","Draw"))))</f>
        <v/>
      </c>
      <c r="V768">
        <f>IF(OR($A768="",$B768="",$C768="",$U768="Subscription"),"",IFERROR(ROUNDUP((IF(ISNUMBER($C768),$C768,DATEVALUE($C768))-IF(ISNUMBER($B768),$B768,DATEVALUE($B768)))/7,0),""))</f>
        <v/>
      </c>
      <c r="W768" s="352">
        <f>IF($U768="Subscription","",$Q768-$S768)</f>
        <v/>
      </c>
      <c r="X768">
        <f>IF(OR($A768="",$U768="Subscription",$J768="",$I768="",$J768=0,$I768=0,$I768&gt;$J768),"",$J768-$I768)</f>
        <v/>
      </c>
      <c r="Y768">
        <f>IF(OR($A768="",$U768="Subscription",$J768="",$J768=0,$X768=""),"",$X768/$J768)</f>
        <v/>
      </c>
    </row>
    <row r="769">
      <c r="B769" s="354" t="n"/>
      <c r="C769" s="354" t="n"/>
      <c r="E769" s="350" t="n"/>
      <c r="F769" s="350" t="n"/>
      <c r="G769" s="350" t="n"/>
      <c r="H769" s="350" t="n"/>
      <c r="I769" s="350" t="n"/>
      <c r="J769" s="352" t="n"/>
      <c r="M769" s="350" t="n"/>
      <c r="N769" s="350">
        <f>IF($A769="","",IF(OR(LOWER($D769&amp;"")="n/a",ISNUMBER(SEARCH("subscription",LOWER($A769&amp;" "&amp;$M769&amp;""))),ISNUMBER(SEARCH("membership",LOWER($A769&amp;" "&amp;$M769&amp;"")))),"",IF($G769="","",IF(ISNUMBER(SEARCH("non",LOWER($E769&amp;""))),$G769*0.85,$G769))))</f>
        <v/>
      </c>
      <c r="O769">
        <f>IF($A769="","",IF(OR(LOWER($D769&amp;"")="n/a",ISNUMBER(SEARCH("subscription",LOWER($A769&amp;" "&amp;$M769&amp;""))),ISNUMBER(SEARCH("membership",LOWER($A769&amp;" "&amp;$M769&amp;"")))),"",IF(OR($N769="",$I769="",$I769=0),"",$N769/$I769)))</f>
        <v/>
      </c>
      <c r="P769">
        <f>IF($A769="","",IF(OR(LOWER($D769&amp;"")="n/a",ISNUMBER(SEARCH("subscription",LOWER($A769&amp;" "&amp;$M769&amp;""))),ISNUMBER(SEARCH("membership",LOWER($A769&amp;" "&amp;$M769&amp;"")))),"",IF(LOWER($L769&amp;"")="yes",0,IF($K769&lt;&gt;"",$K769,IF($O769&lt;&gt;"",$O769,"")))))</f>
        <v/>
      </c>
      <c r="Q769">
        <f>IF($A769="","",IF($U769="Subscription","",IF($U769="Profit",$P769-$H769,0)))</f>
        <v/>
      </c>
      <c r="R769">
        <f>IF($A769="","",IF($U769="Subscription","",IF($U769="Draw",$H769,0)))</f>
        <v/>
      </c>
      <c r="S769">
        <f>IF($A769="","",IF($U769="Subscription","",IF($U769="Disqualified",$H769,0)))</f>
        <v/>
      </c>
      <c r="T769">
        <f>IF($A769="","",IF($U769="Subscription","",IF($H769=0,IF($U769="Profit","N/A",0),IF($U769="Profit",$Q769/$H769,IF($U769="Disqualified",-1,0)))))</f>
        <v/>
      </c>
      <c r="U769" s="350">
        <f>IF($A769="","",IF(OR(LOWER($D769&amp;"")="n/a",ISNUMBER(SEARCH("subscription",LOWER($A769&amp;" "&amp;$M769&amp;""))),ISNUMBER(SEARCH("membership",LOWER($A769&amp;" "&amp;$M769&amp;"")))),"Subscription",IF(LOWER($L769&amp;"")="yes","Disqualified",IF($P769&gt;$H769,"Profit","Draw"))))</f>
        <v/>
      </c>
      <c r="V769">
        <f>IF(OR($A769="",$B769="",$C769="",$U769="Subscription"),"",IFERROR(ROUNDUP((IF(ISNUMBER($C769),$C769,DATEVALUE($C769))-IF(ISNUMBER($B769),$B769,DATEVALUE($B769)))/7,0),""))</f>
        <v/>
      </c>
      <c r="W769" s="352">
        <f>IF($U769="Subscription","",$Q769-$S769)</f>
        <v/>
      </c>
      <c r="X769">
        <f>IF(OR($A769="",$U769="Subscription",$J769="",$I769="",$J769=0,$I769=0,$I769&gt;$J769),"",$J769-$I769)</f>
        <v/>
      </c>
      <c r="Y769">
        <f>IF(OR($A769="",$U769="Subscription",$J769="",$J769=0,$X769=""),"",$X769/$J769)</f>
        <v/>
      </c>
    </row>
    <row r="770">
      <c r="B770" s="354" t="n"/>
      <c r="C770" s="354" t="n"/>
      <c r="E770" s="350" t="n"/>
      <c r="F770" s="350" t="n"/>
      <c r="G770" s="350" t="n"/>
      <c r="H770" s="350" t="n"/>
      <c r="I770" s="350" t="n"/>
      <c r="J770" s="352" t="n"/>
      <c r="M770" s="350" t="n"/>
      <c r="N770" s="350">
        <f>IF($A770="","",IF(OR(LOWER($D770&amp;"")="n/a",ISNUMBER(SEARCH("subscription",LOWER($A770&amp;" "&amp;$M770&amp;""))),ISNUMBER(SEARCH("membership",LOWER($A770&amp;" "&amp;$M770&amp;"")))),"",IF($G770="","",IF(ISNUMBER(SEARCH("non",LOWER($E770&amp;""))),$G770*0.85,$G770))))</f>
        <v/>
      </c>
      <c r="O770">
        <f>IF($A770="","",IF(OR(LOWER($D770&amp;"")="n/a",ISNUMBER(SEARCH("subscription",LOWER($A770&amp;" "&amp;$M770&amp;""))),ISNUMBER(SEARCH("membership",LOWER($A770&amp;" "&amp;$M770&amp;"")))),"",IF(OR($N770="",$I770="",$I770=0),"",$N770/$I770)))</f>
        <v/>
      </c>
      <c r="P770">
        <f>IF($A770="","",IF(OR(LOWER($D770&amp;"")="n/a",ISNUMBER(SEARCH("subscription",LOWER($A770&amp;" "&amp;$M770&amp;""))),ISNUMBER(SEARCH("membership",LOWER($A770&amp;" "&amp;$M770&amp;"")))),"",IF(LOWER($L770&amp;"")="yes",0,IF($K770&lt;&gt;"",$K770,IF($O770&lt;&gt;"",$O770,"")))))</f>
        <v/>
      </c>
      <c r="Q770">
        <f>IF($A770="","",IF($U770="Subscription","",IF($U770="Profit",$P770-$H770,0)))</f>
        <v/>
      </c>
      <c r="R770">
        <f>IF($A770="","",IF($U770="Subscription","",IF($U770="Draw",$H770,0)))</f>
        <v/>
      </c>
      <c r="S770">
        <f>IF($A770="","",IF($U770="Subscription","",IF($U770="Disqualified",$H770,0)))</f>
        <v/>
      </c>
      <c r="T770">
        <f>IF($A770="","",IF($U770="Subscription","",IF($H770=0,IF($U770="Profit","N/A",0),IF($U770="Profit",$Q770/$H770,IF($U770="Disqualified",-1,0)))))</f>
        <v/>
      </c>
      <c r="U770" s="350">
        <f>IF($A770="","",IF(OR(LOWER($D770&amp;"")="n/a",ISNUMBER(SEARCH("subscription",LOWER($A770&amp;" "&amp;$M770&amp;""))),ISNUMBER(SEARCH("membership",LOWER($A770&amp;" "&amp;$M770&amp;"")))),"Subscription",IF(LOWER($L770&amp;"")="yes","Disqualified",IF($P770&gt;$H770,"Profit","Draw"))))</f>
        <v/>
      </c>
      <c r="V770">
        <f>IF(OR($A770="",$B770="",$C770="",$U770="Subscription"),"",IFERROR(ROUNDUP((IF(ISNUMBER($C770),$C770,DATEVALUE($C770))-IF(ISNUMBER($B770),$B770,DATEVALUE($B770)))/7,0),""))</f>
        <v/>
      </c>
      <c r="W770" s="352">
        <f>IF($U770="Subscription","",$Q770-$S770)</f>
        <v/>
      </c>
      <c r="X770">
        <f>IF(OR($A770="",$U770="Subscription",$J770="",$I770="",$J770=0,$I770=0,$I770&gt;$J770),"",$J770-$I770)</f>
        <v/>
      </c>
      <c r="Y770">
        <f>IF(OR($A770="",$U770="Subscription",$J770="",$J770=0,$X770=""),"",$X770/$J770)</f>
        <v/>
      </c>
    </row>
    <row r="771">
      <c r="B771" s="354" t="n"/>
      <c r="C771" s="354" t="n"/>
      <c r="E771" s="350" t="n"/>
      <c r="F771" s="350" t="n"/>
      <c r="G771" s="350" t="n"/>
      <c r="H771" s="350" t="n"/>
      <c r="I771" s="350" t="n"/>
      <c r="J771" s="352" t="n"/>
      <c r="M771" s="350" t="n"/>
      <c r="N771" s="350">
        <f>IF($A771="","",IF(OR(LOWER($D771&amp;"")="n/a",ISNUMBER(SEARCH("subscription",LOWER($A771&amp;" "&amp;$M771&amp;""))),ISNUMBER(SEARCH("membership",LOWER($A771&amp;" "&amp;$M771&amp;"")))),"",IF($G771="","",IF(ISNUMBER(SEARCH("non",LOWER($E771&amp;""))),$G771*0.85,$G771))))</f>
        <v/>
      </c>
      <c r="O771">
        <f>IF($A771="","",IF(OR(LOWER($D771&amp;"")="n/a",ISNUMBER(SEARCH("subscription",LOWER($A771&amp;" "&amp;$M771&amp;""))),ISNUMBER(SEARCH("membership",LOWER($A771&amp;" "&amp;$M771&amp;"")))),"",IF(OR($N771="",$I771="",$I771=0),"",$N771/$I771)))</f>
        <v/>
      </c>
      <c r="P771">
        <f>IF($A771="","",IF(OR(LOWER($D771&amp;"")="n/a",ISNUMBER(SEARCH("subscription",LOWER($A771&amp;" "&amp;$M771&amp;""))),ISNUMBER(SEARCH("membership",LOWER($A771&amp;" "&amp;$M771&amp;"")))),"",IF(LOWER($L771&amp;"")="yes",0,IF($K771&lt;&gt;"",$K771,IF($O771&lt;&gt;"",$O771,"")))))</f>
        <v/>
      </c>
      <c r="Q771">
        <f>IF($A771="","",IF($U771="Subscription","",IF($U771="Profit",$P771-$H771,0)))</f>
        <v/>
      </c>
      <c r="R771">
        <f>IF($A771="","",IF($U771="Subscription","",IF($U771="Draw",$H771,0)))</f>
        <v/>
      </c>
      <c r="S771">
        <f>IF($A771="","",IF($U771="Subscription","",IF($U771="Disqualified",$H771,0)))</f>
        <v/>
      </c>
      <c r="T771">
        <f>IF($A771="","",IF($U771="Subscription","",IF($H771=0,IF($U771="Profit","N/A",0),IF($U771="Profit",$Q771/$H771,IF($U771="Disqualified",-1,0)))))</f>
        <v/>
      </c>
      <c r="U771" s="350">
        <f>IF($A771="","",IF(OR(LOWER($D771&amp;"")="n/a",ISNUMBER(SEARCH("subscription",LOWER($A771&amp;" "&amp;$M771&amp;""))),ISNUMBER(SEARCH("membership",LOWER($A771&amp;" "&amp;$M771&amp;"")))),"Subscription",IF(LOWER($L771&amp;"")="yes","Disqualified",IF($P771&gt;$H771,"Profit","Draw"))))</f>
        <v/>
      </c>
      <c r="V771">
        <f>IF(OR($A771="",$B771="",$C771="",$U771="Subscription"),"",IFERROR(ROUNDUP((IF(ISNUMBER($C771),$C771,DATEVALUE($C771))-IF(ISNUMBER($B771),$B771,DATEVALUE($B771)))/7,0),""))</f>
        <v/>
      </c>
      <c r="W771" s="352">
        <f>IF($U771="Subscription","",$Q771-$S771)</f>
        <v/>
      </c>
      <c r="X771">
        <f>IF(OR($A771="",$U771="Subscription",$J771="",$I771="",$J771=0,$I771=0,$I771&gt;$J771),"",$J771-$I771)</f>
        <v/>
      </c>
      <c r="Y771">
        <f>IF(OR($A771="",$U771="Subscription",$J771="",$J771=0,$X771=""),"",$X771/$J771)</f>
        <v/>
      </c>
    </row>
    <row r="772">
      <c r="B772" s="354" t="n"/>
      <c r="C772" s="354" t="n"/>
      <c r="E772" s="350" t="n"/>
      <c r="F772" s="350" t="n"/>
      <c r="G772" s="350" t="n"/>
      <c r="H772" s="350" t="n"/>
      <c r="I772" s="350" t="n"/>
      <c r="J772" s="352" t="n"/>
      <c r="M772" s="350" t="n"/>
      <c r="N772" s="350">
        <f>IF($A772="","",IF(OR(LOWER($D772&amp;"")="n/a",ISNUMBER(SEARCH("subscription",LOWER($A772&amp;" "&amp;$M772&amp;""))),ISNUMBER(SEARCH("membership",LOWER($A772&amp;" "&amp;$M772&amp;"")))),"",IF($G772="","",IF(ISNUMBER(SEARCH("non",LOWER($E772&amp;""))),$G772*0.85,$G772))))</f>
        <v/>
      </c>
      <c r="O772">
        <f>IF($A772="","",IF(OR(LOWER($D772&amp;"")="n/a",ISNUMBER(SEARCH("subscription",LOWER($A772&amp;" "&amp;$M772&amp;""))),ISNUMBER(SEARCH("membership",LOWER($A772&amp;" "&amp;$M772&amp;"")))),"",IF(OR($N772="",$I772="",$I772=0),"",$N772/$I772)))</f>
        <v/>
      </c>
      <c r="P772">
        <f>IF($A772="","",IF(OR(LOWER($D772&amp;"")="n/a",ISNUMBER(SEARCH("subscription",LOWER($A772&amp;" "&amp;$M772&amp;""))),ISNUMBER(SEARCH("membership",LOWER($A772&amp;" "&amp;$M772&amp;"")))),"",IF(LOWER($L772&amp;"")="yes",0,IF($K772&lt;&gt;"",$K772,IF($O772&lt;&gt;"",$O772,"")))))</f>
        <v/>
      </c>
      <c r="Q772">
        <f>IF($A772="","",IF($U772="Subscription","",IF($U772="Profit",$P772-$H772,0)))</f>
        <v/>
      </c>
      <c r="R772">
        <f>IF($A772="","",IF($U772="Subscription","",IF($U772="Draw",$H772,0)))</f>
        <v/>
      </c>
      <c r="S772">
        <f>IF($A772="","",IF($U772="Subscription","",IF($U772="Disqualified",$H772,0)))</f>
        <v/>
      </c>
      <c r="T772">
        <f>IF($A772="","",IF($U772="Subscription","",IF($H772=0,IF($U772="Profit","N/A",0),IF($U772="Profit",$Q772/$H772,IF($U772="Disqualified",-1,0)))))</f>
        <v/>
      </c>
      <c r="U772" s="350">
        <f>IF($A772="","",IF(OR(LOWER($D772&amp;"")="n/a",ISNUMBER(SEARCH("subscription",LOWER($A772&amp;" "&amp;$M772&amp;""))),ISNUMBER(SEARCH("membership",LOWER($A772&amp;" "&amp;$M772&amp;"")))),"Subscription",IF(LOWER($L772&amp;"")="yes","Disqualified",IF($P772&gt;$H772,"Profit","Draw"))))</f>
        <v/>
      </c>
      <c r="V772">
        <f>IF(OR($A772="",$B772="",$C772="",$U772="Subscription"),"",IFERROR(ROUNDUP((IF(ISNUMBER($C772),$C772,DATEVALUE($C772))-IF(ISNUMBER($B772),$B772,DATEVALUE($B772)))/7,0),""))</f>
        <v/>
      </c>
      <c r="W772" s="352">
        <f>IF($U772="Subscription","",$Q772-$S772)</f>
        <v/>
      </c>
      <c r="X772">
        <f>IF(OR($A772="",$U772="Subscription",$J772="",$I772="",$J772=0,$I772=0,$I772&gt;$J772),"",$J772-$I772)</f>
        <v/>
      </c>
      <c r="Y772">
        <f>IF(OR($A772="",$U772="Subscription",$J772="",$J772=0,$X772=""),"",$X772/$J772)</f>
        <v/>
      </c>
    </row>
    <row r="773">
      <c r="B773" s="354" t="n"/>
      <c r="C773" s="354" t="n"/>
      <c r="E773" s="350" t="n"/>
      <c r="F773" s="350" t="n"/>
      <c r="G773" s="350" t="n"/>
      <c r="H773" s="350" t="n"/>
      <c r="I773" s="350" t="n"/>
      <c r="J773" s="352" t="n"/>
      <c r="M773" s="350" t="n"/>
      <c r="N773" s="350">
        <f>IF($A773="","",IF(OR(LOWER($D773&amp;"")="n/a",ISNUMBER(SEARCH("subscription",LOWER($A773&amp;" "&amp;$M773&amp;""))),ISNUMBER(SEARCH("membership",LOWER($A773&amp;" "&amp;$M773&amp;"")))),"",IF($G773="","",IF(ISNUMBER(SEARCH("non",LOWER($E773&amp;""))),$G773*0.85,$G773))))</f>
        <v/>
      </c>
      <c r="O773">
        <f>IF($A773="","",IF(OR(LOWER($D773&amp;"")="n/a",ISNUMBER(SEARCH("subscription",LOWER($A773&amp;" "&amp;$M773&amp;""))),ISNUMBER(SEARCH("membership",LOWER($A773&amp;" "&amp;$M773&amp;"")))),"",IF(OR($N773="",$I773="",$I773=0),"",$N773/$I773)))</f>
        <v/>
      </c>
      <c r="P773">
        <f>IF($A773="","",IF(OR(LOWER($D773&amp;"")="n/a",ISNUMBER(SEARCH("subscription",LOWER($A773&amp;" "&amp;$M773&amp;""))),ISNUMBER(SEARCH("membership",LOWER($A773&amp;" "&amp;$M773&amp;"")))),"",IF(LOWER($L773&amp;"")="yes",0,IF($K773&lt;&gt;"",$K773,IF($O773&lt;&gt;"",$O773,"")))))</f>
        <v/>
      </c>
      <c r="Q773">
        <f>IF($A773="","",IF($U773="Subscription","",IF($U773="Profit",$P773-$H773,0)))</f>
        <v/>
      </c>
      <c r="R773">
        <f>IF($A773="","",IF($U773="Subscription","",IF($U773="Draw",$H773,0)))</f>
        <v/>
      </c>
      <c r="S773">
        <f>IF($A773="","",IF($U773="Subscription","",IF($U773="Disqualified",$H773,0)))</f>
        <v/>
      </c>
      <c r="T773">
        <f>IF($A773="","",IF($U773="Subscription","",IF($H773=0,IF($U773="Profit","N/A",0),IF($U773="Profit",$Q773/$H773,IF($U773="Disqualified",-1,0)))))</f>
        <v/>
      </c>
      <c r="U773" s="350">
        <f>IF($A773="","",IF(OR(LOWER($D773&amp;"")="n/a",ISNUMBER(SEARCH("subscription",LOWER($A773&amp;" "&amp;$M773&amp;""))),ISNUMBER(SEARCH("membership",LOWER($A773&amp;" "&amp;$M773&amp;"")))),"Subscription",IF(LOWER($L773&amp;"")="yes","Disqualified",IF($P773&gt;$H773,"Profit","Draw"))))</f>
        <v/>
      </c>
      <c r="V773">
        <f>IF(OR($A773="",$B773="",$C773="",$U773="Subscription"),"",IFERROR(ROUNDUP((IF(ISNUMBER($C773),$C773,DATEVALUE($C773))-IF(ISNUMBER($B773),$B773,DATEVALUE($B773)))/7,0),""))</f>
        <v/>
      </c>
      <c r="W773" s="352">
        <f>IF($U773="Subscription","",$Q773-$S773)</f>
        <v/>
      </c>
      <c r="X773">
        <f>IF(OR($A773="",$U773="Subscription",$J773="",$I773="",$J773=0,$I773=0,$I773&gt;$J773),"",$J773-$I773)</f>
        <v/>
      </c>
      <c r="Y773">
        <f>IF(OR($A773="",$U773="Subscription",$J773="",$J773=0,$X773=""),"",$X773/$J773)</f>
        <v/>
      </c>
    </row>
    <row r="774">
      <c r="B774" s="354" t="n"/>
      <c r="C774" s="354" t="n"/>
      <c r="E774" s="350" t="n"/>
      <c r="F774" s="350" t="n"/>
      <c r="G774" s="350" t="n"/>
      <c r="H774" s="350" t="n"/>
      <c r="I774" s="350" t="n"/>
      <c r="J774" s="352" t="n"/>
      <c r="M774" s="350" t="n"/>
      <c r="N774" s="350">
        <f>IF($A774="","",IF(OR(LOWER($D774&amp;"")="n/a",ISNUMBER(SEARCH("subscription",LOWER($A774&amp;" "&amp;$M774&amp;""))),ISNUMBER(SEARCH("membership",LOWER($A774&amp;" "&amp;$M774&amp;"")))),"",IF($G774="","",IF(ISNUMBER(SEARCH("non",LOWER($E774&amp;""))),$G774*0.85,$G774))))</f>
        <v/>
      </c>
      <c r="O774">
        <f>IF($A774="","",IF(OR(LOWER($D774&amp;"")="n/a",ISNUMBER(SEARCH("subscription",LOWER($A774&amp;" "&amp;$M774&amp;""))),ISNUMBER(SEARCH("membership",LOWER($A774&amp;" "&amp;$M774&amp;"")))),"",IF(OR($N774="",$I774="",$I774=0),"",$N774/$I774)))</f>
        <v/>
      </c>
      <c r="P774">
        <f>IF($A774="","",IF(OR(LOWER($D774&amp;"")="n/a",ISNUMBER(SEARCH("subscription",LOWER($A774&amp;" "&amp;$M774&amp;""))),ISNUMBER(SEARCH("membership",LOWER($A774&amp;" "&amp;$M774&amp;"")))),"",IF(LOWER($L774&amp;"")="yes",0,IF($K774&lt;&gt;"",$K774,IF($O774&lt;&gt;"",$O774,"")))))</f>
        <v/>
      </c>
      <c r="Q774">
        <f>IF($A774="","",IF($U774="Subscription","",IF($U774="Profit",$P774-$H774,0)))</f>
        <v/>
      </c>
      <c r="R774">
        <f>IF($A774="","",IF($U774="Subscription","",IF($U774="Draw",$H774,0)))</f>
        <v/>
      </c>
      <c r="S774">
        <f>IF($A774="","",IF($U774="Subscription","",IF($U774="Disqualified",$H774,0)))</f>
        <v/>
      </c>
      <c r="T774">
        <f>IF($A774="","",IF($U774="Subscription","",IF($H774=0,IF($U774="Profit","N/A",0),IF($U774="Profit",$Q774/$H774,IF($U774="Disqualified",-1,0)))))</f>
        <v/>
      </c>
      <c r="U774" s="350">
        <f>IF($A774="","",IF(OR(LOWER($D774&amp;"")="n/a",ISNUMBER(SEARCH("subscription",LOWER($A774&amp;" "&amp;$M774&amp;""))),ISNUMBER(SEARCH("membership",LOWER($A774&amp;" "&amp;$M774&amp;"")))),"Subscription",IF(LOWER($L774&amp;"")="yes","Disqualified",IF($P774&gt;$H774,"Profit","Draw"))))</f>
        <v/>
      </c>
      <c r="V774">
        <f>IF(OR($A774="",$B774="",$C774="",$U774="Subscription"),"",IFERROR(ROUNDUP((IF(ISNUMBER($C774),$C774,DATEVALUE($C774))-IF(ISNUMBER($B774),$B774,DATEVALUE($B774)))/7,0),""))</f>
        <v/>
      </c>
      <c r="W774" s="352">
        <f>IF($U774="Subscription","",$Q774-$S774)</f>
        <v/>
      </c>
      <c r="X774">
        <f>IF(OR($A774="",$U774="Subscription",$J774="",$I774="",$J774=0,$I774=0,$I774&gt;$J774),"",$J774-$I774)</f>
        <v/>
      </c>
      <c r="Y774">
        <f>IF(OR($A774="",$U774="Subscription",$J774="",$J774=0,$X774=""),"",$X774/$J774)</f>
        <v/>
      </c>
    </row>
    <row r="775">
      <c r="B775" s="354" t="n"/>
      <c r="C775" s="354" t="n"/>
      <c r="E775" s="350" t="n"/>
      <c r="F775" s="350" t="n"/>
      <c r="G775" s="350" t="n"/>
      <c r="H775" s="350" t="n"/>
      <c r="I775" s="350" t="n"/>
      <c r="J775" s="352" t="n"/>
      <c r="M775" s="350" t="n"/>
      <c r="N775" s="350">
        <f>IF($A775="","",IF(OR(LOWER($D775&amp;"")="n/a",ISNUMBER(SEARCH("subscription",LOWER($A775&amp;" "&amp;$M775&amp;""))),ISNUMBER(SEARCH("membership",LOWER($A775&amp;" "&amp;$M775&amp;"")))),"",IF($G775="","",IF(ISNUMBER(SEARCH("non",LOWER($E775&amp;""))),$G775*0.85,$G775))))</f>
        <v/>
      </c>
      <c r="O775">
        <f>IF($A775="","",IF(OR(LOWER($D775&amp;"")="n/a",ISNUMBER(SEARCH("subscription",LOWER($A775&amp;" "&amp;$M775&amp;""))),ISNUMBER(SEARCH("membership",LOWER($A775&amp;" "&amp;$M775&amp;"")))),"",IF(OR($N775="",$I775="",$I775=0),"",$N775/$I775)))</f>
        <v/>
      </c>
      <c r="P775">
        <f>IF($A775="","",IF(OR(LOWER($D775&amp;"")="n/a",ISNUMBER(SEARCH("subscription",LOWER($A775&amp;" "&amp;$M775&amp;""))),ISNUMBER(SEARCH("membership",LOWER($A775&amp;" "&amp;$M775&amp;"")))),"",IF(LOWER($L775&amp;"")="yes",0,IF($K775&lt;&gt;"",$K775,IF($O775&lt;&gt;"",$O775,"")))))</f>
        <v/>
      </c>
      <c r="Q775">
        <f>IF($A775="","",IF($U775="Subscription","",IF($U775="Profit",$P775-$H775,0)))</f>
        <v/>
      </c>
      <c r="R775">
        <f>IF($A775="","",IF($U775="Subscription","",IF($U775="Draw",$H775,0)))</f>
        <v/>
      </c>
      <c r="S775">
        <f>IF($A775="","",IF($U775="Subscription","",IF($U775="Disqualified",$H775,0)))</f>
        <v/>
      </c>
      <c r="T775">
        <f>IF($A775="","",IF($U775="Subscription","",IF($H775=0,IF($U775="Profit","N/A",0),IF($U775="Profit",$Q775/$H775,IF($U775="Disqualified",-1,0)))))</f>
        <v/>
      </c>
      <c r="U775" s="350">
        <f>IF($A775="","",IF(OR(LOWER($D775&amp;"")="n/a",ISNUMBER(SEARCH("subscription",LOWER($A775&amp;" "&amp;$M775&amp;""))),ISNUMBER(SEARCH("membership",LOWER($A775&amp;" "&amp;$M775&amp;"")))),"Subscription",IF(LOWER($L775&amp;"")="yes","Disqualified",IF($P775&gt;$H775,"Profit","Draw"))))</f>
        <v/>
      </c>
      <c r="V775">
        <f>IF(OR($A775="",$B775="",$C775="",$U775="Subscription"),"",IFERROR(ROUNDUP((IF(ISNUMBER($C775),$C775,DATEVALUE($C775))-IF(ISNUMBER($B775),$B775,DATEVALUE($B775)))/7,0),""))</f>
        <v/>
      </c>
      <c r="W775" s="352">
        <f>IF($U775="Subscription","",$Q775-$S775)</f>
        <v/>
      </c>
      <c r="X775">
        <f>IF(OR($A775="",$U775="Subscription",$J775="",$I775="",$J775=0,$I775=0,$I775&gt;$J775),"",$J775-$I775)</f>
        <v/>
      </c>
      <c r="Y775">
        <f>IF(OR($A775="",$U775="Subscription",$J775="",$J775=0,$X775=""),"",$X775/$J775)</f>
        <v/>
      </c>
    </row>
    <row r="776">
      <c r="B776" s="354" t="n"/>
      <c r="C776" s="354" t="n"/>
      <c r="E776" s="350" t="n"/>
      <c r="F776" s="350" t="n"/>
      <c r="G776" s="350" t="n"/>
      <c r="H776" s="350" t="n"/>
      <c r="I776" s="350" t="n"/>
      <c r="J776" s="352" t="n"/>
      <c r="M776" s="350" t="n"/>
      <c r="N776" s="350">
        <f>IF($A776="","",IF(OR(LOWER($D776&amp;"")="n/a",ISNUMBER(SEARCH("subscription",LOWER($A776&amp;" "&amp;$M776&amp;""))),ISNUMBER(SEARCH("membership",LOWER($A776&amp;" "&amp;$M776&amp;"")))),"",IF($G776="","",IF(ISNUMBER(SEARCH("non",LOWER($E776&amp;""))),$G776*0.85,$G776))))</f>
        <v/>
      </c>
      <c r="O776">
        <f>IF($A776="","",IF(OR(LOWER($D776&amp;"")="n/a",ISNUMBER(SEARCH("subscription",LOWER($A776&amp;" "&amp;$M776&amp;""))),ISNUMBER(SEARCH("membership",LOWER($A776&amp;" "&amp;$M776&amp;"")))),"",IF(OR($N776="",$I776="",$I776=0),"",$N776/$I776)))</f>
        <v/>
      </c>
      <c r="P776">
        <f>IF($A776="","",IF(OR(LOWER($D776&amp;"")="n/a",ISNUMBER(SEARCH("subscription",LOWER($A776&amp;" "&amp;$M776&amp;""))),ISNUMBER(SEARCH("membership",LOWER($A776&amp;" "&amp;$M776&amp;"")))),"",IF(LOWER($L776&amp;"")="yes",0,IF($K776&lt;&gt;"",$K776,IF($O776&lt;&gt;"",$O776,"")))))</f>
        <v/>
      </c>
      <c r="Q776">
        <f>IF($A776="","",IF($U776="Subscription","",IF($U776="Profit",$P776-$H776,0)))</f>
        <v/>
      </c>
      <c r="R776">
        <f>IF($A776="","",IF($U776="Subscription","",IF($U776="Draw",$H776,0)))</f>
        <v/>
      </c>
      <c r="S776">
        <f>IF($A776="","",IF($U776="Subscription","",IF($U776="Disqualified",$H776,0)))</f>
        <v/>
      </c>
      <c r="T776">
        <f>IF($A776="","",IF($U776="Subscription","",IF($H776=0,IF($U776="Profit","N/A",0),IF($U776="Profit",$Q776/$H776,IF($U776="Disqualified",-1,0)))))</f>
        <v/>
      </c>
      <c r="U776" s="350">
        <f>IF($A776="","",IF(OR(LOWER($D776&amp;"")="n/a",ISNUMBER(SEARCH("subscription",LOWER($A776&amp;" "&amp;$M776&amp;""))),ISNUMBER(SEARCH("membership",LOWER($A776&amp;" "&amp;$M776&amp;"")))),"Subscription",IF(LOWER($L776&amp;"")="yes","Disqualified",IF($P776&gt;$H776,"Profit","Draw"))))</f>
        <v/>
      </c>
      <c r="V776">
        <f>IF(OR($A776="",$B776="",$C776="",$U776="Subscription"),"",IFERROR(ROUNDUP((IF(ISNUMBER($C776),$C776,DATEVALUE($C776))-IF(ISNUMBER($B776),$B776,DATEVALUE($B776)))/7,0),""))</f>
        <v/>
      </c>
      <c r="W776" s="352">
        <f>IF($U776="Subscription","",$Q776-$S776)</f>
        <v/>
      </c>
      <c r="X776">
        <f>IF(OR($A776="",$U776="Subscription",$J776="",$I776="",$J776=0,$I776=0,$I776&gt;$J776),"",$J776-$I776)</f>
        <v/>
      </c>
      <c r="Y776">
        <f>IF(OR($A776="",$U776="Subscription",$J776="",$J776=0,$X776=""),"",$X776/$J776)</f>
        <v/>
      </c>
    </row>
    <row r="777">
      <c r="B777" s="354" t="n"/>
      <c r="C777" s="354" t="n"/>
      <c r="E777" s="350" t="n"/>
      <c r="F777" s="350" t="n"/>
      <c r="G777" s="350" t="n"/>
      <c r="H777" s="350" t="n"/>
      <c r="I777" s="350" t="n"/>
      <c r="J777" s="352" t="n"/>
      <c r="M777" s="350" t="n"/>
      <c r="N777" s="350">
        <f>IF($A777="","",IF(OR(LOWER($D777&amp;"")="n/a",ISNUMBER(SEARCH("subscription",LOWER($A777&amp;" "&amp;$M777&amp;""))),ISNUMBER(SEARCH("membership",LOWER($A777&amp;" "&amp;$M777&amp;"")))),"",IF($G777="","",IF(ISNUMBER(SEARCH("non",LOWER($E777&amp;""))),$G777*0.85,$G777))))</f>
        <v/>
      </c>
      <c r="O777">
        <f>IF($A777="","",IF(OR(LOWER($D777&amp;"")="n/a",ISNUMBER(SEARCH("subscription",LOWER($A777&amp;" "&amp;$M777&amp;""))),ISNUMBER(SEARCH("membership",LOWER($A777&amp;" "&amp;$M777&amp;"")))),"",IF(OR($N777="",$I777="",$I777=0),"",$N777/$I777)))</f>
        <v/>
      </c>
      <c r="P777">
        <f>IF($A777="","",IF(OR(LOWER($D777&amp;"")="n/a",ISNUMBER(SEARCH("subscription",LOWER($A777&amp;" "&amp;$M777&amp;""))),ISNUMBER(SEARCH("membership",LOWER($A777&amp;" "&amp;$M777&amp;"")))),"",IF(LOWER($L777&amp;"")="yes",0,IF($K777&lt;&gt;"",$K777,IF($O777&lt;&gt;"",$O777,"")))))</f>
        <v/>
      </c>
      <c r="Q777">
        <f>IF($A777="","",IF($U777="Subscription","",IF($U777="Profit",$P777-$H777,0)))</f>
        <v/>
      </c>
      <c r="R777">
        <f>IF($A777="","",IF($U777="Subscription","",IF($U777="Draw",$H777,0)))</f>
        <v/>
      </c>
      <c r="S777">
        <f>IF($A777="","",IF($U777="Subscription","",IF($U777="Disqualified",$H777,0)))</f>
        <v/>
      </c>
      <c r="T777">
        <f>IF($A777="","",IF($U777="Subscription","",IF($H777=0,IF($U777="Profit","N/A",0),IF($U777="Profit",$Q777/$H777,IF($U777="Disqualified",-1,0)))))</f>
        <v/>
      </c>
      <c r="U777" s="350">
        <f>IF($A777="","",IF(OR(LOWER($D777&amp;"")="n/a",ISNUMBER(SEARCH("subscription",LOWER($A777&amp;" "&amp;$M777&amp;""))),ISNUMBER(SEARCH("membership",LOWER($A777&amp;" "&amp;$M777&amp;"")))),"Subscription",IF(LOWER($L777&amp;"")="yes","Disqualified",IF($P777&gt;$H777,"Profit","Draw"))))</f>
        <v/>
      </c>
      <c r="V777">
        <f>IF(OR($A777="",$B777="",$C777="",$U777="Subscription"),"",IFERROR(ROUNDUP((IF(ISNUMBER($C777),$C777,DATEVALUE($C777))-IF(ISNUMBER($B777),$B777,DATEVALUE($B777)))/7,0),""))</f>
        <v/>
      </c>
      <c r="W777" s="352">
        <f>IF($U777="Subscription","",$Q777-$S777)</f>
        <v/>
      </c>
      <c r="X777">
        <f>IF(OR($A777="",$U777="Subscription",$J777="",$I777="",$J777=0,$I777=0,$I777&gt;$J777),"",$J777-$I777)</f>
        <v/>
      </c>
      <c r="Y777">
        <f>IF(OR($A777="",$U777="Subscription",$J777="",$J777=0,$X777=""),"",$X777/$J777)</f>
        <v/>
      </c>
    </row>
    <row r="778">
      <c r="B778" s="354" t="n"/>
      <c r="C778" s="354" t="n"/>
      <c r="E778" s="350" t="n"/>
      <c r="F778" s="350" t="n"/>
      <c r="G778" s="350" t="n"/>
      <c r="H778" s="350" t="n"/>
      <c r="I778" s="350" t="n"/>
      <c r="J778" s="352" t="n"/>
      <c r="M778" s="350" t="n"/>
      <c r="N778" s="350">
        <f>IF($A778="","",IF(OR(LOWER($D778&amp;"")="n/a",ISNUMBER(SEARCH("subscription",LOWER($A778&amp;" "&amp;$M778&amp;""))),ISNUMBER(SEARCH("membership",LOWER($A778&amp;" "&amp;$M778&amp;"")))),"",IF($G778="","",IF(ISNUMBER(SEARCH("non",LOWER($E778&amp;""))),$G778*0.85,$G778))))</f>
        <v/>
      </c>
      <c r="O778">
        <f>IF($A778="","",IF(OR(LOWER($D778&amp;"")="n/a",ISNUMBER(SEARCH("subscription",LOWER($A778&amp;" "&amp;$M778&amp;""))),ISNUMBER(SEARCH("membership",LOWER($A778&amp;" "&amp;$M778&amp;"")))),"",IF(OR($N778="",$I778="",$I778=0),"",$N778/$I778)))</f>
        <v/>
      </c>
      <c r="P778">
        <f>IF($A778="","",IF(OR(LOWER($D778&amp;"")="n/a",ISNUMBER(SEARCH("subscription",LOWER($A778&amp;" "&amp;$M778&amp;""))),ISNUMBER(SEARCH("membership",LOWER($A778&amp;" "&amp;$M778&amp;"")))),"",IF(LOWER($L778&amp;"")="yes",0,IF($K778&lt;&gt;"",$K778,IF($O778&lt;&gt;"",$O778,"")))))</f>
        <v/>
      </c>
      <c r="Q778">
        <f>IF($A778="","",IF($U778="Subscription","",IF($U778="Profit",$P778-$H778,0)))</f>
        <v/>
      </c>
      <c r="R778">
        <f>IF($A778="","",IF($U778="Subscription","",IF($U778="Draw",$H778,0)))</f>
        <v/>
      </c>
      <c r="S778">
        <f>IF($A778="","",IF($U778="Subscription","",IF($U778="Disqualified",$H778,0)))</f>
        <v/>
      </c>
      <c r="T778">
        <f>IF($A778="","",IF($U778="Subscription","",IF($H778=0,IF($U778="Profit","N/A",0),IF($U778="Profit",$Q778/$H778,IF($U778="Disqualified",-1,0)))))</f>
        <v/>
      </c>
      <c r="U778" s="350">
        <f>IF($A778="","",IF(OR(LOWER($D778&amp;"")="n/a",ISNUMBER(SEARCH("subscription",LOWER($A778&amp;" "&amp;$M778&amp;""))),ISNUMBER(SEARCH("membership",LOWER($A778&amp;" "&amp;$M778&amp;"")))),"Subscription",IF(LOWER($L778&amp;"")="yes","Disqualified",IF($P778&gt;$H778,"Profit","Draw"))))</f>
        <v/>
      </c>
      <c r="V778">
        <f>IF(OR($A778="",$B778="",$C778="",$U778="Subscription"),"",IFERROR(ROUNDUP((IF(ISNUMBER($C778),$C778,DATEVALUE($C778))-IF(ISNUMBER($B778),$B778,DATEVALUE($B778)))/7,0),""))</f>
        <v/>
      </c>
      <c r="W778" s="352">
        <f>IF($U778="Subscription","",$Q778-$S778)</f>
        <v/>
      </c>
      <c r="X778">
        <f>IF(OR($A778="",$U778="Subscription",$J778="",$I778="",$J778=0,$I778=0,$I778&gt;$J778),"",$J778-$I778)</f>
        <v/>
      </c>
      <c r="Y778">
        <f>IF(OR($A778="",$U778="Subscription",$J778="",$J778=0,$X778=""),"",$X778/$J778)</f>
        <v/>
      </c>
    </row>
    <row r="779">
      <c r="B779" s="354" t="n"/>
      <c r="C779" s="354" t="n"/>
      <c r="E779" s="350" t="n"/>
      <c r="F779" s="350" t="n"/>
      <c r="G779" s="350" t="n"/>
      <c r="H779" s="350" t="n"/>
      <c r="I779" s="350" t="n"/>
      <c r="J779" s="352" t="n"/>
      <c r="M779" s="350" t="n"/>
      <c r="N779" s="350">
        <f>IF($A779="","",IF(OR(LOWER($D779&amp;"")="n/a",ISNUMBER(SEARCH("subscription",LOWER($A779&amp;" "&amp;$M779&amp;""))),ISNUMBER(SEARCH("membership",LOWER($A779&amp;" "&amp;$M779&amp;"")))),"",IF($G779="","",IF(ISNUMBER(SEARCH("non",LOWER($E779&amp;""))),$G779*0.85,$G779))))</f>
        <v/>
      </c>
      <c r="O779">
        <f>IF($A779="","",IF(OR(LOWER($D779&amp;"")="n/a",ISNUMBER(SEARCH("subscription",LOWER($A779&amp;" "&amp;$M779&amp;""))),ISNUMBER(SEARCH("membership",LOWER($A779&amp;" "&amp;$M779&amp;"")))),"",IF(OR($N779="",$I779="",$I779=0),"",$N779/$I779)))</f>
        <v/>
      </c>
      <c r="P779">
        <f>IF($A779="","",IF(OR(LOWER($D779&amp;"")="n/a",ISNUMBER(SEARCH("subscription",LOWER($A779&amp;" "&amp;$M779&amp;""))),ISNUMBER(SEARCH("membership",LOWER($A779&amp;" "&amp;$M779&amp;"")))),"",IF(LOWER($L779&amp;"")="yes",0,IF($K779&lt;&gt;"",$K779,IF($O779&lt;&gt;"",$O779,"")))))</f>
        <v/>
      </c>
      <c r="Q779">
        <f>IF($A779="","",IF($U779="Subscription","",IF($U779="Profit",$P779-$H779,0)))</f>
        <v/>
      </c>
      <c r="R779">
        <f>IF($A779="","",IF($U779="Subscription","",IF($U779="Draw",$H779,0)))</f>
        <v/>
      </c>
      <c r="S779">
        <f>IF($A779="","",IF($U779="Subscription","",IF($U779="Disqualified",$H779,0)))</f>
        <v/>
      </c>
      <c r="T779">
        <f>IF($A779="","",IF($U779="Subscription","",IF($H779=0,IF($U779="Profit","N/A",0),IF($U779="Profit",$Q779/$H779,IF($U779="Disqualified",-1,0)))))</f>
        <v/>
      </c>
      <c r="U779" s="350">
        <f>IF($A779="","",IF(OR(LOWER($D779&amp;"")="n/a",ISNUMBER(SEARCH("subscription",LOWER($A779&amp;" "&amp;$M779&amp;""))),ISNUMBER(SEARCH("membership",LOWER($A779&amp;" "&amp;$M779&amp;"")))),"Subscription",IF(LOWER($L779&amp;"")="yes","Disqualified",IF($P779&gt;$H779,"Profit","Draw"))))</f>
        <v/>
      </c>
      <c r="V779">
        <f>IF(OR($A779="",$B779="",$C779="",$U779="Subscription"),"",IFERROR(ROUNDUP((IF(ISNUMBER($C779),$C779,DATEVALUE($C779))-IF(ISNUMBER($B779),$B779,DATEVALUE($B779)))/7,0),""))</f>
        <v/>
      </c>
      <c r="W779" s="352">
        <f>IF($U779="Subscription","",$Q779-$S779)</f>
        <v/>
      </c>
      <c r="X779">
        <f>IF(OR($A779="",$U779="Subscription",$J779="",$I779="",$J779=0,$I779=0,$I779&gt;$J779),"",$J779-$I779)</f>
        <v/>
      </c>
      <c r="Y779">
        <f>IF(OR($A779="",$U779="Subscription",$J779="",$J779=0,$X779=""),"",$X779/$J779)</f>
        <v/>
      </c>
    </row>
    <row r="780">
      <c r="B780" s="354" t="n"/>
      <c r="C780" s="354" t="n"/>
      <c r="E780" s="350" t="n"/>
      <c r="F780" s="350" t="n"/>
      <c r="G780" s="350" t="n"/>
      <c r="H780" s="350" t="n"/>
      <c r="I780" s="350" t="n"/>
      <c r="J780" s="352" t="n"/>
      <c r="M780" s="350" t="n"/>
      <c r="N780" s="350">
        <f>IF($A780="","",IF(OR(LOWER($D780&amp;"")="n/a",ISNUMBER(SEARCH("subscription",LOWER($A780&amp;" "&amp;$M780&amp;""))),ISNUMBER(SEARCH("membership",LOWER($A780&amp;" "&amp;$M780&amp;"")))),"",IF($G780="","",IF(ISNUMBER(SEARCH("non",LOWER($E780&amp;""))),$G780*0.85,$G780))))</f>
        <v/>
      </c>
      <c r="O780">
        <f>IF($A780="","",IF(OR(LOWER($D780&amp;"")="n/a",ISNUMBER(SEARCH("subscription",LOWER($A780&amp;" "&amp;$M780&amp;""))),ISNUMBER(SEARCH("membership",LOWER($A780&amp;" "&amp;$M780&amp;"")))),"",IF(OR($N780="",$I780="",$I780=0),"",$N780/$I780)))</f>
        <v/>
      </c>
      <c r="P780">
        <f>IF($A780="","",IF(OR(LOWER($D780&amp;"")="n/a",ISNUMBER(SEARCH("subscription",LOWER($A780&amp;" "&amp;$M780&amp;""))),ISNUMBER(SEARCH("membership",LOWER($A780&amp;" "&amp;$M780&amp;"")))),"",IF(LOWER($L780&amp;"")="yes",0,IF($K780&lt;&gt;"",$K780,IF($O780&lt;&gt;"",$O780,"")))))</f>
        <v/>
      </c>
      <c r="Q780">
        <f>IF($A780="","",IF($U780="Subscription","",IF($U780="Profit",$P780-$H780,0)))</f>
        <v/>
      </c>
      <c r="R780">
        <f>IF($A780="","",IF($U780="Subscription","",IF($U780="Draw",$H780,0)))</f>
        <v/>
      </c>
      <c r="S780">
        <f>IF($A780="","",IF($U780="Subscription","",IF($U780="Disqualified",$H780,0)))</f>
        <v/>
      </c>
      <c r="T780">
        <f>IF($A780="","",IF($U780="Subscription","",IF($H780=0,IF($U780="Profit","N/A",0),IF($U780="Profit",$Q780/$H780,IF($U780="Disqualified",-1,0)))))</f>
        <v/>
      </c>
      <c r="U780" s="350">
        <f>IF($A780="","",IF(OR(LOWER($D780&amp;"")="n/a",ISNUMBER(SEARCH("subscription",LOWER($A780&amp;" "&amp;$M780&amp;""))),ISNUMBER(SEARCH("membership",LOWER($A780&amp;" "&amp;$M780&amp;"")))),"Subscription",IF(LOWER($L780&amp;"")="yes","Disqualified",IF($P780&gt;$H780,"Profit","Draw"))))</f>
        <v/>
      </c>
      <c r="V780">
        <f>IF(OR($A780="",$B780="",$C780="",$U780="Subscription"),"",IFERROR(ROUNDUP((IF(ISNUMBER($C780),$C780,DATEVALUE($C780))-IF(ISNUMBER($B780),$B780,DATEVALUE($B780)))/7,0),""))</f>
        <v/>
      </c>
      <c r="W780" s="352">
        <f>IF($U780="Subscription","",$Q780-$S780)</f>
        <v/>
      </c>
      <c r="X780">
        <f>IF(OR($A780="",$U780="Subscription",$J780="",$I780="",$J780=0,$I780=0,$I780&gt;$J780),"",$J780-$I780)</f>
        <v/>
      </c>
      <c r="Y780">
        <f>IF(OR($A780="",$U780="Subscription",$J780="",$J780=0,$X780=""),"",$X780/$J780)</f>
        <v/>
      </c>
    </row>
    <row r="781">
      <c r="B781" s="354" t="n"/>
      <c r="C781" s="354" t="n"/>
      <c r="E781" s="350" t="n"/>
      <c r="F781" s="350" t="n"/>
      <c r="G781" s="350" t="n"/>
      <c r="H781" s="350" t="n"/>
      <c r="I781" s="350" t="n"/>
      <c r="J781" s="352" t="n"/>
      <c r="M781" s="350" t="n"/>
      <c r="N781" s="350">
        <f>IF($A781="","",IF(OR(LOWER($D781&amp;"")="n/a",ISNUMBER(SEARCH("subscription",LOWER($A781&amp;" "&amp;$M781&amp;""))),ISNUMBER(SEARCH("membership",LOWER($A781&amp;" "&amp;$M781&amp;"")))),"",IF($G781="","",IF(ISNUMBER(SEARCH("non",LOWER($E781&amp;""))),$G781*0.85,$G781))))</f>
        <v/>
      </c>
      <c r="O781">
        <f>IF($A781="","",IF(OR(LOWER($D781&amp;"")="n/a",ISNUMBER(SEARCH("subscription",LOWER($A781&amp;" "&amp;$M781&amp;""))),ISNUMBER(SEARCH("membership",LOWER($A781&amp;" "&amp;$M781&amp;"")))),"",IF(OR($N781="",$I781="",$I781=0),"",$N781/$I781)))</f>
        <v/>
      </c>
      <c r="P781">
        <f>IF($A781="","",IF(OR(LOWER($D781&amp;"")="n/a",ISNUMBER(SEARCH("subscription",LOWER($A781&amp;" "&amp;$M781&amp;""))),ISNUMBER(SEARCH("membership",LOWER($A781&amp;" "&amp;$M781&amp;"")))),"",IF(LOWER($L781&amp;"")="yes",0,IF($K781&lt;&gt;"",$K781,IF($O781&lt;&gt;"",$O781,"")))))</f>
        <v/>
      </c>
      <c r="Q781">
        <f>IF($A781="","",IF($U781="Subscription","",IF($U781="Profit",$P781-$H781,0)))</f>
        <v/>
      </c>
      <c r="R781">
        <f>IF($A781="","",IF($U781="Subscription","",IF($U781="Draw",$H781,0)))</f>
        <v/>
      </c>
      <c r="S781">
        <f>IF($A781="","",IF($U781="Subscription","",IF($U781="Disqualified",$H781,0)))</f>
        <v/>
      </c>
      <c r="T781">
        <f>IF($A781="","",IF($U781="Subscription","",IF($H781=0,IF($U781="Profit","N/A",0),IF($U781="Profit",$Q781/$H781,IF($U781="Disqualified",-1,0)))))</f>
        <v/>
      </c>
      <c r="U781" s="350">
        <f>IF($A781="","",IF(OR(LOWER($D781&amp;"")="n/a",ISNUMBER(SEARCH("subscription",LOWER($A781&amp;" "&amp;$M781&amp;""))),ISNUMBER(SEARCH("membership",LOWER($A781&amp;" "&amp;$M781&amp;"")))),"Subscription",IF(LOWER($L781&amp;"")="yes","Disqualified",IF($P781&gt;$H781,"Profit","Draw"))))</f>
        <v/>
      </c>
      <c r="V781">
        <f>IF(OR($A781="",$B781="",$C781="",$U781="Subscription"),"",IFERROR(ROUNDUP((IF(ISNUMBER($C781),$C781,DATEVALUE($C781))-IF(ISNUMBER($B781),$B781,DATEVALUE($B781)))/7,0),""))</f>
        <v/>
      </c>
      <c r="W781" s="352">
        <f>IF($U781="Subscription","",$Q781-$S781)</f>
        <v/>
      </c>
      <c r="X781">
        <f>IF(OR($A781="",$U781="Subscription",$J781="",$I781="",$J781=0,$I781=0,$I781&gt;$J781),"",$J781-$I781)</f>
        <v/>
      </c>
      <c r="Y781">
        <f>IF(OR($A781="",$U781="Subscription",$J781="",$J781=0,$X781=""),"",$X781/$J781)</f>
        <v/>
      </c>
    </row>
    <row r="782">
      <c r="B782" s="354" t="n"/>
      <c r="C782" s="354" t="n"/>
      <c r="E782" s="350" t="n"/>
      <c r="F782" s="350" t="n"/>
      <c r="G782" s="350" t="n"/>
      <c r="H782" s="350" t="n"/>
      <c r="I782" s="350" t="n"/>
      <c r="J782" s="352" t="n"/>
      <c r="M782" s="350" t="n"/>
      <c r="N782" s="350">
        <f>IF($A782="","",IF(OR(LOWER($D782&amp;"")="n/a",ISNUMBER(SEARCH("subscription",LOWER($A782&amp;" "&amp;$M782&amp;""))),ISNUMBER(SEARCH("membership",LOWER($A782&amp;" "&amp;$M782&amp;"")))),"",IF($G782="","",IF(ISNUMBER(SEARCH("non",LOWER($E782&amp;""))),$G782*0.85,$G782))))</f>
        <v/>
      </c>
      <c r="O782">
        <f>IF($A782="","",IF(OR(LOWER($D782&amp;"")="n/a",ISNUMBER(SEARCH("subscription",LOWER($A782&amp;" "&amp;$M782&amp;""))),ISNUMBER(SEARCH("membership",LOWER($A782&amp;" "&amp;$M782&amp;"")))),"",IF(OR($N782="",$I782="",$I782=0),"",$N782/$I782)))</f>
        <v/>
      </c>
      <c r="P782">
        <f>IF($A782="","",IF(OR(LOWER($D782&amp;"")="n/a",ISNUMBER(SEARCH("subscription",LOWER($A782&amp;" "&amp;$M782&amp;""))),ISNUMBER(SEARCH("membership",LOWER($A782&amp;" "&amp;$M782&amp;"")))),"",IF(LOWER($L782&amp;"")="yes",0,IF($K782&lt;&gt;"",$K782,IF($O782&lt;&gt;"",$O782,"")))))</f>
        <v/>
      </c>
      <c r="Q782">
        <f>IF($A782="","",IF($U782="Subscription","",IF($U782="Profit",$P782-$H782,0)))</f>
        <v/>
      </c>
      <c r="R782">
        <f>IF($A782="","",IF($U782="Subscription","",IF($U782="Draw",$H782,0)))</f>
        <v/>
      </c>
      <c r="S782">
        <f>IF($A782="","",IF($U782="Subscription","",IF($U782="Disqualified",$H782,0)))</f>
        <v/>
      </c>
      <c r="T782">
        <f>IF($A782="","",IF($U782="Subscription","",IF($H782=0,IF($U782="Profit","N/A",0),IF($U782="Profit",$Q782/$H782,IF($U782="Disqualified",-1,0)))))</f>
        <v/>
      </c>
      <c r="U782" s="350">
        <f>IF($A782="","",IF(OR(LOWER($D782&amp;"")="n/a",ISNUMBER(SEARCH("subscription",LOWER($A782&amp;" "&amp;$M782&amp;""))),ISNUMBER(SEARCH("membership",LOWER($A782&amp;" "&amp;$M782&amp;"")))),"Subscription",IF(LOWER($L782&amp;"")="yes","Disqualified",IF($P782&gt;$H782,"Profit","Draw"))))</f>
        <v/>
      </c>
      <c r="V782">
        <f>IF(OR($A782="",$B782="",$C782="",$U782="Subscription"),"",IFERROR(ROUNDUP((IF(ISNUMBER($C782),$C782,DATEVALUE($C782))-IF(ISNUMBER($B782),$B782,DATEVALUE($B782)))/7,0),""))</f>
        <v/>
      </c>
      <c r="W782" s="352">
        <f>IF($U782="Subscription","",$Q782-$S782)</f>
        <v/>
      </c>
      <c r="X782">
        <f>IF(OR($A782="",$U782="Subscription",$J782="",$I782="",$J782=0,$I782=0,$I782&gt;$J782),"",$J782-$I782)</f>
        <v/>
      </c>
      <c r="Y782">
        <f>IF(OR($A782="",$U782="Subscription",$J782="",$J782=0,$X782=""),"",$X782/$J782)</f>
        <v/>
      </c>
    </row>
    <row r="783">
      <c r="B783" s="354" t="n"/>
      <c r="C783" s="354" t="n"/>
      <c r="E783" s="350" t="n"/>
      <c r="F783" s="350" t="n"/>
      <c r="G783" s="350" t="n"/>
      <c r="H783" s="350" t="n"/>
      <c r="I783" s="350" t="n"/>
      <c r="J783" s="352" t="n"/>
      <c r="M783" s="350" t="n"/>
      <c r="N783" s="350">
        <f>IF($A783="","",IF(OR(LOWER($D783&amp;"")="n/a",ISNUMBER(SEARCH("subscription",LOWER($A783&amp;" "&amp;$M783&amp;""))),ISNUMBER(SEARCH("membership",LOWER($A783&amp;" "&amp;$M783&amp;"")))),"",IF($G783="","",IF(ISNUMBER(SEARCH("non",LOWER($E783&amp;""))),$G783*0.85,$G783))))</f>
        <v/>
      </c>
      <c r="O783">
        <f>IF($A783="","",IF(OR(LOWER($D783&amp;"")="n/a",ISNUMBER(SEARCH("subscription",LOWER($A783&amp;" "&amp;$M783&amp;""))),ISNUMBER(SEARCH("membership",LOWER($A783&amp;" "&amp;$M783&amp;"")))),"",IF(OR($N783="",$I783="",$I783=0),"",$N783/$I783)))</f>
        <v/>
      </c>
      <c r="P783">
        <f>IF($A783="","",IF(OR(LOWER($D783&amp;"")="n/a",ISNUMBER(SEARCH("subscription",LOWER($A783&amp;" "&amp;$M783&amp;""))),ISNUMBER(SEARCH("membership",LOWER($A783&amp;" "&amp;$M783&amp;"")))),"",IF(LOWER($L783&amp;"")="yes",0,IF($K783&lt;&gt;"",$K783,IF($O783&lt;&gt;"",$O783,"")))))</f>
        <v/>
      </c>
      <c r="Q783">
        <f>IF($A783="","",IF($U783="Subscription","",IF($U783="Profit",$P783-$H783,0)))</f>
        <v/>
      </c>
      <c r="R783">
        <f>IF($A783="","",IF($U783="Subscription","",IF($U783="Draw",$H783,0)))</f>
        <v/>
      </c>
      <c r="S783">
        <f>IF($A783="","",IF($U783="Subscription","",IF($U783="Disqualified",$H783,0)))</f>
        <v/>
      </c>
      <c r="T783">
        <f>IF($A783="","",IF($U783="Subscription","",IF($H783=0,IF($U783="Profit","N/A",0),IF($U783="Profit",$Q783/$H783,IF($U783="Disqualified",-1,0)))))</f>
        <v/>
      </c>
      <c r="U783" s="350">
        <f>IF($A783="","",IF(OR(LOWER($D783&amp;"")="n/a",ISNUMBER(SEARCH("subscription",LOWER($A783&amp;" "&amp;$M783&amp;""))),ISNUMBER(SEARCH("membership",LOWER($A783&amp;" "&amp;$M783&amp;"")))),"Subscription",IF(LOWER($L783&amp;"")="yes","Disqualified",IF($P783&gt;$H783,"Profit","Draw"))))</f>
        <v/>
      </c>
      <c r="V783">
        <f>IF(OR($A783="",$B783="",$C783="",$U783="Subscription"),"",IFERROR(ROUNDUP((IF(ISNUMBER($C783),$C783,DATEVALUE($C783))-IF(ISNUMBER($B783),$B783,DATEVALUE($B783)))/7,0),""))</f>
        <v/>
      </c>
      <c r="W783" s="352">
        <f>IF($U783="Subscription","",$Q783-$S783)</f>
        <v/>
      </c>
      <c r="X783">
        <f>IF(OR($A783="",$U783="Subscription",$J783="",$I783="",$J783=0,$I783=0,$I783&gt;$J783),"",$J783-$I783)</f>
        <v/>
      </c>
      <c r="Y783">
        <f>IF(OR($A783="",$U783="Subscription",$J783="",$J783=0,$X783=""),"",$X783/$J783)</f>
        <v/>
      </c>
    </row>
    <row r="784">
      <c r="B784" s="354" t="n"/>
      <c r="C784" s="354" t="n"/>
      <c r="E784" s="350" t="n"/>
      <c r="F784" s="350" t="n"/>
      <c r="G784" s="350" t="n"/>
      <c r="H784" s="350" t="n"/>
      <c r="I784" s="350" t="n"/>
      <c r="J784" s="352" t="n"/>
      <c r="M784" s="350" t="n"/>
      <c r="N784" s="350">
        <f>IF($A784="","",IF(OR(LOWER($D784&amp;"")="n/a",ISNUMBER(SEARCH("subscription",LOWER($A784&amp;" "&amp;$M784&amp;""))),ISNUMBER(SEARCH("membership",LOWER($A784&amp;" "&amp;$M784&amp;"")))),"",IF($G784="","",IF(ISNUMBER(SEARCH("non",LOWER($E784&amp;""))),$G784*0.85,$G784))))</f>
        <v/>
      </c>
      <c r="O784">
        <f>IF($A784="","",IF(OR(LOWER($D784&amp;"")="n/a",ISNUMBER(SEARCH("subscription",LOWER($A784&amp;" "&amp;$M784&amp;""))),ISNUMBER(SEARCH("membership",LOWER($A784&amp;" "&amp;$M784&amp;"")))),"",IF(OR($N784="",$I784="",$I784=0),"",$N784/$I784)))</f>
        <v/>
      </c>
      <c r="P784">
        <f>IF($A784="","",IF(OR(LOWER($D784&amp;"")="n/a",ISNUMBER(SEARCH("subscription",LOWER($A784&amp;" "&amp;$M784&amp;""))),ISNUMBER(SEARCH("membership",LOWER($A784&amp;" "&amp;$M784&amp;"")))),"",IF(LOWER($L784&amp;"")="yes",0,IF($K784&lt;&gt;"",$K784,IF($O784&lt;&gt;"",$O784,"")))))</f>
        <v/>
      </c>
      <c r="Q784">
        <f>IF($A784="","",IF($U784="Subscription","",IF($U784="Profit",$P784-$H784,0)))</f>
        <v/>
      </c>
      <c r="R784">
        <f>IF($A784="","",IF($U784="Subscription","",IF($U784="Draw",$H784,0)))</f>
        <v/>
      </c>
      <c r="S784">
        <f>IF($A784="","",IF($U784="Subscription","",IF($U784="Disqualified",$H784,0)))</f>
        <v/>
      </c>
      <c r="T784">
        <f>IF($A784="","",IF($U784="Subscription","",IF($H784=0,IF($U784="Profit","N/A",0),IF($U784="Profit",$Q784/$H784,IF($U784="Disqualified",-1,0)))))</f>
        <v/>
      </c>
      <c r="U784" s="350">
        <f>IF($A784="","",IF(OR(LOWER($D784&amp;"")="n/a",ISNUMBER(SEARCH("subscription",LOWER($A784&amp;" "&amp;$M784&amp;""))),ISNUMBER(SEARCH("membership",LOWER($A784&amp;" "&amp;$M784&amp;"")))),"Subscription",IF(LOWER($L784&amp;"")="yes","Disqualified",IF($P784&gt;$H784,"Profit","Draw"))))</f>
        <v/>
      </c>
      <c r="V784">
        <f>IF(OR($A784="",$B784="",$C784="",$U784="Subscription"),"",IFERROR(ROUNDUP((IF(ISNUMBER($C784),$C784,DATEVALUE($C784))-IF(ISNUMBER($B784),$B784,DATEVALUE($B784)))/7,0),""))</f>
        <v/>
      </c>
      <c r="W784" s="352">
        <f>IF($U784="Subscription","",$Q784-$S784)</f>
        <v/>
      </c>
      <c r="X784">
        <f>IF(OR($A784="",$U784="Subscription",$J784="",$I784="",$J784=0,$I784=0,$I784&gt;$J784),"",$J784-$I784)</f>
        <v/>
      </c>
      <c r="Y784">
        <f>IF(OR($A784="",$U784="Subscription",$J784="",$J784=0,$X784=""),"",$X784/$J784)</f>
        <v/>
      </c>
    </row>
    <row r="785">
      <c r="B785" s="354" t="n"/>
      <c r="C785" s="354" t="n"/>
      <c r="E785" s="350" t="n"/>
      <c r="F785" s="350" t="n"/>
      <c r="G785" s="350" t="n"/>
      <c r="H785" s="350" t="n"/>
      <c r="I785" s="350" t="n"/>
      <c r="J785" s="352" t="n"/>
      <c r="M785" s="350" t="n"/>
      <c r="N785" s="350">
        <f>IF($A785="","",IF(OR(LOWER($D785&amp;"")="n/a",ISNUMBER(SEARCH("subscription",LOWER($A785&amp;" "&amp;$M785&amp;""))),ISNUMBER(SEARCH("membership",LOWER($A785&amp;" "&amp;$M785&amp;"")))),"",IF($G785="","",IF(ISNUMBER(SEARCH("non",LOWER($E785&amp;""))),$G785*0.85,$G785))))</f>
        <v/>
      </c>
      <c r="O785">
        <f>IF($A785="","",IF(OR(LOWER($D785&amp;"")="n/a",ISNUMBER(SEARCH("subscription",LOWER($A785&amp;" "&amp;$M785&amp;""))),ISNUMBER(SEARCH("membership",LOWER($A785&amp;" "&amp;$M785&amp;"")))),"",IF(OR($N785="",$I785="",$I785=0),"",$N785/$I785)))</f>
        <v/>
      </c>
      <c r="P785">
        <f>IF($A785="","",IF(OR(LOWER($D785&amp;"")="n/a",ISNUMBER(SEARCH("subscription",LOWER($A785&amp;" "&amp;$M785&amp;""))),ISNUMBER(SEARCH("membership",LOWER($A785&amp;" "&amp;$M785&amp;"")))),"",IF(LOWER($L785&amp;"")="yes",0,IF($K785&lt;&gt;"",$K785,IF($O785&lt;&gt;"",$O785,"")))))</f>
        <v/>
      </c>
      <c r="Q785">
        <f>IF($A785="","",IF($U785="Subscription","",IF($U785="Profit",$P785-$H785,0)))</f>
        <v/>
      </c>
      <c r="R785">
        <f>IF($A785="","",IF($U785="Subscription","",IF($U785="Draw",$H785,0)))</f>
        <v/>
      </c>
      <c r="S785">
        <f>IF($A785="","",IF($U785="Subscription","",IF($U785="Disqualified",$H785,0)))</f>
        <v/>
      </c>
      <c r="T785">
        <f>IF($A785="","",IF($U785="Subscription","",IF($H785=0,IF($U785="Profit","N/A",0),IF($U785="Profit",$Q785/$H785,IF($U785="Disqualified",-1,0)))))</f>
        <v/>
      </c>
      <c r="U785" s="350">
        <f>IF($A785="","",IF(OR(LOWER($D785&amp;"")="n/a",ISNUMBER(SEARCH("subscription",LOWER($A785&amp;" "&amp;$M785&amp;""))),ISNUMBER(SEARCH("membership",LOWER($A785&amp;" "&amp;$M785&amp;"")))),"Subscription",IF(LOWER($L785&amp;"")="yes","Disqualified",IF($P785&gt;$H785,"Profit","Draw"))))</f>
        <v/>
      </c>
      <c r="V785">
        <f>IF(OR($A785="",$B785="",$C785="",$U785="Subscription"),"",IFERROR(ROUNDUP((IF(ISNUMBER($C785),$C785,DATEVALUE($C785))-IF(ISNUMBER($B785),$B785,DATEVALUE($B785)))/7,0),""))</f>
        <v/>
      </c>
      <c r="W785" s="352">
        <f>IF($U785="Subscription","",$Q785-$S785)</f>
        <v/>
      </c>
      <c r="X785">
        <f>IF(OR($A785="",$U785="Subscription",$J785="",$I785="",$J785=0,$I785=0,$I785&gt;$J785),"",$J785-$I785)</f>
        <v/>
      </c>
      <c r="Y785">
        <f>IF(OR($A785="",$U785="Subscription",$J785="",$J785=0,$X785=""),"",$X785/$J785)</f>
        <v/>
      </c>
    </row>
    <row r="786">
      <c r="B786" s="354" t="n"/>
      <c r="C786" s="354" t="n"/>
      <c r="E786" s="350" t="n"/>
      <c r="F786" s="350" t="n"/>
      <c r="G786" s="350" t="n"/>
      <c r="H786" s="350" t="n"/>
      <c r="I786" s="350" t="n"/>
      <c r="J786" s="352" t="n"/>
      <c r="M786" s="350" t="n"/>
      <c r="N786" s="350">
        <f>IF($A786="","",IF(OR(LOWER($D786&amp;"")="n/a",ISNUMBER(SEARCH("subscription",LOWER($A786&amp;" "&amp;$M786&amp;""))),ISNUMBER(SEARCH("membership",LOWER($A786&amp;" "&amp;$M786&amp;"")))),"",IF($G786="","",IF(ISNUMBER(SEARCH("non",LOWER($E786&amp;""))),$G786*0.85,$G786))))</f>
        <v/>
      </c>
      <c r="O786">
        <f>IF($A786="","",IF(OR(LOWER($D786&amp;"")="n/a",ISNUMBER(SEARCH("subscription",LOWER($A786&amp;" "&amp;$M786&amp;""))),ISNUMBER(SEARCH("membership",LOWER($A786&amp;" "&amp;$M786&amp;"")))),"",IF(OR($N786="",$I786="",$I786=0),"",$N786/$I786)))</f>
        <v/>
      </c>
      <c r="P786">
        <f>IF($A786="","",IF(OR(LOWER($D786&amp;"")="n/a",ISNUMBER(SEARCH("subscription",LOWER($A786&amp;" "&amp;$M786&amp;""))),ISNUMBER(SEARCH("membership",LOWER($A786&amp;" "&amp;$M786&amp;"")))),"",IF(LOWER($L786&amp;"")="yes",0,IF($K786&lt;&gt;"",$K786,IF($O786&lt;&gt;"",$O786,"")))))</f>
        <v/>
      </c>
      <c r="Q786">
        <f>IF($A786="","",IF($U786="Subscription","",IF($U786="Profit",$P786-$H786,0)))</f>
        <v/>
      </c>
      <c r="R786">
        <f>IF($A786="","",IF($U786="Subscription","",IF($U786="Draw",$H786,0)))</f>
        <v/>
      </c>
      <c r="S786">
        <f>IF($A786="","",IF($U786="Subscription","",IF($U786="Disqualified",$H786,0)))</f>
        <v/>
      </c>
      <c r="T786">
        <f>IF($A786="","",IF($U786="Subscription","",IF($H786=0,IF($U786="Profit","N/A",0),IF($U786="Profit",$Q786/$H786,IF($U786="Disqualified",-1,0)))))</f>
        <v/>
      </c>
      <c r="U786" s="350">
        <f>IF($A786="","",IF(OR(LOWER($D786&amp;"")="n/a",ISNUMBER(SEARCH("subscription",LOWER($A786&amp;" "&amp;$M786&amp;""))),ISNUMBER(SEARCH("membership",LOWER($A786&amp;" "&amp;$M786&amp;"")))),"Subscription",IF(LOWER($L786&amp;"")="yes","Disqualified",IF($P786&gt;$H786,"Profit","Draw"))))</f>
        <v/>
      </c>
      <c r="V786">
        <f>IF(OR($A786="",$B786="",$C786="",$U786="Subscription"),"",IFERROR(ROUNDUP((IF(ISNUMBER($C786),$C786,DATEVALUE($C786))-IF(ISNUMBER($B786),$B786,DATEVALUE($B786)))/7,0),""))</f>
        <v/>
      </c>
      <c r="W786" s="352">
        <f>IF($U786="Subscription","",$Q786-$S786)</f>
        <v/>
      </c>
      <c r="X786">
        <f>IF(OR($A786="",$U786="Subscription",$J786="",$I786="",$J786=0,$I786=0,$I786&gt;$J786),"",$J786-$I786)</f>
        <v/>
      </c>
      <c r="Y786">
        <f>IF(OR($A786="",$U786="Subscription",$J786="",$J786=0,$X786=""),"",$X786/$J786)</f>
        <v/>
      </c>
    </row>
    <row r="787">
      <c r="B787" s="354" t="n"/>
      <c r="C787" s="354" t="n"/>
      <c r="E787" s="350" t="n"/>
      <c r="F787" s="350" t="n"/>
      <c r="G787" s="350" t="n"/>
      <c r="H787" s="350" t="n"/>
      <c r="I787" s="350" t="n"/>
      <c r="J787" s="352" t="n"/>
      <c r="M787" s="350" t="n"/>
      <c r="N787" s="350">
        <f>IF($A787="","",IF(OR(LOWER($D787&amp;"")="n/a",ISNUMBER(SEARCH("subscription",LOWER($A787&amp;" "&amp;$M787&amp;""))),ISNUMBER(SEARCH("membership",LOWER($A787&amp;" "&amp;$M787&amp;"")))),"",IF($G787="","",IF(ISNUMBER(SEARCH("non",LOWER($E787&amp;""))),$G787*0.85,$G787))))</f>
        <v/>
      </c>
      <c r="O787">
        <f>IF($A787="","",IF(OR(LOWER($D787&amp;"")="n/a",ISNUMBER(SEARCH("subscription",LOWER($A787&amp;" "&amp;$M787&amp;""))),ISNUMBER(SEARCH("membership",LOWER($A787&amp;" "&amp;$M787&amp;"")))),"",IF(OR($N787="",$I787="",$I787=0),"",$N787/$I787)))</f>
        <v/>
      </c>
      <c r="P787">
        <f>IF($A787="","",IF(OR(LOWER($D787&amp;"")="n/a",ISNUMBER(SEARCH("subscription",LOWER($A787&amp;" "&amp;$M787&amp;""))),ISNUMBER(SEARCH("membership",LOWER($A787&amp;" "&amp;$M787&amp;"")))),"",IF(LOWER($L787&amp;"")="yes",0,IF($K787&lt;&gt;"",$K787,IF($O787&lt;&gt;"",$O787,"")))))</f>
        <v/>
      </c>
      <c r="Q787">
        <f>IF($A787="","",IF($U787="Subscription","",IF($U787="Profit",$P787-$H787,0)))</f>
        <v/>
      </c>
      <c r="R787">
        <f>IF($A787="","",IF($U787="Subscription","",IF($U787="Draw",$H787,0)))</f>
        <v/>
      </c>
      <c r="S787">
        <f>IF($A787="","",IF($U787="Subscription","",IF($U787="Disqualified",$H787,0)))</f>
        <v/>
      </c>
      <c r="T787">
        <f>IF($A787="","",IF($U787="Subscription","",IF($H787=0,IF($U787="Profit","N/A",0),IF($U787="Profit",$Q787/$H787,IF($U787="Disqualified",-1,0)))))</f>
        <v/>
      </c>
      <c r="U787" s="350">
        <f>IF($A787="","",IF(OR(LOWER($D787&amp;"")="n/a",ISNUMBER(SEARCH("subscription",LOWER($A787&amp;" "&amp;$M787&amp;""))),ISNUMBER(SEARCH("membership",LOWER($A787&amp;" "&amp;$M787&amp;"")))),"Subscription",IF(LOWER($L787&amp;"")="yes","Disqualified",IF($P787&gt;$H787,"Profit","Draw"))))</f>
        <v/>
      </c>
      <c r="V787">
        <f>IF(OR($A787="",$B787="",$C787="",$U787="Subscription"),"",IFERROR(ROUNDUP((IF(ISNUMBER($C787),$C787,DATEVALUE($C787))-IF(ISNUMBER($B787),$B787,DATEVALUE($B787)))/7,0),""))</f>
        <v/>
      </c>
      <c r="W787" s="352">
        <f>IF($U787="Subscription","",$Q787-$S787)</f>
        <v/>
      </c>
      <c r="X787">
        <f>IF(OR($A787="",$U787="Subscription",$J787="",$I787="",$J787=0,$I787=0,$I787&gt;$J787),"",$J787-$I787)</f>
        <v/>
      </c>
      <c r="Y787">
        <f>IF(OR($A787="",$U787="Subscription",$J787="",$J787=0,$X787=""),"",$X787/$J787)</f>
        <v/>
      </c>
    </row>
    <row r="788">
      <c r="B788" s="354" t="n"/>
      <c r="C788" s="354" t="n"/>
      <c r="E788" s="350" t="n"/>
      <c r="F788" s="350" t="n"/>
      <c r="G788" s="350" t="n"/>
      <c r="H788" s="350" t="n"/>
      <c r="I788" s="350" t="n"/>
      <c r="J788" s="352" t="n"/>
      <c r="M788" s="350" t="n"/>
      <c r="N788" s="350">
        <f>IF($A788="","",IF(OR(LOWER($D788&amp;"")="n/a",ISNUMBER(SEARCH("subscription",LOWER($A788&amp;" "&amp;$M788&amp;""))),ISNUMBER(SEARCH("membership",LOWER($A788&amp;" "&amp;$M788&amp;"")))),"",IF($G788="","",IF(ISNUMBER(SEARCH("non",LOWER($E788&amp;""))),$G788*0.85,$G788))))</f>
        <v/>
      </c>
      <c r="O788">
        <f>IF($A788="","",IF(OR(LOWER($D788&amp;"")="n/a",ISNUMBER(SEARCH("subscription",LOWER($A788&amp;" "&amp;$M788&amp;""))),ISNUMBER(SEARCH("membership",LOWER($A788&amp;" "&amp;$M788&amp;"")))),"",IF(OR($N788="",$I788="",$I788=0),"",$N788/$I788)))</f>
        <v/>
      </c>
      <c r="P788">
        <f>IF($A788="","",IF(OR(LOWER($D788&amp;"")="n/a",ISNUMBER(SEARCH("subscription",LOWER($A788&amp;" "&amp;$M788&amp;""))),ISNUMBER(SEARCH("membership",LOWER($A788&amp;" "&amp;$M788&amp;"")))),"",IF(LOWER($L788&amp;"")="yes",0,IF($K788&lt;&gt;"",$K788,IF($O788&lt;&gt;"",$O788,"")))))</f>
        <v/>
      </c>
      <c r="Q788">
        <f>IF($A788="","",IF($U788="Subscription","",IF($U788="Profit",$P788-$H788,0)))</f>
        <v/>
      </c>
      <c r="R788">
        <f>IF($A788="","",IF($U788="Subscription","",IF($U788="Draw",$H788,0)))</f>
        <v/>
      </c>
      <c r="S788">
        <f>IF($A788="","",IF($U788="Subscription","",IF($U788="Disqualified",$H788,0)))</f>
        <v/>
      </c>
      <c r="T788">
        <f>IF($A788="","",IF($U788="Subscription","",IF($H788=0,IF($U788="Profit","N/A",0),IF($U788="Profit",$Q788/$H788,IF($U788="Disqualified",-1,0)))))</f>
        <v/>
      </c>
      <c r="U788" s="350">
        <f>IF($A788="","",IF(OR(LOWER($D788&amp;"")="n/a",ISNUMBER(SEARCH("subscription",LOWER($A788&amp;" "&amp;$M788&amp;""))),ISNUMBER(SEARCH("membership",LOWER($A788&amp;" "&amp;$M788&amp;"")))),"Subscription",IF(LOWER($L788&amp;"")="yes","Disqualified",IF($P788&gt;$H788,"Profit","Draw"))))</f>
        <v/>
      </c>
      <c r="V788">
        <f>IF(OR($A788="",$B788="",$C788="",$U788="Subscription"),"",IFERROR(ROUNDUP((IF(ISNUMBER($C788),$C788,DATEVALUE($C788))-IF(ISNUMBER($B788),$B788,DATEVALUE($B788)))/7,0),""))</f>
        <v/>
      </c>
      <c r="W788" s="352">
        <f>IF($U788="Subscription","",$Q788-$S788)</f>
        <v/>
      </c>
      <c r="X788">
        <f>IF(OR($A788="",$U788="Subscription",$J788="",$I788="",$J788=0,$I788=0,$I788&gt;$J788),"",$J788-$I788)</f>
        <v/>
      </c>
      <c r="Y788">
        <f>IF(OR($A788="",$U788="Subscription",$J788="",$J788=0,$X788=""),"",$X788/$J788)</f>
        <v/>
      </c>
    </row>
    <row r="789">
      <c r="B789" s="354" t="n"/>
      <c r="C789" s="354" t="n"/>
      <c r="E789" s="350" t="n"/>
      <c r="F789" s="350" t="n"/>
      <c r="G789" s="350" t="n"/>
      <c r="H789" s="350" t="n"/>
      <c r="I789" s="350" t="n"/>
      <c r="J789" s="352" t="n"/>
      <c r="M789" s="350" t="n"/>
      <c r="N789" s="350">
        <f>IF($A789="","",IF(OR(LOWER($D789&amp;"")="n/a",ISNUMBER(SEARCH("subscription",LOWER($A789&amp;" "&amp;$M789&amp;""))),ISNUMBER(SEARCH("membership",LOWER($A789&amp;" "&amp;$M789&amp;"")))),"",IF($G789="","",IF(ISNUMBER(SEARCH("non",LOWER($E789&amp;""))),$G789*0.85,$G789))))</f>
        <v/>
      </c>
      <c r="O789">
        <f>IF($A789="","",IF(OR(LOWER($D789&amp;"")="n/a",ISNUMBER(SEARCH("subscription",LOWER($A789&amp;" "&amp;$M789&amp;""))),ISNUMBER(SEARCH("membership",LOWER($A789&amp;" "&amp;$M789&amp;"")))),"",IF(OR($N789="",$I789="",$I789=0),"",$N789/$I789)))</f>
        <v/>
      </c>
      <c r="P789">
        <f>IF($A789="","",IF(OR(LOWER($D789&amp;"")="n/a",ISNUMBER(SEARCH("subscription",LOWER($A789&amp;" "&amp;$M789&amp;""))),ISNUMBER(SEARCH("membership",LOWER($A789&amp;" "&amp;$M789&amp;"")))),"",IF(LOWER($L789&amp;"")="yes",0,IF($K789&lt;&gt;"",$K789,IF($O789&lt;&gt;"",$O789,"")))))</f>
        <v/>
      </c>
      <c r="Q789">
        <f>IF($A789="","",IF($U789="Subscription","",IF($U789="Profit",$P789-$H789,0)))</f>
        <v/>
      </c>
      <c r="R789">
        <f>IF($A789="","",IF($U789="Subscription","",IF($U789="Draw",$H789,0)))</f>
        <v/>
      </c>
      <c r="S789">
        <f>IF($A789="","",IF($U789="Subscription","",IF($U789="Disqualified",$H789,0)))</f>
        <v/>
      </c>
      <c r="T789">
        <f>IF($A789="","",IF($U789="Subscription","",IF($H789=0,IF($U789="Profit","N/A",0),IF($U789="Profit",$Q789/$H789,IF($U789="Disqualified",-1,0)))))</f>
        <v/>
      </c>
      <c r="U789" s="350">
        <f>IF($A789="","",IF(OR(LOWER($D789&amp;"")="n/a",ISNUMBER(SEARCH("subscription",LOWER($A789&amp;" "&amp;$M789&amp;""))),ISNUMBER(SEARCH("membership",LOWER($A789&amp;" "&amp;$M789&amp;"")))),"Subscription",IF(LOWER($L789&amp;"")="yes","Disqualified",IF($P789&gt;$H789,"Profit","Draw"))))</f>
        <v/>
      </c>
      <c r="V789">
        <f>IF(OR($A789="",$B789="",$C789="",$U789="Subscription"),"",IFERROR(ROUNDUP((IF(ISNUMBER($C789),$C789,DATEVALUE($C789))-IF(ISNUMBER($B789),$B789,DATEVALUE($B789)))/7,0),""))</f>
        <v/>
      </c>
      <c r="W789" s="352">
        <f>IF($U789="Subscription","",$Q789-$S789)</f>
        <v/>
      </c>
      <c r="X789">
        <f>IF(OR($A789="",$U789="Subscription",$J789="",$I789="",$J789=0,$I789=0,$I789&gt;$J789),"",$J789-$I789)</f>
        <v/>
      </c>
      <c r="Y789">
        <f>IF(OR($A789="",$U789="Subscription",$J789="",$J789=0,$X789=""),"",$X789/$J789)</f>
        <v/>
      </c>
    </row>
    <row r="790">
      <c r="B790" s="354" t="n"/>
      <c r="C790" s="354" t="n"/>
      <c r="E790" s="350" t="n"/>
      <c r="F790" s="350" t="n"/>
      <c r="G790" s="350" t="n"/>
      <c r="H790" s="350" t="n"/>
      <c r="I790" s="350" t="n"/>
      <c r="J790" s="352" t="n"/>
      <c r="M790" s="350" t="n"/>
      <c r="N790" s="350">
        <f>IF($A790="","",IF(OR(LOWER($D790&amp;"")="n/a",ISNUMBER(SEARCH("subscription",LOWER($A790&amp;" "&amp;$M790&amp;""))),ISNUMBER(SEARCH("membership",LOWER($A790&amp;" "&amp;$M790&amp;"")))),"",IF($G790="","",IF(ISNUMBER(SEARCH("non",LOWER($E790&amp;""))),$G790*0.85,$G790))))</f>
        <v/>
      </c>
      <c r="O790">
        <f>IF($A790="","",IF(OR(LOWER($D790&amp;"")="n/a",ISNUMBER(SEARCH("subscription",LOWER($A790&amp;" "&amp;$M790&amp;""))),ISNUMBER(SEARCH("membership",LOWER($A790&amp;" "&amp;$M790&amp;"")))),"",IF(OR($N790="",$I790="",$I790=0),"",$N790/$I790)))</f>
        <v/>
      </c>
      <c r="P790">
        <f>IF($A790="","",IF(OR(LOWER($D790&amp;"")="n/a",ISNUMBER(SEARCH("subscription",LOWER($A790&amp;" "&amp;$M790&amp;""))),ISNUMBER(SEARCH("membership",LOWER($A790&amp;" "&amp;$M790&amp;"")))),"",IF(LOWER($L790&amp;"")="yes",0,IF($K790&lt;&gt;"",$K790,IF($O790&lt;&gt;"",$O790,"")))))</f>
        <v/>
      </c>
      <c r="Q790">
        <f>IF($A790="","",IF($U790="Subscription","",IF($U790="Profit",$P790-$H790,0)))</f>
        <v/>
      </c>
      <c r="R790">
        <f>IF($A790="","",IF($U790="Subscription","",IF($U790="Draw",$H790,0)))</f>
        <v/>
      </c>
      <c r="S790">
        <f>IF($A790="","",IF($U790="Subscription","",IF($U790="Disqualified",$H790,0)))</f>
        <v/>
      </c>
      <c r="T790">
        <f>IF($A790="","",IF($U790="Subscription","",IF($H790=0,IF($U790="Profit","N/A",0),IF($U790="Profit",$Q790/$H790,IF($U790="Disqualified",-1,0)))))</f>
        <v/>
      </c>
      <c r="U790" s="350">
        <f>IF($A790="","",IF(OR(LOWER($D790&amp;"")="n/a",ISNUMBER(SEARCH("subscription",LOWER($A790&amp;" "&amp;$M790&amp;""))),ISNUMBER(SEARCH("membership",LOWER($A790&amp;" "&amp;$M790&amp;"")))),"Subscription",IF(LOWER($L790&amp;"")="yes","Disqualified",IF($P790&gt;$H790,"Profit","Draw"))))</f>
        <v/>
      </c>
      <c r="V790">
        <f>IF(OR($A790="",$B790="",$C790="",$U790="Subscription"),"",IFERROR(ROUNDUP((IF(ISNUMBER($C790),$C790,DATEVALUE($C790))-IF(ISNUMBER($B790),$B790,DATEVALUE($B790)))/7,0),""))</f>
        <v/>
      </c>
      <c r="W790" s="352">
        <f>IF($U790="Subscription","",$Q790-$S790)</f>
        <v/>
      </c>
      <c r="X790">
        <f>IF(OR($A790="",$U790="Subscription",$J790="",$I790="",$J790=0,$I790=0,$I790&gt;$J790),"",$J790-$I790)</f>
        <v/>
      </c>
      <c r="Y790">
        <f>IF(OR($A790="",$U790="Subscription",$J790="",$J790=0,$X790=""),"",$X790/$J790)</f>
        <v/>
      </c>
    </row>
    <row r="791">
      <c r="B791" s="354" t="n"/>
      <c r="C791" s="354" t="n"/>
      <c r="E791" s="350" t="n"/>
      <c r="F791" s="350" t="n"/>
      <c r="G791" s="350" t="n"/>
      <c r="H791" s="350" t="n"/>
      <c r="I791" s="350" t="n"/>
      <c r="J791" s="352" t="n"/>
      <c r="M791" s="350" t="n"/>
      <c r="N791" s="350">
        <f>IF($A791="","",IF(OR(LOWER($D791&amp;"")="n/a",ISNUMBER(SEARCH("subscription",LOWER($A791&amp;" "&amp;$M791&amp;""))),ISNUMBER(SEARCH("membership",LOWER($A791&amp;" "&amp;$M791&amp;"")))),"",IF($G791="","",IF(ISNUMBER(SEARCH("non",LOWER($E791&amp;""))),$G791*0.85,$G791))))</f>
        <v/>
      </c>
      <c r="O791">
        <f>IF($A791="","",IF(OR(LOWER($D791&amp;"")="n/a",ISNUMBER(SEARCH("subscription",LOWER($A791&amp;" "&amp;$M791&amp;""))),ISNUMBER(SEARCH("membership",LOWER($A791&amp;" "&amp;$M791&amp;"")))),"",IF(OR($N791="",$I791="",$I791=0),"",$N791/$I791)))</f>
        <v/>
      </c>
      <c r="P791">
        <f>IF($A791="","",IF(OR(LOWER($D791&amp;"")="n/a",ISNUMBER(SEARCH("subscription",LOWER($A791&amp;" "&amp;$M791&amp;""))),ISNUMBER(SEARCH("membership",LOWER($A791&amp;" "&amp;$M791&amp;"")))),"",IF(LOWER($L791&amp;"")="yes",0,IF($K791&lt;&gt;"",$K791,IF($O791&lt;&gt;"",$O791,"")))))</f>
        <v/>
      </c>
      <c r="Q791">
        <f>IF($A791="","",IF($U791="Subscription","",IF($U791="Profit",$P791-$H791,0)))</f>
        <v/>
      </c>
      <c r="R791">
        <f>IF($A791="","",IF($U791="Subscription","",IF($U791="Draw",$H791,0)))</f>
        <v/>
      </c>
      <c r="S791">
        <f>IF($A791="","",IF($U791="Subscription","",IF($U791="Disqualified",$H791,0)))</f>
        <v/>
      </c>
      <c r="T791">
        <f>IF($A791="","",IF($U791="Subscription","",IF($H791=0,IF($U791="Profit","N/A",0),IF($U791="Profit",$Q791/$H791,IF($U791="Disqualified",-1,0)))))</f>
        <v/>
      </c>
      <c r="U791" s="350">
        <f>IF($A791="","",IF(OR(LOWER($D791&amp;"")="n/a",ISNUMBER(SEARCH("subscription",LOWER($A791&amp;" "&amp;$M791&amp;""))),ISNUMBER(SEARCH("membership",LOWER($A791&amp;" "&amp;$M791&amp;"")))),"Subscription",IF(LOWER($L791&amp;"")="yes","Disqualified",IF($P791&gt;$H791,"Profit","Draw"))))</f>
        <v/>
      </c>
      <c r="V791">
        <f>IF(OR($A791="",$B791="",$C791="",$U791="Subscription"),"",IFERROR(ROUNDUP((IF(ISNUMBER($C791),$C791,DATEVALUE($C791))-IF(ISNUMBER($B791),$B791,DATEVALUE($B791)))/7,0),""))</f>
        <v/>
      </c>
      <c r="W791" s="352">
        <f>IF($U791="Subscription","",$Q791-$S791)</f>
        <v/>
      </c>
      <c r="X791">
        <f>IF(OR($A791="",$U791="Subscription",$J791="",$I791="",$J791=0,$I791=0,$I791&gt;$J791),"",$J791-$I791)</f>
        <v/>
      </c>
      <c r="Y791">
        <f>IF(OR($A791="",$U791="Subscription",$J791="",$J791=0,$X791=""),"",$X791/$J791)</f>
        <v/>
      </c>
    </row>
    <row r="792">
      <c r="B792" s="354" t="n"/>
      <c r="C792" s="354" t="n"/>
      <c r="E792" s="350" t="n"/>
      <c r="F792" s="350" t="n"/>
      <c r="G792" s="350" t="n"/>
      <c r="H792" s="350" t="n"/>
      <c r="I792" s="350" t="n"/>
      <c r="J792" s="352" t="n"/>
      <c r="M792" s="350" t="n"/>
      <c r="N792" s="350">
        <f>IF($A792="","",IF(OR(LOWER($D792&amp;"")="n/a",ISNUMBER(SEARCH("subscription",LOWER($A792&amp;" "&amp;$M792&amp;""))),ISNUMBER(SEARCH("membership",LOWER($A792&amp;" "&amp;$M792&amp;"")))),"",IF($G792="","",IF(ISNUMBER(SEARCH("non",LOWER($E792&amp;""))),$G792*0.85,$G792))))</f>
        <v/>
      </c>
      <c r="O792">
        <f>IF($A792="","",IF(OR(LOWER($D792&amp;"")="n/a",ISNUMBER(SEARCH("subscription",LOWER($A792&amp;" "&amp;$M792&amp;""))),ISNUMBER(SEARCH("membership",LOWER($A792&amp;" "&amp;$M792&amp;"")))),"",IF(OR($N792="",$I792="",$I792=0),"",$N792/$I792)))</f>
        <v/>
      </c>
      <c r="P792">
        <f>IF($A792="","",IF(OR(LOWER($D792&amp;"")="n/a",ISNUMBER(SEARCH("subscription",LOWER($A792&amp;" "&amp;$M792&amp;""))),ISNUMBER(SEARCH("membership",LOWER($A792&amp;" "&amp;$M792&amp;"")))),"",IF(LOWER($L792&amp;"")="yes",0,IF($K792&lt;&gt;"",$K792,IF($O792&lt;&gt;"",$O792,"")))))</f>
        <v/>
      </c>
      <c r="Q792">
        <f>IF($A792="","",IF($U792="Subscription","",IF($U792="Profit",$P792-$H792,0)))</f>
        <v/>
      </c>
      <c r="R792">
        <f>IF($A792="","",IF($U792="Subscription","",IF($U792="Draw",$H792,0)))</f>
        <v/>
      </c>
      <c r="S792">
        <f>IF($A792="","",IF($U792="Subscription","",IF($U792="Disqualified",$H792,0)))</f>
        <v/>
      </c>
      <c r="T792">
        <f>IF($A792="","",IF($U792="Subscription","",IF($H792=0,IF($U792="Profit","N/A",0),IF($U792="Profit",$Q792/$H792,IF($U792="Disqualified",-1,0)))))</f>
        <v/>
      </c>
      <c r="U792" s="350">
        <f>IF($A792="","",IF(OR(LOWER($D792&amp;"")="n/a",ISNUMBER(SEARCH("subscription",LOWER($A792&amp;" "&amp;$M792&amp;""))),ISNUMBER(SEARCH("membership",LOWER($A792&amp;" "&amp;$M792&amp;"")))),"Subscription",IF(LOWER($L792&amp;"")="yes","Disqualified",IF($P792&gt;$H792,"Profit","Draw"))))</f>
        <v/>
      </c>
      <c r="V792">
        <f>IF(OR($A792="",$B792="",$C792="",$U792="Subscription"),"",IFERROR(ROUNDUP((IF(ISNUMBER($C792),$C792,DATEVALUE($C792))-IF(ISNUMBER($B792),$B792,DATEVALUE($B792)))/7,0),""))</f>
        <v/>
      </c>
      <c r="W792" s="352">
        <f>IF($U792="Subscription","",$Q792-$S792)</f>
        <v/>
      </c>
      <c r="X792">
        <f>IF(OR($A792="",$U792="Subscription",$J792="",$I792="",$J792=0,$I792=0,$I792&gt;$J792),"",$J792-$I792)</f>
        <v/>
      </c>
      <c r="Y792">
        <f>IF(OR($A792="",$U792="Subscription",$J792="",$J792=0,$X792=""),"",$X792/$J792)</f>
        <v/>
      </c>
    </row>
    <row r="793">
      <c r="B793" s="354" t="n"/>
      <c r="C793" s="354" t="n"/>
      <c r="E793" s="350" t="n"/>
      <c r="F793" s="350" t="n"/>
      <c r="G793" s="350" t="n"/>
      <c r="H793" s="350" t="n"/>
      <c r="I793" s="350" t="n"/>
      <c r="J793" s="352" t="n"/>
      <c r="M793" s="350" t="n"/>
      <c r="N793" s="350">
        <f>IF($A793="","",IF(OR(LOWER($D793&amp;"")="n/a",ISNUMBER(SEARCH("subscription",LOWER($A793&amp;" "&amp;$M793&amp;""))),ISNUMBER(SEARCH("membership",LOWER($A793&amp;" "&amp;$M793&amp;"")))),"",IF($G793="","",IF(ISNUMBER(SEARCH("non",LOWER($E793&amp;""))),$G793*0.85,$G793))))</f>
        <v/>
      </c>
      <c r="O793">
        <f>IF($A793="","",IF(OR(LOWER($D793&amp;"")="n/a",ISNUMBER(SEARCH("subscription",LOWER($A793&amp;" "&amp;$M793&amp;""))),ISNUMBER(SEARCH("membership",LOWER($A793&amp;" "&amp;$M793&amp;"")))),"",IF(OR($N793="",$I793="",$I793=0),"",$N793/$I793)))</f>
        <v/>
      </c>
      <c r="P793">
        <f>IF($A793="","",IF(OR(LOWER($D793&amp;"")="n/a",ISNUMBER(SEARCH("subscription",LOWER($A793&amp;" "&amp;$M793&amp;""))),ISNUMBER(SEARCH("membership",LOWER($A793&amp;" "&amp;$M793&amp;"")))),"",IF(LOWER($L793&amp;"")="yes",0,IF($K793&lt;&gt;"",$K793,IF($O793&lt;&gt;"",$O793,"")))))</f>
        <v/>
      </c>
      <c r="Q793">
        <f>IF($A793="","",IF($U793="Subscription","",IF($U793="Profit",$P793-$H793,0)))</f>
        <v/>
      </c>
      <c r="R793">
        <f>IF($A793="","",IF($U793="Subscription","",IF($U793="Draw",$H793,0)))</f>
        <v/>
      </c>
      <c r="S793">
        <f>IF($A793="","",IF($U793="Subscription","",IF($U793="Disqualified",$H793,0)))</f>
        <v/>
      </c>
      <c r="T793">
        <f>IF($A793="","",IF($U793="Subscription","",IF($H793=0,IF($U793="Profit","N/A",0),IF($U793="Profit",$Q793/$H793,IF($U793="Disqualified",-1,0)))))</f>
        <v/>
      </c>
      <c r="U793" s="350">
        <f>IF($A793="","",IF(OR(LOWER($D793&amp;"")="n/a",ISNUMBER(SEARCH("subscription",LOWER($A793&amp;" "&amp;$M793&amp;""))),ISNUMBER(SEARCH("membership",LOWER($A793&amp;" "&amp;$M793&amp;"")))),"Subscription",IF(LOWER($L793&amp;"")="yes","Disqualified",IF($P793&gt;$H793,"Profit","Draw"))))</f>
        <v/>
      </c>
      <c r="V793">
        <f>IF(OR($A793="",$B793="",$C793="",$U793="Subscription"),"",IFERROR(ROUNDUP((IF(ISNUMBER($C793),$C793,DATEVALUE($C793))-IF(ISNUMBER($B793),$B793,DATEVALUE($B793)))/7,0),""))</f>
        <v/>
      </c>
      <c r="W793" s="352">
        <f>IF($U793="Subscription","",$Q793-$S793)</f>
        <v/>
      </c>
      <c r="X793">
        <f>IF(OR($A793="",$U793="Subscription",$J793="",$I793="",$J793=0,$I793=0,$I793&gt;$J793),"",$J793-$I793)</f>
        <v/>
      </c>
      <c r="Y793">
        <f>IF(OR($A793="",$U793="Subscription",$J793="",$J793=0,$X793=""),"",$X793/$J793)</f>
        <v/>
      </c>
    </row>
    <row r="794">
      <c r="B794" s="354" t="n"/>
      <c r="C794" s="354" t="n"/>
      <c r="E794" s="350" t="n"/>
      <c r="F794" s="350" t="n"/>
      <c r="G794" s="350" t="n"/>
      <c r="H794" s="350" t="n"/>
      <c r="I794" s="350" t="n"/>
      <c r="J794" s="352" t="n"/>
      <c r="M794" s="350" t="n"/>
      <c r="N794" s="350">
        <f>IF($A794="","",IF(OR(LOWER($D794&amp;"")="n/a",ISNUMBER(SEARCH("subscription",LOWER($A794&amp;" "&amp;$M794&amp;""))),ISNUMBER(SEARCH("membership",LOWER($A794&amp;" "&amp;$M794&amp;"")))),"",IF($G794="","",IF(ISNUMBER(SEARCH("non",LOWER($E794&amp;""))),$G794*0.85,$G794))))</f>
        <v/>
      </c>
      <c r="O794">
        <f>IF($A794="","",IF(OR(LOWER($D794&amp;"")="n/a",ISNUMBER(SEARCH("subscription",LOWER($A794&amp;" "&amp;$M794&amp;""))),ISNUMBER(SEARCH("membership",LOWER($A794&amp;" "&amp;$M794&amp;"")))),"",IF(OR($N794="",$I794="",$I794=0),"",$N794/$I794)))</f>
        <v/>
      </c>
      <c r="P794">
        <f>IF($A794="","",IF(OR(LOWER($D794&amp;"")="n/a",ISNUMBER(SEARCH("subscription",LOWER($A794&amp;" "&amp;$M794&amp;""))),ISNUMBER(SEARCH("membership",LOWER($A794&amp;" "&amp;$M794&amp;"")))),"",IF(LOWER($L794&amp;"")="yes",0,IF($K794&lt;&gt;"",$K794,IF($O794&lt;&gt;"",$O794,"")))))</f>
        <v/>
      </c>
      <c r="Q794">
        <f>IF($A794="","",IF($U794="Subscription","",IF($U794="Profit",$P794-$H794,0)))</f>
        <v/>
      </c>
      <c r="R794">
        <f>IF($A794="","",IF($U794="Subscription","",IF($U794="Draw",$H794,0)))</f>
        <v/>
      </c>
      <c r="S794">
        <f>IF($A794="","",IF($U794="Subscription","",IF($U794="Disqualified",$H794,0)))</f>
        <v/>
      </c>
      <c r="T794">
        <f>IF($A794="","",IF($U794="Subscription","",IF($H794=0,IF($U794="Profit","N/A",0),IF($U794="Profit",$Q794/$H794,IF($U794="Disqualified",-1,0)))))</f>
        <v/>
      </c>
      <c r="U794" s="350">
        <f>IF($A794="","",IF(OR(LOWER($D794&amp;"")="n/a",ISNUMBER(SEARCH("subscription",LOWER($A794&amp;" "&amp;$M794&amp;""))),ISNUMBER(SEARCH("membership",LOWER($A794&amp;" "&amp;$M794&amp;"")))),"Subscription",IF(LOWER($L794&amp;"")="yes","Disqualified",IF($P794&gt;$H794,"Profit","Draw"))))</f>
        <v/>
      </c>
      <c r="V794">
        <f>IF(OR($A794="",$B794="",$C794="",$U794="Subscription"),"",IFERROR(ROUNDUP((IF(ISNUMBER($C794),$C794,DATEVALUE($C794))-IF(ISNUMBER($B794),$B794,DATEVALUE($B794)))/7,0),""))</f>
        <v/>
      </c>
      <c r="W794" s="352">
        <f>IF($U794="Subscription","",$Q794-$S794)</f>
        <v/>
      </c>
      <c r="X794">
        <f>IF(OR($A794="",$U794="Subscription",$J794="",$I794="",$J794=0,$I794=0,$I794&gt;$J794),"",$J794-$I794)</f>
        <v/>
      </c>
      <c r="Y794">
        <f>IF(OR($A794="",$U794="Subscription",$J794="",$J794=0,$X794=""),"",$X794/$J794)</f>
        <v/>
      </c>
    </row>
    <row r="795">
      <c r="B795" s="354" t="n"/>
      <c r="C795" s="354" t="n"/>
      <c r="E795" s="350" t="n"/>
      <c r="F795" s="350" t="n"/>
      <c r="G795" s="350" t="n"/>
      <c r="H795" s="350" t="n"/>
      <c r="I795" s="350" t="n"/>
      <c r="J795" s="352" t="n"/>
      <c r="M795" s="350" t="n"/>
      <c r="N795" s="350">
        <f>IF($A795="","",IF(OR(LOWER($D795&amp;"")="n/a",ISNUMBER(SEARCH("subscription",LOWER($A795&amp;" "&amp;$M795&amp;""))),ISNUMBER(SEARCH("membership",LOWER($A795&amp;" "&amp;$M795&amp;"")))),"",IF($G795="","",IF(ISNUMBER(SEARCH("non",LOWER($E795&amp;""))),$G795*0.85,$G795))))</f>
        <v/>
      </c>
      <c r="O795">
        <f>IF($A795="","",IF(OR(LOWER($D795&amp;"")="n/a",ISNUMBER(SEARCH("subscription",LOWER($A795&amp;" "&amp;$M795&amp;""))),ISNUMBER(SEARCH("membership",LOWER($A795&amp;" "&amp;$M795&amp;"")))),"",IF(OR($N795="",$I795="",$I795=0),"",$N795/$I795)))</f>
        <v/>
      </c>
      <c r="P795">
        <f>IF($A795="","",IF(OR(LOWER($D795&amp;"")="n/a",ISNUMBER(SEARCH("subscription",LOWER($A795&amp;" "&amp;$M795&amp;""))),ISNUMBER(SEARCH("membership",LOWER($A795&amp;" "&amp;$M795&amp;"")))),"",IF(LOWER($L795&amp;"")="yes",0,IF($K795&lt;&gt;"",$K795,IF($O795&lt;&gt;"",$O795,"")))))</f>
        <v/>
      </c>
      <c r="Q795">
        <f>IF($A795="","",IF($U795="Subscription","",IF($U795="Profit",$P795-$H795,0)))</f>
        <v/>
      </c>
      <c r="R795">
        <f>IF($A795="","",IF($U795="Subscription","",IF($U795="Draw",$H795,0)))</f>
        <v/>
      </c>
      <c r="S795">
        <f>IF($A795="","",IF($U795="Subscription","",IF($U795="Disqualified",$H795,0)))</f>
        <v/>
      </c>
      <c r="T795">
        <f>IF($A795="","",IF($U795="Subscription","",IF($H795=0,IF($U795="Profit","N/A",0),IF($U795="Profit",$Q795/$H795,IF($U795="Disqualified",-1,0)))))</f>
        <v/>
      </c>
      <c r="U795" s="350">
        <f>IF($A795="","",IF(OR(LOWER($D795&amp;"")="n/a",ISNUMBER(SEARCH("subscription",LOWER($A795&amp;" "&amp;$M795&amp;""))),ISNUMBER(SEARCH("membership",LOWER($A795&amp;" "&amp;$M795&amp;"")))),"Subscription",IF(LOWER($L795&amp;"")="yes","Disqualified",IF($P795&gt;$H795,"Profit","Draw"))))</f>
        <v/>
      </c>
      <c r="V795">
        <f>IF(OR($A795="",$B795="",$C795="",$U795="Subscription"),"",IFERROR(ROUNDUP((IF(ISNUMBER($C795),$C795,DATEVALUE($C795))-IF(ISNUMBER($B795),$B795,DATEVALUE($B795)))/7,0),""))</f>
        <v/>
      </c>
      <c r="W795" s="352">
        <f>IF($U795="Subscription","",$Q795-$S795)</f>
        <v/>
      </c>
      <c r="X795">
        <f>IF(OR($A795="",$U795="Subscription",$J795="",$I795="",$J795=0,$I795=0,$I795&gt;$J795),"",$J795-$I795)</f>
        <v/>
      </c>
      <c r="Y795">
        <f>IF(OR($A795="",$U795="Subscription",$J795="",$J795=0,$X795=""),"",$X795/$J795)</f>
        <v/>
      </c>
    </row>
    <row r="796">
      <c r="B796" s="354" t="n"/>
      <c r="C796" s="354" t="n"/>
      <c r="E796" s="350" t="n"/>
      <c r="F796" s="350" t="n"/>
      <c r="G796" s="350" t="n"/>
      <c r="H796" s="350" t="n"/>
      <c r="I796" s="350" t="n"/>
      <c r="J796" s="352" t="n"/>
      <c r="M796" s="350" t="n"/>
      <c r="N796" s="350">
        <f>IF($A796="","",IF(OR(LOWER($D796&amp;"")="n/a",ISNUMBER(SEARCH("subscription",LOWER($A796&amp;" "&amp;$M796&amp;""))),ISNUMBER(SEARCH("membership",LOWER($A796&amp;" "&amp;$M796&amp;"")))),"",IF($G796="","",IF(ISNUMBER(SEARCH("non",LOWER($E796&amp;""))),$G796*0.85,$G796))))</f>
        <v/>
      </c>
      <c r="O796">
        <f>IF($A796="","",IF(OR(LOWER($D796&amp;"")="n/a",ISNUMBER(SEARCH("subscription",LOWER($A796&amp;" "&amp;$M796&amp;""))),ISNUMBER(SEARCH("membership",LOWER($A796&amp;" "&amp;$M796&amp;"")))),"",IF(OR($N796="",$I796="",$I796=0),"",$N796/$I796)))</f>
        <v/>
      </c>
      <c r="P796">
        <f>IF($A796="","",IF(OR(LOWER($D796&amp;"")="n/a",ISNUMBER(SEARCH("subscription",LOWER($A796&amp;" "&amp;$M796&amp;""))),ISNUMBER(SEARCH("membership",LOWER($A796&amp;" "&amp;$M796&amp;"")))),"",IF(LOWER($L796&amp;"")="yes",0,IF($K796&lt;&gt;"",$K796,IF($O796&lt;&gt;"",$O796,"")))))</f>
        <v/>
      </c>
      <c r="Q796">
        <f>IF($A796="","",IF($U796="Subscription","",IF($U796="Profit",$P796-$H796,0)))</f>
        <v/>
      </c>
      <c r="R796">
        <f>IF($A796="","",IF($U796="Subscription","",IF($U796="Draw",$H796,0)))</f>
        <v/>
      </c>
      <c r="S796">
        <f>IF($A796="","",IF($U796="Subscription","",IF($U796="Disqualified",$H796,0)))</f>
        <v/>
      </c>
      <c r="T796">
        <f>IF($A796="","",IF($U796="Subscription","",IF($H796=0,IF($U796="Profit","N/A",0),IF($U796="Profit",$Q796/$H796,IF($U796="Disqualified",-1,0)))))</f>
        <v/>
      </c>
      <c r="U796" s="350">
        <f>IF($A796="","",IF(OR(LOWER($D796&amp;"")="n/a",ISNUMBER(SEARCH("subscription",LOWER($A796&amp;" "&amp;$M796&amp;""))),ISNUMBER(SEARCH("membership",LOWER($A796&amp;" "&amp;$M796&amp;"")))),"Subscription",IF(LOWER($L796&amp;"")="yes","Disqualified",IF($P796&gt;$H796,"Profit","Draw"))))</f>
        <v/>
      </c>
      <c r="V796">
        <f>IF(OR($A796="",$B796="",$C796="",$U796="Subscription"),"",IFERROR(ROUNDUP((IF(ISNUMBER($C796),$C796,DATEVALUE($C796))-IF(ISNUMBER($B796),$B796,DATEVALUE($B796)))/7,0),""))</f>
        <v/>
      </c>
      <c r="W796" s="352">
        <f>IF($U796="Subscription","",$Q796-$S796)</f>
        <v/>
      </c>
      <c r="X796">
        <f>IF(OR($A796="",$U796="Subscription",$J796="",$I796="",$J796=0,$I796=0,$I796&gt;$J796),"",$J796-$I796)</f>
        <v/>
      </c>
      <c r="Y796">
        <f>IF(OR($A796="",$U796="Subscription",$J796="",$J796=0,$X796=""),"",$X796/$J796)</f>
        <v/>
      </c>
    </row>
    <row r="797">
      <c r="B797" s="354" t="n"/>
      <c r="C797" s="354" t="n"/>
      <c r="E797" s="350" t="n"/>
      <c r="F797" s="350" t="n"/>
      <c r="G797" s="350" t="n"/>
      <c r="H797" s="350" t="n"/>
      <c r="I797" s="350" t="n"/>
      <c r="J797" s="352" t="n"/>
      <c r="M797" s="350" t="n"/>
      <c r="N797" s="350">
        <f>IF($A797="","",IF(OR(LOWER($D797&amp;"")="n/a",ISNUMBER(SEARCH("subscription",LOWER($A797&amp;" "&amp;$M797&amp;""))),ISNUMBER(SEARCH("membership",LOWER($A797&amp;" "&amp;$M797&amp;"")))),"",IF($G797="","",IF(ISNUMBER(SEARCH("non",LOWER($E797&amp;""))),$G797*0.85,$G797))))</f>
        <v/>
      </c>
      <c r="O797">
        <f>IF($A797="","",IF(OR(LOWER($D797&amp;"")="n/a",ISNUMBER(SEARCH("subscription",LOWER($A797&amp;" "&amp;$M797&amp;""))),ISNUMBER(SEARCH("membership",LOWER($A797&amp;" "&amp;$M797&amp;"")))),"",IF(OR($N797="",$I797="",$I797=0),"",$N797/$I797)))</f>
        <v/>
      </c>
      <c r="P797">
        <f>IF($A797="","",IF(OR(LOWER($D797&amp;"")="n/a",ISNUMBER(SEARCH("subscription",LOWER($A797&amp;" "&amp;$M797&amp;""))),ISNUMBER(SEARCH("membership",LOWER($A797&amp;" "&amp;$M797&amp;"")))),"",IF(LOWER($L797&amp;"")="yes",0,IF($K797&lt;&gt;"",$K797,IF($O797&lt;&gt;"",$O797,"")))))</f>
        <v/>
      </c>
      <c r="Q797">
        <f>IF($A797="","",IF($U797="Subscription","",IF($U797="Profit",$P797-$H797,0)))</f>
        <v/>
      </c>
      <c r="R797">
        <f>IF($A797="","",IF($U797="Subscription","",IF($U797="Draw",$H797,0)))</f>
        <v/>
      </c>
      <c r="S797">
        <f>IF($A797="","",IF($U797="Subscription","",IF($U797="Disqualified",$H797,0)))</f>
        <v/>
      </c>
      <c r="T797">
        <f>IF($A797="","",IF($U797="Subscription","",IF($H797=0,IF($U797="Profit","N/A",0),IF($U797="Profit",$Q797/$H797,IF($U797="Disqualified",-1,0)))))</f>
        <v/>
      </c>
      <c r="U797" s="350">
        <f>IF($A797="","",IF(OR(LOWER($D797&amp;"")="n/a",ISNUMBER(SEARCH("subscription",LOWER($A797&amp;" "&amp;$M797&amp;""))),ISNUMBER(SEARCH("membership",LOWER($A797&amp;" "&amp;$M797&amp;"")))),"Subscription",IF(LOWER($L797&amp;"")="yes","Disqualified",IF($P797&gt;$H797,"Profit","Draw"))))</f>
        <v/>
      </c>
      <c r="V797">
        <f>IF(OR($A797="",$B797="",$C797="",$U797="Subscription"),"",IFERROR(ROUNDUP((IF(ISNUMBER($C797),$C797,DATEVALUE($C797))-IF(ISNUMBER($B797),$B797,DATEVALUE($B797)))/7,0),""))</f>
        <v/>
      </c>
      <c r="W797" s="352">
        <f>IF($U797="Subscription","",$Q797-$S797)</f>
        <v/>
      </c>
      <c r="X797">
        <f>IF(OR($A797="",$U797="Subscription",$J797="",$I797="",$J797=0,$I797=0,$I797&gt;$J797),"",$J797-$I797)</f>
        <v/>
      </c>
      <c r="Y797">
        <f>IF(OR($A797="",$U797="Subscription",$J797="",$J797=0,$X797=""),"",$X797/$J797)</f>
        <v/>
      </c>
    </row>
    <row r="798">
      <c r="B798" s="354" t="n"/>
      <c r="C798" s="354" t="n"/>
      <c r="E798" s="350" t="n"/>
      <c r="F798" s="350" t="n"/>
      <c r="G798" s="350" t="n"/>
      <c r="H798" s="350" t="n"/>
      <c r="I798" s="350" t="n"/>
      <c r="J798" s="352" t="n"/>
      <c r="M798" s="350" t="n"/>
      <c r="N798" s="350">
        <f>IF($A798="","",IF(OR(LOWER($D798&amp;"")="n/a",ISNUMBER(SEARCH("subscription",LOWER($A798&amp;" "&amp;$M798&amp;""))),ISNUMBER(SEARCH("membership",LOWER($A798&amp;" "&amp;$M798&amp;"")))),"",IF($G798="","",IF(ISNUMBER(SEARCH("non",LOWER($E798&amp;""))),$G798*0.85,$G798))))</f>
        <v/>
      </c>
      <c r="O798">
        <f>IF($A798="","",IF(OR(LOWER($D798&amp;"")="n/a",ISNUMBER(SEARCH("subscription",LOWER($A798&amp;" "&amp;$M798&amp;""))),ISNUMBER(SEARCH("membership",LOWER($A798&amp;" "&amp;$M798&amp;"")))),"",IF(OR($N798="",$I798="",$I798=0),"",$N798/$I798)))</f>
        <v/>
      </c>
      <c r="P798">
        <f>IF($A798="","",IF(OR(LOWER($D798&amp;"")="n/a",ISNUMBER(SEARCH("subscription",LOWER($A798&amp;" "&amp;$M798&amp;""))),ISNUMBER(SEARCH("membership",LOWER($A798&amp;" "&amp;$M798&amp;"")))),"",IF(LOWER($L798&amp;"")="yes",0,IF($K798&lt;&gt;"",$K798,IF($O798&lt;&gt;"",$O798,"")))))</f>
        <v/>
      </c>
      <c r="Q798">
        <f>IF($A798="","",IF($U798="Subscription","",IF($U798="Profit",$P798-$H798,0)))</f>
        <v/>
      </c>
      <c r="R798">
        <f>IF($A798="","",IF($U798="Subscription","",IF($U798="Draw",$H798,0)))</f>
        <v/>
      </c>
      <c r="S798">
        <f>IF($A798="","",IF($U798="Subscription","",IF($U798="Disqualified",$H798,0)))</f>
        <v/>
      </c>
      <c r="T798">
        <f>IF($A798="","",IF($U798="Subscription","",IF($H798=0,IF($U798="Profit","N/A",0),IF($U798="Profit",$Q798/$H798,IF($U798="Disqualified",-1,0)))))</f>
        <v/>
      </c>
      <c r="U798" s="350">
        <f>IF($A798="","",IF(OR(LOWER($D798&amp;"")="n/a",ISNUMBER(SEARCH("subscription",LOWER($A798&amp;" "&amp;$M798&amp;""))),ISNUMBER(SEARCH("membership",LOWER($A798&amp;" "&amp;$M798&amp;"")))),"Subscription",IF(LOWER($L798&amp;"")="yes","Disqualified",IF($P798&gt;$H798,"Profit","Draw"))))</f>
        <v/>
      </c>
      <c r="V798">
        <f>IF(OR($A798="",$B798="",$C798="",$U798="Subscription"),"",IFERROR(ROUNDUP((IF(ISNUMBER($C798),$C798,DATEVALUE($C798))-IF(ISNUMBER($B798),$B798,DATEVALUE($B798)))/7,0),""))</f>
        <v/>
      </c>
      <c r="W798" s="352">
        <f>IF($U798="Subscription","",$Q798-$S798)</f>
        <v/>
      </c>
      <c r="X798">
        <f>IF(OR($A798="",$U798="Subscription",$J798="",$I798="",$J798=0,$I798=0,$I798&gt;$J798),"",$J798-$I798)</f>
        <v/>
      </c>
      <c r="Y798">
        <f>IF(OR($A798="",$U798="Subscription",$J798="",$J798=0,$X798=""),"",$X798/$J798)</f>
        <v/>
      </c>
    </row>
    <row r="799">
      <c r="B799" s="354" t="n"/>
      <c r="C799" s="354" t="n"/>
      <c r="E799" s="350" t="n"/>
      <c r="F799" s="350" t="n"/>
      <c r="G799" s="350" t="n"/>
      <c r="H799" s="350" t="n"/>
      <c r="I799" s="350" t="n"/>
      <c r="J799" s="352" t="n"/>
      <c r="M799" s="350" t="n"/>
      <c r="N799" s="350">
        <f>IF($A799="","",IF(OR(LOWER($D799&amp;"")="n/a",ISNUMBER(SEARCH("subscription",LOWER($A799&amp;" "&amp;$M799&amp;""))),ISNUMBER(SEARCH("membership",LOWER($A799&amp;" "&amp;$M799&amp;"")))),"",IF($G799="","",IF(ISNUMBER(SEARCH("non",LOWER($E799&amp;""))),$G799*0.85,$G799))))</f>
        <v/>
      </c>
      <c r="O799">
        <f>IF($A799="","",IF(OR(LOWER($D799&amp;"")="n/a",ISNUMBER(SEARCH("subscription",LOWER($A799&amp;" "&amp;$M799&amp;""))),ISNUMBER(SEARCH("membership",LOWER($A799&amp;" "&amp;$M799&amp;"")))),"",IF(OR($N799="",$I799="",$I799=0),"",$N799/$I799)))</f>
        <v/>
      </c>
      <c r="P799">
        <f>IF($A799="","",IF(OR(LOWER($D799&amp;"")="n/a",ISNUMBER(SEARCH("subscription",LOWER($A799&amp;" "&amp;$M799&amp;""))),ISNUMBER(SEARCH("membership",LOWER($A799&amp;" "&amp;$M799&amp;"")))),"",IF(LOWER($L799&amp;"")="yes",0,IF($K799&lt;&gt;"",$K799,IF($O799&lt;&gt;"",$O799,"")))))</f>
        <v/>
      </c>
      <c r="Q799">
        <f>IF($A799="","",IF($U799="Subscription","",IF($U799="Profit",$P799-$H799,0)))</f>
        <v/>
      </c>
      <c r="R799">
        <f>IF($A799="","",IF($U799="Subscription","",IF($U799="Draw",$H799,0)))</f>
        <v/>
      </c>
      <c r="S799">
        <f>IF($A799="","",IF($U799="Subscription","",IF($U799="Disqualified",$H799,0)))</f>
        <v/>
      </c>
      <c r="T799">
        <f>IF($A799="","",IF($U799="Subscription","",IF($H799=0,IF($U799="Profit","N/A",0),IF($U799="Profit",$Q799/$H799,IF($U799="Disqualified",-1,0)))))</f>
        <v/>
      </c>
      <c r="U799" s="350">
        <f>IF($A799="","",IF(OR(LOWER($D799&amp;"")="n/a",ISNUMBER(SEARCH("subscription",LOWER($A799&amp;" "&amp;$M799&amp;""))),ISNUMBER(SEARCH("membership",LOWER($A799&amp;" "&amp;$M799&amp;"")))),"Subscription",IF(LOWER($L799&amp;"")="yes","Disqualified",IF($P799&gt;$H799,"Profit","Draw"))))</f>
        <v/>
      </c>
      <c r="V799">
        <f>IF(OR($A799="",$B799="",$C799="",$U799="Subscription"),"",IFERROR(ROUNDUP((IF(ISNUMBER($C799),$C799,DATEVALUE($C799))-IF(ISNUMBER($B799),$B799,DATEVALUE($B799)))/7,0),""))</f>
        <v/>
      </c>
      <c r="W799" s="352">
        <f>IF($U799="Subscription","",$Q799-$S799)</f>
        <v/>
      </c>
      <c r="X799">
        <f>IF(OR($A799="",$U799="Subscription",$J799="",$I799="",$J799=0,$I799=0,$I799&gt;$J799),"",$J799-$I799)</f>
        <v/>
      </c>
      <c r="Y799">
        <f>IF(OR($A799="",$U799="Subscription",$J799="",$J799=0,$X799=""),"",$X799/$J799)</f>
        <v/>
      </c>
    </row>
    <row r="800">
      <c r="B800" s="354" t="n"/>
      <c r="C800" s="354" t="n"/>
      <c r="E800" s="350" t="n"/>
      <c r="F800" s="350" t="n"/>
      <c r="G800" s="350" t="n"/>
      <c r="H800" s="350" t="n"/>
      <c r="I800" s="350" t="n"/>
      <c r="J800" s="352" t="n"/>
      <c r="M800" s="350" t="n"/>
      <c r="N800" s="350">
        <f>IF($A800="","",IF(OR(LOWER($D800&amp;"")="n/a",ISNUMBER(SEARCH("subscription",LOWER($A800&amp;" "&amp;$M800&amp;""))),ISNUMBER(SEARCH("membership",LOWER($A800&amp;" "&amp;$M800&amp;"")))),"",IF($G800="","",IF(ISNUMBER(SEARCH("non",LOWER($E800&amp;""))),$G800*0.85,$G800))))</f>
        <v/>
      </c>
      <c r="O800">
        <f>IF($A800="","",IF(OR(LOWER($D800&amp;"")="n/a",ISNUMBER(SEARCH("subscription",LOWER($A800&amp;" "&amp;$M800&amp;""))),ISNUMBER(SEARCH("membership",LOWER($A800&amp;" "&amp;$M800&amp;"")))),"",IF(OR($N800="",$I800="",$I800=0),"",$N800/$I800)))</f>
        <v/>
      </c>
      <c r="P800">
        <f>IF($A800="","",IF(OR(LOWER($D800&amp;"")="n/a",ISNUMBER(SEARCH("subscription",LOWER($A800&amp;" "&amp;$M800&amp;""))),ISNUMBER(SEARCH("membership",LOWER($A800&amp;" "&amp;$M800&amp;"")))),"",IF(LOWER($L800&amp;"")="yes",0,IF($K800&lt;&gt;"",$K800,IF($O800&lt;&gt;"",$O800,"")))))</f>
        <v/>
      </c>
      <c r="Q800">
        <f>IF($A800="","",IF($U800="Subscription","",IF($U800="Profit",$P800-$H800,0)))</f>
        <v/>
      </c>
      <c r="R800">
        <f>IF($A800="","",IF($U800="Subscription","",IF($U800="Draw",$H800,0)))</f>
        <v/>
      </c>
      <c r="S800">
        <f>IF($A800="","",IF($U800="Subscription","",IF($U800="Disqualified",$H800,0)))</f>
        <v/>
      </c>
      <c r="T800">
        <f>IF($A800="","",IF($U800="Subscription","",IF($H800=0,IF($U800="Profit","N/A",0),IF($U800="Profit",$Q800/$H800,IF($U800="Disqualified",-1,0)))))</f>
        <v/>
      </c>
      <c r="U800" s="350">
        <f>IF($A800="","",IF(OR(LOWER($D800&amp;"")="n/a",ISNUMBER(SEARCH("subscription",LOWER($A800&amp;" "&amp;$M800&amp;""))),ISNUMBER(SEARCH("membership",LOWER($A800&amp;" "&amp;$M800&amp;"")))),"Subscription",IF(LOWER($L800&amp;"")="yes","Disqualified",IF($P800&gt;$H800,"Profit","Draw"))))</f>
        <v/>
      </c>
      <c r="V800">
        <f>IF(OR($A800="",$B800="",$C800="",$U800="Subscription"),"",IFERROR(ROUNDUP((IF(ISNUMBER($C800),$C800,DATEVALUE($C800))-IF(ISNUMBER($B800),$B800,DATEVALUE($B800)))/7,0),""))</f>
        <v/>
      </c>
      <c r="W800" s="352">
        <f>IF($U800="Subscription","",$Q800-$S800)</f>
        <v/>
      </c>
      <c r="X800">
        <f>IF(OR($A800="",$U800="Subscription",$J800="",$I800="",$J800=0,$I800=0,$I800&gt;$J800),"",$J800-$I800)</f>
        <v/>
      </c>
      <c r="Y800">
        <f>IF(OR($A800="",$U800="Subscription",$J800="",$J800=0,$X800=""),"",$X800/$J800)</f>
        <v/>
      </c>
    </row>
    <row r="801">
      <c r="B801" s="354" t="n"/>
      <c r="C801" s="354" t="n"/>
      <c r="E801" s="350" t="n"/>
      <c r="F801" s="350" t="n"/>
      <c r="G801" s="350" t="n"/>
      <c r="H801" s="350" t="n"/>
      <c r="I801" s="350" t="n"/>
      <c r="J801" s="352" t="n"/>
      <c r="M801" s="350" t="n"/>
      <c r="N801" s="350">
        <f>IF($A801="","",IF(OR(LOWER($D801&amp;"")="n/a",ISNUMBER(SEARCH("subscription",LOWER($A801&amp;" "&amp;$M801&amp;""))),ISNUMBER(SEARCH("membership",LOWER($A801&amp;" "&amp;$M801&amp;"")))),"",IF($G801="","",IF(ISNUMBER(SEARCH("non",LOWER($E801&amp;""))),$G801*0.85,$G801))))</f>
        <v/>
      </c>
      <c r="O801">
        <f>IF($A801="","",IF(OR(LOWER($D801&amp;"")="n/a",ISNUMBER(SEARCH("subscription",LOWER($A801&amp;" "&amp;$M801&amp;""))),ISNUMBER(SEARCH("membership",LOWER($A801&amp;" "&amp;$M801&amp;"")))),"",IF(OR($N801="",$I801="",$I801=0),"",$N801/$I801)))</f>
        <v/>
      </c>
      <c r="P801">
        <f>IF($A801="","",IF(OR(LOWER($D801&amp;"")="n/a",ISNUMBER(SEARCH("subscription",LOWER($A801&amp;" "&amp;$M801&amp;""))),ISNUMBER(SEARCH("membership",LOWER($A801&amp;" "&amp;$M801&amp;"")))),"",IF(LOWER($L801&amp;"")="yes",0,IF($K801&lt;&gt;"",$K801,IF($O801&lt;&gt;"",$O801,"")))))</f>
        <v/>
      </c>
      <c r="Q801">
        <f>IF($A801="","",IF($U801="Subscription","",IF($U801="Profit",$P801-$H801,0)))</f>
        <v/>
      </c>
      <c r="R801">
        <f>IF($A801="","",IF($U801="Subscription","",IF($U801="Draw",$H801,0)))</f>
        <v/>
      </c>
      <c r="S801">
        <f>IF($A801="","",IF($U801="Subscription","",IF($U801="Disqualified",$H801,0)))</f>
        <v/>
      </c>
      <c r="T801">
        <f>IF($A801="","",IF($U801="Subscription","",IF($H801=0,IF($U801="Profit","N/A",0),IF($U801="Profit",$Q801/$H801,IF($U801="Disqualified",-1,0)))))</f>
        <v/>
      </c>
      <c r="U801" s="350">
        <f>IF($A801="","",IF(OR(LOWER($D801&amp;"")="n/a",ISNUMBER(SEARCH("subscription",LOWER($A801&amp;" "&amp;$M801&amp;""))),ISNUMBER(SEARCH("membership",LOWER($A801&amp;" "&amp;$M801&amp;"")))),"Subscription",IF(LOWER($L801&amp;"")="yes","Disqualified",IF($P801&gt;$H801,"Profit","Draw"))))</f>
        <v/>
      </c>
      <c r="V801">
        <f>IF(OR($A801="",$B801="",$C801="",$U801="Subscription"),"",IFERROR(ROUNDUP((IF(ISNUMBER($C801),$C801,DATEVALUE($C801))-IF(ISNUMBER($B801),$B801,DATEVALUE($B801)))/7,0),""))</f>
        <v/>
      </c>
      <c r="W801" s="352">
        <f>IF($U801="Subscription","",$Q801-$S801)</f>
        <v/>
      </c>
      <c r="X801">
        <f>IF(OR($A801="",$U801="Subscription",$J801="",$I801="",$J801=0,$I801=0,$I801&gt;$J801),"",$J801-$I801)</f>
        <v/>
      </c>
      <c r="Y801">
        <f>IF(OR($A801="",$U801="Subscription",$J801="",$J801=0,$X801=""),"",$X801/$J801)</f>
        <v/>
      </c>
    </row>
    <row r="802">
      <c r="B802" s="354" t="n"/>
      <c r="C802" s="354" t="n"/>
      <c r="E802" s="350" t="n"/>
      <c r="F802" s="350" t="n"/>
      <c r="G802" s="350" t="n"/>
      <c r="H802" s="350" t="n"/>
      <c r="I802" s="350" t="n"/>
      <c r="J802" s="352" t="n"/>
      <c r="M802" s="350" t="n"/>
      <c r="N802" s="350">
        <f>IF($A802="","",IF(OR(LOWER($D802&amp;"")="n/a",ISNUMBER(SEARCH("subscription",LOWER($A802&amp;" "&amp;$M802&amp;""))),ISNUMBER(SEARCH("membership",LOWER($A802&amp;" "&amp;$M802&amp;"")))),"",IF($G802="","",IF(ISNUMBER(SEARCH("non",LOWER($E802&amp;""))),$G802*0.85,$G802))))</f>
        <v/>
      </c>
      <c r="O802">
        <f>IF($A802="","",IF(OR(LOWER($D802&amp;"")="n/a",ISNUMBER(SEARCH("subscription",LOWER($A802&amp;" "&amp;$M802&amp;""))),ISNUMBER(SEARCH("membership",LOWER($A802&amp;" "&amp;$M802&amp;"")))),"",IF(OR($N802="",$I802="",$I802=0),"",$N802/$I802)))</f>
        <v/>
      </c>
      <c r="P802">
        <f>IF($A802="","",IF(OR(LOWER($D802&amp;"")="n/a",ISNUMBER(SEARCH("subscription",LOWER($A802&amp;" "&amp;$M802&amp;""))),ISNUMBER(SEARCH("membership",LOWER($A802&amp;" "&amp;$M802&amp;"")))),"",IF(LOWER($L802&amp;"")="yes",0,IF($K802&lt;&gt;"",$K802,IF($O802&lt;&gt;"",$O802,"")))))</f>
        <v/>
      </c>
      <c r="Q802">
        <f>IF($A802="","",IF($U802="Subscription","",IF($U802="Profit",$P802-$H802,0)))</f>
        <v/>
      </c>
      <c r="R802">
        <f>IF($A802="","",IF($U802="Subscription","",IF($U802="Draw",$H802,0)))</f>
        <v/>
      </c>
      <c r="S802">
        <f>IF($A802="","",IF($U802="Subscription","",IF($U802="Disqualified",$H802,0)))</f>
        <v/>
      </c>
      <c r="T802">
        <f>IF($A802="","",IF($U802="Subscription","",IF($H802=0,IF($U802="Profit","N/A",0),IF($U802="Profit",$Q802/$H802,IF($U802="Disqualified",-1,0)))))</f>
        <v/>
      </c>
      <c r="U802" s="350">
        <f>IF($A802="","",IF(OR(LOWER($D802&amp;"")="n/a",ISNUMBER(SEARCH("subscription",LOWER($A802&amp;" "&amp;$M802&amp;""))),ISNUMBER(SEARCH("membership",LOWER($A802&amp;" "&amp;$M802&amp;"")))),"Subscription",IF(LOWER($L802&amp;"")="yes","Disqualified",IF($P802&gt;$H802,"Profit","Draw"))))</f>
        <v/>
      </c>
      <c r="V802">
        <f>IF(OR($A802="",$B802="",$C802="",$U802="Subscription"),"",IFERROR(ROUNDUP((IF(ISNUMBER($C802),$C802,DATEVALUE($C802))-IF(ISNUMBER($B802),$B802,DATEVALUE($B802)))/7,0),""))</f>
        <v/>
      </c>
      <c r="W802" s="352">
        <f>IF($U802="Subscription","",$Q802-$S802)</f>
        <v/>
      </c>
      <c r="X802">
        <f>IF(OR($A802="",$U802="Subscription",$J802="",$I802="",$J802=0,$I802=0,$I802&gt;$J802),"",$J802-$I802)</f>
        <v/>
      </c>
      <c r="Y802">
        <f>IF(OR($A802="",$U802="Subscription",$J802="",$J802=0,$X802=""),"",$X802/$J802)</f>
        <v/>
      </c>
    </row>
    <row r="803">
      <c r="B803" s="354" t="n"/>
      <c r="C803" s="354" t="n"/>
      <c r="E803" s="350" t="n"/>
      <c r="F803" s="350" t="n"/>
      <c r="G803" s="350" t="n"/>
      <c r="H803" s="350" t="n"/>
      <c r="I803" s="350" t="n"/>
      <c r="J803" s="352" t="n"/>
      <c r="M803" s="350" t="n"/>
      <c r="N803" s="350">
        <f>IF($A803="","",IF(OR(LOWER($D803&amp;"")="n/a",ISNUMBER(SEARCH("subscription",LOWER($A803&amp;" "&amp;$M803&amp;""))),ISNUMBER(SEARCH("membership",LOWER($A803&amp;" "&amp;$M803&amp;"")))),"",IF($G803="","",IF(ISNUMBER(SEARCH("non",LOWER($E803&amp;""))),$G803*0.85,$G803))))</f>
        <v/>
      </c>
      <c r="O803">
        <f>IF($A803="","",IF(OR(LOWER($D803&amp;"")="n/a",ISNUMBER(SEARCH("subscription",LOWER($A803&amp;" "&amp;$M803&amp;""))),ISNUMBER(SEARCH("membership",LOWER($A803&amp;" "&amp;$M803&amp;"")))),"",IF(OR($N803="",$I803="",$I803=0),"",$N803/$I803)))</f>
        <v/>
      </c>
      <c r="P803">
        <f>IF($A803="","",IF(OR(LOWER($D803&amp;"")="n/a",ISNUMBER(SEARCH("subscription",LOWER($A803&amp;" "&amp;$M803&amp;""))),ISNUMBER(SEARCH("membership",LOWER($A803&amp;" "&amp;$M803&amp;"")))),"",IF(LOWER($L803&amp;"")="yes",0,IF($K803&lt;&gt;"",$K803,IF($O803&lt;&gt;"",$O803,"")))))</f>
        <v/>
      </c>
      <c r="Q803">
        <f>IF($A803="","",IF($U803="Subscription","",IF($U803="Profit",$P803-$H803,0)))</f>
        <v/>
      </c>
      <c r="R803">
        <f>IF($A803="","",IF($U803="Subscription","",IF($U803="Draw",$H803,0)))</f>
        <v/>
      </c>
      <c r="S803">
        <f>IF($A803="","",IF($U803="Subscription","",IF($U803="Disqualified",$H803,0)))</f>
        <v/>
      </c>
      <c r="T803">
        <f>IF($A803="","",IF($U803="Subscription","",IF($H803=0,IF($U803="Profit","N/A",0),IF($U803="Profit",$Q803/$H803,IF($U803="Disqualified",-1,0)))))</f>
        <v/>
      </c>
      <c r="U803" s="350">
        <f>IF($A803="","",IF(OR(LOWER($D803&amp;"")="n/a",ISNUMBER(SEARCH("subscription",LOWER($A803&amp;" "&amp;$M803&amp;""))),ISNUMBER(SEARCH("membership",LOWER($A803&amp;" "&amp;$M803&amp;"")))),"Subscription",IF(LOWER($L803&amp;"")="yes","Disqualified",IF($P803&gt;$H803,"Profit","Draw"))))</f>
        <v/>
      </c>
      <c r="V803">
        <f>IF(OR($A803="",$B803="",$C803="",$U803="Subscription"),"",IFERROR(ROUNDUP((IF(ISNUMBER($C803),$C803,DATEVALUE($C803))-IF(ISNUMBER($B803),$B803,DATEVALUE($B803)))/7,0),""))</f>
        <v/>
      </c>
      <c r="W803" s="352">
        <f>IF($U803="Subscription","",$Q803-$S803)</f>
        <v/>
      </c>
      <c r="X803">
        <f>IF(OR($A803="",$U803="Subscription",$J803="",$I803="",$J803=0,$I803=0,$I803&gt;$J803),"",$J803-$I803)</f>
        <v/>
      </c>
      <c r="Y803">
        <f>IF(OR($A803="",$U803="Subscription",$J803="",$J803=0,$X803=""),"",$X803/$J803)</f>
        <v/>
      </c>
    </row>
    <row r="804">
      <c r="B804" s="354" t="n"/>
      <c r="C804" s="354" t="n"/>
      <c r="E804" s="350" t="n"/>
      <c r="F804" s="350" t="n"/>
      <c r="G804" s="350" t="n"/>
      <c r="H804" s="350" t="n"/>
      <c r="I804" s="350" t="n"/>
      <c r="J804" s="352" t="n"/>
      <c r="M804" s="350" t="n"/>
      <c r="N804" s="350">
        <f>IF($A804="","",IF(OR(LOWER($D804&amp;"")="n/a",ISNUMBER(SEARCH("subscription",LOWER($A804&amp;" "&amp;$M804&amp;""))),ISNUMBER(SEARCH("membership",LOWER($A804&amp;" "&amp;$M804&amp;"")))),"",IF($G804="","",IF(ISNUMBER(SEARCH("non",LOWER($E804&amp;""))),$G804*0.85,$G804))))</f>
        <v/>
      </c>
      <c r="O804">
        <f>IF($A804="","",IF(OR(LOWER($D804&amp;"")="n/a",ISNUMBER(SEARCH("subscription",LOWER($A804&amp;" "&amp;$M804&amp;""))),ISNUMBER(SEARCH("membership",LOWER($A804&amp;" "&amp;$M804&amp;"")))),"",IF(OR($N804="",$I804="",$I804=0),"",$N804/$I804)))</f>
        <v/>
      </c>
      <c r="P804">
        <f>IF($A804="","",IF(OR(LOWER($D804&amp;"")="n/a",ISNUMBER(SEARCH("subscription",LOWER($A804&amp;" "&amp;$M804&amp;""))),ISNUMBER(SEARCH("membership",LOWER($A804&amp;" "&amp;$M804&amp;"")))),"",IF(LOWER($L804&amp;"")="yes",0,IF($K804&lt;&gt;"",$K804,IF($O804&lt;&gt;"",$O804,"")))))</f>
        <v/>
      </c>
      <c r="Q804">
        <f>IF($A804="","",IF($U804="Subscription","",IF($U804="Profit",$P804-$H804,0)))</f>
        <v/>
      </c>
      <c r="R804">
        <f>IF($A804="","",IF($U804="Subscription","",IF($U804="Draw",$H804,0)))</f>
        <v/>
      </c>
      <c r="S804">
        <f>IF($A804="","",IF($U804="Subscription","",IF($U804="Disqualified",$H804,0)))</f>
        <v/>
      </c>
      <c r="T804">
        <f>IF($A804="","",IF($U804="Subscription","",IF($H804=0,IF($U804="Profit","N/A",0),IF($U804="Profit",$Q804/$H804,IF($U804="Disqualified",-1,0)))))</f>
        <v/>
      </c>
      <c r="U804" s="350">
        <f>IF($A804="","",IF(OR(LOWER($D804&amp;"")="n/a",ISNUMBER(SEARCH("subscription",LOWER($A804&amp;" "&amp;$M804&amp;""))),ISNUMBER(SEARCH("membership",LOWER($A804&amp;" "&amp;$M804&amp;"")))),"Subscription",IF(LOWER($L804&amp;"")="yes","Disqualified",IF($P804&gt;$H804,"Profit","Draw"))))</f>
        <v/>
      </c>
      <c r="V804">
        <f>IF(OR($A804="",$B804="",$C804="",$U804="Subscription"),"",IFERROR(ROUNDUP((IF(ISNUMBER($C804),$C804,DATEVALUE($C804))-IF(ISNUMBER($B804),$B804,DATEVALUE($B804)))/7,0),""))</f>
        <v/>
      </c>
      <c r="W804" s="352">
        <f>IF($U804="Subscription","",$Q804-$S804)</f>
        <v/>
      </c>
      <c r="X804">
        <f>IF(OR($A804="",$U804="Subscription",$J804="",$I804="",$J804=0,$I804=0,$I804&gt;$J804),"",$J804-$I804)</f>
        <v/>
      </c>
      <c r="Y804">
        <f>IF(OR($A804="",$U804="Subscription",$J804="",$J804=0,$X804=""),"",$X804/$J804)</f>
        <v/>
      </c>
    </row>
    <row r="805">
      <c r="B805" s="354" t="n"/>
      <c r="C805" s="354" t="n"/>
      <c r="E805" s="350" t="n"/>
      <c r="F805" s="350" t="n"/>
      <c r="G805" s="350" t="n"/>
      <c r="H805" s="350" t="n"/>
      <c r="I805" s="350" t="n"/>
      <c r="J805" s="352" t="n"/>
      <c r="M805" s="350" t="n"/>
      <c r="N805" s="350">
        <f>IF($A805="","",IF(OR(LOWER($D805&amp;"")="n/a",ISNUMBER(SEARCH("subscription",LOWER($A805&amp;" "&amp;$M805&amp;""))),ISNUMBER(SEARCH("membership",LOWER($A805&amp;" "&amp;$M805&amp;"")))),"",IF($G805="","",IF(ISNUMBER(SEARCH("non",LOWER($E805&amp;""))),$G805*0.85,$G805))))</f>
        <v/>
      </c>
      <c r="O805">
        <f>IF($A805="","",IF(OR(LOWER($D805&amp;"")="n/a",ISNUMBER(SEARCH("subscription",LOWER($A805&amp;" "&amp;$M805&amp;""))),ISNUMBER(SEARCH("membership",LOWER($A805&amp;" "&amp;$M805&amp;"")))),"",IF(OR($N805="",$I805="",$I805=0),"",$N805/$I805)))</f>
        <v/>
      </c>
      <c r="P805">
        <f>IF($A805="","",IF(OR(LOWER($D805&amp;"")="n/a",ISNUMBER(SEARCH("subscription",LOWER($A805&amp;" "&amp;$M805&amp;""))),ISNUMBER(SEARCH("membership",LOWER($A805&amp;" "&amp;$M805&amp;"")))),"",IF(LOWER($L805&amp;"")="yes",0,IF($K805&lt;&gt;"",$K805,IF($O805&lt;&gt;"",$O805,"")))))</f>
        <v/>
      </c>
      <c r="Q805">
        <f>IF($A805="","",IF($U805="Subscription","",IF($U805="Profit",$P805-$H805,0)))</f>
        <v/>
      </c>
      <c r="R805">
        <f>IF($A805="","",IF($U805="Subscription","",IF($U805="Draw",$H805,0)))</f>
        <v/>
      </c>
      <c r="S805">
        <f>IF($A805="","",IF($U805="Subscription","",IF($U805="Disqualified",$H805,0)))</f>
        <v/>
      </c>
      <c r="T805">
        <f>IF($A805="","",IF($U805="Subscription","",IF($H805=0,IF($U805="Profit","N/A",0),IF($U805="Profit",$Q805/$H805,IF($U805="Disqualified",-1,0)))))</f>
        <v/>
      </c>
      <c r="U805" s="350">
        <f>IF($A805="","",IF(OR(LOWER($D805&amp;"")="n/a",ISNUMBER(SEARCH("subscription",LOWER($A805&amp;" "&amp;$M805&amp;""))),ISNUMBER(SEARCH("membership",LOWER($A805&amp;" "&amp;$M805&amp;"")))),"Subscription",IF(LOWER($L805&amp;"")="yes","Disqualified",IF($P805&gt;$H805,"Profit","Draw"))))</f>
        <v/>
      </c>
      <c r="V805">
        <f>IF(OR($A805="",$B805="",$C805="",$U805="Subscription"),"",IFERROR(ROUNDUP((IF(ISNUMBER($C805),$C805,DATEVALUE($C805))-IF(ISNUMBER($B805),$B805,DATEVALUE($B805)))/7,0),""))</f>
        <v/>
      </c>
      <c r="W805" s="352">
        <f>IF($U805="Subscription","",$Q805-$S805)</f>
        <v/>
      </c>
      <c r="X805">
        <f>IF(OR($A805="",$U805="Subscription",$J805="",$I805="",$J805=0,$I805=0,$I805&gt;$J805),"",$J805-$I805)</f>
        <v/>
      </c>
      <c r="Y805">
        <f>IF(OR($A805="",$U805="Subscription",$J805="",$J805=0,$X805=""),"",$X805/$J805)</f>
        <v/>
      </c>
    </row>
    <row r="806">
      <c r="B806" s="354" t="n"/>
      <c r="C806" s="354" t="n"/>
      <c r="E806" s="350" t="n"/>
      <c r="F806" s="350" t="n"/>
      <c r="G806" s="350" t="n"/>
      <c r="H806" s="350" t="n"/>
      <c r="I806" s="350" t="n"/>
      <c r="J806" s="352" t="n"/>
      <c r="M806" s="350" t="n"/>
      <c r="N806" s="350">
        <f>IF($A806="","",IF(OR(LOWER($D806&amp;"")="n/a",ISNUMBER(SEARCH("subscription",LOWER($A806&amp;" "&amp;$M806&amp;""))),ISNUMBER(SEARCH("membership",LOWER($A806&amp;" "&amp;$M806&amp;"")))),"",IF($G806="","",IF(ISNUMBER(SEARCH("non",LOWER($E806&amp;""))),$G806*0.85,$G806))))</f>
        <v/>
      </c>
      <c r="O806">
        <f>IF($A806="","",IF(OR(LOWER($D806&amp;"")="n/a",ISNUMBER(SEARCH("subscription",LOWER($A806&amp;" "&amp;$M806&amp;""))),ISNUMBER(SEARCH("membership",LOWER($A806&amp;" "&amp;$M806&amp;"")))),"",IF(OR($N806="",$I806="",$I806=0),"",$N806/$I806)))</f>
        <v/>
      </c>
      <c r="P806">
        <f>IF($A806="","",IF(OR(LOWER($D806&amp;"")="n/a",ISNUMBER(SEARCH("subscription",LOWER($A806&amp;" "&amp;$M806&amp;""))),ISNUMBER(SEARCH("membership",LOWER($A806&amp;" "&amp;$M806&amp;"")))),"",IF(LOWER($L806&amp;"")="yes",0,IF($K806&lt;&gt;"",$K806,IF($O806&lt;&gt;"",$O806,"")))))</f>
        <v/>
      </c>
      <c r="Q806">
        <f>IF($A806="","",IF($U806="Subscription","",IF($U806="Profit",$P806-$H806,0)))</f>
        <v/>
      </c>
      <c r="R806">
        <f>IF($A806="","",IF($U806="Subscription","",IF($U806="Draw",$H806,0)))</f>
        <v/>
      </c>
      <c r="S806">
        <f>IF($A806="","",IF($U806="Subscription","",IF($U806="Disqualified",$H806,0)))</f>
        <v/>
      </c>
      <c r="T806">
        <f>IF($A806="","",IF($U806="Subscription","",IF($H806=0,IF($U806="Profit","N/A",0),IF($U806="Profit",$Q806/$H806,IF($U806="Disqualified",-1,0)))))</f>
        <v/>
      </c>
      <c r="U806" s="350">
        <f>IF($A806="","",IF(OR(LOWER($D806&amp;"")="n/a",ISNUMBER(SEARCH("subscription",LOWER($A806&amp;" "&amp;$M806&amp;""))),ISNUMBER(SEARCH("membership",LOWER($A806&amp;" "&amp;$M806&amp;"")))),"Subscription",IF(LOWER($L806&amp;"")="yes","Disqualified",IF($P806&gt;$H806,"Profit","Draw"))))</f>
        <v/>
      </c>
      <c r="V806">
        <f>IF(OR($A806="",$B806="",$C806="",$U806="Subscription"),"",IFERROR(ROUNDUP((IF(ISNUMBER($C806),$C806,DATEVALUE($C806))-IF(ISNUMBER($B806),$B806,DATEVALUE($B806)))/7,0),""))</f>
        <v/>
      </c>
      <c r="W806" s="352">
        <f>IF($U806="Subscription","",$Q806-$S806)</f>
        <v/>
      </c>
      <c r="X806">
        <f>IF(OR($A806="",$U806="Subscription",$J806="",$I806="",$J806=0,$I806=0,$I806&gt;$J806),"",$J806-$I806)</f>
        <v/>
      </c>
      <c r="Y806">
        <f>IF(OR($A806="",$U806="Subscription",$J806="",$J806=0,$X806=""),"",$X806/$J806)</f>
        <v/>
      </c>
    </row>
    <row r="807">
      <c r="B807" s="354" t="n"/>
      <c r="C807" s="354" t="n"/>
      <c r="E807" s="350" t="n"/>
      <c r="F807" s="350" t="n"/>
      <c r="G807" s="350" t="n"/>
      <c r="H807" s="350" t="n"/>
      <c r="I807" s="350" t="n"/>
      <c r="J807" s="352" t="n"/>
      <c r="M807" s="350" t="n"/>
      <c r="N807" s="350">
        <f>IF($A807="","",IF(OR(LOWER($D807&amp;"")="n/a",ISNUMBER(SEARCH("subscription",LOWER($A807&amp;" "&amp;$M807&amp;""))),ISNUMBER(SEARCH("membership",LOWER($A807&amp;" "&amp;$M807&amp;"")))),"",IF($G807="","",IF(ISNUMBER(SEARCH("non",LOWER($E807&amp;""))),$G807*0.85,$G807))))</f>
        <v/>
      </c>
      <c r="O807">
        <f>IF($A807="","",IF(OR(LOWER($D807&amp;"")="n/a",ISNUMBER(SEARCH("subscription",LOWER($A807&amp;" "&amp;$M807&amp;""))),ISNUMBER(SEARCH("membership",LOWER($A807&amp;" "&amp;$M807&amp;"")))),"",IF(OR($N807="",$I807="",$I807=0),"",$N807/$I807)))</f>
        <v/>
      </c>
      <c r="P807">
        <f>IF($A807="","",IF(OR(LOWER($D807&amp;"")="n/a",ISNUMBER(SEARCH("subscription",LOWER($A807&amp;" "&amp;$M807&amp;""))),ISNUMBER(SEARCH("membership",LOWER($A807&amp;" "&amp;$M807&amp;"")))),"",IF(LOWER($L807&amp;"")="yes",0,IF($K807&lt;&gt;"",$K807,IF($O807&lt;&gt;"",$O807,"")))))</f>
        <v/>
      </c>
      <c r="Q807">
        <f>IF($A807="","",IF($U807="Subscription","",IF($U807="Profit",$P807-$H807,0)))</f>
        <v/>
      </c>
      <c r="R807">
        <f>IF($A807="","",IF($U807="Subscription","",IF($U807="Draw",$H807,0)))</f>
        <v/>
      </c>
      <c r="S807">
        <f>IF($A807="","",IF($U807="Subscription","",IF($U807="Disqualified",$H807,0)))</f>
        <v/>
      </c>
      <c r="T807">
        <f>IF($A807="","",IF($U807="Subscription","",IF($H807=0,IF($U807="Profit","N/A",0),IF($U807="Profit",$Q807/$H807,IF($U807="Disqualified",-1,0)))))</f>
        <v/>
      </c>
      <c r="U807" s="350">
        <f>IF($A807="","",IF(OR(LOWER($D807&amp;"")="n/a",ISNUMBER(SEARCH("subscription",LOWER($A807&amp;" "&amp;$M807&amp;""))),ISNUMBER(SEARCH("membership",LOWER($A807&amp;" "&amp;$M807&amp;"")))),"Subscription",IF(LOWER($L807&amp;"")="yes","Disqualified",IF($P807&gt;$H807,"Profit","Draw"))))</f>
        <v/>
      </c>
      <c r="V807">
        <f>IF(OR($A807="",$B807="",$C807="",$U807="Subscription"),"",IFERROR(ROUNDUP((IF(ISNUMBER($C807),$C807,DATEVALUE($C807))-IF(ISNUMBER($B807),$B807,DATEVALUE($B807)))/7,0),""))</f>
        <v/>
      </c>
      <c r="W807" s="352">
        <f>IF($U807="Subscription","",$Q807-$S807)</f>
        <v/>
      </c>
      <c r="X807">
        <f>IF(OR($A807="",$U807="Subscription",$J807="",$I807="",$J807=0,$I807=0,$I807&gt;$J807),"",$J807-$I807)</f>
        <v/>
      </c>
      <c r="Y807">
        <f>IF(OR($A807="",$U807="Subscription",$J807="",$J807=0,$X807=""),"",$X807/$J807)</f>
        <v/>
      </c>
    </row>
    <row r="808">
      <c r="B808" s="354" t="n"/>
      <c r="C808" s="354" t="n"/>
      <c r="E808" s="350" t="n"/>
      <c r="F808" s="350" t="n"/>
      <c r="G808" s="350" t="n"/>
      <c r="H808" s="350" t="n"/>
      <c r="I808" s="350" t="n"/>
      <c r="J808" s="352" t="n"/>
      <c r="M808" s="350" t="n"/>
      <c r="N808" s="350">
        <f>IF($A808="","",IF(OR(LOWER($D808&amp;"")="n/a",ISNUMBER(SEARCH("subscription",LOWER($A808&amp;" "&amp;$M808&amp;""))),ISNUMBER(SEARCH("membership",LOWER($A808&amp;" "&amp;$M808&amp;"")))),"",IF($G808="","",IF(ISNUMBER(SEARCH("non",LOWER($E808&amp;""))),$G808*0.85,$G808))))</f>
        <v/>
      </c>
      <c r="O808">
        <f>IF($A808="","",IF(OR(LOWER($D808&amp;"")="n/a",ISNUMBER(SEARCH("subscription",LOWER($A808&amp;" "&amp;$M808&amp;""))),ISNUMBER(SEARCH("membership",LOWER($A808&amp;" "&amp;$M808&amp;"")))),"",IF(OR($N808="",$I808="",$I808=0),"",$N808/$I808)))</f>
        <v/>
      </c>
      <c r="P808">
        <f>IF($A808="","",IF(OR(LOWER($D808&amp;"")="n/a",ISNUMBER(SEARCH("subscription",LOWER($A808&amp;" "&amp;$M808&amp;""))),ISNUMBER(SEARCH("membership",LOWER($A808&amp;" "&amp;$M808&amp;"")))),"",IF(LOWER($L808&amp;"")="yes",0,IF($K808&lt;&gt;"",$K808,IF($O808&lt;&gt;"",$O808,"")))))</f>
        <v/>
      </c>
      <c r="Q808">
        <f>IF($A808="","",IF($U808="Subscription","",IF($U808="Profit",$P808-$H808,0)))</f>
        <v/>
      </c>
      <c r="R808">
        <f>IF($A808="","",IF($U808="Subscription","",IF($U808="Draw",$H808,0)))</f>
        <v/>
      </c>
      <c r="S808">
        <f>IF($A808="","",IF($U808="Subscription","",IF($U808="Disqualified",$H808,0)))</f>
        <v/>
      </c>
      <c r="T808">
        <f>IF($A808="","",IF($U808="Subscription","",IF($H808=0,IF($U808="Profit","N/A",0),IF($U808="Profit",$Q808/$H808,IF($U808="Disqualified",-1,0)))))</f>
        <v/>
      </c>
      <c r="U808" s="350">
        <f>IF($A808="","",IF(OR(LOWER($D808&amp;"")="n/a",ISNUMBER(SEARCH("subscription",LOWER($A808&amp;" "&amp;$M808&amp;""))),ISNUMBER(SEARCH("membership",LOWER($A808&amp;" "&amp;$M808&amp;"")))),"Subscription",IF(LOWER($L808&amp;"")="yes","Disqualified",IF($P808&gt;$H808,"Profit","Draw"))))</f>
        <v/>
      </c>
      <c r="V808">
        <f>IF(OR($A808="",$B808="",$C808="",$U808="Subscription"),"",IFERROR(ROUNDUP((IF(ISNUMBER($C808),$C808,DATEVALUE($C808))-IF(ISNUMBER($B808),$B808,DATEVALUE($B808)))/7,0),""))</f>
        <v/>
      </c>
      <c r="W808" s="352">
        <f>IF($U808="Subscription","",$Q808-$S808)</f>
        <v/>
      </c>
      <c r="X808">
        <f>IF(OR($A808="",$U808="Subscription",$J808="",$I808="",$J808=0,$I808=0,$I808&gt;$J808),"",$J808-$I808)</f>
        <v/>
      </c>
      <c r="Y808">
        <f>IF(OR($A808="",$U808="Subscription",$J808="",$J808=0,$X808=""),"",$X808/$J808)</f>
        <v/>
      </c>
    </row>
    <row r="809">
      <c r="B809" s="354" t="n"/>
      <c r="C809" s="354" t="n"/>
      <c r="E809" s="350" t="n"/>
      <c r="F809" s="350" t="n"/>
      <c r="G809" s="350" t="n"/>
      <c r="H809" s="350" t="n"/>
      <c r="I809" s="350" t="n"/>
      <c r="J809" s="352" t="n"/>
      <c r="M809" s="350" t="n"/>
      <c r="N809" s="350">
        <f>IF($A809="","",IF(OR(LOWER($D809&amp;"")="n/a",ISNUMBER(SEARCH("subscription",LOWER($A809&amp;" "&amp;$M809&amp;""))),ISNUMBER(SEARCH("membership",LOWER($A809&amp;" "&amp;$M809&amp;"")))),"",IF($G809="","",IF(ISNUMBER(SEARCH("non",LOWER($E809&amp;""))),$G809*0.85,$G809))))</f>
        <v/>
      </c>
      <c r="O809">
        <f>IF($A809="","",IF(OR(LOWER($D809&amp;"")="n/a",ISNUMBER(SEARCH("subscription",LOWER($A809&amp;" "&amp;$M809&amp;""))),ISNUMBER(SEARCH("membership",LOWER($A809&amp;" "&amp;$M809&amp;"")))),"",IF(OR($N809="",$I809="",$I809=0),"",$N809/$I809)))</f>
        <v/>
      </c>
      <c r="P809">
        <f>IF($A809="","",IF(OR(LOWER($D809&amp;"")="n/a",ISNUMBER(SEARCH("subscription",LOWER($A809&amp;" "&amp;$M809&amp;""))),ISNUMBER(SEARCH("membership",LOWER($A809&amp;" "&amp;$M809&amp;"")))),"",IF(LOWER($L809&amp;"")="yes",0,IF($K809&lt;&gt;"",$K809,IF($O809&lt;&gt;"",$O809,"")))))</f>
        <v/>
      </c>
      <c r="Q809">
        <f>IF($A809="","",IF($U809="Subscription","",IF($U809="Profit",$P809-$H809,0)))</f>
        <v/>
      </c>
      <c r="R809">
        <f>IF($A809="","",IF($U809="Subscription","",IF($U809="Draw",$H809,0)))</f>
        <v/>
      </c>
      <c r="S809">
        <f>IF($A809="","",IF($U809="Subscription","",IF($U809="Disqualified",$H809,0)))</f>
        <v/>
      </c>
      <c r="T809">
        <f>IF($A809="","",IF($U809="Subscription","",IF($H809=0,IF($U809="Profit","N/A",0),IF($U809="Profit",$Q809/$H809,IF($U809="Disqualified",-1,0)))))</f>
        <v/>
      </c>
      <c r="U809" s="350">
        <f>IF($A809="","",IF(OR(LOWER($D809&amp;"")="n/a",ISNUMBER(SEARCH("subscription",LOWER($A809&amp;" "&amp;$M809&amp;""))),ISNUMBER(SEARCH("membership",LOWER($A809&amp;" "&amp;$M809&amp;"")))),"Subscription",IF(LOWER($L809&amp;"")="yes","Disqualified",IF($P809&gt;$H809,"Profit","Draw"))))</f>
        <v/>
      </c>
      <c r="V809">
        <f>IF(OR($A809="",$B809="",$C809="",$U809="Subscription"),"",IFERROR(ROUNDUP((IF(ISNUMBER($C809),$C809,DATEVALUE($C809))-IF(ISNUMBER($B809),$B809,DATEVALUE($B809)))/7,0),""))</f>
        <v/>
      </c>
      <c r="W809" s="352">
        <f>IF($U809="Subscription","",$Q809-$S809)</f>
        <v/>
      </c>
      <c r="X809">
        <f>IF(OR($A809="",$U809="Subscription",$J809="",$I809="",$J809=0,$I809=0,$I809&gt;$J809),"",$J809-$I809)</f>
        <v/>
      </c>
      <c r="Y809">
        <f>IF(OR($A809="",$U809="Subscription",$J809="",$J809=0,$X809=""),"",$X809/$J809)</f>
        <v/>
      </c>
    </row>
    <row r="810">
      <c r="B810" s="354" t="n"/>
      <c r="C810" s="354" t="n"/>
      <c r="E810" s="350" t="n"/>
      <c r="F810" s="350" t="n"/>
      <c r="G810" s="350" t="n"/>
      <c r="H810" s="350" t="n"/>
      <c r="I810" s="350" t="n"/>
      <c r="J810" s="352" t="n"/>
      <c r="M810" s="350" t="n"/>
      <c r="N810" s="350">
        <f>IF($A810="","",IF(OR(LOWER($D810&amp;"")="n/a",ISNUMBER(SEARCH("subscription",LOWER($A810&amp;" "&amp;$M810&amp;""))),ISNUMBER(SEARCH("membership",LOWER($A810&amp;" "&amp;$M810&amp;"")))),"",IF($G810="","",IF(ISNUMBER(SEARCH("non",LOWER($E810&amp;""))),$G810*0.85,$G810))))</f>
        <v/>
      </c>
      <c r="O810">
        <f>IF($A810="","",IF(OR(LOWER($D810&amp;"")="n/a",ISNUMBER(SEARCH("subscription",LOWER($A810&amp;" "&amp;$M810&amp;""))),ISNUMBER(SEARCH("membership",LOWER($A810&amp;" "&amp;$M810&amp;"")))),"",IF(OR($N810="",$I810="",$I810=0),"",$N810/$I810)))</f>
        <v/>
      </c>
      <c r="P810">
        <f>IF($A810="","",IF(OR(LOWER($D810&amp;"")="n/a",ISNUMBER(SEARCH("subscription",LOWER($A810&amp;" "&amp;$M810&amp;""))),ISNUMBER(SEARCH("membership",LOWER($A810&amp;" "&amp;$M810&amp;"")))),"",IF(LOWER($L810&amp;"")="yes",0,IF($K810&lt;&gt;"",$K810,IF($O810&lt;&gt;"",$O810,"")))))</f>
        <v/>
      </c>
      <c r="Q810">
        <f>IF($A810="","",IF($U810="Subscription","",IF($U810="Profit",$P810-$H810,0)))</f>
        <v/>
      </c>
      <c r="R810">
        <f>IF($A810="","",IF($U810="Subscription","",IF($U810="Draw",$H810,0)))</f>
        <v/>
      </c>
      <c r="S810">
        <f>IF($A810="","",IF($U810="Subscription","",IF($U810="Disqualified",$H810,0)))</f>
        <v/>
      </c>
      <c r="T810">
        <f>IF($A810="","",IF($U810="Subscription","",IF($H810=0,IF($U810="Profit","N/A",0),IF($U810="Profit",$Q810/$H810,IF($U810="Disqualified",-1,0)))))</f>
        <v/>
      </c>
      <c r="U810" s="350">
        <f>IF($A810="","",IF(OR(LOWER($D810&amp;"")="n/a",ISNUMBER(SEARCH("subscription",LOWER($A810&amp;" "&amp;$M810&amp;""))),ISNUMBER(SEARCH("membership",LOWER($A810&amp;" "&amp;$M810&amp;"")))),"Subscription",IF(LOWER($L810&amp;"")="yes","Disqualified",IF($P810&gt;$H810,"Profit","Draw"))))</f>
        <v/>
      </c>
      <c r="V810">
        <f>IF(OR($A810="",$B810="",$C810="",$U810="Subscription"),"",IFERROR(ROUNDUP((IF(ISNUMBER($C810),$C810,DATEVALUE($C810))-IF(ISNUMBER($B810),$B810,DATEVALUE($B810)))/7,0),""))</f>
        <v/>
      </c>
      <c r="W810" s="352">
        <f>IF($U810="Subscription","",$Q810-$S810)</f>
        <v/>
      </c>
      <c r="X810">
        <f>IF(OR($A810="",$U810="Subscription",$J810="",$I810="",$J810=0,$I810=0,$I810&gt;$J810),"",$J810-$I810)</f>
        <v/>
      </c>
      <c r="Y810">
        <f>IF(OR($A810="",$U810="Subscription",$J810="",$J810=0,$X810=""),"",$X810/$J810)</f>
        <v/>
      </c>
    </row>
    <row r="811">
      <c r="B811" s="354" t="n"/>
      <c r="C811" s="354" t="n"/>
      <c r="E811" s="350" t="n"/>
      <c r="F811" s="350" t="n"/>
      <c r="G811" s="350" t="n"/>
      <c r="H811" s="350" t="n"/>
      <c r="I811" s="350" t="n"/>
      <c r="J811" s="352" t="n"/>
      <c r="M811" s="350" t="n"/>
      <c r="N811" s="350">
        <f>IF($A811="","",IF(OR(LOWER($D811&amp;"")="n/a",ISNUMBER(SEARCH("subscription",LOWER($A811&amp;" "&amp;$M811&amp;""))),ISNUMBER(SEARCH("membership",LOWER($A811&amp;" "&amp;$M811&amp;"")))),"",IF($G811="","",IF(ISNUMBER(SEARCH("non",LOWER($E811&amp;""))),$G811*0.85,$G811))))</f>
        <v/>
      </c>
      <c r="O811">
        <f>IF($A811="","",IF(OR(LOWER($D811&amp;"")="n/a",ISNUMBER(SEARCH("subscription",LOWER($A811&amp;" "&amp;$M811&amp;""))),ISNUMBER(SEARCH("membership",LOWER($A811&amp;" "&amp;$M811&amp;"")))),"",IF(OR($N811="",$I811="",$I811=0),"",$N811/$I811)))</f>
        <v/>
      </c>
      <c r="P811">
        <f>IF($A811="","",IF(OR(LOWER($D811&amp;"")="n/a",ISNUMBER(SEARCH("subscription",LOWER($A811&amp;" "&amp;$M811&amp;""))),ISNUMBER(SEARCH("membership",LOWER($A811&amp;" "&amp;$M811&amp;"")))),"",IF(LOWER($L811&amp;"")="yes",0,IF($K811&lt;&gt;"",$K811,IF($O811&lt;&gt;"",$O811,"")))))</f>
        <v/>
      </c>
      <c r="Q811">
        <f>IF($A811="","",IF($U811="Subscription","",IF($U811="Profit",$P811-$H811,0)))</f>
        <v/>
      </c>
      <c r="R811">
        <f>IF($A811="","",IF($U811="Subscription","",IF($U811="Draw",$H811,0)))</f>
        <v/>
      </c>
      <c r="S811">
        <f>IF($A811="","",IF($U811="Subscription","",IF($U811="Disqualified",$H811,0)))</f>
        <v/>
      </c>
      <c r="T811">
        <f>IF($A811="","",IF($U811="Subscription","",IF($H811=0,IF($U811="Profit","N/A",0),IF($U811="Profit",$Q811/$H811,IF($U811="Disqualified",-1,0)))))</f>
        <v/>
      </c>
      <c r="U811" s="350">
        <f>IF($A811="","",IF(OR(LOWER($D811&amp;"")="n/a",ISNUMBER(SEARCH("subscription",LOWER($A811&amp;" "&amp;$M811&amp;""))),ISNUMBER(SEARCH("membership",LOWER($A811&amp;" "&amp;$M811&amp;"")))),"Subscription",IF(LOWER($L811&amp;"")="yes","Disqualified",IF($P811&gt;$H811,"Profit","Draw"))))</f>
        <v/>
      </c>
      <c r="V811">
        <f>IF(OR($A811="",$B811="",$C811="",$U811="Subscription"),"",IFERROR(ROUNDUP((IF(ISNUMBER($C811),$C811,DATEVALUE($C811))-IF(ISNUMBER($B811),$B811,DATEVALUE($B811)))/7,0),""))</f>
        <v/>
      </c>
      <c r="W811" s="352">
        <f>IF($U811="Subscription","",$Q811-$S811)</f>
        <v/>
      </c>
      <c r="X811">
        <f>IF(OR($A811="",$U811="Subscription",$J811="",$I811="",$J811=0,$I811=0,$I811&gt;$J811),"",$J811-$I811)</f>
        <v/>
      </c>
      <c r="Y811">
        <f>IF(OR($A811="",$U811="Subscription",$J811="",$J811=0,$X811=""),"",$X811/$J811)</f>
        <v/>
      </c>
    </row>
    <row r="812">
      <c r="B812" s="354" t="n"/>
      <c r="C812" s="354" t="n"/>
      <c r="E812" s="350" t="n"/>
      <c r="F812" s="350" t="n"/>
      <c r="G812" s="350" t="n"/>
      <c r="H812" s="350" t="n"/>
      <c r="I812" s="350" t="n"/>
      <c r="J812" s="352" t="n"/>
      <c r="M812" s="350" t="n"/>
      <c r="N812" s="350">
        <f>IF($A812="","",IF(OR(LOWER($D812&amp;"")="n/a",ISNUMBER(SEARCH("subscription",LOWER($A812&amp;" "&amp;$M812&amp;""))),ISNUMBER(SEARCH("membership",LOWER($A812&amp;" "&amp;$M812&amp;"")))),"",IF($G812="","",IF(ISNUMBER(SEARCH("non",LOWER($E812&amp;""))),$G812*0.85,$G812))))</f>
        <v/>
      </c>
      <c r="O812">
        <f>IF($A812="","",IF(OR(LOWER($D812&amp;"")="n/a",ISNUMBER(SEARCH("subscription",LOWER($A812&amp;" "&amp;$M812&amp;""))),ISNUMBER(SEARCH("membership",LOWER($A812&amp;" "&amp;$M812&amp;"")))),"",IF(OR($N812="",$I812="",$I812=0),"",$N812/$I812)))</f>
        <v/>
      </c>
      <c r="P812">
        <f>IF($A812="","",IF(OR(LOWER($D812&amp;"")="n/a",ISNUMBER(SEARCH("subscription",LOWER($A812&amp;" "&amp;$M812&amp;""))),ISNUMBER(SEARCH("membership",LOWER($A812&amp;" "&amp;$M812&amp;"")))),"",IF(LOWER($L812&amp;"")="yes",0,IF($K812&lt;&gt;"",$K812,IF($O812&lt;&gt;"",$O812,"")))))</f>
        <v/>
      </c>
      <c r="Q812">
        <f>IF($A812="","",IF($U812="Subscription","",IF($U812="Profit",$P812-$H812,0)))</f>
        <v/>
      </c>
      <c r="R812">
        <f>IF($A812="","",IF($U812="Subscription","",IF($U812="Draw",$H812,0)))</f>
        <v/>
      </c>
      <c r="S812">
        <f>IF($A812="","",IF($U812="Subscription","",IF($U812="Disqualified",$H812,0)))</f>
        <v/>
      </c>
      <c r="T812">
        <f>IF($A812="","",IF($U812="Subscription","",IF($H812=0,IF($U812="Profit","N/A",0),IF($U812="Profit",$Q812/$H812,IF($U812="Disqualified",-1,0)))))</f>
        <v/>
      </c>
      <c r="U812" s="350">
        <f>IF($A812="","",IF(OR(LOWER($D812&amp;"")="n/a",ISNUMBER(SEARCH("subscription",LOWER($A812&amp;" "&amp;$M812&amp;""))),ISNUMBER(SEARCH("membership",LOWER($A812&amp;" "&amp;$M812&amp;"")))),"Subscription",IF(LOWER($L812&amp;"")="yes","Disqualified",IF($P812&gt;$H812,"Profit","Draw"))))</f>
        <v/>
      </c>
      <c r="V812">
        <f>IF(OR($A812="",$B812="",$C812="",$U812="Subscription"),"",IFERROR(ROUNDUP((IF(ISNUMBER($C812),$C812,DATEVALUE($C812))-IF(ISNUMBER($B812),$B812,DATEVALUE($B812)))/7,0),""))</f>
        <v/>
      </c>
      <c r="W812" s="352">
        <f>IF($U812="Subscription","",$Q812-$S812)</f>
        <v/>
      </c>
      <c r="X812">
        <f>IF(OR($A812="",$U812="Subscription",$J812="",$I812="",$J812=0,$I812=0,$I812&gt;$J812),"",$J812-$I812)</f>
        <v/>
      </c>
      <c r="Y812">
        <f>IF(OR($A812="",$U812="Subscription",$J812="",$J812=0,$X812=""),"",$X812/$J812)</f>
        <v/>
      </c>
    </row>
    <row r="813">
      <c r="B813" s="354" t="n"/>
      <c r="C813" s="354" t="n"/>
      <c r="E813" s="350" t="n"/>
      <c r="F813" s="350" t="n"/>
      <c r="G813" s="350" t="n"/>
      <c r="H813" s="350" t="n"/>
      <c r="I813" s="350" t="n"/>
      <c r="J813" s="352" t="n"/>
      <c r="M813" s="350" t="n"/>
      <c r="N813" s="350">
        <f>IF($A813="","",IF(OR(LOWER($D813&amp;"")="n/a",ISNUMBER(SEARCH("subscription",LOWER($A813&amp;" "&amp;$M813&amp;""))),ISNUMBER(SEARCH("membership",LOWER($A813&amp;" "&amp;$M813&amp;"")))),"",IF($G813="","",IF(ISNUMBER(SEARCH("non",LOWER($E813&amp;""))),$G813*0.85,$G813))))</f>
        <v/>
      </c>
      <c r="O813">
        <f>IF($A813="","",IF(OR(LOWER($D813&amp;"")="n/a",ISNUMBER(SEARCH("subscription",LOWER($A813&amp;" "&amp;$M813&amp;""))),ISNUMBER(SEARCH("membership",LOWER($A813&amp;" "&amp;$M813&amp;"")))),"",IF(OR($N813="",$I813="",$I813=0),"",$N813/$I813)))</f>
        <v/>
      </c>
      <c r="P813">
        <f>IF($A813="","",IF(OR(LOWER($D813&amp;"")="n/a",ISNUMBER(SEARCH("subscription",LOWER($A813&amp;" "&amp;$M813&amp;""))),ISNUMBER(SEARCH("membership",LOWER($A813&amp;" "&amp;$M813&amp;"")))),"",IF(LOWER($L813&amp;"")="yes",0,IF($K813&lt;&gt;"",$K813,IF($O813&lt;&gt;"",$O813,"")))))</f>
        <v/>
      </c>
      <c r="Q813">
        <f>IF($A813="","",IF($U813="Subscription","",IF($U813="Profit",$P813-$H813,0)))</f>
        <v/>
      </c>
      <c r="R813">
        <f>IF($A813="","",IF($U813="Subscription","",IF($U813="Draw",$H813,0)))</f>
        <v/>
      </c>
      <c r="S813">
        <f>IF($A813="","",IF($U813="Subscription","",IF($U813="Disqualified",$H813,0)))</f>
        <v/>
      </c>
      <c r="T813">
        <f>IF($A813="","",IF($U813="Subscription","",IF($H813=0,IF($U813="Profit","N/A",0),IF($U813="Profit",$Q813/$H813,IF($U813="Disqualified",-1,0)))))</f>
        <v/>
      </c>
      <c r="U813" s="350">
        <f>IF($A813="","",IF(OR(LOWER($D813&amp;"")="n/a",ISNUMBER(SEARCH("subscription",LOWER($A813&amp;" "&amp;$M813&amp;""))),ISNUMBER(SEARCH("membership",LOWER($A813&amp;" "&amp;$M813&amp;"")))),"Subscription",IF(LOWER($L813&amp;"")="yes","Disqualified",IF($P813&gt;$H813,"Profit","Draw"))))</f>
        <v/>
      </c>
      <c r="V813">
        <f>IF(OR($A813="",$B813="",$C813="",$U813="Subscription"),"",IFERROR(ROUNDUP((IF(ISNUMBER($C813),$C813,DATEVALUE($C813))-IF(ISNUMBER($B813),$B813,DATEVALUE($B813)))/7,0),""))</f>
        <v/>
      </c>
      <c r="W813" s="352">
        <f>IF($U813="Subscription","",$Q813-$S813)</f>
        <v/>
      </c>
      <c r="X813">
        <f>IF(OR($A813="",$U813="Subscription",$J813="",$I813="",$J813=0,$I813=0,$I813&gt;$J813),"",$J813-$I813)</f>
        <v/>
      </c>
      <c r="Y813">
        <f>IF(OR($A813="",$U813="Subscription",$J813="",$J813=0,$X813=""),"",$X813/$J813)</f>
        <v/>
      </c>
    </row>
    <row r="814">
      <c r="B814" s="354" t="n"/>
      <c r="C814" s="354" t="n"/>
      <c r="E814" s="350" t="n"/>
      <c r="F814" s="350" t="n"/>
      <c r="G814" s="350" t="n"/>
      <c r="H814" s="350" t="n"/>
      <c r="I814" s="350" t="n"/>
      <c r="J814" s="352" t="n"/>
      <c r="M814" s="350" t="n"/>
      <c r="N814" s="350">
        <f>IF($A814="","",IF(OR(LOWER($D814&amp;"")="n/a",ISNUMBER(SEARCH("subscription",LOWER($A814&amp;" "&amp;$M814&amp;""))),ISNUMBER(SEARCH("membership",LOWER($A814&amp;" "&amp;$M814&amp;"")))),"",IF($G814="","",IF(ISNUMBER(SEARCH("non",LOWER($E814&amp;""))),$G814*0.85,$G814))))</f>
        <v/>
      </c>
      <c r="O814">
        <f>IF($A814="","",IF(OR(LOWER($D814&amp;"")="n/a",ISNUMBER(SEARCH("subscription",LOWER($A814&amp;" "&amp;$M814&amp;""))),ISNUMBER(SEARCH("membership",LOWER($A814&amp;" "&amp;$M814&amp;"")))),"",IF(OR($N814="",$I814="",$I814=0),"",$N814/$I814)))</f>
        <v/>
      </c>
      <c r="P814">
        <f>IF($A814="","",IF(OR(LOWER($D814&amp;"")="n/a",ISNUMBER(SEARCH("subscription",LOWER($A814&amp;" "&amp;$M814&amp;""))),ISNUMBER(SEARCH("membership",LOWER($A814&amp;" "&amp;$M814&amp;"")))),"",IF(LOWER($L814&amp;"")="yes",0,IF($K814&lt;&gt;"",$K814,IF($O814&lt;&gt;"",$O814,"")))))</f>
        <v/>
      </c>
      <c r="Q814">
        <f>IF($A814="","",IF($U814="Subscription","",IF($U814="Profit",$P814-$H814,0)))</f>
        <v/>
      </c>
      <c r="R814">
        <f>IF($A814="","",IF($U814="Subscription","",IF($U814="Draw",$H814,0)))</f>
        <v/>
      </c>
      <c r="S814">
        <f>IF($A814="","",IF($U814="Subscription","",IF($U814="Disqualified",$H814,0)))</f>
        <v/>
      </c>
      <c r="T814">
        <f>IF($A814="","",IF($U814="Subscription","",IF($H814=0,IF($U814="Profit","N/A",0),IF($U814="Profit",$Q814/$H814,IF($U814="Disqualified",-1,0)))))</f>
        <v/>
      </c>
      <c r="U814" s="350">
        <f>IF($A814="","",IF(OR(LOWER($D814&amp;"")="n/a",ISNUMBER(SEARCH("subscription",LOWER($A814&amp;" "&amp;$M814&amp;""))),ISNUMBER(SEARCH("membership",LOWER($A814&amp;" "&amp;$M814&amp;"")))),"Subscription",IF(LOWER($L814&amp;"")="yes","Disqualified",IF($P814&gt;$H814,"Profit","Draw"))))</f>
        <v/>
      </c>
      <c r="V814">
        <f>IF(OR($A814="",$B814="",$C814="",$U814="Subscription"),"",IFERROR(ROUNDUP((IF(ISNUMBER($C814),$C814,DATEVALUE($C814))-IF(ISNUMBER($B814),$B814,DATEVALUE($B814)))/7,0),""))</f>
        <v/>
      </c>
      <c r="W814" s="352">
        <f>IF($U814="Subscription","",$Q814-$S814)</f>
        <v/>
      </c>
      <c r="X814">
        <f>IF(OR($A814="",$U814="Subscription",$J814="",$I814="",$J814=0,$I814=0,$I814&gt;$J814),"",$J814-$I814)</f>
        <v/>
      </c>
      <c r="Y814">
        <f>IF(OR($A814="",$U814="Subscription",$J814="",$J814=0,$X814=""),"",$X814/$J814)</f>
        <v/>
      </c>
    </row>
    <row r="815">
      <c r="B815" s="354" t="n"/>
      <c r="C815" s="354" t="n"/>
      <c r="E815" s="350" t="n"/>
      <c r="F815" s="350" t="n"/>
      <c r="G815" s="350" t="n"/>
      <c r="H815" s="350" t="n"/>
      <c r="I815" s="350" t="n"/>
      <c r="J815" s="352" t="n"/>
      <c r="M815" s="350" t="n"/>
      <c r="N815" s="350">
        <f>IF($A815="","",IF(OR(LOWER($D815&amp;"")="n/a",ISNUMBER(SEARCH("subscription",LOWER($A815&amp;" "&amp;$M815&amp;""))),ISNUMBER(SEARCH("membership",LOWER($A815&amp;" "&amp;$M815&amp;"")))),"",IF($G815="","",IF(ISNUMBER(SEARCH("non",LOWER($E815&amp;""))),$G815*0.85,$G815))))</f>
        <v/>
      </c>
      <c r="O815">
        <f>IF($A815="","",IF(OR(LOWER($D815&amp;"")="n/a",ISNUMBER(SEARCH("subscription",LOWER($A815&amp;" "&amp;$M815&amp;""))),ISNUMBER(SEARCH("membership",LOWER($A815&amp;" "&amp;$M815&amp;"")))),"",IF(OR($N815="",$I815="",$I815=0),"",$N815/$I815)))</f>
        <v/>
      </c>
      <c r="P815">
        <f>IF($A815="","",IF(OR(LOWER($D815&amp;"")="n/a",ISNUMBER(SEARCH("subscription",LOWER($A815&amp;" "&amp;$M815&amp;""))),ISNUMBER(SEARCH("membership",LOWER($A815&amp;" "&amp;$M815&amp;"")))),"",IF(LOWER($L815&amp;"")="yes",0,IF($K815&lt;&gt;"",$K815,IF($O815&lt;&gt;"",$O815,"")))))</f>
        <v/>
      </c>
      <c r="Q815">
        <f>IF($A815="","",IF($U815="Subscription","",IF($U815="Profit",$P815-$H815,0)))</f>
        <v/>
      </c>
      <c r="R815">
        <f>IF($A815="","",IF($U815="Subscription","",IF($U815="Draw",$H815,0)))</f>
        <v/>
      </c>
      <c r="S815">
        <f>IF($A815="","",IF($U815="Subscription","",IF($U815="Disqualified",$H815,0)))</f>
        <v/>
      </c>
      <c r="T815">
        <f>IF($A815="","",IF($U815="Subscription","",IF($H815=0,IF($U815="Profit","N/A",0),IF($U815="Profit",$Q815/$H815,IF($U815="Disqualified",-1,0)))))</f>
        <v/>
      </c>
      <c r="U815" s="350">
        <f>IF($A815="","",IF(OR(LOWER($D815&amp;"")="n/a",ISNUMBER(SEARCH("subscription",LOWER($A815&amp;" "&amp;$M815&amp;""))),ISNUMBER(SEARCH("membership",LOWER($A815&amp;" "&amp;$M815&amp;"")))),"Subscription",IF(LOWER($L815&amp;"")="yes","Disqualified",IF($P815&gt;$H815,"Profit","Draw"))))</f>
        <v/>
      </c>
      <c r="V815">
        <f>IF(OR($A815="",$B815="",$C815="",$U815="Subscription"),"",IFERROR(ROUNDUP((IF(ISNUMBER($C815),$C815,DATEVALUE($C815))-IF(ISNUMBER($B815),$B815,DATEVALUE($B815)))/7,0),""))</f>
        <v/>
      </c>
      <c r="W815" s="352">
        <f>IF($U815="Subscription","",$Q815-$S815)</f>
        <v/>
      </c>
      <c r="X815">
        <f>IF(OR($A815="",$U815="Subscription",$J815="",$I815="",$J815=0,$I815=0,$I815&gt;$J815),"",$J815-$I815)</f>
        <v/>
      </c>
      <c r="Y815">
        <f>IF(OR($A815="",$U815="Subscription",$J815="",$J815=0,$X815=""),"",$X815/$J815)</f>
        <v/>
      </c>
    </row>
    <row r="816">
      <c r="B816" s="354" t="n"/>
      <c r="C816" s="354" t="n"/>
      <c r="E816" s="350" t="n"/>
      <c r="F816" s="350" t="n"/>
      <c r="G816" s="350" t="n"/>
      <c r="H816" s="350" t="n"/>
      <c r="I816" s="350" t="n"/>
      <c r="J816" s="352" t="n"/>
      <c r="M816" s="350" t="n"/>
      <c r="N816" s="350">
        <f>IF($A816="","",IF(OR(LOWER($D816&amp;"")="n/a",ISNUMBER(SEARCH("subscription",LOWER($A816&amp;" "&amp;$M816&amp;""))),ISNUMBER(SEARCH("membership",LOWER($A816&amp;" "&amp;$M816&amp;"")))),"",IF($G816="","",IF(ISNUMBER(SEARCH("non",LOWER($E816&amp;""))),$G816*0.85,$G816))))</f>
        <v/>
      </c>
      <c r="O816">
        <f>IF($A816="","",IF(OR(LOWER($D816&amp;"")="n/a",ISNUMBER(SEARCH("subscription",LOWER($A816&amp;" "&amp;$M816&amp;""))),ISNUMBER(SEARCH("membership",LOWER($A816&amp;" "&amp;$M816&amp;"")))),"",IF(OR($N816="",$I816="",$I816=0),"",$N816/$I816)))</f>
        <v/>
      </c>
      <c r="P816">
        <f>IF($A816="","",IF(OR(LOWER($D816&amp;"")="n/a",ISNUMBER(SEARCH("subscription",LOWER($A816&amp;" "&amp;$M816&amp;""))),ISNUMBER(SEARCH("membership",LOWER($A816&amp;" "&amp;$M816&amp;"")))),"",IF(LOWER($L816&amp;"")="yes",0,IF($K816&lt;&gt;"",$K816,IF($O816&lt;&gt;"",$O816,"")))))</f>
        <v/>
      </c>
      <c r="Q816">
        <f>IF($A816="","",IF($U816="Subscription","",IF($U816="Profit",$P816-$H816,0)))</f>
        <v/>
      </c>
      <c r="R816">
        <f>IF($A816="","",IF($U816="Subscription","",IF($U816="Draw",$H816,0)))</f>
        <v/>
      </c>
      <c r="S816">
        <f>IF($A816="","",IF($U816="Subscription","",IF($U816="Disqualified",$H816,0)))</f>
        <v/>
      </c>
      <c r="T816">
        <f>IF($A816="","",IF($U816="Subscription","",IF($H816=0,IF($U816="Profit","N/A",0),IF($U816="Profit",$Q816/$H816,IF($U816="Disqualified",-1,0)))))</f>
        <v/>
      </c>
      <c r="U816" s="350">
        <f>IF($A816="","",IF(OR(LOWER($D816&amp;"")="n/a",ISNUMBER(SEARCH("subscription",LOWER($A816&amp;" "&amp;$M816&amp;""))),ISNUMBER(SEARCH("membership",LOWER($A816&amp;" "&amp;$M816&amp;"")))),"Subscription",IF(LOWER($L816&amp;"")="yes","Disqualified",IF($P816&gt;$H816,"Profit","Draw"))))</f>
        <v/>
      </c>
      <c r="V816">
        <f>IF(OR($A816="",$B816="",$C816="",$U816="Subscription"),"",IFERROR(ROUNDUP((IF(ISNUMBER($C816),$C816,DATEVALUE($C816))-IF(ISNUMBER($B816),$B816,DATEVALUE($B816)))/7,0),""))</f>
        <v/>
      </c>
      <c r="W816" s="352">
        <f>IF($U816="Subscription","",$Q816-$S816)</f>
        <v/>
      </c>
      <c r="X816">
        <f>IF(OR($A816="",$U816="Subscription",$J816="",$I816="",$J816=0,$I816=0,$I816&gt;$J816),"",$J816-$I816)</f>
        <v/>
      </c>
      <c r="Y816">
        <f>IF(OR($A816="",$U816="Subscription",$J816="",$J816=0,$X816=""),"",$X816/$J816)</f>
        <v/>
      </c>
    </row>
    <row r="817">
      <c r="B817" s="354" t="n"/>
      <c r="C817" s="354" t="n"/>
      <c r="E817" s="350" t="n"/>
      <c r="F817" s="350" t="n"/>
      <c r="G817" s="350" t="n"/>
      <c r="H817" s="350" t="n"/>
      <c r="I817" s="350" t="n"/>
      <c r="J817" s="352" t="n"/>
      <c r="M817" s="350" t="n"/>
      <c r="N817" s="350">
        <f>IF($A817="","",IF(OR(LOWER($D817&amp;"")="n/a",ISNUMBER(SEARCH("subscription",LOWER($A817&amp;" "&amp;$M817&amp;""))),ISNUMBER(SEARCH("membership",LOWER($A817&amp;" "&amp;$M817&amp;"")))),"",IF($G817="","",IF(ISNUMBER(SEARCH("non",LOWER($E817&amp;""))),$G817*0.85,$G817))))</f>
        <v/>
      </c>
      <c r="O817">
        <f>IF($A817="","",IF(OR(LOWER($D817&amp;"")="n/a",ISNUMBER(SEARCH("subscription",LOWER($A817&amp;" "&amp;$M817&amp;""))),ISNUMBER(SEARCH("membership",LOWER($A817&amp;" "&amp;$M817&amp;"")))),"",IF(OR($N817="",$I817="",$I817=0),"",$N817/$I817)))</f>
        <v/>
      </c>
      <c r="P817">
        <f>IF($A817="","",IF(OR(LOWER($D817&amp;"")="n/a",ISNUMBER(SEARCH("subscription",LOWER($A817&amp;" "&amp;$M817&amp;""))),ISNUMBER(SEARCH("membership",LOWER($A817&amp;" "&amp;$M817&amp;"")))),"",IF(LOWER($L817&amp;"")="yes",0,IF($K817&lt;&gt;"",$K817,IF($O817&lt;&gt;"",$O817,"")))))</f>
        <v/>
      </c>
      <c r="Q817">
        <f>IF($A817="","",IF($U817="Subscription","",IF($U817="Profit",$P817-$H817,0)))</f>
        <v/>
      </c>
      <c r="R817">
        <f>IF($A817="","",IF($U817="Subscription","",IF($U817="Draw",$H817,0)))</f>
        <v/>
      </c>
      <c r="S817">
        <f>IF($A817="","",IF($U817="Subscription","",IF($U817="Disqualified",$H817,0)))</f>
        <v/>
      </c>
      <c r="T817">
        <f>IF($A817="","",IF($U817="Subscription","",IF($H817=0,IF($U817="Profit","N/A",0),IF($U817="Profit",$Q817/$H817,IF($U817="Disqualified",-1,0)))))</f>
        <v/>
      </c>
      <c r="U817" s="350">
        <f>IF($A817="","",IF(OR(LOWER($D817&amp;"")="n/a",ISNUMBER(SEARCH("subscription",LOWER($A817&amp;" "&amp;$M817&amp;""))),ISNUMBER(SEARCH("membership",LOWER($A817&amp;" "&amp;$M817&amp;"")))),"Subscription",IF(LOWER($L817&amp;"")="yes","Disqualified",IF($P817&gt;$H817,"Profit","Draw"))))</f>
        <v/>
      </c>
      <c r="V817">
        <f>IF(OR($A817="",$B817="",$C817="",$U817="Subscription"),"",IFERROR(ROUNDUP((IF(ISNUMBER($C817),$C817,DATEVALUE($C817))-IF(ISNUMBER($B817),$B817,DATEVALUE($B817)))/7,0),""))</f>
        <v/>
      </c>
      <c r="W817" s="352">
        <f>IF($U817="Subscription","",$Q817-$S817)</f>
        <v/>
      </c>
      <c r="X817">
        <f>IF(OR($A817="",$U817="Subscription",$J817="",$I817="",$J817=0,$I817=0,$I817&gt;$J817),"",$J817-$I817)</f>
        <v/>
      </c>
      <c r="Y817">
        <f>IF(OR($A817="",$U817="Subscription",$J817="",$J817=0,$X817=""),"",$X817/$J817)</f>
        <v/>
      </c>
    </row>
    <row r="818">
      <c r="B818" s="354" t="n"/>
      <c r="C818" s="354" t="n"/>
      <c r="E818" s="350" t="n"/>
      <c r="F818" s="350" t="n"/>
      <c r="G818" s="350" t="n"/>
      <c r="H818" s="350" t="n"/>
      <c r="I818" s="350" t="n"/>
      <c r="J818" s="352" t="n"/>
      <c r="M818" s="350" t="n"/>
      <c r="N818" s="350">
        <f>IF($A818="","",IF(OR(LOWER($D818&amp;"")="n/a",ISNUMBER(SEARCH("subscription",LOWER($A818&amp;" "&amp;$M818&amp;""))),ISNUMBER(SEARCH("membership",LOWER($A818&amp;" "&amp;$M818&amp;"")))),"",IF($G818="","",IF(ISNUMBER(SEARCH("non",LOWER($E818&amp;""))),$G818*0.85,$G818))))</f>
        <v/>
      </c>
      <c r="O818">
        <f>IF($A818="","",IF(OR(LOWER($D818&amp;"")="n/a",ISNUMBER(SEARCH("subscription",LOWER($A818&amp;" "&amp;$M818&amp;""))),ISNUMBER(SEARCH("membership",LOWER($A818&amp;" "&amp;$M818&amp;"")))),"",IF(OR($N818="",$I818="",$I818=0),"",$N818/$I818)))</f>
        <v/>
      </c>
      <c r="P818">
        <f>IF($A818="","",IF(OR(LOWER($D818&amp;"")="n/a",ISNUMBER(SEARCH("subscription",LOWER($A818&amp;" "&amp;$M818&amp;""))),ISNUMBER(SEARCH("membership",LOWER($A818&amp;" "&amp;$M818&amp;"")))),"",IF(LOWER($L818&amp;"")="yes",0,IF($K818&lt;&gt;"",$K818,IF($O818&lt;&gt;"",$O818,"")))))</f>
        <v/>
      </c>
      <c r="Q818">
        <f>IF($A818="","",IF($U818="Subscription","",IF($U818="Profit",$P818-$H818,0)))</f>
        <v/>
      </c>
      <c r="R818">
        <f>IF($A818="","",IF($U818="Subscription","",IF($U818="Draw",$H818,0)))</f>
        <v/>
      </c>
      <c r="S818">
        <f>IF($A818="","",IF($U818="Subscription","",IF($U818="Disqualified",$H818,0)))</f>
        <v/>
      </c>
      <c r="T818">
        <f>IF($A818="","",IF($U818="Subscription","",IF($H818=0,IF($U818="Profit","N/A",0),IF($U818="Profit",$Q818/$H818,IF($U818="Disqualified",-1,0)))))</f>
        <v/>
      </c>
      <c r="U818" s="350">
        <f>IF($A818="","",IF(OR(LOWER($D818&amp;"")="n/a",ISNUMBER(SEARCH("subscription",LOWER($A818&amp;" "&amp;$M818&amp;""))),ISNUMBER(SEARCH("membership",LOWER($A818&amp;" "&amp;$M818&amp;"")))),"Subscription",IF(LOWER($L818&amp;"")="yes","Disqualified",IF($P818&gt;$H818,"Profit","Draw"))))</f>
        <v/>
      </c>
      <c r="V818">
        <f>IF(OR($A818="",$B818="",$C818="",$U818="Subscription"),"",IFERROR(ROUNDUP((IF(ISNUMBER($C818),$C818,DATEVALUE($C818))-IF(ISNUMBER($B818),$B818,DATEVALUE($B818)))/7,0),""))</f>
        <v/>
      </c>
      <c r="W818" s="352">
        <f>IF($U818="Subscription","",$Q818-$S818)</f>
        <v/>
      </c>
      <c r="X818">
        <f>IF(OR($A818="",$U818="Subscription",$J818="",$I818="",$J818=0,$I818=0,$I818&gt;$J818),"",$J818-$I818)</f>
        <v/>
      </c>
      <c r="Y818">
        <f>IF(OR($A818="",$U818="Subscription",$J818="",$J818=0,$X818=""),"",$X818/$J818)</f>
        <v/>
      </c>
    </row>
    <row r="819">
      <c r="B819" s="354" t="n"/>
      <c r="C819" s="354" t="n"/>
      <c r="E819" s="350" t="n"/>
      <c r="F819" s="350" t="n"/>
      <c r="G819" s="350" t="n"/>
      <c r="H819" s="350" t="n"/>
      <c r="I819" s="350" t="n"/>
      <c r="J819" s="352" t="n"/>
      <c r="M819" s="350" t="n"/>
      <c r="N819" s="350">
        <f>IF($A819="","",IF(OR(LOWER($D819&amp;"")="n/a",ISNUMBER(SEARCH("subscription",LOWER($A819&amp;" "&amp;$M819&amp;""))),ISNUMBER(SEARCH("membership",LOWER($A819&amp;" "&amp;$M819&amp;"")))),"",IF($G819="","",IF(ISNUMBER(SEARCH("non",LOWER($E819&amp;""))),$G819*0.85,$G819))))</f>
        <v/>
      </c>
      <c r="O819">
        <f>IF($A819="","",IF(OR(LOWER($D819&amp;"")="n/a",ISNUMBER(SEARCH("subscription",LOWER($A819&amp;" "&amp;$M819&amp;""))),ISNUMBER(SEARCH("membership",LOWER($A819&amp;" "&amp;$M819&amp;"")))),"",IF(OR($N819="",$I819="",$I819=0),"",$N819/$I819)))</f>
        <v/>
      </c>
      <c r="P819">
        <f>IF($A819="","",IF(OR(LOWER($D819&amp;"")="n/a",ISNUMBER(SEARCH("subscription",LOWER($A819&amp;" "&amp;$M819&amp;""))),ISNUMBER(SEARCH("membership",LOWER($A819&amp;" "&amp;$M819&amp;"")))),"",IF(LOWER($L819&amp;"")="yes",0,IF($K819&lt;&gt;"",$K819,IF($O819&lt;&gt;"",$O819,"")))))</f>
        <v/>
      </c>
      <c r="Q819">
        <f>IF($A819="","",IF($U819="Subscription","",IF($U819="Profit",$P819-$H819,0)))</f>
        <v/>
      </c>
      <c r="R819">
        <f>IF($A819="","",IF($U819="Subscription","",IF($U819="Draw",$H819,0)))</f>
        <v/>
      </c>
      <c r="S819">
        <f>IF($A819="","",IF($U819="Subscription","",IF($U819="Disqualified",$H819,0)))</f>
        <v/>
      </c>
      <c r="T819">
        <f>IF($A819="","",IF($U819="Subscription","",IF($H819=0,IF($U819="Profit","N/A",0),IF($U819="Profit",$Q819/$H819,IF($U819="Disqualified",-1,0)))))</f>
        <v/>
      </c>
      <c r="U819" s="350">
        <f>IF($A819="","",IF(OR(LOWER($D819&amp;"")="n/a",ISNUMBER(SEARCH("subscription",LOWER($A819&amp;" "&amp;$M819&amp;""))),ISNUMBER(SEARCH("membership",LOWER($A819&amp;" "&amp;$M819&amp;"")))),"Subscription",IF(LOWER($L819&amp;"")="yes","Disqualified",IF($P819&gt;$H819,"Profit","Draw"))))</f>
        <v/>
      </c>
      <c r="V819">
        <f>IF(OR($A819="",$B819="",$C819="",$U819="Subscription"),"",IFERROR(ROUNDUP((IF(ISNUMBER($C819),$C819,DATEVALUE($C819))-IF(ISNUMBER($B819),$B819,DATEVALUE($B819)))/7,0),""))</f>
        <v/>
      </c>
      <c r="W819" s="352">
        <f>IF($U819="Subscription","",$Q819-$S819)</f>
        <v/>
      </c>
      <c r="X819">
        <f>IF(OR($A819="",$U819="Subscription",$J819="",$I819="",$J819=0,$I819=0,$I819&gt;$J819),"",$J819-$I819)</f>
        <v/>
      </c>
      <c r="Y819">
        <f>IF(OR($A819="",$U819="Subscription",$J819="",$J819=0,$X819=""),"",$X819/$J819)</f>
        <v/>
      </c>
    </row>
    <row r="820">
      <c r="B820" s="354" t="n"/>
      <c r="C820" s="354" t="n"/>
      <c r="E820" s="350" t="n"/>
      <c r="F820" s="350" t="n"/>
      <c r="G820" s="350" t="n"/>
      <c r="H820" s="350" t="n"/>
      <c r="I820" s="350" t="n"/>
      <c r="J820" s="352" t="n"/>
      <c r="M820" s="350" t="n"/>
      <c r="N820" s="350">
        <f>IF($A820="","",IF(OR(LOWER($D820&amp;"")="n/a",ISNUMBER(SEARCH("subscription",LOWER($A820&amp;" "&amp;$M820&amp;""))),ISNUMBER(SEARCH("membership",LOWER($A820&amp;" "&amp;$M820&amp;"")))),"",IF($G820="","",IF(ISNUMBER(SEARCH("non",LOWER($E820&amp;""))),$G820*0.85,$G820))))</f>
        <v/>
      </c>
      <c r="O820">
        <f>IF($A820="","",IF(OR(LOWER($D820&amp;"")="n/a",ISNUMBER(SEARCH("subscription",LOWER($A820&amp;" "&amp;$M820&amp;""))),ISNUMBER(SEARCH("membership",LOWER($A820&amp;" "&amp;$M820&amp;"")))),"",IF(OR($N820="",$I820="",$I820=0),"",$N820/$I820)))</f>
        <v/>
      </c>
      <c r="P820">
        <f>IF($A820="","",IF(OR(LOWER($D820&amp;"")="n/a",ISNUMBER(SEARCH("subscription",LOWER($A820&amp;" "&amp;$M820&amp;""))),ISNUMBER(SEARCH("membership",LOWER($A820&amp;" "&amp;$M820&amp;"")))),"",IF(LOWER($L820&amp;"")="yes",0,IF($K820&lt;&gt;"",$K820,IF($O820&lt;&gt;"",$O820,"")))))</f>
        <v/>
      </c>
      <c r="Q820">
        <f>IF($A820="","",IF($U820="Subscription","",IF($U820="Profit",$P820-$H820,0)))</f>
        <v/>
      </c>
      <c r="R820">
        <f>IF($A820="","",IF($U820="Subscription","",IF($U820="Draw",$H820,0)))</f>
        <v/>
      </c>
      <c r="S820">
        <f>IF($A820="","",IF($U820="Subscription","",IF($U820="Disqualified",$H820,0)))</f>
        <v/>
      </c>
      <c r="T820">
        <f>IF($A820="","",IF($U820="Subscription","",IF($H820=0,IF($U820="Profit","N/A",0),IF($U820="Profit",$Q820/$H820,IF($U820="Disqualified",-1,0)))))</f>
        <v/>
      </c>
      <c r="U820" s="350">
        <f>IF($A820="","",IF(OR(LOWER($D820&amp;"")="n/a",ISNUMBER(SEARCH("subscription",LOWER($A820&amp;" "&amp;$M820&amp;""))),ISNUMBER(SEARCH("membership",LOWER($A820&amp;" "&amp;$M820&amp;"")))),"Subscription",IF(LOWER($L820&amp;"")="yes","Disqualified",IF($P820&gt;$H820,"Profit","Draw"))))</f>
        <v/>
      </c>
      <c r="V820">
        <f>IF(OR($A820="",$B820="",$C820="",$U820="Subscription"),"",IFERROR(ROUNDUP((IF(ISNUMBER($C820),$C820,DATEVALUE($C820))-IF(ISNUMBER($B820),$B820,DATEVALUE($B820)))/7,0),""))</f>
        <v/>
      </c>
      <c r="W820" s="352">
        <f>IF($U820="Subscription","",$Q820-$S820)</f>
        <v/>
      </c>
      <c r="X820">
        <f>IF(OR($A820="",$U820="Subscription",$J820="",$I820="",$J820=0,$I820=0,$I820&gt;$J820),"",$J820-$I820)</f>
        <v/>
      </c>
      <c r="Y820">
        <f>IF(OR($A820="",$U820="Subscription",$J820="",$J820=0,$X820=""),"",$X820/$J820)</f>
        <v/>
      </c>
    </row>
    <row r="821">
      <c r="B821" s="354" t="n"/>
      <c r="C821" s="354" t="n"/>
      <c r="E821" s="350" t="n"/>
      <c r="F821" s="350" t="n"/>
      <c r="G821" s="350" t="n"/>
      <c r="H821" s="350" t="n"/>
      <c r="I821" s="350" t="n"/>
      <c r="J821" s="352" t="n"/>
      <c r="M821" s="350" t="n"/>
      <c r="N821" s="350">
        <f>IF($A821="","",IF(OR(LOWER($D821&amp;"")="n/a",ISNUMBER(SEARCH("subscription",LOWER($A821&amp;" "&amp;$M821&amp;""))),ISNUMBER(SEARCH("membership",LOWER($A821&amp;" "&amp;$M821&amp;"")))),"",IF($G821="","",IF(ISNUMBER(SEARCH("non",LOWER($E821&amp;""))),$G821*0.85,$G821))))</f>
        <v/>
      </c>
      <c r="O821">
        <f>IF($A821="","",IF(OR(LOWER($D821&amp;"")="n/a",ISNUMBER(SEARCH("subscription",LOWER($A821&amp;" "&amp;$M821&amp;""))),ISNUMBER(SEARCH("membership",LOWER($A821&amp;" "&amp;$M821&amp;"")))),"",IF(OR($N821="",$I821="",$I821=0),"",$N821/$I821)))</f>
        <v/>
      </c>
      <c r="P821">
        <f>IF($A821="","",IF(OR(LOWER($D821&amp;"")="n/a",ISNUMBER(SEARCH("subscription",LOWER($A821&amp;" "&amp;$M821&amp;""))),ISNUMBER(SEARCH("membership",LOWER($A821&amp;" "&amp;$M821&amp;"")))),"",IF(LOWER($L821&amp;"")="yes",0,IF($K821&lt;&gt;"",$K821,IF($O821&lt;&gt;"",$O821,"")))))</f>
        <v/>
      </c>
      <c r="Q821">
        <f>IF($A821="","",IF($U821="Subscription","",IF($U821="Profit",$P821-$H821,0)))</f>
        <v/>
      </c>
      <c r="R821">
        <f>IF($A821="","",IF($U821="Subscription","",IF($U821="Draw",$H821,0)))</f>
        <v/>
      </c>
      <c r="S821">
        <f>IF($A821="","",IF($U821="Subscription","",IF($U821="Disqualified",$H821,0)))</f>
        <v/>
      </c>
      <c r="T821">
        <f>IF($A821="","",IF($U821="Subscription","",IF($H821=0,IF($U821="Profit","N/A",0),IF($U821="Profit",$Q821/$H821,IF($U821="Disqualified",-1,0)))))</f>
        <v/>
      </c>
      <c r="U821" s="350">
        <f>IF($A821="","",IF(OR(LOWER($D821&amp;"")="n/a",ISNUMBER(SEARCH("subscription",LOWER($A821&amp;" "&amp;$M821&amp;""))),ISNUMBER(SEARCH("membership",LOWER($A821&amp;" "&amp;$M821&amp;"")))),"Subscription",IF(LOWER($L821&amp;"")="yes","Disqualified",IF($P821&gt;$H821,"Profit","Draw"))))</f>
        <v/>
      </c>
      <c r="V821">
        <f>IF(OR($A821="",$B821="",$C821="",$U821="Subscription"),"",IFERROR(ROUNDUP((IF(ISNUMBER($C821),$C821,DATEVALUE($C821))-IF(ISNUMBER($B821),$B821,DATEVALUE($B821)))/7,0),""))</f>
        <v/>
      </c>
      <c r="W821" s="352">
        <f>IF($U821="Subscription","",$Q821-$S821)</f>
        <v/>
      </c>
      <c r="X821">
        <f>IF(OR($A821="",$U821="Subscription",$J821="",$I821="",$J821=0,$I821=0,$I821&gt;$J821),"",$J821-$I821)</f>
        <v/>
      </c>
      <c r="Y821">
        <f>IF(OR($A821="",$U821="Subscription",$J821="",$J821=0,$X821=""),"",$X821/$J821)</f>
        <v/>
      </c>
    </row>
    <row r="822">
      <c r="B822" s="354" t="n"/>
      <c r="C822" s="354" t="n"/>
      <c r="E822" s="350" t="n"/>
      <c r="F822" s="350" t="n"/>
      <c r="G822" s="350" t="n"/>
      <c r="H822" s="350" t="n"/>
      <c r="I822" s="350" t="n"/>
      <c r="J822" s="352" t="n"/>
      <c r="M822" s="350" t="n"/>
      <c r="N822" s="350">
        <f>IF($A822="","",IF(OR(LOWER($D822&amp;"")="n/a",ISNUMBER(SEARCH("subscription",LOWER($A822&amp;" "&amp;$M822&amp;""))),ISNUMBER(SEARCH("membership",LOWER($A822&amp;" "&amp;$M822&amp;"")))),"",IF($G822="","",IF(ISNUMBER(SEARCH("non",LOWER($E822&amp;""))),$G822*0.85,$G822))))</f>
        <v/>
      </c>
      <c r="O822">
        <f>IF($A822="","",IF(OR(LOWER($D822&amp;"")="n/a",ISNUMBER(SEARCH("subscription",LOWER($A822&amp;" "&amp;$M822&amp;""))),ISNUMBER(SEARCH("membership",LOWER($A822&amp;" "&amp;$M822&amp;"")))),"",IF(OR($N822="",$I822="",$I822=0),"",$N822/$I822)))</f>
        <v/>
      </c>
      <c r="P822">
        <f>IF($A822="","",IF(OR(LOWER($D822&amp;"")="n/a",ISNUMBER(SEARCH("subscription",LOWER($A822&amp;" "&amp;$M822&amp;""))),ISNUMBER(SEARCH("membership",LOWER($A822&amp;" "&amp;$M822&amp;"")))),"",IF(LOWER($L822&amp;"")="yes",0,IF($K822&lt;&gt;"",$K822,IF($O822&lt;&gt;"",$O822,"")))))</f>
        <v/>
      </c>
      <c r="Q822">
        <f>IF($A822="","",IF($U822="Subscription","",IF($U822="Profit",$P822-$H822,0)))</f>
        <v/>
      </c>
      <c r="R822">
        <f>IF($A822="","",IF($U822="Subscription","",IF($U822="Draw",$H822,0)))</f>
        <v/>
      </c>
      <c r="S822">
        <f>IF($A822="","",IF($U822="Subscription","",IF($U822="Disqualified",$H822,0)))</f>
        <v/>
      </c>
      <c r="T822">
        <f>IF($A822="","",IF($U822="Subscription","",IF($H822=0,IF($U822="Profit","N/A",0),IF($U822="Profit",$Q822/$H822,IF($U822="Disqualified",-1,0)))))</f>
        <v/>
      </c>
      <c r="U822" s="350">
        <f>IF($A822="","",IF(OR(LOWER($D822&amp;"")="n/a",ISNUMBER(SEARCH("subscription",LOWER($A822&amp;" "&amp;$M822&amp;""))),ISNUMBER(SEARCH("membership",LOWER($A822&amp;" "&amp;$M822&amp;"")))),"Subscription",IF(LOWER($L822&amp;"")="yes","Disqualified",IF($P822&gt;$H822,"Profit","Draw"))))</f>
        <v/>
      </c>
      <c r="V822">
        <f>IF(OR($A822="",$B822="",$C822="",$U822="Subscription"),"",IFERROR(ROUNDUP((IF(ISNUMBER($C822),$C822,DATEVALUE($C822))-IF(ISNUMBER($B822),$B822,DATEVALUE($B822)))/7,0),""))</f>
        <v/>
      </c>
      <c r="W822" s="352">
        <f>IF($U822="Subscription","",$Q822-$S822)</f>
        <v/>
      </c>
      <c r="X822">
        <f>IF(OR($A822="",$U822="Subscription",$J822="",$I822="",$J822=0,$I822=0,$I822&gt;$J822),"",$J822-$I822)</f>
        <v/>
      </c>
      <c r="Y822">
        <f>IF(OR($A822="",$U822="Subscription",$J822="",$J822=0,$X822=""),"",$X822/$J822)</f>
        <v/>
      </c>
    </row>
    <row r="823">
      <c r="B823" s="354" t="n"/>
      <c r="C823" s="354" t="n"/>
      <c r="E823" s="350" t="n"/>
      <c r="F823" s="350" t="n"/>
      <c r="G823" s="350" t="n"/>
      <c r="H823" s="350" t="n"/>
      <c r="I823" s="350" t="n"/>
      <c r="J823" s="352" t="n"/>
      <c r="M823" s="350" t="n"/>
      <c r="N823" s="350">
        <f>IF($A823="","",IF(OR(LOWER($D823&amp;"")="n/a",ISNUMBER(SEARCH("subscription",LOWER($A823&amp;" "&amp;$M823&amp;""))),ISNUMBER(SEARCH("membership",LOWER($A823&amp;" "&amp;$M823&amp;"")))),"",IF($G823="","",IF(ISNUMBER(SEARCH("non",LOWER($E823&amp;""))),$G823*0.85,$G823))))</f>
        <v/>
      </c>
      <c r="O823">
        <f>IF($A823="","",IF(OR(LOWER($D823&amp;"")="n/a",ISNUMBER(SEARCH("subscription",LOWER($A823&amp;" "&amp;$M823&amp;""))),ISNUMBER(SEARCH("membership",LOWER($A823&amp;" "&amp;$M823&amp;"")))),"",IF(OR($N823="",$I823="",$I823=0),"",$N823/$I823)))</f>
        <v/>
      </c>
      <c r="P823">
        <f>IF($A823="","",IF(OR(LOWER($D823&amp;"")="n/a",ISNUMBER(SEARCH("subscription",LOWER($A823&amp;" "&amp;$M823&amp;""))),ISNUMBER(SEARCH("membership",LOWER($A823&amp;" "&amp;$M823&amp;"")))),"",IF(LOWER($L823&amp;"")="yes",0,IF($K823&lt;&gt;"",$K823,IF($O823&lt;&gt;"",$O823,"")))))</f>
        <v/>
      </c>
      <c r="Q823">
        <f>IF($A823="","",IF($U823="Subscription","",IF($U823="Profit",$P823-$H823,0)))</f>
        <v/>
      </c>
      <c r="R823">
        <f>IF($A823="","",IF($U823="Subscription","",IF($U823="Draw",$H823,0)))</f>
        <v/>
      </c>
      <c r="S823">
        <f>IF($A823="","",IF($U823="Subscription","",IF($U823="Disqualified",$H823,0)))</f>
        <v/>
      </c>
      <c r="T823">
        <f>IF($A823="","",IF($U823="Subscription","",IF($H823=0,IF($U823="Profit","N/A",0),IF($U823="Profit",$Q823/$H823,IF($U823="Disqualified",-1,0)))))</f>
        <v/>
      </c>
      <c r="U823" s="350">
        <f>IF($A823="","",IF(OR(LOWER($D823&amp;"")="n/a",ISNUMBER(SEARCH("subscription",LOWER($A823&amp;" "&amp;$M823&amp;""))),ISNUMBER(SEARCH("membership",LOWER($A823&amp;" "&amp;$M823&amp;"")))),"Subscription",IF(LOWER($L823&amp;"")="yes","Disqualified",IF($P823&gt;$H823,"Profit","Draw"))))</f>
        <v/>
      </c>
      <c r="V823">
        <f>IF(OR($A823="",$B823="",$C823="",$U823="Subscription"),"",IFERROR(ROUNDUP((IF(ISNUMBER($C823),$C823,DATEVALUE($C823))-IF(ISNUMBER($B823),$B823,DATEVALUE($B823)))/7,0),""))</f>
        <v/>
      </c>
      <c r="W823" s="352">
        <f>IF($U823="Subscription","",$Q823-$S823)</f>
        <v/>
      </c>
      <c r="X823">
        <f>IF(OR($A823="",$U823="Subscription",$J823="",$I823="",$J823=0,$I823=0,$I823&gt;$J823),"",$J823-$I823)</f>
        <v/>
      </c>
      <c r="Y823">
        <f>IF(OR($A823="",$U823="Subscription",$J823="",$J823=0,$X823=""),"",$X823/$J823)</f>
        <v/>
      </c>
    </row>
    <row r="824">
      <c r="B824" s="354" t="n"/>
      <c r="C824" s="354" t="n"/>
      <c r="E824" s="350" t="n"/>
      <c r="F824" s="350" t="n"/>
      <c r="G824" s="350" t="n"/>
      <c r="H824" s="350" t="n"/>
      <c r="I824" s="350" t="n"/>
      <c r="J824" s="352" t="n"/>
      <c r="M824" s="350" t="n"/>
      <c r="N824" s="350">
        <f>IF($A824="","",IF(OR(LOWER($D824&amp;"")="n/a",ISNUMBER(SEARCH("subscription",LOWER($A824&amp;" "&amp;$M824&amp;""))),ISNUMBER(SEARCH("membership",LOWER($A824&amp;" "&amp;$M824&amp;"")))),"",IF($G824="","",IF(ISNUMBER(SEARCH("non",LOWER($E824&amp;""))),$G824*0.85,$G824))))</f>
        <v/>
      </c>
      <c r="O824">
        <f>IF($A824="","",IF(OR(LOWER($D824&amp;"")="n/a",ISNUMBER(SEARCH("subscription",LOWER($A824&amp;" "&amp;$M824&amp;""))),ISNUMBER(SEARCH("membership",LOWER($A824&amp;" "&amp;$M824&amp;"")))),"",IF(OR($N824="",$I824="",$I824=0),"",$N824/$I824)))</f>
        <v/>
      </c>
      <c r="P824">
        <f>IF($A824="","",IF(OR(LOWER($D824&amp;"")="n/a",ISNUMBER(SEARCH("subscription",LOWER($A824&amp;" "&amp;$M824&amp;""))),ISNUMBER(SEARCH("membership",LOWER($A824&amp;" "&amp;$M824&amp;"")))),"",IF(LOWER($L824&amp;"")="yes",0,IF($K824&lt;&gt;"",$K824,IF($O824&lt;&gt;"",$O824,"")))))</f>
        <v/>
      </c>
      <c r="Q824">
        <f>IF($A824="","",IF($U824="Subscription","",IF($U824="Profit",$P824-$H824,0)))</f>
        <v/>
      </c>
      <c r="R824">
        <f>IF($A824="","",IF($U824="Subscription","",IF($U824="Draw",$H824,0)))</f>
        <v/>
      </c>
      <c r="S824">
        <f>IF($A824="","",IF($U824="Subscription","",IF($U824="Disqualified",$H824,0)))</f>
        <v/>
      </c>
      <c r="T824">
        <f>IF($A824="","",IF($U824="Subscription","",IF($H824=0,IF($U824="Profit","N/A",0),IF($U824="Profit",$Q824/$H824,IF($U824="Disqualified",-1,0)))))</f>
        <v/>
      </c>
      <c r="U824" s="350">
        <f>IF($A824="","",IF(OR(LOWER($D824&amp;"")="n/a",ISNUMBER(SEARCH("subscription",LOWER($A824&amp;" "&amp;$M824&amp;""))),ISNUMBER(SEARCH("membership",LOWER($A824&amp;" "&amp;$M824&amp;"")))),"Subscription",IF(LOWER($L824&amp;"")="yes","Disqualified",IF($P824&gt;$H824,"Profit","Draw"))))</f>
        <v/>
      </c>
      <c r="V824">
        <f>IF(OR($A824="",$B824="",$C824="",$U824="Subscription"),"",IFERROR(ROUNDUP((IF(ISNUMBER($C824),$C824,DATEVALUE($C824))-IF(ISNUMBER($B824),$B824,DATEVALUE($B824)))/7,0),""))</f>
        <v/>
      </c>
      <c r="W824" s="352">
        <f>IF($U824="Subscription","",$Q824-$S824)</f>
        <v/>
      </c>
      <c r="X824">
        <f>IF(OR($A824="",$U824="Subscription",$J824="",$I824="",$J824=0,$I824=0,$I824&gt;$J824),"",$J824-$I824)</f>
        <v/>
      </c>
      <c r="Y824">
        <f>IF(OR($A824="",$U824="Subscription",$J824="",$J824=0,$X824=""),"",$X824/$J824)</f>
        <v/>
      </c>
    </row>
    <row r="825">
      <c r="B825" s="354" t="n"/>
      <c r="C825" s="354" t="n"/>
      <c r="E825" s="350" t="n"/>
      <c r="F825" s="350" t="n"/>
      <c r="G825" s="350" t="n"/>
      <c r="H825" s="350" t="n"/>
      <c r="I825" s="350" t="n"/>
      <c r="J825" s="352" t="n"/>
      <c r="M825" s="350" t="n"/>
      <c r="N825" s="350">
        <f>IF($A825="","",IF(OR(LOWER($D825&amp;"")="n/a",ISNUMBER(SEARCH("subscription",LOWER($A825&amp;" "&amp;$M825&amp;""))),ISNUMBER(SEARCH("membership",LOWER($A825&amp;" "&amp;$M825&amp;"")))),"",IF($G825="","",IF(ISNUMBER(SEARCH("non",LOWER($E825&amp;""))),$G825*0.85,$G825))))</f>
        <v/>
      </c>
      <c r="O825">
        <f>IF($A825="","",IF(OR(LOWER($D825&amp;"")="n/a",ISNUMBER(SEARCH("subscription",LOWER($A825&amp;" "&amp;$M825&amp;""))),ISNUMBER(SEARCH("membership",LOWER($A825&amp;" "&amp;$M825&amp;"")))),"",IF(OR($N825="",$I825="",$I825=0),"",$N825/$I825)))</f>
        <v/>
      </c>
      <c r="P825">
        <f>IF($A825="","",IF(OR(LOWER($D825&amp;"")="n/a",ISNUMBER(SEARCH("subscription",LOWER($A825&amp;" "&amp;$M825&amp;""))),ISNUMBER(SEARCH("membership",LOWER($A825&amp;" "&amp;$M825&amp;"")))),"",IF(LOWER($L825&amp;"")="yes",0,IF($K825&lt;&gt;"",$K825,IF($O825&lt;&gt;"",$O825,"")))))</f>
        <v/>
      </c>
      <c r="Q825">
        <f>IF($A825="","",IF($U825="Subscription","",IF($U825="Profit",$P825-$H825,0)))</f>
        <v/>
      </c>
      <c r="R825">
        <f>IF($A825="","",IF($U825="Subscription","",IF($U825="Draw",$H825,0)))</f>
        <v/>
      </c>
      <c r="S825">
        <f>IF($A825="","",IF($U825="Subscription","",IF($U825="Disqualified",$H825,0)))</f>
        <v/>
      </c>
      <c r="T825">
        <f>IF($A825="","",IF($U825="Subscription","",IF($H825=0,IF($U825="Profit","N/A",0),IF($U825="Profit",$Q825/$H825,IF($U825="Disqualified",-1,0)))))</f>
        <v/>
      </c>
      <c r="U825" s="350">
        <f>IF($A825="","",IF(OR(LOWER($D825&amp;"")="n/a",ISNUMBER(SEARCH("subscription",LOWER($A825&amp;" "&amp;$M825&amp;""))),ISNUMBER(SEARCH("membership",LOWER($A825&amp;" "&amp;$M825&amp;"")))),"Subscription",IF(LOWER($L825&amp;"")="yes","Disqualified",IF($P825&gt;$H825,"Profit","Draw"))))</f>
        <v/>
      </c>
      <c r="V825">
        <f>IF(OR($A825="",$B825="",$C825="",$U825="Subscription"),"",IFERROR(ROUNDUP((IF(ISNUMBER($C825),$C825,DATEVALUE($C825))-IF(ISNUMBER($B825),$B825,DATEVALUE($B825)))/7,0),""))</f>
        <v/>
      </c>
      <c r="W825" s="352">
        <f>IF($U825="Subscription","",$Q825-$S825)</f>
        <v/>
      </c>
      <c r="X825">
        <f>IF(OR($A825="",$U825="Subscription",$J825="",$I825="",$J825=0,$I825=0,$I825&gt;$J825),"",$J825-$I825)</f>
        <v/>
      </c>
      <c r="Y825">
        <f>IF(OR($A825="",$U825="Subscription",$J825="",$J825=0,$X825=""),"",$X825/$J825)</f>
        <v/>
      </c>
    </row>
    <row r="826">
      <c r="B826" s="354" t="n"/>
      <c r="C826" s="354" t="n"/>
      <c r="E826" s="350" t="n"/>
      <c r="F826" s="350" t="n"/>
      <c r="G826" s="350" t="n"/>
      <c r="H826" s="350" t="n"/>
      <c r="I826" s="350" t="n"/>
      <c r="J826" s="352" t="n"/>
      <c r="M826" s="350" t="n"/>
      <c r="N826" s="350">
        <f>IF($A826="","",IF(OR(LOWER($D826&amp;"")="n/a",ISNUMBER(SEARCH("subscription",LOWER($A826&amp;" "&amp;$M826&amp;""))),ISNUMBER(SEARCH("membership",LOWER($A826&amp;" "&amp;$M826&amp;"")))),"",IF($G826="","",IF(ISNUMBER(SEARCH("non",LOWER($E826&amp;""))),$G826*0.85,$G826))))</f>
        <v/>
      </c>
      <c r="O826">
        <f>IF($A826="","",IF(OR(LOWER($D826&amp;"")="n/a",ISNUMBER(SEARCH("subscription",LOWER($A826&amp;" "&amp;$M826&amp;""))),ISNUMBER(SEARCH("membership",LOWER($A826&amp;" "&amp;$M826&amp;"")))),"",IF(OR($N826="",$I826="",$I826=0),"",$N826/$I826)))</f>
        <v/>
      </c>
      <c r="P826">
        <f>IF($A826="","",IF(OR(LOWER($D826&amp;"")="n/a",ISNUMBER(SEARCH("subscription",LOWER($A826&amp;" "&amp;$M826&amp;""))),ISNUMBER(SEARCH("membership",LOWER($A826&amp;" "&amp;$M826&amp;"")))),"",IF(LOWER($L826&amp;"")="yes",0,IF($K826&lt;&gt;"",$K826,IF($O826&lt;&gt;"",$O826,"")))))</f>
        <v/>
      </c>
      <c r="Q826">
        <f>IF($A826="","",IF($U826="Subscription","",IF($U826="Profit",$P826-$H826,0)))</f>
        <v/>
      </c>
      <c r="R826">
        <f>IF($A826="","",IF($U826="Subscription","",IF($U826="Draw",$H826,0)))</f>
        <v/>
      </c>
      <c r="S826">
        <f>IF($A826="","",IF($U826="Subscription","",IF($U826="Disqualified",$H826,0)))</f>
        <v/>
      </c>
      <c r="T826">
        <f>IF($A826="","",IF($U826="Subscription","",IF($H826=0,IF($U826="Profit","N/A",0),IF($U826="Profit",$Q826/$H826,IF($U826="Disqualified",-1,0)))))</f>
        <v/>
      </c>
      <c r="U826" s="350">
        <f>IF($A826="","",IF(OR(LOWER($D826&amp;"")="n/a",ISNUMBER(SEARCH("subscription",LOWER($A826&amp;" "&amp;$M826&amp;""))),ISNUMBER(SEARCH("membership",LOWER($A826&amp;" "&amp;$M826&amp;"")))),"Subscription",IF(LOWER($L826&amp;"")="yes","Disqualified",IF($P826&gt;$H826,"Profit","Draw"))))</f>
        <v/>
      </c>
      <c r="V826">
        <f>IF(OR($A826="",$B826="",$C826="",$U826="Subscription"),"",IFERROR(ROUNDUP((IF(ISNUMBER($C826),$C826,DATEVALUE($C826))-IF(ISNUMBER($B826),$B826,DATEVALUE($B826)))/7,0),""))</f>
        <v/>
      </c>
      <c r="W826" s="352">
        <f>IF($U826="Subscription","",$Q826-$S826)</f>
        <v/>
      </c>
      <c r="X826">
        <f>IF(OR($A826="",$U826="Subscription",$J826="",$I826="",$J826=0,$I826=0,$I826&gt;$J826),"",$J826-$I826)</f>
        <v/>
      </c>
      <c r="Y826">
        <f>IF(OR($A826="",$U826="Subscription",$J826="",$J826=0,$X826=""),"",$X826/$J826)</f>
        <v/>
      </c>
    </row>
    <row r="827">
      <c r="B827" s="354" t="n"/>
      <c r="C827" s="354" t="n"/>
      <c r="E827" s="350" t="n"/>
      <c r="F827" s="350" t="n"/>
      <c r="G827" s="350" t="n"/>
      <c r="H827" s="350" t="n"/>
      <c r="I827" s="350" t="n"/>
      <c r="J827" s="352" t="n"/>
      <c r="M827" s="350" t="n"/>
      <c r="N827" s="350">
        <f>IF($A827="","",IF(OR(LOWER($D827&amp;"")="n/a",ISNUMBER(SEARCH("subscription",LOWER($A827&amp;" "&amp;$M827&amp;""))),ISNUMBER(SEARCH("membership",LOWER($A827&amp;" "&amp;$M827&amp;"")))),"",IF($G827="","",IF(ISNUMBER(SEARCH("non",LOWER($E827&amp;""))),$G827*0.85,$G827))))</f>
        <v/>
      </c>
      <c r="O827">
        <f>IF($A827="","",IF(OR(LOWER($D827&amp;"")="n/a",ISNUMBER(SEARCH("subscription",LOWER($A827&amp;" "&amp;$M827&amp;""))),ISNUMBER(SEARCH("membership",LOWER($A827&amp;" "&amp;$M827&amp;"")))),"",IF(OR($N827="",$I827="",$I827=0),"",$N827/$I827)))</f>
        <v/>
      </c>
      <c r="P827">
        <f>IF($A827="","",IF(OR(LOWER($D827&amp;"")="n/a",ISNUMBER(SEARCH("subscription",LOWER($A827&amp;" "&amp;$M827&amp;""))),ISNUMBER(SEARCH("membership",LOWER($A827&amp;" "&amp;$M827&amp;"")))),"",IF(LOWER($L827&amp;"")="yes",0,IF($K827&lt;&gt;"",$K827,IF($O827&lt;&gt;"",$O827,"")))))</f>
        <v/>
      </c>
      <c r="Q827">
        <f>IF($A827="","",IF($U827="Subscription","",IF($U827="Profit",$P827-$H827,0)))</f>
        <v/>
      </c>
      <c r="R827">
        <f>IF($A827="","",IF($U827="Subscription","",IF($U827="Draw",$H827,0)))</f>
        <v/>
      </c>
      <c r="S827">
        <f>IF($A827="","",IF($U827="Subscription","",IF($U827="Disqualified",$H827,0)))</f>
        <v/>
      </c>
      <c r="T827">
        <f>IF($A827="","",IF($U827="Subscription","",IF($H827=0,IF($U827="Profit","N/A",0),IF($U827="Profit",$Q827/$H827,IF($U827="Disqualified",-1,0)))))</f>
        <v/>
      </c>
      <c r="U827" s="350">
        <f>IF($A827="","",IF(OR(LOWER($D827&amp;"")="n/a",ISNUMBER(SEARCH("subscription",LOWER($A827&amp;" "&amp;$M827&amp;""))),ISNUMBER(SEARCH("membership",LOWER($A827&amp;" "&amp;$M827&amp;"")))),"Subscription",IF(LOWER($L827&amp;"")="yes","Disqualified",IF($P827&gt;$H827,"Profit","Draw"))))</f>
        <v/>
      </c>
      <c r="V827">
        <f>IF(OR($A827="",$B827="",$C827="",$U827="Subscription"),"",IFERROR(ROUNDUP((IF(ISNUMBER($C827),$C827,DATEVALUE($C827))-IF(ISNUMBER($B827),$B827,DATEVALUE($B827)))/7,0),""))</f>
        <v/>
      </c>
      <c r="W827" s="352">
        <f>IF($U827="Subscription","",$Q827-$S827)</f>
        <v/>
      </c>
      <c r="X827">
        <f>IF(OR($A827="",$U827="Subscription",$J827="",$I827="",$J827=0,$I827=0,$I827&gt;$J827),"",$J827-$I827)</f>
        <v/>
      </c>
      <c r="Y827">
        <f>IF(OR($A827="",$U827="Subscription",$J827="",$J827=0,$X827=""),"",$X827/$J827)</f>
        <v/>
      </c>
    </row>
    <row r="828">
      <c r="B828" s="354" t="n"/>
      <c r="C828" s="354" t="n"/>
      <c r="E828" s="350" t="n"/>
      <c r="F828" s="350" t="n"/>
      <c r="G828" s="350" t="n"/>
      <c r="H828" s="350" t="n"/>
      <c r="I828" s="350" t="n"/>
      <c r="J828" s="352" t="n"/>
      <c r="M828" s="350" t="n"/>
      <c r="N828" s="350">
        <f>IF($A828="","",IF(OR(LOWER($D828&amp;"")="n/a",ISNUMBER(SEARCH("subscription",LOWER($A828&amp;" "&amp;$M828&amp;""))),ISNUMBER(SEARCH("membership",LOWER($A828&amp;" "&amp;$M828&amp;"")))),"",IF($G828="","",IF(ISNUMBER(SEARCH("non",LOWER($E828&amp;""))),$G828*0.85,$G828))))</f>
        <v/>
      </c>
      <c r="O828">
        <f>IF($A828="","",IF(OR(LOWER($D828&amp;"")="n/a",ISNUMBER(SEARCH("subscription",LOWER($A828&amp;" "&amp;$M828&amp;""))),ISNUMBER(SEARCH("membership",LOWER($A828&amp;" "&amp;$M828&amp;"")))),"",IF(OR($N828="",$I828="",$I828=0),"",$N828/$I828)))</f>
        <v/>
      </c>
      <c r="P828">
        <f>IF($A828="","",IF(OR(LOWER($D828&amp;"")="n/a",ISNUMBER(SEARCH("subscription",LOWER($A828&amp;" "&amp;$M828&amp;""))),ISNUMBER(SEARCH("membership",LOWER($A828&amp;" "&amp;$M828&amp;"")))),"",IF(LOWER($L828&amp;"")="yes",0,IF($K828&lt;&gt;"",$K828,IF($O828&lt;&gt;"",$O828,"")))))</f>
        <v/>
      </c>
      <c r="Q828">
        <f>IF($A828="","",IF($U828="Subscription","",IF($U828="Profit",$P828-$H828,0)))</f>
        <v/>
      </c>
      <c r="R828">
        <f>IF($A828="","",IF($U828="Subscription","",IF($U828="Draw",$H828,0)))</f>
        <v/>
      </c>
      <c r="S828">
        <f>IF($A828="","",IF($U828="Subscription","",IF($U828="Disqualified",$H828,0)))</f>
        <v/>
      </c>
      <c r="T828">
        <f>IF($A828="","",IF($U828="Subscription","",IF($H828=0,IF($U828="Profit","N/A",0),IF($U828="Profit",$Q828/$H828,IF($U828="Disqualified",-1,0)))))</f>
        <v/>
      </c>
      <c r="U828" s="350">
        <f>IF($A828="","",IF(OR(LOWER($D828&amp;"")="n/a",ISNUMBER(SEARCH("subscription",LOWER($A828&amp;" "&amp;$M828&amp;""))),ISNUMBER(SEARCH("membership",LOWER($A828&amp;" "&amp;$M828&amp;"")))),"Subscription",IF(LOWER($L828&amp;"")="yes","Disqualified",IF($P828&gt;$H828,"Profit","Draw"))))</f>
        <v/>
      </c>
      <c r="V828">
        <f>IF(OR($A828="",$B828="",$C828="",$U828="Subscription"),"",IFERROR(ROUNDUP((IF(ISNUMBER($C828),$C828,DATEVALUE($C828))-IF(ISNUMBER($B828),$B828,DATEVALUE($B828)))/7,0),""))</f>
        <v/>
      </c>
      <c r="W828" s="352">
        <f>IF($U828="Subscription","",$Q828-$S828)</f>
        <v/>
      </c>
      <c r="X828">
        <f>IF(OR($A828="",$U828="Subscription",$J828="",$I828="",$J828=0,$I828=0,$I828&gt;$J828),"",$J828-$I828)</f>
        <v/>
      </c>
      <c r="Y828">
        <f>IF(OR($A828="",$U828="Subscription",$J828="",$J828=0,$X828=""),"",$X828/$J828)</f>
        <v/>
      </c>
    </row>
    <row r="829">
      <c r="B829" s="354" t="n"/>
      <c r="C829" s="354" t="n"/>
      <c r="E829" s="350" t="n"/>
      <c r="F829" s="350" t="n"/>
      <c r="G829" s="350" t="n"/>
      <c r="H829" s="350" t="n"/>
      <c r="I829" s="350" t="n"/>
      <c r="J829" s="352" t="n"/>
      <c r="M829" s="350" t="n"/>
      <c r="N829" s="350">
        <f>IF($A829="","",IF(OR(LOWER($D829&amp;"")="n/a",ISNUMBER(SEARCH("subscription",LOWER($A829&amp;" "&amp;$M829&amp;""))),ISNUMBER(SEARCH("membership",LOWER($A829&amp;" "&amp;$M829&amp;"")))),"",IF($G829="","",IF(ISNUMBER(SEARCH("non",LOWER($E829&amp;""))),$G829*0.85,$G829))))</f>
        <v/>
      </c>
      <c r="O829">
        <f>IF($A829="","",IF(OR(LOWER($D829&amp;"")="n/a",ISNUMBER(SEARCH("subscription",LOWER($A829&amp;" "&amp;$M829&amp;""))),ISNUMBER(SEARCH("membership",LOWER($A829&amp;" "&amp;$M829&amp;"")))),"",IF(OR($N829="",$I829="",$I829=0),"",$N829/$I829)))</f>
        <v/>
      </c>
      <c r="P829">
        <f>IF($A829="","",IF(OR(LOWER($D829&amp;"")="n/a",ISNUMBER(SEARCH("subscription",LOWER($A829&amp;" "&amp;$M829&amp;""))),ISNUMBER(SEARCH("membership",LOWER($A829&amp;" "&amp;$M829&amp;"")))),"",IF(LOWER($L829&amp;"")="yes",0,IF($K829&lt;&gt;"",$K829,IF($O829&lt;&gt;"",$O829,"")))))</f>
        <v/>
      </c>
      <c r="Q829">
        <f>IF($A829="","",IF($U829="Subscription","",IF($U829="Profit",$P829-$H829,0)))</f>
        <v/>
      </c>
      <c r="R829">
        <f>IF($A829="","",IF($U829="Subscription","",IF($U829="Draw",$H829,0)))</f>
        <v/>
      </c>
      <c r="S829">
        <f>IF($A829="","",IF($U829="Subscription","",IF($U829="Disqualified",$H829,0)))</f>
        <v/>
      </c>
      <c r="T829">
        <f>IF($A829="","",IF($U829="Subscription","",IF($H829=0,IF($U829="Profit","N/A",0),IF($U829="Profit",$Q829/$H829,IF($U829="Disqualified",-1,0)))))</f>
        <v/>
      </c>
      <c r="U829" s="350">
        <f>IF($A829="","",IF(OR(LOWER($D829&amp;"")="n/a",ISNUMBER(SEARCH("subscription",LOWER($A829&amp;" "&amp;$M829&amp;""))),ISNUMBER(SEARCH("membership",LOWER($A829&amp;" "&amp;$M829&amp;"")))),"Subscription",IF(LOWER($L829&amp;"")="yes","Disqualified",IF($P829&gt;$H829,"Profit","Draw"))))</f>
        <v/>
      </c>
      <c r="V829">
        <f>IF(OR($A829="",$B829="",$C829="",$U829="Subscription"),"",IFERROR(ROUNDUP((IF(ISNUMBER($C829),$C829,DATEVALUE($C829))-IF(ISNUMBER($B829),$B829,DATEVALUE($B829)))/7,0),""))</f>
        <v/>
      </c>
      <c r="W829" s="352">
        <f>IF($U829="Subscription","",$Q829-$S829)</f>
        <v/>
      </c>
      <c r="X829">
        <f>IF(OR($A829="",$U829="Subscription",$J829="",$I829="",$J829=0,$I829=0,$I829&gt;$J829),"",$J829-$I829)</f>
        <v/>
      </c>
      <c r="Y829">
        <f>IF(OR($A829="",$U829="Subscription",$J829="",$J829=0,$X829=""),"",$X829/$J829)</f>
        <v/>
      </c>
    </row>
    <row r="830">
      <c r="B830" s="354" t="n"/>
      <c r="C830" s="354" t="n"/>
      <c r="E830" s="350" t="n"/>
      <c r="F830" s="350" t="n"/>
      <c r="G830" s="350" t="n"/>
      <c r="H830" s="350" t="n"/>
      <c r="I830" s="350" t="n"/>
      <c r="J830" s="352" t="n"/>
      <c r="M830" s="350" t="n"/>
      <c r="N830" s="350">
        <f>IF($A830="","",IF(OR(LOWER($D830&amp;"")="n/a",ISNUMBER(SEARCH("subscription",LOWER($A830&amp;" "&amp;$M830&amp;""))),ISNUMBER(SEARCH("membership",LOWER($A830&amp;" "&amp;$M830&amp;"")))),"",IF($G830="","",IF(ISNUMBER(SEARCH("non",LOWER($E830&amp;""))),$G830*0.85,$G830))))</f>
        <v/>
      </c>
      <c r="O830">
        <f>IF($A830="","",IF(OR(LOWER($D830&amp;"")="n/a",ISNUMBER(SEARCH("subscription",LOWER($A830&amp;" "&amp;$M830&amp;""))),ISNUMBER(SEARCH("membership",LOWER($A830&amp;" "&amp;$M830&amp;"")))),"",IF(OR($N830="",$I830="",$I830=0),"",$N830/$I830)))</f>
        <v/>
      </c>
      <c r="P830">
        <f>IF($A830="","",IF(OR(LOWER($D830&amp;"")="n/a",ISNUMBER(SEARCH("subscription",LOWER($A830&amp;" "&amp;$M830&amp;""))),ISNUMBER(SEARCH("membership",LOWER($A830&amp;" "&amp;$M830&amp;"")))),"",IF(LOWER($L830&amp;"")="yes",0,IF($K830&lt;&gt;"",$K830,IF($O830&lt;&gt;"",$O830,"")))))</f>
        <v/>
      </c>
      <c r="Q830">
        <f>IF($A830="","",IF($U830="Subscription","",IF($U830="Profit",$P830-$H830,0)))</f>
        <v/>
      </c>
      <c r="R830">
        <f>IF($A830="","",IF($U830="Subscription","",IF($U830="Draw",$H830,0)))</f>
        <v/>
      </c>
      <c r="S830">
        <f>IF($A830="","",IF($U830="Subscription","",IF($U830="Disqualified",$H830,0)))</f>
        <v/>
      </c>
      <c r="T830">
        <f>IF($A830="","",IF($U830="Subscription","",IF($H830=0,IF($U830="Profit","N/A",0),IF($U830="Profit",$Q830/$H830,IF($U830="Disqualified",-1,0)))))</f>
        <v/>
      </c>
      <c r="U830" s="350">
        <f>IF($A830="","",IF(OR(LOWER($D830&amp;"")="n/a",ISNUMBER(SEARCH("subscription",LOWER($A830&amp;" "&amp;$M830&amp;""))),ISNUMBER(SEARCH("membership",LOWER($A830&amp;" "&amp;$M830&amp;"")))),"Subscription",IF(LOWER($L830&amp;"")="yes","Disqualified",IF($P830&gt;$H830,"Profit","Draw"))))</f>
        <v/>
      </c>
      <c r="V830">
        <f>IF(OR($A830="",$B830="",$C830="",$U830="Subscription"),"",IFERROR(ROUNDUP((IF(ISNUMBER($C830),$C830,DATEVALUE($C830))-IF(ISNUMBER($B830),$B830,DATEVALUE($B830)))/7,0),""))</f>
        <v/>
      </c>
      <c r="W830" s="352">
        <f>IF($U830="Subscription","",$Q830-$S830)</f>
        <v/>
      </c>
      <c r="X830">
        <f>IF(OR($A830="",$U830="Subscription",$J830="",$I830="",$J830=0,$I830=0,$I830&gt;$J830),"",$J830-$I830)</f>
        <v/>
      </c>
      <c r="Y830">
        <f>IF(OR($A830="",$U830="Subscription",$J830="",$J830=0,$X830=""),"",$X830/$J830)</f>
        <v/>
      </c>
    </row>
    <row r="831">
      <c r="B831" s="354" t="n"/>
      <c r="C831" s="354" t="n"/>
      <c r="E831" s="350" t="n"/>
      <c r="F831" s="350" t="n"/>
      <c r="G831" s="350" t="n"/>
      <c r="H831" s="350" t="n"/>
      <c r="I831" s="350" t="n"/>
      <c r="J831" s="352" t="n"/>
      <c r="M831" s="350" t="n"/>
      <c r="N831" s="350">
        <f>IF($A831="","",IF(OR(LOWER($D831&amp;"")="n/a",ISNUMBER(SEARCH("subscription",LOWER($A831&amp;" "&amp;$M831&amp;""))),ISNUMBER(SEARCH("membership",LOWER($A831&amp;" "&amp;$M831&amp;"")))),"",IF($G831="","",IF(ISNUMBER(SEARCH("non",LOWER($E831&amp;""))),$G831*0.85,$G831))))</f>
        <v/>
      </c>
      <c r="O831">
        <f>IF($A831="","",IF(OR(LOWER($D831&amp;"")="n/a",ISNUMBER(SEARCH("subscription",LOWER($A831&amp;" "&amp;$M831&amp;""))),ISNUMBER(SEARCH("membership",LOWER($A831&amp;" "&amp;$M831&amp;"")))),"",IF(OR($N831="",$I831="",$I831=0),"",$N831/$I831)))</f>
        <v/>
      </c>
      <c r="P831">
        <f>IF($A831="","",IF(OR(LOWER($D831&amp;"")="n/a",ISNUMBER(SEARCH("subscription",LOWER($A831&amp;" "&amp;$M831&amp;""))),ISNUMBER(SEARCH("membership",LOWER($A831&amp;" "&amp;$M831&amp;"")))),"",IF(LOWER($L831&amp;"")="yes",0,IF($K831&lt;&gt;"",$K831,IF($O831&lt;&gt;"",$O831,"")))))</f>
        <v/>
      </c>
      <c r="Q831">
        <f>IF($A831="","",IF($U831="Subscription","",IF($U831="Profit",$P831-$H831,0)))</f>
        <v/>
      </c>
      <c r="R831">
        <f>IF($A831="","",IF($U831="Subscription","",IF($U831="Draw",$H831,0)))</f>
        <v/>
      </c>
      <c r="S831">
        <f>IF($A831="","",IF($U831="Subscription","",IF($U831="Disqualified",$H831,0)))</f>
        <v/>
      </c>
      <c r="T831">
        <f>IF($A831="","",IF($U831="Subscription","",IF($H831=0,IF($U831="Profit","N/A",0),IF($U831="Profit",$Q831/$H831,IF($U831="Disqualified",-1,0)))))</f>
        <v/>
      </c>
      <c r="U831" s="350">
        <f>IF($A831="","",IF(OR(LOWER($D831&amp;"")="n/a",ISNUMBER(SEARCH("subscription",LOWER($A831&amp;" "&amp;$M831&amp;""))),ISNUMBER(SEARCH("membership",LOWER($A831&amp;" "&amp;$M831&amp;"")))),"Subscription",IF(LOWER($L831&amp;"")="yes","Disqualified",IF($P831&gt;$H831,"Profit","Draw"))))</f>
        <v/>
      </c>
      <c r="V831">
        <f>IF(OR($A831="",$B831="",$C831="",$U831="Subscription"),"",IFERROR(ROUNDUP((IF(ISNUMBER($C831),$C831,DATEVALUE($C831))-IF(ISNUMBER($B831),$B831,DATEVALUE($B831)))/7,0),""))</f>
        <v/>
      </c>
      <c r="W831" s="352">
        <f>IF($U831="Subscription","",$Q831-$S831)</f>
        <v/>
      </c>
      <c r="X831">
        <f>IF(OR($A831="",$U831="Subscription",$J831="",$I831="",$J831=0,$I831=0,$I831&gt;$J831),"",$J831-$I831)</f>
        <v/>
      </c>
      <c r="Y831">
        <f>IF(OR($A831="",$U831="Subscription",$J831="",$J831=0,$X831=""),"",$X831/$J831)</f>
        <v/>
      </c>
    </row>
    <row r="832">
      <c r="B832" s="354" t="n"/>
      <c r="C832" s="354" t="n"/>
      <c r="E832" s="350" t="n"/>
      <c r="F832" s="350" t="n"/>
      <c r="G832" s="350" t="n"/>
      <c r="H832" s="350" t="n"/>
      <c r="I832" s="350" t="n"/>
      <c r="J832" s="352" t="n"/>
      <c r="M832" s="350" t="n"/>
      <c r="N832" s="350">
        <f>IF($A832="","",IF(OR(LOWER($D832&amp;"")="n/a",ISNUMBER(SEARCH("subscription",LOWER($A832&amp;" "&amp;$M832&amp;""))),ISNUMBER(SEARCH("membership",LOWER($A832&amp;" "&amp;$M832&amp;"")))),"",IF($G832="","",IF(ISNUMBER(SEARCH("non",LOWER($E832&amp;""))),$G832*0.85,$G832))))</f>
        <v/>
      </c>
      <c r="O832">
        <f>IF($A832="","",IF(OR(LOWER($D832&amp;"")="n/a",ISNUMBER(SEARCH("subscription",LOWER($A832&amp;" "&amp;$M832&amp;""))),ISNUMBER(SEARCH("membership",LOWER($A832&amp;" "&amp;$M832&amp;"")))),"",IF(OR($N832="",$I832="",$I832=0),"",$N832/$I832)))</f>
        <v/>
      </c>
      <c r="P832">
        <f>IF($A832="","",IF(OR(LOWER($D832&amp;"")="n/a",ISNUMBER(SEARCH("subscription",LOWER($A832&amp;" "&amp;$M832&amp;""))),ISNUMBER(SEARCH("membership",LOWER($A832&amp;" "&amp;$M832&amp;"")))),"",IF(LOWER($L832&amp;"")="yes",0,IF($K832&lt;&gt;"",$K832,IF($O832&lt;&gt;"",$O832,"")))))</f>
        <v/>
      </c>
      <c r="Q832">
        <f>IF($A832="","",IF($U832="Subscription","",IF($U832="Profit",$P832-$H832,0)))</f>
        <v/>
      </c>
      <c r="R832">
        <f>IF($A832="","",IF($U832="Subscription","",IF($U832="Draw",$H832,0)))</f>
        <v/>
      </c>
      <c r="S832">
        <f>IF($A832="","",IF($U832="Subscription","",IF($U832="Disqualified",$H832,0)))</f>
        <v/>
      </c>
      <c r="T832">
        <f>IF($A832="","",IF($U832="Subscription","",IF($H832=0,IF($U832="Profit","N/A",0),IF($U832="Profit",$Q832/$H832,IF($U832="Disqualified",-1,0)))))</f>
        <v/>
      </c>
      <c r="U832" s="350">
        <f>IF($A832="","",IF(OR(LOWER($D832&amp;"")="n/a",ISNUMBER(SEARCH("subscription",LOWER($A832&amp;" "&amp;$M832&amp;""))),ISNUMBER(SEARCH("membership",LOWER($A832&amp;" "&amp;$M832&amp;"")))),"Subscription",IF(LOWER($L832&amp;"")="yes","Disqualified",IF($P832&gt;$H832,"Profit","Draw"))))</f>
        <v/>
      </c>
      <c r="V832">
        <f>IF(OR($A832="",$B832="",$C832="",$U832="Subscription"),"",IFERROR(ROUNDUP((IF(ISNUMBER($C832),$C832,DATEVALUE($C832))-IF(ISNUMBER($B832),$B832,DATEVALUE($B832)))/7,0),""))</f>
        <v/>
      </c>
      <c r="W832" s="352">
        <f>IF($U832="Subscription","",$Q832-$S832)</f>
        <v/>
      </c>
      <c r="X832">
        <f>IF(OR($A832="",$U832="Subscription",$J832="",$I832="",$J832=0,$I832=0,$I832&gt;$J832),"",$J832-$I832)</f>
        <v/>
      </c>
      <c r="Y832">
        <f>IF(OR($A832="",$U832="Subscription",$J832="",$J832=0,$X832=""),"",$X832/$J832)</f>
        <v/>
      </c>
    </row>
    <row r="833">
      <c r="B833" s="354" t="n"/>
      <c r="C833" s="354" t="n"/>
      <c r="E833" s="350" t="n"/>
      <c r="F833" s="350" t="n"/>
      <c r="G833" s="350" t="n"/>
      <c r="H833" s="350" t="n"/>
      <c r="I833" s="350" t="n"/>
      <c r="J833" s="352" t="n"/>
      <c r="M833" s="350" t="n"/>
      <c r="N833" s="350">
        <f>IF($A833="","",IF(OR(LOWER($D833&amp;"")="n/a",ISNUMBER(SEARCH("subscription",LOWER($A833&amp;" "&amp;$M833&amp;""))),ISNUMBER(SEARCH("membership",LOWER($A833&amp;" "&amp;$M833&amp;"")))),"",IF($G833="","",IF(ISNUMBER(SEARCH("non",LOWER($E833&amp;""))),$G833*0.85,$G833))))</f>
        <v/>
      </c>
      <c r="O833">
        <f>IF($A833="","",IF(OR(LOWER($D833&amp;"")="n/a",ISNUMBER(SEARCH("subscription",LOWER($A833&amp;" "&amp;$M833&amp;""))),ISNUMBER(SEARCH("membership",LOWER($A833&amp;" "&amp;$M833&amp;"")))),"",IF(OR($N833="",$I833="",$I833=0),"",$N833/$I833)))</f>
        <v/>
      </c>
      <c r="P833">
        <f>IF($A833="","",IF(OR(LOWER($D833&amp;"")="n/a",ISNUMBER(SEARCH("subscription",LOWER($A833&amp;" "&amp;$M833&amp;""))),ISNUMBER(SEARCH("membership",LOWER($A833&amp;" "&amp;$M833&amp;"")))),"",IF(LOWER($L833&amp;"")="yes",0,IF($K833&lt;&gt;"",$K833,IF($O833&lt;&gt;"",$O833,"")))))</f>
        <v/>
      </c>
      <c r="Q833">
        <f>IF($A833="","",IF($U833="Subscription","",IF($U833="Profit",$P833-$H833,0)))</f>
        <v/>
      </c>
      <c r="R833">
        <f>IF($A833="","",IF($U833="Subscription","",IF($U833="Draw",$H833,0)))</f>
        <v/>
      </c>
      <c r="S833">
        <f>IF($A833="","",IF($U833="Subscription","",IF($U833="Disqualified",$H833,0)))</f>
        <v/>
      </c>
      <c r="T833">
        <f>IF($A833="","",IF($U833="Subscription","",IF($H833=0,IF($U833="Profit","N/A",0),IF($U833="Profit",$Q833/$H833,IF($U833="Disqualified",-1,0)))))</f>
        <v/>
      </c>
      <c r="U833" s="350">
        <f>IF($A833="","",IF(OR(LOWER($D833&amp;"")="n/a",ISNUMBER(SEARCH("subscription",LOWER($A833&amp;" "&amp;$M833&amp;""))),ISNUMBER(SEARCH("membership",LOWER($A833&amp;" "&amp;$M833&amp;"")))),"Subscription",IF(LOWER($L833&amp;"")="yes","Disqualified",IF($P833&gt;$H833,"Profit","Draw"))))</f>
        <v/>
      </c>
      <c r="V833">
        <f>IF(OR($A833="",$B833="",$C833="",$U833="Subscription"),"",IFERROR(ROUNDUP((IF(ISNUMBER($C833),$C833,DATEVALUE($C833))-IF(ISNUMBER($B833),$B833,DATEVALUE($B833)))/7,0),""))</f>
        <v/>
      </c>
      <c r="W833" s="352">
        <f>IF($U833="Subscription","",$Q833-$S833)</f>
        <v/>
      </c>
      <c r="X833">
        <f>IF(OR($A833="",$U833="Subscription",$J833="",$I833="",$J833=0,$I833=0,$I833&gt;$J833),"",$J833-$I833)</f>
        <v/>
      </c>
      <c r="Y833">
        <f>IF(OR($A833="",$U833="Subscription",$J833="",$J833=0,$X833=""),"",$X833/$J833)</f>
        <v/>
      </c>
    </row>
    <row r="834">
      <c r="B834" s="354" t="n"/>
      <c r="C834" s="354" t="n"/>
      <c r="E834" s="350" t="n"/>
      <c r="F834" s="350" t="n"/>
      <c r="G834" s="350" t="n"/>
      <c r="H834" s="350" t="n"/>
      <c r="I834" s="350" t="n"/>
      <c r="J834" s="352" t="n"/>
      <c r="M834" s="350" t="n"/>
      <c r="N834" s="350">
        <f>IF($A834="","",IF(OR(LOWER($D834&amp;"")="n/a",ISNUMBER(SEARCH("subscription",LOWER($A834&amp;" "&amp;$M834&amp;""))),ISNUMBER(SEARCH("membership",LOWER($A834&amp;" "&amp;$M834&amp;"")))),"",IF($G834="","",IF(ISNUMBER(SEARCH("non",LOWER($E834&amp;""))),$G834*0.85,$G834))))</f>
        <v/>
      </c>
      <c r="O834">
        <f>IF($A834="","",IF(OR(LOWER($D834&amp;"")="n/a",ISNUMBER(SEARCH("subscription",LOWER($A834&amp;" "&amp;$M834&amp;""))),ISNUMBER(SEARCH("membership",LOWER($A834&amp;" "&amp;$M834&amp;"")))),"",IF(OR($N834="",$I834="",$I834=0),"",$N834/$I834)))</f>
        <v/>
      </c>
      <c r="P834">
        <f>IF($A834="","",IF(OR(LOWER($D834&amp;"")="n/a",ISNUMBER(SEARCH("subscription",LOWER($A834&amp;" "&amp;$M834&amp;""))),ISNUMBER(SEARCH("membership",LOWER($A834&amp;" "&amp;$M834&amp;"")))),"",IF(LOWER($L834&amp;"")="yes",0,IF($K834&lt;&gt;"",$K834,IF($O834&lt;&gt;"",$O834,"")))))</f>
        <v/>
      </c>
      <c r="Q834">
        <f>IF($A834="","",IF($U834="Subscription","",IF($U834="Profit",$P834-$H834,0)))</f>
        <v/>
      </c>
      <c r="R834">
        <f>IF($A834="","",IF($U834="Subscription","",IF($U834="Draw",$H834,0)))</f>
        <v/>
      </c>
      <c r="S834">
        <f>IF($A834="","",IF($U834="Subscription","",IF($U834="Disqualified",$H834,0)))</f>
        <v/>
      </c>
      <c r="T834">
        <f>IF($A834="","",IF($U834="Subscription","",IF($H834=0,IF($U834="Profit","N/A",0),IF($U834="Profit",$Q834/$H834,IF($U834="Disqualified",-1,0)))))</f>
        <v/>
      </c>
      <c r="U834" s="350">
        <f>IF($A834="","",IF(OR(LOWER($D834&amp;"")="n/a",ISNUMBER(SEARCH("subscription",LOWER($A834&amp;" "&amp;$M834&amp;""))),ISNUMBER(SEARCH("membership",LOWER($A834&amp;" "&amp;$M834&amp;"")))),"Subscription",IF(LOWER($L834&amp;"")="yes","Disqualified",IF($P834&gt;$H834,"Profit","Draw"))))</f>
        <v/>
      </c>
      <c r="V834">
        <f>IF(OR($A834="",$B834="",$C834="",$U834="Subscription"),"",IFERROR(ROUNDUP((IF(ISNUMBER($C834),$C834,DATEVALUE($C834))-IF(ISNUMBER($B834),$B834,DATEVALUE($B834)))/7,0),""))</f>
        <v/>
      </c>
      <c r="W834" s="352">
        <f>IF($U834="Subscription","",$Q834-$S834)</f>
        <v/>
      </c>
      <c r="X834">
        <f>IF(OR($A834="",$U834="Subscription",$J834="",$I834="",$J834=0,$I834=0,$I834&gt;$J834),"",$J834-$I834)</f>
        <v/>
      </c>
      <c r="Y834">
        <f>IF(OR($A834="",$U834="Subscription",$J834="",$J834=0,$X834=""),"",$X834/$J834)</f>
        <v/>
      </c>
    </row>
    <row r="835">
      <c r="B835" s="354" t="n"/>
      <c r="C835" s="354" t="n"/>
      <c r="E835" s="350" t="n"/>
      <c r="F835" s="350" t="n"/>
      <c r="G835" s="350" t="n"/>
      <c r="H835" s="350" t="n"/>
      <c r="I835" s="350" t="n"/>
      <c r="J835" s="352" t="n"/>
      <c r="M835" s="350" t="n"/>
      <c r="N835" s="350">
        <f>IF($A835="","",IF(OR(LOWER($D835&amp;"")="n/a",ISNUMBER(SEARCH("subscription",LOWER($A835&amp;" "&amp;$M835&amp;""))),ISNUMBER(SEARCH("membership",LOWER($A835&amp;" "&amp;$M835&amp;"")))),"",IF($G835="","",IF(ISNUMBER(SEARCH("non",LOWER($E835&amp;""))),$G835*0.85,$G835))))</f>
        <v/>
      </c>
      <c r="O835">
        <f>IF($A835="","",IF(OR(LOWER($D835&amp;"")="n/a",ISNUMBER(SEARCH("subscription",LOWER($A835&amp;" "&amp;$M835&amp;""))),ISNUMBER(SEARCH("membership",LOWER($A835&amp;" "&amp;$M835&amp;"")))),"",IF(OR($N835="",$I835="",$I835=0),"",$N835/$I835)))</f>
        <v/>
      </c>
      <c r="P835">
        <f>IF($A835="","",IF(OR(LOWER($D835&amp;"")="n/a",ISNUMBER(SEARCH("subscription",LOWER($A835&amp;" "&amp;$M835&amp;""))),ISNUMBER(SEARCH("membership",LOWER($A835&amp;" "&amp;$M835&amp;"")))),"",IF(LOWER($L835&amp;"")="yes",0,IF($K835&lt;&gt;"",$K835,IF($O835&lt;&gt;"",$O835,"")))))</f>
        <v/>
      </c>
      <c r="Q835">
        <f>IF($A835="","",IF($U835="Subscription","",IF($U835="Profit",$P835-$H835,0)))</f>
        <v/>
      </c>
      <c r="R835">
        <f>IF($A835="","",IF($U835="Subscription","",IF($U835="Draw",$H835,0)))</f>
        <v/>
      </c>
      <c r="S835">
        <f>IF($A835="","",IF($U835="Subscription","",IF($U835="Disqualified",$H835,0)))</f>
        <v/>
      </c>
      <c r="T835">
        <f>IF($A835="","",IF($U835="Subscription","",IF($H835=0,IF($U835="Profit","N/A",0),IF($U835="Profit",$Q835/$H835,IF($U835="Disqualified",-1,0)))))</f>
        <v/>
      </c>
      <c r="U835" s="350">
        <f>IF($A835="","",IF(OR(LOWER($D835&amp;"")="n/a",ISNUMBER(SEARCH("subscription",LOWER($A835&amp;" "&amp;$M835&amp;""))),ISNUMBER(SEARCH("membership",LOWER($A835&amp;" "&amp;$M835&amp;"")))),"Subscription",IF(LOWER($L835&amp;"")="yes","Disqualified",IF($P835&gt;$H835,"Profit","Draw"))))</f>
        <v/>
      </c>
      <c r="V835">
        <f>IF(OR($A835="",$B835="",$C835="",$U835="Subscription"),"",IFERROR(ROUNDUP((IF(ISNUMBER($C835),$C835,DATEVALUE($C835))-IF(ISNUMBER($B835),$B835,DATEVALUE($B835)))/7,0),""))</f>
        <v/>
      </c>
      <c r="W835" s="352">
        <f>IF($U835="Subscription","",$Q835-$S835)</f>
        <v/>
      </c>
      <c r="X835">
        <f>IF(OR($A835="",$U835="Subscription",$J835="",$I835="",$J835=0,$I835=0,$I835&gt;$J835),"",$J835-$I835)</f>
        <v/>
      </c>
      <c r="Y835">
        <f>IF(OR($A835="",$U835="Subscription",$J835="",$J835=0,$X835=""),"",$X835/$J835)</f>
        <v/>
      </c>
    </row>
    <row r="836">
      <c r="B836" s="354" t="n"/>
      <c r="C836" s="354" t="n"/>
      <c r="E836" s="350" t="n"/>
      <c r="F836" s="350" t="n"/>
      <c r="G836" s="350" t="n"/>
      <c r="H836" s="350" t="n"/>
      <c r="I836" s="350" t="n"/>
      <c r="J836" s="352" t="n"/>
      <c r="M836" s="350" t="n"/>
      <c r="N836" s="350">
        <f>IF($A836="","",IF(OR(LOWER($D836&amp;"")="n/a",ISNUMBER(SEARCH("subscription",LOWER($A836&amp;" "&amp;$M836&amp;""))),ISNUMBER(SEARCH("membership",LOWER($A836&amp;" "&amp;$M836&amp;"")))),"",IF($G836="","",IF(ISNUMBER(SEARCH("non",LOWER($E836&amp;""))),$G836*0.85,$G836))))</f>
        <v/>
      </c>
      <c r="O836">
        <f>IF($A836="","",IF(OR(LOWER($D836&amp;"")="n/a",ISNUMBER(SEARCH("subscription",LOWER($A836&amp;" "&amp;$M836&amp;""))),ISNUMBER(SEARCH("membership",LOWER($A836&amp;" "&amp;$M836&amp;"")))),"",IF(OR($N836="",$I836="",$I836=0),"",$N836/$I836)))</f>
        <v/>
      </c>
      <c r="P836">
        <f>IF($A836="","",IF(OR(LOWER($D836&amp;"")="n/a",ISNUMBER(SEARCH("subscription",LOWER($A836&amp;" "&amp;$M836&amp;""))),ISNUMBER(SEARCH("membership",LOWER($A836&amp;" "&amp;$M836&amp;"")))),"",IF(LOWER($L836&amp;"")="yes",0,IF($K836&lt;&gt;"",$K836,IF($O836&lt;&gt;"",$O836,"")))))</f>
        <v/>
      </c>
      <c r="Q836">
        <f>IF($A836="","",IF($U836="Subscription","",IF($U836="Profit",$P836-$H836,0)))</f>
        <v/>
      </c>
      <c r="R836">
        <f>IF($A836="","",IF($U836="Subscription","",IF($U836="Draw",$H836,0)))</f>
        <v/>
      </c>
      <c r="S836">
        <f>IF($A836="","",IF($U836="Subscription","",IF($U836="Disqualified",$H836,0)))</f>
        <v/>
      </c>
      <c r="T836">
        <f>IF($A836="","",IF($U836="Subscription","",IF($H836=0,IF($U836="Profit","N/A",0),IF($U836="Profit",$Q836/$H836,IF($U836="Disqualified",-1,0)))))</f>
        <v/>
      </c>
      <c r="U836" s="350">
        <f>IF($A836="","",IF(OR(LOWER($D836&amp;"")="n/a",ISNUMBER(SEARCH("subscription",LOWER($A836&amp;" "&amp;$M836&amp;""))),ISNUMBER(SEARCH("membership",LOWER($A836&amp;" "&amp;$M836&amp;"")))),"Subscription",IF(LOWER($L836&amp;"")="yes","Disqualified",IF($P836&gt;$H836,"Profit","Draw"))))</f>
        <v/>
      </c>
      <c r="V836">
        <f>IF(OR($A836="",$B836="",$C836="",$U836="Subscription"),"",IFERROR(ROUNDUP((IF(ISNUMBER($C836),$C836,DATEVALUE($C836))-IF(ISNUMBER($B836),$B836,DATEVALUE($B836)))/7,0),""))</f>
        <v/>
      </c>
      <c r="W836" s="352">
        <f>IF($U836="Subscription","",$Q836-$S836)</f>
        <v/>
      </c>
      <c r="X836">
        <f>IF(OR($A836="",$U836="Subscription",$J836="",$I836="",$J836=0,$I836=0,$I836&gt;$J836),"",$J836-$I836)</f>
        <v/>
      </c>
      <c r="Y836">
        <f>IF(OR($A836="",$U836="Subscription",$J836="",$J836=0,$X836=""),"",$X836/$J836)</f>
        <v/>
      </c>
    </row>
    <row r="837">
      <c r="B837" s="354" t="n"/>
      <c r="C837" s="354" t="n"/>
      <c r="E837" s="350" t="n"/>
      <c r="F837" s="350" t="n"/>
      <c r="G837" s="350" t="n"/>
      <c r="H837" s="350" t="n"/>
      <c r="I837" s="350" t="n"/>
      <c r="J837" s="352" t="n"/>
      <c r="M837" s="350" t="n"/>
      <c r="N837" s="350">
        <f>IF($A837="","",IF(OR(LOWER($D837&amp;"")="n/a",ISNUMBER(SEARCH("subscription",LOWER($A837&amp;" "&amp;$M837&amp;""))),ISNUMBER(SEARCH("membership",LOWER($A837&amp;" "&amp;$M837&amp;"")))),"",IF($G837="","",IF(ISNUMBER(SEARCH("non",LOWER($E837&amp;""))),$G837*0.85,$G837))))</f>
        <v/>
      </c>
      <c r="O837">
        <f>IF($A837="","",IF(OR(LOWER($D837&amp;"")="n/a",ISNUMBER(SEARCH("subscription",LOWER($A837&amp;" "&amp;$M837&amp;""))),ISNUMBER(SEARCH("membership",LOWER($A837&amp;" "&amp;$M837&amp;"")))),"",IF(OR($N837="",$I837="",$I837=0),"",$N837/$I837)))</f>
        <v/>
      </c>
      <c r="P837">
        <f>IF($A837="","",IF(OR(LOWER($D837&amp;"")="n/a",ISNUMBER(SEARCH("subscription",LOWER($A837&amp;" "&amp;$M837&amp;""))),ISNUMBER(SEARCH("membership",LOWER($A837&amp;" "&amp;$M837&amp;"")))),"",IF(LOWER($L837&amp;"")="yes",0,IF($K837&lt;&gt;"",$K837,IF($O837&lt;&gt;"",$O837,"")))))</f>
        <v/>
      </c>
      <c r="Q837">
        <f>IF($A837="","",IF($U837="Subscription","",IF($U837="Profit",$P837-$H837,0)))</f>
        <v/>
      </c>
      <c r="R837">
        <f>IF($A837="","",IF($U837="Subscription","",IF($U837="Draw",$H837,0)))</f>
        <v/>
      </c>
      <c r="S837">
        <f>IF($A837="","",IF($U837="Subscription","",IF($U837="Disqualified",$H837,0)))</f>
        <v/>
      </c>
      <c r="T837">
        <f>IF($A837="","",IF($U837="Subscription","",IF($H837=0,IF($U837="Profit","N/A",0),IF($U837="Profit",$Q837/$H837,IF($U837="Disqualified",-1,0)))))</f>
        <v/>
      </c>
      <c r="U837" s="350">
        <f>IF($A837="","",IF(OR(LOWER($D837&amp;"")="n/a",ISNUMBER(SEARCH("subscription",LOWER($A837&amp;" "&amp;$M837&amp;""))),ISNUMBER(SEARCH("membership",LOWER($A837&amp;" "&amp;$M837&amp;"")))),"Subscription",IF(LOWER($L837&amp;"")="yes","Disqualified",IF($P837&gt;$H837,"Profit","Draw"))))</f>
        <v/>
      </c>
      <c r="V837">
        <f>IF(OR($A837="",$B837="",$C837="",$U837="Subscription"),"",IFERROR(ROUNDUP((IF(ISNUMBER($C837),$C837,DATEVALUE($C837))-IF(ISNUMBER($B837),$B837,DATEVALUE($B837)))/7,0),""))</f>
        <v/>
      </c>
      <c r="W837" s="352">
        <f>IF($U837="Subscription","",$Q837-$S837)</f>
        <v/>
      </c>
      <c r="X837">
        <f>IF(OR($A837="",$U837="Subscription",$J837="",$I837="",$J837=0,$I837=0,$I837&gt;$J837),"",$J837-$I837)</f>
        <v/>
      </c>
      <c r="Y837">
        <f>IF(OR($A837="",$U837="Subscription",$J837="",$J837=0,$X837=""),"",$X837/$J837)</f>
        <v/>
      </c>
    </row>
    <row r="838">
      <c r="B838" s="354" t="n"/>
      <c r="C838" s="354" t="n"/>
      <c r="E838" s="350" t="n"/>
      <c r="F838" s="350" t="n"/>
      <c r="G838" s="350" t="n"/>
      <c r="H838" s="350" t="n"/>
      <c r="I838" s="350" t="n"/>
      <c r="J838" s="352" t="n"/>
      <c r="M838" s="350" t="n"/>
      <c r="N838" s="350">
        <f>IF($A838="","",IF(OR(LOWER($D838&amp;"")="n/a",ISNUMBER(SEARCH("subscription",LOWER($A838&amp;" "&amp;$M838&amp;""))),ISNUMBER(SEARCH("membership",LOWER($A838&amp;" "&amp;$M838&amp;"")))),"",IF($G838="","",IF(ISNUMBER(SEARCH("non",LOWER($E838&amp;""))),$G838*0.85,$G838))))</f>
        <v/>
      </c>
      <c r="O838">
        <f>IF($A838="","",IF(OR(LOWER($D838&amp;"")="n/a",ISNUMBER(SEARCH("subscription",LOWER($A838&amp;" "&amp;$M838&amp;""))),ISNUMBER(SEARCH("membership",LOWER($A838&amp;" "&amp;$M838&amp;"")))),"",IF(OR($N838="",$I838="",$I838=0),"",$N838/$I838)))</f>
        <v/>
      </c>
      <c r="P838">
        <f>IF($A838="","",IF(OR(LOWER($D838&amp;"")="n/a",ISNUMBER(SEARCH("subscription",LOWER($A838&amp;" "&amp;$M838&amp;""))),ISNUMBER(SEARCH("membership",LOWER($A838&amp;" "&amp;$M838&amp;"")))),"",IF(LOWER($L838&amp;"")="yes",0,IF($K838&lt;&gt;"",$K838,IF($O838&lt;&gt;"",$O838,"")))))</f>
        <v/>
      </c>
      <c r="Q838">
        <f>IF($A838="","",IF($U838="Subscription","",IF($U838="Profit",$P838-$H838,0)))</f>
        <v/>
      </c>
      <c r="R838">
        <f>IF($A838="","",IF($U838="Subscription","",IF($U838="Draw",$H838,0)))</f>
        <v/>
      </c>
      <c r="S838">
        <f>IF($A838="","",IF($U838="Subscription","",IF($U838="Disqualified",$H838,0)))</f>
        <v/>
      </c>
      <c r="T838">
        <f>IF($A838="","",IF($U838="Subscription","",IF($H838=0,IF($U838="Profit","N/A",0),IF($U838="Profit",$Q838/$H838,IF($U838="Disqualified",-1,0)))))</f>
        <v/>
      </c>
      <c r="U838" s="350">
        <f>IF($A838="","",IF(OR(LOWER($D838&amp;"")="n/a",ISNUMBER(SEARCH("subscription",LOWER($A838&amp;" "&amp;$M838&amp;""))),ISNUMBER(SEARCH("membership",LOWER($A838&amp;" "&amp;$M838&amp;"")))),"Subscription",IF(LOWER($L838&amp;"")="yes","Disqualified",IF($P838&gt;$H838,"Profit","Draw"))))</f>
        <v/>
      </c>
      <c r="V838">
        <f>IF(OR($A838="",$B838="",$C838="",$U838="Subscription"),"",IFERROR(ROUNDUP((IF(ISNUMBER($C838),$C838,DATEVALUE($C838))-IF(ISNUMBER($B838),$B838,DATEVALUE($B838)))/7,0),""))</f>
        <v/>
      </c>
      <c r="W838" s="352">
        <f>IF($U838="Subscription","",$Q838-$S838)</f>
        <v/>
      </c>
      <c r="X838">
        <f>IF(OR($A838="",$U838="Subscription",$J838="",$I838="",$J838=0,$I838=0,$I838&gt;$J838),"",$J838-$I838)</f>
        <v/>
      </c>
      <c r="Y838">
        <f>IF(OR($A838="",$U838="Subscription",$J838="",$J838=0,$X838=""),"",$X838/$J838)</f>
        <v/>
      </c>
    </row>
    <row r="839">
      <c r="B839" s="354" t="n"/>
      <c r="C839" s="354" t="n"/>
      <c r="E839" s="350" t="n"/>
      <c r="F839" s="350" t="n"/>
      <c r="G839" s="350" t="n"/>
      <c r="H839" s="350" t="n"/>
      <c r="I839" s="350" t="n"/>
      <c r="J839" s="352" t="n"/>
      <c r="M839" s="350" t="n"/>
      <c r="N839" s="350">
        <f>IF($A839="","",IF(OR(LOWER($D839&amp;"")="n/a",ISNUMBER(SEARCH("subscription",LOWER($A839&amp;" "&amp;$M839&amp;""))),ISNUMBER(SEARCH("membership",LOWER($A839&amp;" "&amp;$M839&amp;"")))),"",IF($G839="","",IF(ISNUMBER(SEARCH("non",LOWER($E839&amp;""))),$G839*0.85,$G839))))</f>
        <v/>
      </c>
      <c r="O839">
        <f>IF($A839="","",IF(OR(LOWER($D839&amp;"")="n/a",ISNUMBER(SEARCH("subscription",LOWER($A839&amp;" "&amp;$M839&amp;""))),ISNUMBER(SEARCH("membership",LOWER($A839&amp;" "&amp;$M839&amp;"")))),"",IF(OR($N839="",$I839="",$I839=0),"",$N839/$I839)))</f>
        <v/>
      </c>
      <c r="P839">
        <f>IF($A839="","",IF(OR(LOWER($D839&amp;"")="n/a",ISNUMBER(SEARCH("subscription",LOWER($A839&amp;" "&amp;$M839&amp;""))),ISNUMBER(SEARCH("membership",LOWER($A839&amp;" "&amp;$M839&amp;"")))),"",IF(LOWER($L839&amp;"")="yes",0,IF($K839&lt;&gt;"",$K839,IF($O839&lt;&gt;"",$O839,"")))))</f>
        <v/>
      </c>
      <c r="Q839">
        <f>IF($A839="","",IF($U839="Subscription","",IF($U839="Profit",$P839-$H839,0)))</f>
        <v/>
      </c>
      <c r="R839">
        <f>IF($A839="","",IF($U839="Subscription","",IF($U839="Draw",$H839,0)))</f>
        <v/>
      </c>
      <c r="S839">
        <f>IF($A839="","",IF($U839="Subscription","",IF($U839="Disqualified",$H839,0)))</f>
        <v/>
      </c>
      <c r="T839">
        <f>IF($A839="","",IF($U839="Subscription","",IF($H839=0,IF($U839="Profit","N/A",0),IF($U839="Profit",$Q839/$H839,IF($U839="Disqualified",-1,0)))))</f>
        <v/>
      </c>
      <c r="U839" s="350">
        <f>IF($A839="","",IF(OR(LOWER($D839&amp;"")="n/a",ISNUMBER(SEARCH("subscription",LOWER($A839&amp;" "&amp;$M839&amp;""))),ISNUMBER(SEARCH("membership",LOWER($A839&amp;" "&amp;$M839&amp;"")))),"Subscription",IF(LOWER($L839&amp;"")="yes","Disqualified",IF($P839&gt;$H839,"Profit","Draw"))))</f>
        <v/>
      </c>
      <c r="V839">
        <f>IF(OR($A839="",$B839="",$C839="",$U839="Subscription"),"",IFERROR(ROUNDUP((IF(ISNUMBER($C839),$C839,DATEVALUE($C839))-IF(ISNUMBER($B839),$B839,DATEVALUE($B839)))/7,0),""))</f>
        <v/>
      </c>
      <c r="W839" s="352">
        <f>IF($U839="Subscription","",$Q839-$S839)</f>
        <v/>
      </c>
      <c r="X839">
        <f>IF(OR($A839="",$U839="Subscription",$J839="",$I839="",$J839=0,$I839=0,$I839&gt;$J839),"",$J839-$I839)</f>
        <v/>
      </c>
      <c r="Y839">
        <f>IF(OR($A839="",$U839="Subscription",$J839="",$J839=0,$X839=""),"",$X839/$J839)</f>
        <v/>
      </c>
    </row>
    <row r="840">
      <c r="B840" s="354" t="n"/>
      <c r="C840" s="354" t="n"/>
      <c r="E840" s="350" t="n"/>
      <c r="F840" s="350" t="n"/>
      <c r="G840" s="350" t="n"/>
      <c r="H840" s="350" t="n"/>
      <c r="I840" s="350" t="n"/>
      <c r="J840" s="352" t="n"/>
      <c r="M840" s="350" t="n"/>
      <c r="N840" s="350">
        <f>IF($A840="","",IF(OR(LOWER($D840&amp;"")="n/a",ISNUMBER(SEARCH("subscription",LOWER($A840&amp;" "&amp;$M840&amp;""))),ISNUMBER(SEARCH("membership",LOWER($A840&amp;" "&amp;$M840&amp;"")))),"",IF($G840="","",IF(ISNUMBER(SEARCH("non",LOWER($E840&amp;""))),$G840*0.85,$G840))))</f>
        <v/>
      </c>
      <c r="O840">
        <f>IF($A840="","",IF(OR(LOWER($D840&amp;"")="n/a",ISNUMBER(SEARCH("subscription",LOWER($A840&amp;" "&amp;$M840&amp;""))),ISNUMBER(SEARCH("membership",LOWER($A840&amp;" "&amp;$M840&amp;"")))),"",IF(OR($N840="",$I840="",$I840=0),"",$N840/$I840)))</f>
        <v/>
      </c>
      <c r="P840">
        <f>IF($A840="","",IF(OR(LOWER($D840&amp;"")="n/a",ISNUMBER(SEARCH("subscription",LOWER($A840&amp;" "&amp;$M840&amp;""))),ISNUMBER(SEARCH("membership",LOWER($A840&amp;" "&amp;$M840&amp;"")))),"",IF(LOWER($L840&amp;"")="yes",0,IF($K840&lt;&gt;"",$K840,IF($O840&lt;&gt;"",$O840,"")))))</f>
        <v/>
      </c>
      <c r="Q840">
        <f>IF($A840="","",IF($U840="Subscription","",IF($U840="Profit",$P840-$H840,0)))</f>
        <v/>
      </c>
      <c r="R840">
        <f>IF($A840="","",IF($U840="Subscription","",IF($U840="Draw",$H840,0)))</f>
        <v/>
      </c>
      <c r="S840">
        <f>IF($A840="","",IF($U840="Subscription","",IF($U840="Disqualified",$H840,0)))</f>
        <v/>
      </c>
      <c r="T840">
        <f>IF($A840="","",IF($U840="Subscription","",IF($H840=0,IF($U840="Profit","N/A",0),IF($U840="Profit",$Q840/$H840,IF($U840="Disqualified",-1,0)))))</f>
        <v/>
      </c>
      <c r="U840" s="350">
        <f>IF($A840="","",IF(OR(LOWER($D840&amp;"")="n/a",ISNUMBER(SEARCH("subscription",LOWER($A840&amp;" "&amp;$M840&amp;""))),ISNUMBER(SEARCH("membership",LOWER($A840&amp;" "&amp;$M840&amp;"")))),"Subscription",IF(LOWER($L840&amp;"")="yes","Disqualified",IF($P840&gt;$H840,"Profit","Draw"))))</f>
        <v/>
      </c>
      <c r="V840">
        <f>IF(OR($A840="",$B840="",$C840="",$U840="Subscription"),"",IFERROR(ROUNDUP((IF(ISNUMBER($C840),$C840,DATEVALUE($C840))-IF(ISNUMBER($B840),$B840,DATEVALUE($B840)))/7,0),""))</f>
        <v/>
      </c>
      <c r="W840" s="352">
        <f>IF($U840="Subscription","",$Q840-$S840)</f>
        <v/>
      </c>
      <c r="X840">
        <f>IF(OR($A840="",$U840="Subscription",$J840="",$I840="",$J840=0,$I840=0,$I840&gt;$J840),"",$J840-$I840)</f>
        <v/>
      </c>
      <c r="Y840">
        <f>IF(OR($A840="",$U840="Subscription",$J840="",$J840=0,$X840=""),"",$X840/$J840)</f>
        <v/>
      </c>
    </row>
    <row r="841">
      <c r="B841" s="354" t="n"/>
      <c r="C841" s="354" t="n"/>
      <c r="E841" s="350" t="n"/>
      <c r="F841" s="350" t="n"/>
      <c r="G841" s="350" t="n"/>
      <c r="H841" s="350" t="n"/>
      <c r="I841" s="350" t="n"/>
      <c r="J841" s="352" t="n"/>
      <c r="M841" s="350" t="n"/>
      <c r="N841" s="350">
        <f>IF($A841="","",IF(OR(LOWER($D841&amp;"")="n/a",ISNUMBER(SEARCH("subscription",LOWER($A841&amp;" "&amp;$M841&amp;""))),ISNUMBER(SEARCH("membership",LOWER($A841&amp;" "&amp;$M841&amp;"")))),"",IF($G841="","",IF(ISNUMBER(SEARCH("non",LOWER($E841&amp;""))),$G841*0.85,$G841))))</f>
        <v/>
      </c>
      <c r="O841">
        <f>IF($A841="","",IF(OR(LOWER($D841&amp;"")="n/a",ISNUMBER(SEARCH("subscription",LOWER($A841&amp;" "&amp;$M841&amp;""))),ISNUMBER(SEARCH("membership",LOWER($A841&amp;" "&amp;$M841&amp;"")))),"",IF(OR($N841="",$I841="",$I841=0),"",$N841/$I841)))</f>
        <v/>
      </c>
      <c r="P841">
        <f>IF($A841="","",IF(OR(LOWER($D841&amp;"")="n/a",ISNUMBER(SEARCH("subscription",LOWER($A841&amp;" "&amp;$M841&amp;""))),ISNUMBER(SEARCH("membership",LOWER($A841&amp;" "&amp;$M841&amp;"")))),"",IF(LOWER($L841&amp;"")="yes",0,IF($K841&lt;&gt;"",$K841,IF($O841&lt;&gt;"",$O841,"")))))</f>
        <v/>
      </c>
      <c r="Q841">
        <f>IF($A841="","",IF($U841="Subscription","",IF($U841="Profit",$P841-$H841,0)))</f>
        <v/>
      </c>
      <c r="R841">
        <f>IF($A841="","",IF($U841="Subscription","",IF($U841="Draw",$H841,0)))</f>
        <v/>
      </c>
      <c r="S841">
        <f>IF($A841="","",IF($U841="Subscription","",IF($U841="Disqualified",$H841,0)))</f>
        <v/>
      </c>
      <c r="T841">
        <f>IF($A841="","",IF($U841="Subscription","",IF($H841=0,IF($U841="Profit","N/A",0),IF($U841="Profit",$Q841/$H841,IF($U841="Disqualified",-1,0)))))</f>
        <v/>
      </c>
      <c r="U841" s="350">
        <f>IF($A841="","",IF(OR(LOWER($D841&amp;"")="n/a",ISNUMBER(SEARCH("subscription",LOWER($A841&amp;" "&amp;$M841&amp;""))),ISNUMBER(SEARCH("membership",LOWER($A841&amp;" "&amp;$M841&amp;"")))),"Subscription",IF(LOWER($L841&amp;"")="yes","Disqualified",IF($P841&gt;$H841,"Profit","Draw"))))</f>
        <v/>
      </c>
      <c r="V841">
        <f>IF(OR($A841="",$B841="",$C841="",$U841="Subscription"),"",IFERROR(ROUNDUP((IF(ISNUMBER($C841),$C841,DATEVALUE($C841))-IF(ISNUMBER($B841),$B841,DATEVALUE($B841)))/7,0),""))</f>
        <v/>
      </c>
      <c r="W841" s="352">
        <f>IF($U841="Subscription","",$Q841-$S841)</f>
        <v/>
      </c>
      <c r="X841">
        <f>IF(OR($A841="",$U841="Subscription",$J841="",$I841="",$J841=0,$I841=0,$I841&gt;$J841),"",$J841-$I841)</f>
        <v/>
      </c>
      <c r="Y841">
        <f>IF(OR($A841="",$U841="Subscription",$J841="",$J841=0,$X841=""),"",$X841/$J841)</f>
        <v/>
      </c>
    </row>
    <row r="842">
      <c r="B842" s="354" t="n"/>
      <c r="C842" s="354" t="n"/>
      <c r="E842" s="350" t="n"/>
      <c r="F842" s="350" t="n"/>
      <c r="G842" s="350" t="n"/>
      <c r="H842" s="350" t="n"/>
      <c r="I842" s="350" t="n"/>
      <c r="J842" s="352" t="n"/>
      <c r="M842" s="350" t="n"/>
      <c r="N842" s="350">
        <f>IF($A842="","",IF(OR(LOWER($D842&amp;"")="n/a",ISNUMBER(SEARCH("subscription",LOWER($A842&amp;" "&amp;$M842&amp;""))),ISNUMBER(SEARCH("membership",LOWER($A842&amp;" "&amp;$M842&amp;"")))),"",IF($G842="","",IF(ISNUMBER(SEARCH("non",LOWER($E842&amp;""))),$G842*0.85,$G842))))</f>
        <v/>
      </c>
      <c r="O842">
        <f>IF($A842="","",IF(OR(LOWER($D842&amp;"")="n/a",ISNUMBER(SEARCH("subscription",LOWER($A842&amp;" "&amp;$M842&amp;""))),ISNUMBER(SEARCH("membership",LOWER($A842&amp;" "&amp;$M842&amp;"")))),"",IF(OR($N842="",$I842="",$I842=0),"",$N842/$I842)))</f>
        <v/>
      </c>
      <c r="P842">
        <f>IF($A842="","",IF(OR(LOWER($D842&amp;"")="n/a",ISNUMBER(SEARCH("subscription",LOWER($A842&amp;" "&amp;$M842&amp;""))),ISNUMBER(SEARCH("membership",LOWER($A842&amp;" "&amp;$M842&amp;"")))),"",IF(LOWER($L842&amp;"")="yes",0,IF($K842&lt;&gt;"",$K842,IF($O842&lt;&gt;"",$O842,"")))))</f>
        <v/>
      </c>
      <c r="Q842">
        <f>IF($A842="","",IF($U842="Subscription","",IF($U842="Profit",$P842-$H842,0)))</f>
        <v/>
      </c>
      <c r="R842">
        <f>IF($A842="","",IF($U842="Subscription","",IF($U842="Draw",$H842,0)))</f>
        <v/>
      </c>
      <c r="S842">
        <f>IF($A842="","",IF($U842="Subscription","",IF($U842="Disqualified",$H842,0)))</f>
        <v/>
      </c>
      <c r="T842">
        <f>IF($A842="","",IF($U842="Subscription","",IF($H842=0,IF($U842="Profit","N/A",0),IF($U842="Profit",$Q842/$H842,IF($U842="Disqualified",-1,0)))))</f>
        <v/>
      </c>
      <c r="U842" s="350">
        <f>IF($A842="","",IF(OR(LOWER($D842&amp;"")="n/a",ISNUMBER(SEARCH("subscription",LOWER($A842&amp;" "&amp;$M842&amp;""))),ISNUMBER(SEARCH("membership",LOWER($A842&amp;" "&amp;$M842&amp;"")))),"Subscription",IF(LOWER($L842&amp;"")="yes","Disqualified",IF($P842&gt;$H842,"Profit","Draw"))))</f>
        <v/>
      </c>
      <c r="V842">
        <f>IF(OR($A842="",$B842="",$C842="",$U842="Subscription"),"",IFERROR(ROUNDUP((IF(ISNUMBER($C842),$C842,DATEVALUE($C842))-IF(ISNUMBER($B842),$B842,DATEVALUE($B842)))/7,0),""))</f>
        <v/>
      </c>
      <c r="W842" s="352">
        <f>IF($U842="Subscription","",$Q842-$S842)</f>
        <v/>
      </c>
      <c r="X842">
        <f>IF(OR($A842="",$U842="Subscription",$J842="",$I842="",$J842=0,$I842=0,$I842&gt;$J842),"",$J842-$I842)</f>
        <v/>
      </c>
      <c r="Y842">
        <f>IF(OR($A842="",$U842="Subscription",$J842="",$J842=0,$X842=""),"",$X842/$J842)</f>
        <v/>
      </c>
    </row>
    <row r="843">
      <c r="B843" s="354" t="n"/>
      <c r="C843" s="354" t="n"/>
      <c r="E843" s="350" t="n"/>
      <c r="F843" s="350" t="n"/>
      <c r="G843" s="350" t="n"/>
      <c r="H843" s="350" t="n"/>
      <c r="I843" s="350" t="n"/>
      <c r="J843" s="352" t="n"/>
      <c r="M843" s="350" t="n"/>
      <c r="N843" s="350">
        <f>IF($A843="","",IF(OR(LOWER($D843&amp;"")="n/a",ISNUMBER(SEARCH("subscription",LOWER($A843&amp;" "&amp;$M843&amp;""))),ISNUMBER(SEARCH("membership",LOWER($A843&amp;" "&amp;$M843&amp;"")))),"",IF($G843="","",IF(ISNUMBER(SEARCH("non",LOWER($E843&amp;""))),$G843*0.85,$G843))))</f>
        <v/>
      </c>
      <c r="O843">
        <f>IF($A843="","",IF(OR(LOWER($D843&amp;"")="n/a",ISNUMBER(SEARCH("subscription",LOWER($A843&amp;" "&amp;$M843&amp;""))),ISNUMBER(SEARCH("membership",LOWER($A843&amp;" "&amp;$M843&amp;"")))),"",IF(OR($N843="",$I843="",$I843=0),"",$N843/$I843)))</f>
        <v/>
      </c>
      <c r="P843">
        <f>IF($A843="","",IF(OR(LOWER($D843&amp;"")="n/a",ISNUMBER(SEARCH("subscription",LOWER($A843&amp;" "&amp;$M843&amp;""))),ISNUMBER(SEARCH("membership",LOWER($A843&amp;" "&amp;$M843&amp;"")))),"",IF(LOWER($L843&amp;"")="yes",0,IF($K843&lt;&gt;"",$K843,IF($O843&lt;&gt;"",$O843,"")))))</f>
        <v/>
      </c>
      <c r="Q843">
        <f>IF($A843="","",IF($U843="Subscription","",IF($U843="Profit",$P843-$H843,0)))</f>
        <v/>
      </c>
      <c r="R843">
        <f>IF($A843="","",IF($U843="Subscription","",IF($U843="Draw",$H843,0)))</f>
        <v/>
      </c>
      <c r="S843">
        <f>IF($A843="","",IF($U843="Subscription","",IF($U843="Disqualified",$H843,0)))</f>
        <v/>
      </c>
      <c r="T843">
        <f>IF($A843="","",IF($U843="Subscription","",IF($H843=0,IF($U843="Profit","N/A",0),IF($U843="Profit",$Q843/$H843,IF($U843="Disqualified",-1,0)))))</f>
        <v/>
      </c>
      <c r="U843" s="350">
        <f>IF($A843="","",IF(OR(LOWER($D843&amp;"")="n/a",ISNUMBER(SEARCH("subscription",LOWER($A843&amp;" "&amp;$M843&amp;""))),ISNUMBER(SEARCH("membership",LOWER($A843&amp;" "&amp;$M843&amp;"")))),"Subscription",IF(LOWER($L843&amp;"")="yes","Disqualified",IF($P843&gt;$H843,"Profit","Draw"))))</f>
        <v/>
      </c>
      <c r="V843">
        <f>IF(OR($A843="",$B843="",$C843="",$U843="Subscription"),"",IFERROR(ROUNDUP((IF(ISNUMBER($C843),$C843,DATEVALUE($C843))-IF(ISNUMBER($B843),$B843,DATEVALUE($B843)))/7,0),""))</f>
        <v/>
      </c>
      <c r="W843" s="352">
        <f>IF($U843="Subscription","",$Q843-$S843)</f>
        <v/>
      </c>
      <c r="X843">
        <f>IF(OR($A843="",$U843="Subscription",$J843="",$I843="",$J843=0,$I843=0,$I843&gt;$J843),"",$J843-$I843)</f>
        <v/>
      </c>
      <c r="Y843">
        <f>IF(OR($A843="",$U843="Subscription",$J843="",$J843=0,$X843=""),"",$X843/$J843)</f>
        <v/>
      </c>
    </row>
    <row r="844">
      <c r="B844" s="354" t="n"/>
      <c r="C844" s="354" t="n"/>
      <c r="E844" s="350" t="n"/>
      <c r="F844" s="350" t="n"/>
      <c r="G844" s="350" t="n"/>
      <c r="H844" s="350" t="n"/>
      <c r="I844" s="350" t="n"/>
      <c r="J844" s="352" t="n"/>
      <c r="M844" s="350" t="n"/>
      <c r="N844" s="350">
        <f>IF($A844="","",IF(OR(LOWER($D844&amp;"")="n/a",ISNUMBER(SEARCH("subscription",LOWER($A844&amp;" "&amp;$M844&amp;""))),ISNUMBER(SEARCH("membership",LOWER($A844&amp;" "&amp;$M844&amp;"")))),"",IF($G844="","",IF(ISNUMBER(SEARCH("non",LOWER($E844&amp;""))),$G844*0.85,$G844))))</f>
        <v/>
      </c>
      <c r="O844">
        <f>IF($A844="","",IF(OR(LOWER($D844&amp;"")="n/a",ISNUMBER(SEARCH("subscription",LOWER($A844&amp;" "&amp;$M844&amp;""))),ISNUMBER(SEARCH("membership",LOWER($A844&amp;" "&amp;$M844&amp;"")))),"",IF(OR($N844="",$I844="",$I844=0),"",$N844/$I844)))</f>
        <v/>
      </c>
      <c r="P844">
        <f>IF($A844="","",IF(OR(LOWER($D844&amp;"")="n/a",ISNUMBER(SEARCH("subscription",LOWER($A844&amp;" "&amp;$M844&amp;""))),ISNUMBER(SEARCH("membership",LOWER($A844&amp;" "&amp;$M844&amp;"")))),"",IF(LOWER($L844&amp;"")="yes",0,IF($K844&lt;&gt;"",$K844,IF($O844&lt;&gt;"",$O844,"")))))</f>
        <v/>
      </c>
      <c r="Q844">
        <f>IF($A844="","",IF($U844="Subscription","",IF($U844="Profit",$P844-$H844,0)))</f>
        <v/>
      </c>
      <c r="R844">
        <f>IF($A844="","",IF($U844="Subscription","",IF($U844="Draw",$H844,0)))</f>
        <v/>
      </c>
      <c r="S844">
        <f>IF($A844="","",IF($U844="Subscription","",IF($U844="Disqualified",$H844,0)))</f>
        <v/>
      </c>
      <c r="T844">
        <f>IF($A844="","",IF($U844="Subscription","",IF($H844=0,IF($U844="Profit","N/A",0),IF($U844="Profit",$Q844/$H844,IF($U844="Disqualified",-1,0)))))</f>
        <v/>
      </c>
      <c r="U844" s="350">
        <f>IF($A844="","",IF(OR(LOWER($D844&amp;"")="n/a",ISNUMBER(SEARCH("subscription",LOWER($A844&amp;" "&amp;$M844&amp;""))),ISNUMBER(SEARCH("membership",LOWER($A844&amp;" "&amp;$M844&amp;"")))),"Subscription",IF(LOWER($L844&amp;"")="yes","Disqualified",IF($P844&gt;$H844,"Profit","Draw"))))</f>
        <v/>
      </c>
      <c r="V844">
        <f>IF(OR($A844="",$B844="",$C844="",$U844="Subscription"),"",IFERROR(ROUNDUP((IF(ISNUMBER($C844),$C844,DATEVALUE($C844))-IF(ISNUMBER($B844),$B844,DATEVALUE($B844)))/7,0),""))</f>
        <v/>
      </c>
      <c r="W844" s="352">
        <f>IF($U844="Subscription","",$Q844-$S844)</f>
        <v/>
      </c>
      <c r="X844">
        <f>IF(OR($A844="",$U844="Subscription",$J844="",$I844="",$J844=0,$I844=0,$I844&gt;$J844),"",$J844-$I844)</f>
        <v/>
      </c>
      <c r="Y844">
        <f>IF(OR($A844="",$U844="Subscription",$J844="",$J844=0,$X844=""),"",$X844/$J844)</f>
        <v/>
      </c>
    </row>
    <row r="845">
      <c r="B845" s="354" t="n"/>
      <c r="C845" s="354" t="n"/>
      <c r="E845" s="350" t="n"/>
      <c r="F845" s="350" t="n"/>
      <c r="G845" s="350" t="n"/>
      <c r="H845" s="350" t="n"/>
      <c r="I845" s="350" t="n"/>
      <c r="J845" s="352" t="n"/>
      <c r="M845" s="350" t="n"/>
      <c r="N845" s="350">
        <f>IF($A845="","",IF(OR(LOWER($D845&amp;"")="n/a",ISNUMBER(SEARCH("subscription",LOWER($A845&amp;" "&amp;$M845&amp;""))),ISNUMBER(SEARCH("membership",LOWER($A845&amp;" "&amp;$M845&amp;"")))),"",IF($G845="","",IF(ISNUMBER(SEARCH("non",LOWER($E845&amp;""))),$G845*0.85,$G845))))</f>
        <v/>
      </c>
      <c r="O845">
        <f>IF($A845="","",IF(OR(LOWER($D845&amp;"")="n/a",ISNUMBER(SEARCH("subscription",LOWER($A845&amp;" "&amp;$M845&amp;""))),ISNUMBER(SEARCH("membership",LOWER($A845&amp;" "&amp;$M845&amp;"")))),"",IF(OR($N845="",$I845="",$I845=0),"",$N845/$I845)))</f>
        <v/>
      </c>
      <c r="P845">
        <f>IF($A845="","",IF(OR(LOWER($D845&amp;"")="n/a",ISNUMBER(SEARCH("subscription",LOWER($A845&amp;" "&amp;$M845&amp;""))),ISNUMBER(SEARCH("membership",LOWER($A845&amp;" "&amp;$M845&amp;"")))),"",IF(LOWER($L845&amp;"")="yes",0,IF($K845&lt;&gt;"",$K845,IF($O845&lt;&gt;"",$O845,"")))))</f>
        <v/>
      </c>
      <c r="Q845">
        <f>IF($A845="","",IF($U845="Subscription","",IF($U845="Profit",$P845-$H845,0)))</f>
        <v/>
      </c>
      <c r="R845">
        <f>IF($A845="","",IF($U845="Subscription","",IF($U845="Draw",$H845,0)))</f>
        <v/>
      </c>
      <c r="S845">
        <f>IF($A845="","",IF($U845="Subscription","",IF($U845="Disqualified",$H845,0)))</f>
        <v/>
      </c>
      <c r="T845">
        <f>IF($A845="","",IF($U845="Subscription","",IF($H845=0,IF($U845="Profit","N/A",0),IF($U845="Profit",$Q845/$H845,IF($U845="Disqualified",-1,0)))))</f>
        <v/>
      </c>
      <c r="U845" s="350">
        <f>IF($A845="","",IF(OR(LOWER($D845&amp;"")="n/a",ISNUMBER(SEARCH("subscription",LOWER($A845&amp;" "&amp;$M845&amp;""))),ISNUMBER(SEARCH("membership",LOWER($A845&amp;" "&amp;$M845&amp;"")))),"Subscription",IF(LOWER($L845&amp;"")="yes","Disqualified",IF($P845&gt;$H845,"Profit","Draw"))))</f>
        <v/>
      </c>
      <c r="V845">
        <f>IF(OR($A845="",$B845="",$C845="",$U845="Subscription"),"",IFERROR(ROUNDUP((IF(ISNUMBER($C845),$C845,DATEVALUE($C845))-IF(ISNUMBER($B845),$B845,DATEVALUE($B845)))/7,0),""))</f>
        <v/>
      </c>
      <c r="W845" s="352">
        <f>IF($U845="Subscription","",$Q845-$S845)</f>
        <v/>
      </c>
      <c r="X845">
        <f>IF(OR($A845="",$U845="Subscription",$J845="",$I845="",$J845=0,$I845=0,$I845&gt;$J845),"",$J845-$I845)</f>
        <v/>
      </c>
      <c r="Y845">
        <f>IF(OR($A845="",$U845="Subscription",$J845="",$J845=0,$X845=""),"",$X845/$J845)</f>
        <v/>
      </c>
    </row>
    <row r="846">
      <c r="B846" s="354" t="n"/>
      <c r="C846" s="354" t="n"/>
      <c r="E846" s="350" t="n"/>
      <c r="F846" s="350" t="n"/>
      <c r="G846" s="350" t="n"/>
      <c r="H846" s="350" t="n"/>
      <c r="I846" s="350" t="n"/>
      <c r="J846" s="352" t="n"/>
      <c r="M846" s="350" t="n"/>
      <c r="N846" s="350">
        <f>IF($A846="","",IF(OR(LOWER($D846&amp;"")="n/a",ISNUMBER(SEARCH("subscription",LOWER($A846&amp;" "&amp;$M846&amp;""))),ISNUMBER(SEARCH("membership",LOWER($A846&amp;" "&amp;$M846&amp;"")))),"",IF($G846="","",IF(ISNUMBER(SEARCH("non",LOWER($E846&amp;""))),$G846*0.85,$G846))))</f>
        <v/>
      </c>
      <c r="O846">
        <f>IF($A846="","",IF(OR(LOWER($D846&amp;"")="n/a",ISNUMBER(SEARCH("subscription",LOWER($A846&amp;" "&amp;$M846&amp;""))),ISNUMBER(SEARCH("membership",LOWER($A846&amp;" "&amp;$M846&amp;"")))),"",IF(OR($N846="",$I846="",$I846=0),"",$N846/$I846)))</f>
        <v/>
      </c>
      <c r="P846">
        <f>IF($A846="","",IF(OR(LOWER($D846&amp;"")="n/a",ISNUMBER(SEARCH("subscription",LOWER($A846&amp;" "&amp;$M846&amp;""))),ISNUMBER(SEARCH("membership",LOWER($A846&amp;" "&amp;$M846&amp;"")))),"",IF(LOWER($L846&amp;"")="yes",0,IF($K846&lt;&gt;"",$K846,IF($O846&lt;&gt;"",$O846,"")))))</f>
        <v/>
      </c>
      <c r="Q846">
        <f>IF($A846="","",IF($U846="Subscription","",IF($U846="Profit",$P846-$H846,0)))</f>
        <v/>
      </c>
      <c r="R846">
        <f>IF($A846="","",IF($U846="Subscription","",IF($U846="Draw",$H846,0)))</f>
        <v/>
      </c>
      <c r="S846">
        <f>IF($A846="","",IF($U846="Subscription","",IF($U846="Disqualified",$H846,0)))</f>
        <v/>
      </c>
      <c r="T846">
        <f>IF($A846="","",IF($U846="Subscription","",IF($H846=0,IF($U846="Profit","N/A",0),IF($U846="Profit",$Q846/$H846,IF($U846="Disqualified",-1,0)))))</f>
        <v/>
      </c>
      <c r="U846" s="350">
        <f>IF($A846="","",IF(OR(LOWER($D846&amp;"")="n/a",ISNUMBER(SEARCH("subscription",LOWER($A846&amp;" "&amp;$M846&amp;""))),ISNUMBER(SEARCH("membership",LOWER($A846&amp;" "&amp;$M846&amp;"")))),"Subscription",IF(LOWER($L846&amp;"")="yes","Disqualified",IF($P846&gt;$H846,"Profit","Draw"))))</f>
        <v/>
      </c>
      <c r="V846">
        <f>IF(OR($A846="",$B846="",$C846="",$U846="Subscription"),"",IFERROR(ROUNDUP((IF(ISNUMBER($C846),$C846,DATEVALUE($C846))-IF(ISNUMBER($B846),$B846,DATEVALUE($B846)))/7,0),""))</f>
        <v/>
      </c>
      <c r="W846" s="352">
        <f>IF($U846="Subscription","",$Q846-$S846)</f>
        <v/>
      </c>
      <c r="X846">
        <f>IF(OR($A846="",$U846="Subscription",$J846="",$I846="",$J846=0,$I846=0,$I846&gt;$J846),"",$J846-$I846)</f>
        <v/>
      </c>
      <c r="Y846">
        <f>IF(OR($A846="",$U846="Subscription",$J846="",$J846=0,$X846=""),"",$X846/$J846)</f>
        <v/>
      </c>
    </row>
    <row r="847">
      <c r="B847" s="354" t="n"/>
      <c r="C847" s="354" t="n"/>
      <c r="E847" s="350" t="n"/>
      <c r="F847" s="350" t="n"/>
      <c r="G847" s="350" t="n"/>
      <c r="H847" s="350" t="n"/>
      <c r="I847" s="350" t="n"/>
      <c r="J847" s="352" t="n"/>
      <c r="M847" s="350" t="n"/>
      <c r="N847" s="350">
        <f>IF($A847="","",IF(OR(LOWER($D847&amp;"")="n/a",ISNUMBER(SEARCH("subscription",LOWER($A847&amp;" "&amp;$M847&amp;""))),ISNUMBER(SEARCH("membership",LOWER($A847&amp;" "&amp;$M847&amp;"")))),"",IF($G847="","",IF(ISNUMBER(SEARCH("non",LOWER($E847&amp;""))),$G847*0.85,$G847))))</f>
        <v/>
      </c>
      <c r="O847">
        <f>IF($A847="","",IF(OR(LOWER($D847&amp;"")="n/a",ISNUMBER(SEARCH("subscription",LOWER($A847&amp;" "&amp;$M847&amp;""))),ISNUMBER(SEARCH("membership",LOWER($A847&amp;" "&amp;$M847&amp;"")))),"",IF(OR($N847="",$I847="",$I847=0),"",$N847/$I847)))</f>
        <v/>
      </c>
      <c r="P847">
        <f>IF($A847="","",IF(OR(LOWER($D847&amp;"")="n/a",ISNUMBER(SEARCH("subscription",LOWER($A847&amp;" "&amp;$M847&amp;""))),ISNUMBER(SEARCH("membership",LOWER($A847&amp;" "&amp;$M847&amp;"")))),"",IF(LOWER($L847&amp;"")="yes",0,IF($K847&lt;&gt;"",$K847,IF($O847&lt;&gt;"",$O847,"")))))</f>
        <v/>
      </c>
      <c r="Q847">
        <f>IF($A847="","",IF($U847="Subscription","",IF($U847="Profit",$P847-$H847,0)))</f>
        <v/>
      </c>
      <c r="R847">
        <f>IF($A847="","",IF($U847="Subscription","",IF($U847="Draw",$H847,0)))</f>
        <v/>
      </c>
      <c r="S847">
        <f>IF($A847="","",IF($U847="Subscription","",IF($U847="Disqualified",$H847,0)))</f>
        <v/>
      </c>
      <c r="T847">
        <f>IF($A847="","",IF($U847="Subscription","",IF($H847=0,IF($U847="Profit","N/A",0),IF($U847="Profit",$Q847/$H847,IF($U847="Disqualified",-1,0)))))</f>
        <v/>
      </c>
      <c r="U847" s="350">
        <f>IF($A847="","",IF(OR(LOWER($D847&amp;"")="n/a",ISNUMBER(SEARCH("subscription",LOWER($A847&amp;" "&amp;$M847&amp;""))),ISNUMBER(SEARCH("membership",LOWER($A847&amp;" "&amp;$M847&amp;"")))),"Subscription",IF(LOWER($L847&amp;"")="yes","Disqualified",IF($P847&gt;$H847,"Profit","Draw"))))</f>
        <v/>
      </c>
      <c r="V847">
        <f>IF(OR($A847="",$B847="",$C847="",$U847="Subscription"),"",IFERROR(ROUNDUP((IF(ISNUMBER($C847),$C847,DATEVALUE($C847))-IF(ISNUMBER($B847),$B847,DATEVALUE($B847)))/7,0),""))</f>
        <v/>
      </c>
      <c r="W847" s="352">
        <f>IF($U847="Subscription","",$Q847-$S847)</f>
        <v/>
      </c>
      <c r="X847">
        <f>IF(OR($A847="",$U847="Subscription",$J847="",$I847="",$J847=0,$I847=0,$I847&gt;$J847),"",$J847-$I847)</f>
        <v/>
      </c>
      <c r="Y847">
        <f>IF(OR($A847="",$U847="Subscription",$J847="",$J847=0,$X847=""),"",$X847/$J847)</f>
        <v/>
      </c>
    </row>
    <row r="848">
      <c r="B848" s="354" t="n"/>
      <c r="C848" s="354" t="n"/>
      <c r="E848" s="350" t="n"/>
      <c r="F848" s="350" t="n"/>
      <c r="G848" s="350" t="n"/>
      <c r="H848" s="350" t="n"/>
      <c r="I848" s="350" t="n"/>
      <c r="J848" s="352" t="n"/>
      <c r="M848" s="350" t="n"/>
      <c r="N848" s="350">
        <f>IF($A848="","",IF(OR(LOWER($D848&amp;"")="n/a",ISNUMBER(SEARCH("subscription",LOWER($A848&amp;" "&amp;$M848&amp;""))),ISNUMBER(SEARCH("membership",LOWER($A848&amp;" "&amp;$M848&amp;"")))),"",IF($G848="","",IF(ISNUMBER(SEARCH("non",LOWER($E848&amp;""))),$G848*0.85,$G848))))</f>
        <v/>
      </c>
      <c r="O848">
        <f>IF($A848="","",IF(OR(LOWER($D848&amp;"")="n/a",ISNUMBER(SEARCH("subscription",LOWER($A848&amp;" "&amp;$M848&amp;""))),ISNUMBER(SEARCH("membership",LOWER($A848&amp;" "&amp;$M848&amp;"")))),"",IF(OR($N848="",$I848="",$I848=0),"",$N848/$I848)))</f>
        <v/>
      </c>
      <c r="P848">
        <f>IF($A848="","",IF(OR(LOWER($D848&amp;"")="n/a",ISNUMBER(SEARCH("subscription",LOWER($A848&amp;" "&amp;$M848&amp;""))),ISNUMBER(SEARCH("membership",LOWER($A848&amp;" "&amp;$M848&amp;"")))),"",IF(LOWER($L848&amp;"")="yes",0,IF($K848&lt;&gt;"",$K848,IF($O848&lt;&gt;"",$O848,"")))))</f>
        <v/>
      </c>
      <c r="Q848">
        <f>IF($A848="","",IF($U848="Subscription","",IF($U848="Profit",$P848-$H848,0)))</f>
        <v/>
      </c>
      <c r="R848">
        <f>IF($A848="","",IF($U848="Subscription","",IF($U848="Draw",$H848,0)))</f>
        <v/>
      </c>
      <c r="S848">
        <f>IF($A848="","",IF($U848="Subscription","",IF($U848="Disqualified",$H848,0)))</f>
        <v/>
      </c>
      <c r="T848">
        <f>IF($A848="","",IF($U848="Subscription","",IF($H848=0,IF($U848="Profit","N/A",0),IF($U848="Profit",$Q848/$H848,IF($U848="Disqualified",-1,0)))))</f>
        <v/>
      </c>
      <c r="U848" s="350">
        <f>IF($A848="","",IF(OR(LOWER($D848&amp;"")="n/a",ISNUMBER(SEARCH("subscription",LOWER($A848&amp;" "&amp;$M848&amp;""))),ISNUMBER(SEARCH("membership",LOWER($A848&amp;" "&amp;$M848&amp;"")))),"Subscription",IF(LOWER($L848&amp;"")="yes","Disqualified",IF($P848&gt;$H848,"Profit","Draw"))))</f>
        <v/>
      </c>
      <c r="V848">
        <f>IF(OR($A848="",$B848="",$C848="",$U848="Subscription"),"",IFERROR(ROUNDUP((IF(ISNUMBER($C848),$C848,DATEVALUE($C848))-IF(ISNUMBER($B848),$B848,DATEVALUE($B848)))/7,0),""))</f>
        <v/>
      </c>
      <c r="W848" s="352">
        <f>IF($U848="Subscription","",$Q848-$S848)</f>
        <v/>
      </c>
      <c r="X848">
        <f>IF(OR($A848="",$U848="Subscription",$J848="",$I848="",$J848=0,$I848=0,$I848&gt;$J848),"",$J848-$I848)</f>
        <v/>
      </c>
      <c r="Y848">
        <f>IF(OR($A848="",$U848="Subscription",$J848="",$J848=0,$X848=""),"",$X848/$J848)</f>
        <v/>
      </c>
    </row>
    <row r="849">
      <c r="B849" s="354" t="n"/>
      <c r="C849" s="354" t="n"/>
      <c r="E849" s="350" t="n"/>
      <c r="F849" s="350" t="n"/>
      <c r="G849" s="350" t="n"/>
      <c r="H849" s="350" t="n"/>
      <c r="I849" s="350" t="n"/>
      <c r="J849" s="352" t="n"/>
      <c r="M849" s="350" t="n"/>
      <c r="N849" s="350">
        <f>IF($A849="","",IF(OR(LOWER($D849&amp;"")="n/a",ISNUMBER(SEARCH("subscription",LOWER($A849&amp;" "&amp;$M849&amp;""))),ISNUMBER(SEARCH("membership",LOWER($A849&amp;" "&amp;$M849&amp;"")))),"",IF($G849="","",IF(ISNUMBER(SEARCH("non",LOWER($E849&amp;""))),$G849*0.85,$G849))))</f>
        <v/>
      </c>
      <c r="O849">
        <f>IF($A849="","",IF(OR(LOWER($D849&amp;"")="n/a",ISNUMBER(SEARCH("subscription",LOWER($A849&amp;" "&amp;$M849&amp;""))),ISNUMBER(SEARCH("membership",LOWER($A849&amp;" "&amp;$M849&amp;"")))),"",IF(OR($N849="",$I849="",$I849=0),"",$N849/$I849)))</f>
        <v/>
      </c>
      <c r="P849">
        <f>IF($A849="","",IF(OR(LOWER($D849&amp;"")="n/a",ISNUMBER(SEARCH("subscription",LOWER($A849&amp;" "&amp;$M849&amp;""))),ISNUMBER(SEARCH("membership",LOWER($A849&amp;" "&amp;$M849&amp;"")))),"",IF(LOWER($L849&amp;"")="yes",0,IF($K849&lt;&gt;"",$K849,IF($O849&lt;&gt;"",$O849,"")))))</f>
        <v/>
      </c>
      <c r="Q849">
        <f>IF($A849="","",IF($U849="Subscription","",IF($U849="Profit",$P849-$H849,0)))</f>
        <v/>
      </c>
      <c r="R849">
        <f>IF($A849="","",IF($U849="Subscription","",IF($U849="Draw",$H849,0)))</f>
        <v/>
      </c>
      <c r="S849">
        <f>IF($A849="","",IF($U849="Subscription","",IF($U849="Disqualified",$H849,0)))</f>
        <v/>
      </c>
      <c r="T849">
        <f>IF($A849="","",IF($U849="Subscription","",IF($H849=0,IF($U849="Profit","N/A",0),IF($U849="Profit",$Q849/$H849,IF($U849="Disqualified",-1,0)))))</f>
        <v/>
      </c>
      <c r="U849" s="350">
        <f>IF($A849="","",IF(OR(LOWER($D849&amp;"")="n/a",ISNUMBER(SEARCH("subscription",LOWER($A849&amp;" "&amp;$M849&amp;""))),ISNUMBER(SEARCH("membership",LOWER($A849&amp;" "&amp;$M849&amp;"")))),"Subscription",IF(LOWER($L849&amp;"")="yes","Disqualified",IF($P849&gt;$H849,"Profit","Draw"))))</f>
        <v/>
      </c>
      <c r="V849">
        <f>IF(OR($A849="",$B849="",$C849="",$U849="Subscription"),"",IFERROR(ROUNDUP((IF(ISNUMBER($C849),$C849,DATEVALUE($C849))-IF(ISNUMBER($B849),$B849,DATEVALUE($B849)))/7,0),""))</f>
        <v/>
      </c>
      <c r="W849" s="352">
        <f>IF($U849="Subscription","",$Q849-$S849)</f>
        <v/>
      </c>
      <c r="X849">
        <f>IF(OR($A849="",$U849="Subscription",$J849="",$I849="",$J849=0,$I849=0,$I849&gt;$J849),"",$J849-$I849)</f>
        <v/>
      </c>
      <c r="Y849">
        <f>IF(OR($A849="",$U849="Subscription",$J849="",$J849=0,$X849=""),"",$X849/$J849)</f>
        <v/>
      </c>
    </row>
    <row r="850">
      <c r="B850" s="354" t="n"/>
      <c r="C850" s="354" t="n"/>
      <c r="E850" s="350" t="n"/>
      <c r="F850" s="350" t="n"/>
      <c r="G850" s="350" t="n"/>
      <c r="H850" s="350" t="n"/>
      <c r="I850" s="350" t="n"/>
      <c r="J850" s="352" t="n"/>
      <c r="M850" s="350" t="n"/>
      <c r="N850" s="350">
        <f>IF($A850="","",IF(OR(LOWER($D850&amp;"")="n/a",ISNUMBER(SEARCH("subscription",LOWER($A850&amp;" "&amp;$M850&amp;""))),ISNUMBER(SEARCH("membership",LOWER($A850&amp;" "&amp;$M850&amp;"")))),"",IF($G850="","",IF(ISNUMBER(SEARCH("non",LOWER($E850&amp;""))),$G850*0.85,$G850))))</f>
        <v/>
      </c>
      <c r="O850">
        <f>IF($A850="","",IF(OR(LOWER($D850&amp;"")="n/a",ISNUMBER(SEARCH("subscription",LOWER($A850&amp;" "&amp;$M850&amp;""))),ISNUMBER(SEARCH("membership",LOWER($A850&amp;" "&amp;$M850&amp;"")))),"",IF(OR($N850="",$I850="",$I850=0),"",$N850/$I850)))</f>
        <v/>
      </c>
      <c r="P850">
        <f>IF($A850="","",IF(OR(LOWER($D850&amp;"")="n/a",ISNUMBER(SEARCH("subscription",LOWER($A850&amp;" "&amp;$M850&amp;""))),ISNUMBER(SEARCH("membership",LOWER($A850&amp;" "&amp;$M850&amp;"")))),"",IF(LOWER($L850&amp;"")="yes",0,IF($K850&lt;&gt;"",$K850,IF($O850&lt;&gt;"",$O850,"")))))</f>
        <v/>
      </c>
      <c r="Q850">
        <f>IF($A850="","",IF($U850="Subscription","",IF($U850="Profit",$P850-$H850,0)))</f>
        <v/>
      </c>
      <c r="R850">
        <f>IF($A850="","",IF($U850="Subscription","",IF($U850="Draw",$H850,0)))</f>
        <v/>
      </c>
      <c r="S850">
        <f>IF($A850="","",IF($U850="Subscription","",IF($U850="Disqualified",$H850,0)))</f>
        <v/>
      </c>
      <c r="T850">
        <f>IF($A850="","",IF($U850="Subscription","",IF($H850=0,IF($U850="Profit","N/A",0),IF($U850="Profit",$Q850/$H850,IF($U850="Disqualified",-1,0)))))</f>
        <v/>
      </c>
      <c r="U850" s="350">
        <f>IF($A850="","",IF(OR(LOWER($D850&amp;"")="n/a",ISNUMBER(SEARCH("subscription",LOWER($A850&amp;" "&amp;$M850&amp;""))),ISNUMBER(SEARCH("membership",LOWER($A850&amp;" "&amp;$M850&amp;"")))),"Subscription",IF(LOWER($L850&amp;"")="yes","Disqualified",IF($P850&gt;$H850,"Profit","Draw"))))</f>
        <v/>
      </c>
      <c r="V850">
        <f>IF(OR($A850="",$B850="",$C850="",$U850="Subscription"),"",IFERROR(ROUNDUP((IF(ISNUMBER($C850),$C850,DATEVALUE($C850))-IF(ISNUMBER($B850),$B850,DATEVALUE($B850)))/7,0),""))</f>
        <v/>
      </c>
      <c r="W850" s="352">
        <f>IF($U850="Subscription","",$Q850-$S850)</f>
        <v/>
      </c>
      <c r="X850">
        <f>IF(OR($A850="",$U850="Subscription",$J850="",$I850="",$J850=0,$I850=0,$I850&gt;$J850),"",$J850-$I850)</f>
        <v/>
      </c>
      <c r="Y850">
        <f>IF(OR($A850="",$U850="Subscription",$J850="",$J850=0,$X850=""),"",$X850/$J850)</f>
        <v/>
      </c>
    </row>
    <row r="851">
      <c r="B851" s="354" t="n"/>
      <c r="C851" s="354" t="n"/>
      <c r="E851" s="350" t="n"/>
      <c r="F851" s="350" t="n"/>
      <c r="G851" s="350" t="n"/>
      <c r="H851" s="350" t="n"/>
      <c r="I851" s="350" t="n"/>
      <c r="J851" s="352" t="n"/>
      <c r="M851" s="350" t="n"/>
      <c r="N851" s="350">
        <f>IF($A851="","",IF(OR(LOWER($D851&amp;"")="n/a",ISNUMBER(SEARCH("subscription",LOWER($A851&amp;" "&amp;$M851&amp;""))),ISNUMBER(SEARCH("membership",LOWER($A851&amp;" "&amp;$M851&amp;"")))),"",IF($G851="","",IF(ISNUMBER(SEARCH("non",LOWER($E851&amp;""))),$G851*0.85,$G851))))</f>
        <v/>
      </c>
      <c r="O851">
        <f>IF($A851="","",IF(OR(LOWER($D851&amp;"")="n/a",ISNUMBER(SEARCH("subscription",LOWER($A851&amp;" "&amp;$M851&amp;""))),ISNUMBER(SEARCH("membership",LOWER($A851&amp;" "&amp;$M851&amp;"")))),"",IF(OR($N851="",$I851="",$I851=0),"",$N851/$I851)))</f>
        <v/>
      </c>
      <c r="P851">
        <f>IF($A851="","",IF(OR(LOWER($D851&amp;"")="n/a",ISNUMBER(SEARCH("subscription",LOWER($A851&amp;" "&amp;$M851&amp;""))),ISNUMBER(SEARCH("membership",LOWER($A851&amp;" "&amp;$M851&amp;"")))),"",IF(LOWER($L851&amp;"")="yes",0,IF($K851&lt;&gt;"",$K851,IF($O851&lt;&gt;"",$O851,"")))))</f>
        <v/>
      </c>
      <c r="Q851">
        <f>IF($A851="","",IF($U851="Subscription","",IF($U851="Profit",$P851-$H851,0)))</f>
        <v/>
      </c>
      <c r="R851">
        <f>IF($A851="","",IF($U851="Subscription","",IF($U851="Draw",$H851,0)))</f>
        <v/>
      </c>
      <c r="S851">
        <f>IF($A851="","",IF($U851="Subscription","",IF($U851="Disqualified",$H851,0)))</f>
        <v/>
      </c>
      <c r="T851">
        <f>IF($A851="","",IF($U851="Subscription","",IF($H851=0,IF($U851="Profit","N/A",0),IF($U851="Profit",$Q851/$H851,IF($U851="Disqualified",-1,0)))))</f>
        <v/>
      </c>
      <c r="U851" s="350">
        <f>IF($A851="","",IF(OR(LOWER($D851&amp;"")="n/a",ISNUMBER(SEARCH("subscription",LOWER($A851&amp;" "&amp;$M851&amp;""))),ISNUMBER(SEARCH("membership",LOWER($A851&amp;" "&amp;$M851&amp;"")))),"Subscription",IF(LOWER($L851&amp;"")="yes","Disqualified",IF($P851&gt;$H851,"Profit","Draw"))))</f>
        <v/>
      </c>
      <c r="V851">
        <f>IF(OR($A851="",$B851="",$C851="",$U851="Subscription"),"",IFERROR(ROUNDUP((IF(ISNUMBER($C851),$C851,DATEVALUE($C851))-IF(ISNUMBER($B851),$B851,DATEVALUE($B851)))/7,0),""))</f>
        <v/>
      </c>
      <c r="W851" s="352">
        <f>IF($U851="Subscription","",$Q851-$S851)</f>
        <v/>
      </c>
      <c r="X851">
        <f>IF(OR($A851="",$U851="Subscription",$J851="",$I851="",$J851=0,$I851=0,$I851&gt;$J851),"",$J851-$I851)</f>
        <v/>
      </c>
      <c r="Y851">
        <f>IF(OR($A851="",$U851="Subscription",$J851="",$J851=0,$X851=""),"",$X851/$J851)</f>
        <v/>
      </c>
    </row>
    <row r="852">
      <c r="B852" s="354" t="n"/>
      <c r="C852" s="354" t="n"/>
      <c r="E852" s="350" t="n"/>
      <c r="F852" s="350" t="n"/>
      <c r="G852" s="350" t="n"/>
      <c r="H852" s="350" t="n"/>
      <c r="I852" s="350" t="n"/>
      <c r="J852" s="352" t="n"/>
      <c r="M852" s="350" t="n"/>
      <c r="N852" s="350">
        <f>IF($A852="","",IF(OR(LOWER($D852&amp;"")="n/a",ISNUMBER(SEARCH("subscription",LOWER($A852&amp;" "&amp;$M852&amp;""))),ISNUMBER(SEARCH("membership",LOWER($A852&amp;" "&amp;$M852&amp;"")))),"",IF($G852="","",IF(ISNUMBER(SEARCH("non",LOWER($E852&amp;""))),$G852*0.85,$G852))))</f>
        <v/>
      </c>
      <c r="O852">
        <f>IF($A852="","",IF(OR(LOWER($D852&amp;"")="n/a",ISNUMBER(SEARCH("subscription",LOWER($A852&amp;" "&amp;$M852&amp;""))),ISNUMBER(SEARCH("membership",LOWER($A852&amp;" "&amp;$M852&amp;"")))),"",IF(OR($N852="",$I852="",$I852=0),"",$N852/$I852)))</f>
        <v/>
      </c>
      <c r="P852">
        <f>IF($A852="","",IF(OR(LOWER($D852&amp;"")="n/a",ISNUMBER(SEARCH("subscription",LOWER($A852&amp;" "&amp;$M852&amp;""))),ISNUMBER(SEARCH("membership",LOWER($A852&amp;" "&amp;$M852&amp;"")))),"",IF(LOWER($L852&amp;"")="yes",0,IF($K852&lt;&gt;"",$K852,IF($O852&lt;&gt;"",$O852,"")))))</f>
        <v/>
      </c>
      <c r="Q852">
        <f>IF($A852="","",IF($U852="Subscription","",IF($U852="Profit",$P852-$H852,0)))</f>
        <v/>
      </c>
      <c r="R852">
        <f>IF($A852="","",IF($U852="Subscription","",IF($U852="Draw",$H852,0)))</f>
        <v/>
      </c>
      <c r="S852">
        <f>IF($A852="","",IF($U852="Subscription","",IF($U852="Disqualified",$H852,0)))</f>
        <v/>
      </c>
      <c r="T852">
        <f>IF($A852="","",IF($U852="Subscription","",IF($H852=0,IF($U852="Profit","N/A",0),IF($U852="Profit",$Q852/$H852,IF($U852="Disqualified",-1,0)))))</f>
        <v/>
      </c>
      <c r="U852" s="350">
        <f>IF($A852="","",IF(OR(LOWER($D852&amp;"")="n/a",ISNUMBER(SEARCH("subscription",LOWER($A852&amp;" "&amp;$M852&amp;""))),ISNUMBER(SEARCH("membership",LOWER($A852&amp;" "&amp;$M852&amp;"")))),"Subscription",IF(LOWER($L852&amp;"")="yes","Disqualified",IF($P852&gt;$H852,"Profit","Draw"))))</f>
        <v/>
      </c>
      <c r="V852">
        <f>IF(OR($A852="",$B852="",$C852="",$U852="Subscription"),"",IFERROR(ROUNDUP((IF(ISNUMBER($C852),$C852,DATEVALUE($C852))-IF(ISNUMBER($B852),$B852,DATEVALUE($B852)))/7,0),""))</f>
        <v/>
      </c>
      <c r="W852" s="352">
        <f>IF($U852="Subscription","",$Q852-$S852)</f>
        <v/>
      </c>
      <c r="X852">
        <f>IF(OR($A852="",$U852="Subscription",$J852="",$I852="",$J852=0,$I852=0,$I852&gt;$J852),"",$J852-$I852)</f>
        <v/>
      </c>
      <c r="Y852">
        <f>IF(OR($A852="",$U852="Subscription",$J852="",$J852=0,$X852=""),"",$X852/$J852)</f>
        <v/>
      </c>
    </row>
    <row r="853">
      <c r="B853" s="354" t="n"/>
      <c r="C853" s="354" t="n"/>
      <c r="E853" s="350" t="n"/>
      <c r="F853" s="350" t="n"/>
      <c r="G853" s="350" t="n"/>
      <c r="H853" s="350" t="n"/>
      <c r="I853" s="350" t="n"/>
      <c r="J853" s="352" t="n"/>
      <c r="M853" s="350" t="n"/>
      <c r="N853" s="350">
        <f>IF($A853="","",IF(OR(LOWER($D853&amp;"")="n/a",ISNUMBER(SEARCH("subscription",LOWER($A853&amp;" "&amp;$M853&amp;""))),ISNUMBER(SEARCH("membership",LOWER($A853&amp;" "&amp;$M853&amp;"")))),"",IF($G853="","",IF(ISNUMBER(SEARCH("non",LOWER($E853&amp;""))),$G853*0.85,$G853))))</f>
        <v/>
      </c>
      <c r="O853">
        <f>IF($A853="","",IF(OR(LOWER($D853&amp;"")="n/a",ISNUMBER(SEARCH("subscription",LOWER($A853&amp;" "&amp;$M853&amp;""))),ISNUMBER(SEARCH("membership",LOWER($A853&amp;" "&amp;$M853&amp;"")))),"",IF(OR($N853="",$I853="",$I853=0),"",$N853/$I853)))</f>
        <v/>
      </c>
      <c r="P853">
        <f>IF($A853="","",IF(OR(LOWER($D853&amp;"")="n/a",ISNUMBER(SEARCH("subscription",LOWER($A853&amp;" "&amp;$M853&amp;""))),ISNUMBER(SEARCH("membership",LOWER($A853&amp;" "&amp;$M853&amp;"")))),"",IF(LOWER($L853&amp;"")="yes",0,IF($K853&lt;&gt;"",$K853,IF($O853&lt;&gt;"",$O853,"")))))</f>
        <v/>
      </c>
      <c r="Q853">
        <f>IF($A853="","",IF($U853="Subscription","",IF($U853="Profit",$P853-$H853,0)))</f>
        <v/>
      </c>
      <c r="R853">
        <f>IF($A853="","",IF($U853="Subscription","",IF($U853="Draw",$H853,0)))</f>
        <v/>
      </c>
      <c r="S853">
        <f>IF($A853="","",IF($U853="Subscription","",IF($U853="Disqualified",$H853,0)))</f>
        <v/>
      </c>
      <c r="T853">
        <f>IF($A853="","",IF($U853="Subscription","",IF($H853=0,IF($U853="Profit","N/A",0),IF($U853="Profit",$Q853/$H853,IF($U853="Disqualified",-1,0)))))</f>
        <v/>
      </c>
      <c r="U853" s="350">
        <f>IF($A853="","",IF(OR(LOWER($D853&amp;"")="n/a",ISNUMBER(SEARCH("subscription",LOWER($A853&amp;" "&amp;$M853&amp;""))),ISNUMBER(SEARCH("membership",LOWER($A853&amp;" "&amp;$M853&amp;"")))),"Subscription",IF(LOWER($L853&amp;"")="yes","Disqualified",IF($P853&gt;$H853,"Profit","Draw"))))</f>
        <v/>
      </c>
      <c r="V853">
        <f>IF(OR($A853="",$B853="",$C853="",$U853="Subscription"),"",IFERROR(ROUNDUP((IF(ISNUMBER($C853),$C853,DATEVALUE($C853))-IF(ISNUMBER($B853),$B853,DATEVALUE($B853)))/7,0),""))</f>
        <v/>
      </c>
      <c r="W853" s="352">
        <f>IF($U853="Subscription","",$Q853-$S853)</f>
        <v/>
      </c>
      <c r="X853">
        <f>IF(OR($A853="",$U853="Subscription",$J853="",$I853="",$J853=0,$I853=0,$I853&gt;$J853),"",$J853-$I853)</f>
        <v/>
      </c>
      <c r="Y853">
        <f>IF(OR($A853="",$U853="Subscription",$J853="",$J853=0,$X853=""),"",$X853/$J853)</f>
        <v/>
      </c>
    </row>
    <row r="854">
      <c r="B854" s="354" t="n"/>
      <c r="C854" s="354" t="n"/>
      <c r="E854" s="350" t="n"/>
      <c r="F854" s="350" t="n"/>
      <c r="G854" s="350" t="n"/>
      <c r="H854" s="350" t="n"/>
      <c r="I854" s="350" t="n"/>
      <c r="J854" s="352" t="n"/>
      <c r="M854" s="350" t="n"/>
      <c r="N854" s="350">
        <f>IF($A854="","",IF(OR(LOWER($D854&amp;"")="n/a",ISNUMBER(SEARCH("subscription",LOWER($A854&amp;" "&amp;$M854&amp;""))),ISNUMBER(SEARCH("membership",LOWER($A854&amp;" "&amp;$M854&amp;"")))),"",IF($G854="","",IF(ISNUMBER(SEARCH("non",LOWER($E854&amp;""))),$G854*0.85,$G854))))</f>
        <v/>
      </c>
      <c r="O854">
        <f>IF($A854="","",IF(OR(LOWER($D854&amp;"")="n/a",ISNUMBER(SEARCH("subscription",LOWER($A854&amp;" "&amp;$M854&amp;""))),ISNUMBER(SEARCH("membership",LOWER($A854&amp;" "&amp;$M854&amp;"")))),"",IF(OR($N854="",$I854="",$I854=0),"",$N854/$I854)))</f>
        <v/>
      </c>
      <c r="P854">
        <f>IF($A854="","",IF(OR(LOWER($D854&amp;"")="n/a",ISNUMBER(SEARCH("subscription",LOWER($A854&amp;" "&amp;$M854&amp;""))),ISNUMBER(SEARCH("membership",LOWER($A854&amp;" "&amp;$M854&amp;"")))),"",IF(LOWER($L854&amp;"")="yes",0,IF($K854&lt;&gt;"",$K854,IF($O854&lt;&gt;"",$O854,"")))))</f>
        <v/>
      </c>
      <c r="Q854">
        <f>IF($A854="","",IF($U854="Subscription","",IF($U854="Profit",$P854-$H854,0)))</f>
        <v/>
      </c>
      <c r="R854">
        <f>IF($A854="","",IF($U854="Subscription","",IF($U854="Draw",$H854,0)))</f>
        <v/>
      </c>
      <c r="S854">
        <f>IF($A854="","",IF($U854="Subscription","",IF($U854="Disqualified",$H854,0)))</f>
        <v/>
      </c>
      <c r="T854">
        <f>IF($A854="","",IF($U854="Subscription","",IF($H854=0,IF($U854="Profit","N/A",0),IF($U854="Profit",$Q854/$H854,IF($U854="Disqualified",-1,0)))))</f>
        <v/>
      </c>
      <c r="U854" s="350">
        <f>IF($A854="","",IF(OR(LOWER($D854&amp;"")="n/a",ISNUMBER(SEARCH("subscription",LOWER($A854&amp;" "&amp;$M854&amp;""))),ISNUMBER(SEARCH("membership",LOWER($A854&amp;" "&amp;$M854&amp;"")))),"Subscription",IF(LOWER($L854&amp;"")="yes","Disqualified",IF($P854&gt;$H854,"Profit","Draw"))))</f>
        <v/>
      </c>
      <c r="V854">
        <f>IF(OR($A854="",$B854="",$C854="",$U854="Subscription"),"",IFERROR(ROUNDUP((IF(ISNUMBER($C854),$C854,DATEVALUE($C854))-IF(ISNUMBER($B854),$B854,DATEVALUE($B854)))/7,0),""))</f>
        <v/>
      </c>
      <c r="W854" s="352">
        <f>IF($U854="Subscription","",$Q854-$S854)</f>
        <v/>
      </c>
      <c r="X854">
        <f>IF(OR($A854="",$U854="Subscription",$J854="",$I854="",$J854=0,$I854=0,$I854&gt;$J854),"",$J854-$I854)</f>
        <v/>
      </c>
      <c r="Y854">
        <f>IF(OR($A854="",$U854="Subscription",$J854="",$J854=0,$X854=""),"",$X854/$J854)</f>
        <v/>
      </c>
    </row>
    <row r="855">
      <c r="B855" s="354" t="n"/>
      <c r="C855" s="354" t="n"/>
      <c r="E855" s="350" t="n"/>
      <c r="F855" s="350" t="n"/>
      <c r="G855" s="350" t="n"/>
      <c r="H855" s="350" t="n"/>
      <c r="I855" s="350" t="n"/>
      <c r="J855" s="352" t="n"/>
      <c r="M855" s="350" t="n"/>
      <c r="N855" s="350">
        <f>IF($A855="","",IF(OR(LOWER($D855&amp;"")="n/a",ISNUMBER(SEARCH("subscription",LOWER($A855&amp;" "&amp;$M855&amp;""))),ISNUMBER(SEARCH("membership",LOWER($A855&amp;" "&amp;$M855&amp;"")))),"",IF($G855="","",IF(ISNUMBER(SEARCH("non",LOWER($E855&amp;""))),$G855*0.85,$G855))))</f>
        <v/>
      </c>
      <c r="O855">
        <f>IF($A855="","",IF(OR(LOWER($D855&amp;"")="n/a",ISNUMBER(SEARCH("subscription",LOWER($A855&amp;" "&amp;$M855&amp;""))),ISNUMBER(SEARCH("membership",LOWER($A855&amp;" "&amp;$M855&amp;"")))),"",IF(OR($N855="",$I855="",$I855=0),"",$N855/$I855)))</f>
        <v/>
      </c>
      <c r="P855">
        <f>IF($A855="","",IF(OR(LOWER($D855&amp;"")="n/a",ISNUMBER(SEARCH("subscription",LOWER($A855&amp;" "&amp;$M855&amp;""))),ISNUMBER(SEARCH("membership",LOWER($A855&amp;" "&amp;$M855&amp;"")))),"",IF(LOWER($L855&amp;"")="yes",0,IF($K855&lt;&gt;"",$K855,IF($O855&lt;&gt;"",$O855,"")))))</f>
        <v/>
      </c>
      <c r="Q855">
        <f>IF($A855="","",IF($U855="Subscription","",IF($U855="Profit",$P855-$H855,0)))</f>
        <v/>
      </c>
      <c r="R855">
        <f>IF($A855="","",IF($U855="Subscription","",IF($U855="Draw",$H855,0)))</f>
        <v/>
      </c>
      <c r="S855">
        <f>IF($A855="","",IF($U855="Subscription","",IF($U855="Disqualified",$H855,0)))</f>
        <v/>
      </c>
      <c r="T855">
        <f>IF($A855="","",IF($U855="Subscription","",IF($H855=0,IF($U855="Profit","N/A",0),IF($U855="Profit",$Q855/$H855,IF($U855="Disqualified",-1,0)))))</f>
        <v/>
      </c>
      <c r="U855" s="350">
        <f>IF($A855="","",IF(OR(LOWER($D855&amp;"")="n/a",ISNUMBER(SEARCH("subscription",LOWER($A855&amp;" "&amp;$M855&amp;""))),ISNUMBER(SEARCH("membership",LOWER($A855&amp;" "&amp;$M855&amp;"")))),"Subscription",IF(LOWER($L855&amp;"")="yes","Disqualified",IF($P855&gt;$H855,"Profit","Draw"))))</f>
        <v/>
      </c>
      <c r="V855">
        <f>IF(OR($A855="",$B855="",$C855="",$U855="Subscription"),"",IFERROR(ROUNDUP((IF(ISNUMBER($C855),$C855,DATEVALUE($C855))-IF(ISNUMBER($B855),$B855,DATEVALUE($B855)))/7,0),""))</f>
        <v/>
      </c>
      <c r="W855" s="352">
        <f>IF($U855="Subscription","",$Q855-$S855)</f>
        <v/>
      </c>
      <c r="X855">
        <f>IF(OR($A855="",$U855="Subscription",$J855="",$I855="",$J855=0,$I855=0,$I855&gt;$J855),"",$J855-$I855)</f>
        <v/>
      </c>
      <c r="Y855">
        <f>IF(OR($A855="",$U855="Subscription",$J855="",$J855=0,$X855=""),"",$X855/$J855)</f>
        <v/>
      </c>
    </row>
    <row r="856">
      <c r="B856" s="354" t="n"/>
      <c r="C856" s="354" t="n"/>
      <c r="E856" s="350" t="n"/>
      <c r="F856" s="350" t="n"/>
      <c r="G856" s="350" t="n"/>
      <c r="H856" s="350" t="n"/>
      <c r="I856" s="350" t="n"/>
      <c r="J856" s="352" t="n"/>
      <c r="M856" s="350" t="n"/>
      <c r="N856" s="350">
        <f>IF($A856="","",IF(OR(LOWER($D856&amp;"")="n/a",ISNUMBER(SEARCH("subscription",LOWER($A856&amp;" "&amp;$M856&amp;""))),ISNUMBER(SEARCH("membership",LOWER($A856&amp;" "&amp;$M856&amp;"")))),"",IF($G856="","",IF(ISNUMBER(SEARCH("non",LOWER($E856&amp;""))),$G856*0.85,$G856))))</f>
        <v/>
      </c>
      <c r="O856">
        <f>IF($A856="","",IF(OR(LOWER($D856&amp;"")="n/a",ISNUMBER(SEARCH("subscription",LOWER($A856&amp;" "&amp;$M856&amp;""))),ISNUMBER(SEARCH("membership",LOWER($A856&amp;" "&amp;$M856&amp;"")))),"",IF(OR($N856="",$I856="",$I856=0),"",$N856/$I856)))</f>
        <v/>
      </c>
      <c r="P856">
        <f>IF($A856="","",IF(OR(LOWER($D856&amp;"")="n/a",ISNUMBER(SEARCH("subscription",LOWER($A856&amp;" "&amp;$M856&amp;""))),ISNUMBER(SEARCH("membership",LOWER($A856&amp;" "&amp;$M856&amp;"")))),"",IF(LOWER($L856&amp;"")="yes",0,IF($K856&lt;&gt;"",$K856,IF($O856&lt;&gt;"",$O856,"")))))</f>
        <v/>
      </c>
      <c r="Q856">
        <f>IF($A856="","",IF($U856="Subscription","",IF($U856="Profit",$P856-$H856,0)))</f>
        <v/>
      </c>
      <c r="R856">
        <f>IF($A856="","",IF($U856="Subscription","",IF($U856="Draw",$H856,0)))</f>
        <v/>
      </c>
      <c r="S856">
        <f>IF($A856="","",IF($U856="Subscription","",IF($U856="Disqualified",$H856,0)))</f>
        <v/>
      </c>
      <c r="T856">
        <f>IF($A856="","",IF($U856="Subscription","",IF($H856=0,IF($U856="Profit","N/A",0),IF($U856="Profit",$Q856/$H856,IF($U856="Disqualified",-1,0)))))</f>
        <v/>
      </c>
      <c r="U856" s="350">
        <f>IF($A856="","",IF(OR(LOWER($D856&amp;"")="n/a",ISNUMBER(SEARCH("subscription",LOWER($A856&amp;" "&amp;$M856&amp;""))),ISNUMBER(SEARCH("membership",LOWER($A856&amp;" "&amp;$M856&amp;"")))),"Subscription",IF(LOWER($L856&amp;"")="yes","Disqualified",IF($P856&gt;$H856,"Profit","Draw"))))</f>
        <v/>
      </c>
      <c r="V856">
        <f>IF(OR($A856="",$B856="",$C856="",$U856="Subscription"),"",IFERROR(ROUNDUP((IF(ISNUMBER($C856),$C856,DATEVALUE($C856))-IF(ISNUMBER($B856),$B856,DATEVALUE($B856)))/7,0),""))</f>
        <v/>
      </c>
      <c r="W856" s="352">
        <f>IF($U856="Subscription","",$Q856-$S856)</f>
        <v/>
      </c>
      <c r="X856">
        <f>IF(OR($A856="",$U856="Subscription",$J856="",$I856="",$J856=0,$I856=0,$I856&gt;$J856),"",$J856-$I856)</f>
        <v/>
      </c>
      <c r="Y856">
        <f>IF(OR($A856="",$U856="Subscription",$J856="",$J856=0,$X856=""),"",$X856/$J856)</f>
        <v/>
      </c>
    </row>
    <row r="857">
      <c r="B857" s="354" t="n"/>
      <c r="C857" s="354" t="n"/>
      <c r="E857" s="350" t="n"/>
      <c r="F857" s="350" t="n"/>
      <c r="G857" s="350" t="n"/>
      <c r="H857" s="350" t="n"/>
      <c r="I857" s="350" t="n"/>
      <c r="J857" s="352" t="n"/>
      <c r="M857" s="350" t="n"/>
      <c r="N857" s="350">
        <f>IF($A857="","",IF(OR(LOWER($D857&amp;"")="n/a",ISNUMBER(SEARCH("subscription",LOWER($A857&amp;" "&amp;$M857&amp;""))),ISNUMBER(SEARCH("membership",LOWER($A857&amp;" "&amp;$M857&amp;"")))),"",IF($G857="","",IF(ISNUMBER(SEARCH("non",LOWER($E857&amp;""))),$G857*0.85,$G857))))</f>
        <v/>
      </c>
      <c r="O857">
        <f>IF($A857="","",IF(OR(LOWER($D857&amp;"")="n/a",ISNUMBER(SEARCH("subscription",LOWER($A857&amp;" "&amp;$M857&amp;""))),ISNUMBER(SEARCH("membership",LOWER($A857&amp;" "&amp;$M857&amp;"")))),"",IF(OR($N857="",$I857="",$I857=0),"",$N857/$I857)))</f>
        <v/>
      </c>
      <c r="P857">
        <f>IF($A857="","",IF(OR(LOWER($D857&amp;"")="n/a",ISNUMBER(SEARCH("subscription",LOWER($A857&amp;" "&amp;$M857&amp;""))),ISNUMBER(SEARCH("membership",LOWER($A857&amp;" "&amp;$M857&amp;"")))),"",IF(LOWER($L857&amp;"")="yes",0,IF($K857&lt;&gt;"",$K857,IF($O857&lt;&gt;"",$O857,"")))))</f>
        <v/>
      </c>
      <c r="Q857">
        <f>IF($A857="","",IF($U857="Subscription","",IF($U857="Profit",$P857-$H857,0)))</f>
        <v/>
      </c>
      <c r="R857">
        <f>IF($A857="","",IF($U857="Subscription","",IF($U857="Draw",$H857,0)))</f>
        <v/>
      </c>
      <c r="S857">
        <f>IF($A857="","",IF($U857="Subscription","",IF($U857="Disqualified",$H857,0)))</f>
        <v/>
      </c>
      <c r="T857">
        <f>IF($A857="","",IF($U857="Subscription","",IF($H857=0,IF($U857="Profit","N/A",0),IF($U857="Profit",$Q857/$H857,IF($U857="Disqualified",-1,0)))))</f>
        <v/>
      </c>
      <c r="U857" s="350">
        <f>IF($A857="","",IF(OR(LOWER($D857&amp;"")="n/a",ISNUMBER(SEARCH("subscription",LOWER($A857&amp;" "&amp;$M857&amp;""))),ISNUMBER(SEARCH("membership",LOWER($A857&amp;" "&amp;$M857&amp;"")))),"Subscription",IF(LOWER($L857&amp;"")="yes","Disqualified",IF($P857&gt;$H857,"Profit","Draw"))))</f>
        <v/>
      </c>
      <c r="V857">
        <f>IF(OR($A857="",$B857="",$C857="",$U857="Subscription"),"",IFERROR(ROUNDUP((IF(ISNUMBER($C857),$C857,DATEVALUE($C857))-IF(ISNUMBER($B857),$B857,DATEVALUE($B857)))/7,0),""))</f>
        <v/>
      </c>
      <c r="W857" s="352">
        <f>IF($U857="Subscription","",$Q857-$S857)</f>
        <v/>
      </c>
      <c r="X857">
        <f>IF(OR($A857="",$U857="Subscription",$J857="",$I857="",$J857=0,$I857=0,$I857&gt;$J857),"",$J857-$I857)</f>
        <v/>
      </c>
      <c r="Y857">
        <f>IF(OR($A857="",$U857="Subscription",$J857="",$J857=0,$X857=""),"",$X857/$J857)</f>
        <v/>
      </c>
    </row>
    <row r="858">
      <c r="B858" s="354" t="n"/>
      <c r="C858" s="354" t="n"/>
      <c r="E858" s="350" t="n"/>
      <c r="F858" s="350" t="n"/>
      <c r="G858" s="350" t="n"/>
      <c r="H858" s="350" t="n"/>
      <c r="I858" s="350" t="n"/>
      <c r="J858" s="352" t="n"/>
      <c r="M858" s="350" t="n"/>
      <c r="N858" s="350">
        <f>IF($A858="","",IF(OR(LOWER($D858&amp;"")="n/a",ISNUMBER(SEARCH("subscription",LOWER($A858&amp;" "&amp;$M858&amp;""))),ISNUMBER(SEARCH("membership",LOWER($A858&amp;" "&amp;$M858&amp;"")))),"",IF($G858="","",IF(ISNUMBER(SEARCH("non",LOWER($E858&amp;""))),$G858*0.85,$G858))))</f>
        <v/>
      </c>
      <c r="O858">
        <f>IF($A858="","",IF(OR(LOWER($D858&amp;"")="n/a",ISNUMBER(SEARCH("subscription",LOWER($A858&amp;" "&amp;$M858&amp;""))),ISNUMBER(SEARCH("membership",LOWER($A858&amp;" "&amp;$M858&amp;"")))),"",IF(OR($N858="",$I858="",$I858=0),"",$N858/$I858)))</f>
        <v/>
      </c>
      <c r="P858">
        <f>IF($A858="","",IF(OR(LOWER($D858&amp;"")="n/a",ISNUMBER(SEARCH("subscription",LOWER($A858&amp;" "&amp;$M858&amp;""))),ISNUMBER(SEARCH("membership",LOWER($A858&amp;" "&amp;$M858&amp;"")))),"",IF(LOWER($L858&amp;"")="yes",0,IF($K858&lt;&gt;"",$K858,IF($O858&lt;&gt;"",$O858,"")))))</f>
        <v/>
      </c>
      <c r="Q858">
        <f>IF($A858="","",IF($U858="Subscription","",IF($U858="Profit",$P858-$H858,0)))</f>
        <v/>
      </c>
      <c r="R858">
        <f>IF($A858="","",IF($U858="Subscription","",IF($U858="Draw",$H858,0)))</f>
        <v/>
      </c>
      <c r="S858">
        <f>IF($A858="","",IF($U858="Subscription","",IF($U858="Disqualified",$H858,0)))</f>
        <v/>
      </c>
      <c r="T858">
        <f>IF($A858="","",IF($U858="Subscription","",IF($H858=0,IF($U858="Profit","N/A",0),IF($U858="Profit",$Q858/$H858,IF($U858="Disqualified",-1,0)))))</f>
        <v/>
      </c>
      <c r="U858" s="350">
        <f>IF($A858="","",IF(OR(LOWER($D858&amp;"")="n/a",ISNUMBER(SEARCH("subscription",LOWER($A858&amp;" "&amp;$M858&amp;""))),ISNUMBER(SEARCH("membership",LOWER($A858&amp;" "&amp;$M858&amp;"")))),"Subscription",IF(LOWER($L858&amp;"")="yes","Disqualified",IF($P858&gt;$H858,"Profit","Draw"))))</f>
        <v/>
      </c>
      <c r="V858">
        <f>IF(OR($A858="",$B858="",$C858="",$U858="Subscription"),"",IFERROR(ROUNDUP((IF(ISNUMBER($C858),$C858,DATEVALUE($C858))-IF(ISNUMBER($B858),$B858,DATEVALUE($B858)))/7,0),""))</f>
        <v/>
      </c>
      <c r="W858" s="352">
        <f>IF($U858="Subscription","",$Q858-$S858)</f>
        <v/>
      </c>
      <c r="X858">
        <f>IF(OR($A858="",$U858="Subscription",$J858="",$I858="",$J858=0,$I858=0,$I858&gt;$J858),"",$J858-$I858)</f>
        <v/>
      </c>
      <c r="Y858">
        <f>IF(OR($A858="",$U858="Subscription",$J858="",$J858=0,$X858=""),"",$X858/$J858)</f>
        <v/>
      </c>
    </row>
    <row r="859">
      <c r="B859" s="354" t="n"/>
      <c r="C859" s="354" t="n"/>
      <c r="E859" s="350" t="n"/>
      <c r="F859" s="350" t="n"/>
      <c r="G859" s="350" t="n"/>
      <c r="H859" s="350" t="n"/>
      <c r="I859" s="350" t="n"/>
      <c r="J859" s="352" t="n"/>
      <c r="M859" s="350" t="n"/>
      <c r="N859" s="350">
        <f>IF($A859="","",IF(OR(LOWER($D859&amp;"")="n/a",ISNUMBER(SEARCH("subscription",LOWER($A859&amp;" "&amp;$M859&amp;""))),ISNUMBER(SEARCH("membership",LOWER($A859&amp;" "&amp;$M859&amp;"")))),"",IF($G859="","",IF(ISNUMBER(SEARCH("non",LOWER($E859&amp;""))),$G859*0.85,$G859))))</f>
        <v/>
      </c>
      <c r="O859">
        <f>IF($A859="","",IF(OR(LOWER($D859&amp;"")="n/a",ISNUMBER(SEARCH("subscription",LOWER($A859&amp;" "&amp;$M859&amp;""))),ISNUMBER(SEARCH("membership",LOWER($A859&amp;" "&amp;$M859&amp;"")))),"",IF(OR($N859="",$I859="",$I859=0),"",$N859/$I859)))</f>
        <v/>
      </c>
      <c r="P859">
        <f>IF($A859="","",IF(OR(LOWER($D859&amp;"")="n/a",ISNUMBER(SEARCH("subscription",LOWER($A859&amp;" "&amp;$M859&amp;""))),ISNUMBER(SEARCH("membership",LOWER($A859&amp;" "&amp;$M859&amp;"")))),"",IF(LOWER($L859&amp;"")="yes",0,IF($K859&lt;&gt;"",$K859,IF($O859&lt;&gt;"",$O859,"")))))</f>
        <v/>
      </c>
      <c r="Q859">
        <f>IF($A859="","",IF($U859="Subscription","",IF($U859="Profit",$P859-$H859,0)))</f>
        <v/>
      </c>
      <c r="R859">
        <f>IF($A859="","",IF($U859="Subscription","",IF($U859="Draw",$H859,0)))</f>
        <v/>
      </c>
      <c r="S859">
        <f>IF($A859="","",IF($U859="Subscription","",IF($U859="Disqualified",$H859,0)))</f>
        <v/>
      </c>
      <c r="T859">
        <f>IF($A859="","",IF($U859="Subscription","",IF($H859=0,IF($U859="Profit","N/A",0),IF($U859="Profit",$Q859/$H859,IF($U859="Disqualified",-1,0)))))</f>
        <v/>
      </c>
      <c r="U859" s="350">
        <f>IF($A859="","",IF(OR(LOWER($D859&amp;"")="n/a",ISNUMBER(SEARCH("subscription",LOWER($A859&amp;" "&amp;$M859&amp;""))),ISNUMBER(SEARCH("membership",LOWER($A859&amp;" "&amp;$M859&amp;"")))),"Subscription",IF(LOWER($L859&amp;"")="yes","Disqualified",IF($P859&gt;$H859,"Profit","Draw"))))</f>
        <v/>
      </c>
      <c r="V859">
        <f>IF(OR($A859="",$B859="",$C859="",$U859="Subscription"),"",IFERROR(ROUNDUP((IF(ISNUMBER($C859),$C859,DATEVALUE($C859))-IF(ISNUMBER($B859),$B859,DATEVALUE($B859)))/7,0),""))</f>
        <v/>
      </c>
      <c r="W859" s="352">
        <f>IF($U859="Subscription","",$Q859-$S859)</f>
        <v/>
      </c>
      <c r="X859">
        <f>IF(OR($A859="",$U859="Subscription",$J859="",$I859="",$J859=0,$I859=0,$I859&gt;$J859),"",$J859-$I859)</f>
        <v/>
      </c>
      <c r="Y859">
        <f>IF(OR($A859="",$U859="Subscription",$J859="",$J859=0,$X859=""),"",$X859/$J859)</f>
        <v/>
      </c>
    </row>
    <row r="860">
      <c r="B860" s="354" t="n"/>
      <c r="C860" s="354" t="n"/>
      <c r="E860" s="350" t="n"/>
      <c r="F860" s="350" t="n"/>
      <c r="G860" s="350" t="n"/>
      <c r="H860" s="350" t="n"/>
      <c r="I860" s="350" t="n"/>
      <c r="J860" s="352" t="n"/>
      <c r="M860" s="350" t="n"/>
      <c r="N860" s="350">
        <f>IF($A860="","",IF(OR(LOWER($D860&amp;"")="n/a",ISNUMBER(SEARCH("subscription",LOWER($A860&amp;" "&amp;$M860&amp;""))),ISNUMBER(SEARCH("membership",LOWER($A860&amp;" "&amp;$M860&amp;"")))),"",IF($G860="","",IF(ISNUMBER(SEARCH("non",LOWER($E860&amp;""))),$G860*0.85,$G860))))</f>
        <v/>
      </c>
      <c r="O860">
        <f>IF($A860="","",IF(OR(LOWER($D860&amp;"")="n/a",ISNUMBER(SEARCH("subscription",LOWER($A860&amp;" "&amp;$M860&amp;""))),ISNUMBER(SEARCH("membership",LOWER($A860&amp;" "&amp;$M860&amp;"")))),"",IF(OR($N860="",$I860="",$I860=0),"",$N860/$I860)))</f>
        <v/>
      </c>
      <c r="P860">
        <f>IF($A860="","",IF(OR(LOWER($D860&amp;"")="n/a",ISNUMBER(SEARCH("subscription",LOWER($A860&amp;" "&amp;$M860&amp;""))),ISNUMBER(SEARCH("membership",LOWER($A860&amp;" "&amp;$M860&amp;"")))),"",IF(LOWER($L860&amp;"")="yes",0,IF($K860&lt;&gt;"",$K860,IF($O860&lt;&gt;"",$O860,"")))))</f>
        <v/>
      </c>
      <c r="Q860">
        <f>IF($A860="","",IF($U860="Subscription","",IF($U860="Profit",$P860-$H860,0)))</f>
        <v/>
      </c>
      <c r="R860">
        <f>IF($A860="","",IF($U860="Subscription","",IF($U860="Draw",$H860,0)))</f>
        <v/>
      </c>
      <c r="S860">
        <f>IF($A860="","",IF($U860="Subscription","",IF($U860="Disqualified",$H860,0)))</f>
        <v/>
      </c>
      <c r="T860">
        <f>IF($A860="","",IF($U860="Subscription","",IF($H860=0,IF($U860="Profit","N/A",0),IF($U860="Profit",$Q860/$H860,IF($U860="Disqualified",-1,0)))))</f>
        <v/>
      </c>
      <c r="U860" s="350">
        <f>IF($A860="","",IF(OR(LOWER($D860&amp;"")="n/a",ISNUMBER(SEARCH("subscription",LOWER($A860&amp;" "&amp;$M860&amp;""))),ISNUMBER(SEARCH("membership",LOWER($A860&amp;" "&amp;$M860&amp;"")))),"Subscription",IF(LOWER($L860&amp;"")="yes","Disqualified",IF($P860&gt;$H860,"Profit","Draw"))))</f>
        <v/>
      </c>
      <c r="V860">
        <f>IF(OR($A860="",$B860="",$C860="",$U860="Subscription"),"",IFERROR(ROUNDUP((IF(ISNUMBER($C860),$C860,DATEVALUE($C860))-IF(ISNUMBER($B860),$B860,DATEVALUE($B860)))/7,0),""))</f>
        <v/>
      </c>
      <c r="W860" s="352">
        <f>IF($U860="Subscription","",$Q860-$S860)</f>
        <v/>
      </c>
      <c r="X860">
        <f>IF(OR($A860="",$U860="Subscription",$J860="",$I860="",$J860=0,$I860=0,$I860&gt;$J860),"",$J860-$I860)</f>
        <v/>
      </c>
      <c r="Y860">
        <f>IF(OR($A860="",$U860="Subscription",$J860="",$J860=0,$X860=""),"",$X860/$J860)</f>
        <v/>
      </c>
    </row>
    <row r="861">
      <c r="B861" s="354" t="n"/>
      <c r="C861" s="354" t="n"/>
      <c r="E861" s="350" t="n"/>
      <c r="F861" s="350" t="n"/>
      <c r="G861" s="350" t="n"/>
      <c r="H861" s="350" t="n"/>
      <c r="I861" s="350" t="n"/>
      <c r="J861" s="352" t="n"/>
      <c r="M861" s="350" t="n"/>
      <c r="N861" s="350">
        <f>IF($A861="","",IF(OR(LOWER($D861&amp;"")="n/a",ISNUMBER(SEARCH("subscription",LOWER($A861&amp;" "&amp;$M861&amp;""))),ISNUMBER(SEARCH("membership",LOWER($A861&amp;" "&amp;$M861&amp;"")))),"",IF($G861="","",IF(ISNUMBER(SEARCH("non",LOWER($E861&amp;""))),$G861*0.85,$G861))))</f>
        <v/>
      </c>
      <c r="O861">
        <f>IF($A861="","",IF(OR(LOWER($D861&amp;"")="n/a",ISNUMBER(SEARCH("subscription",LOWER($A861&amp;" "&amp;$M861&amp;""))),ISNUMBER(SEARCH("membership",LOWER($A861&amp;" "&amp;$M861&amp;"")))),"",IF(OR($N861="",$I861="",$I861=0),"",$N861/$I861)))</f>
        <v/>
      </c>
      <c r="P861">
        <f>IF($A861="","",IF(OR(LOWER($D861&amp;"")="n/a",ISNUMBER(SEARCH("subscription",LOWER($A861&amp;" "&amp;$M861&amp;""))),ISNUMBER(SEARCH("membership",LOWER($A861&amp;" "&amp;$M861&amp;"")))),"",IF(LOWER($L861&amp;"")="yes",0,IF($K861&lt;&gt;"",$K861,IF($O861&lt;&gt;"",$O861,"")))))</f>
        <v/>
      </c>
      <c r="Q861">
        <f>IF($A861="","",IF($U861="Subscription","",IF($U861="Profit",$P861-$H861,0)))</f>
        <v/>
      </c>
      <c r="R861">
        <f>IF($A861="","",IF($U861="Subscription","",IF($U861="Draw",$H861,0)))</f>
        <v/>
      </c>
      <c r="S861">
        <f>IF($A861="","",IF($U861="Subscription","",IF($U861="Disqualified",$H861,0)))</f>
        <v/>
      </c>
      <c r="T861">
        <f>IF($A861="","",IF($U861="Subscription","",IF($H861=0,IF($U861="Profit","N/A",0),IF($U861="Profit",$Q861/$H861,IF($U861="Disqualified",-1,0)))))</f>
        <v/>
      </c>
      <c r="U861" s="350">
        <f>IF($A861="","",IF(OR(LOWER($D861&amp;"")="n/a",ISNUMBER(SEARCH("subscription",LOWER($A861&amp;" "&amp;$M861&amp;""))),ISNUMBER(SEARCH("membership",LOWER($A861&amp;" "&amp;$M861&amp;"")))),"Subscription",IF(LOWER($L861&amp;"")="yes","Disqualified",IF($P861&gt;$H861,"Profit","Draw"))))</f>
        <v/>
      </c>
      <c r="V861">
        <f>IF(OR($A861="",$B861="",$C861="",$U861="Subscription"),"",IFERROR(ROUNDUP((IF(ISNUMBER($C861),$C861,DATEVALUE($C861))-IF(ISNUMBER($B861),$B861,DATEVALUE($B861)))/7,0),""))</f>
        <v/>
      </c>
      <c r="W861" s="352">
        <f>IF($U861="Subscription","",$Q861-$S861)</f>
        <v/>
      </c>
      <c r="X861">
        <f>IF(OR($A861="",$U861="Subscription",$J861="",$I861="",$J861=0,$I861=0,$I861&gt;$J861),"",$J861-$I861)</f>
        <v/>
      </c>
      <c r="Y861">
        <f>IF(OR($A861="",$U861="Subscription",$J861="",$J861=0,$X861=""),"",$X861/$J861)</f>
        <v/>
      </c>
    </row>
    <row r="862">
      <c r="B862" s="354" t="n"/>
      <c r="C862" s="354" t="n"/>
      <c r="E862" s="350" t="n"/>
      <c r="F862" s="350" t="n"/>
      <c r="G862" s="350" t="n"/>
      <c r="H862" s="350" t="n"/>
      <c r="I862" s="350" t="n"/>
      <c r="J862" s="352" t="n"/>
      <c r="M862" s="350" t="n"/>
      <c r="N862" s="350">
        <f>IF($A862="","",IF(OR(LOWER($D862&amp;"")="n/a",ISNUMBER(SEARCH("subscription",LOWER($A862&amp;" "&amp;$M862&amp;""))),ISNUMBER(SEARCH("membership",LOWER($A862&amp;" "&amp;$M862&amp;"")))),"",IF($G862="","",IF(ISNUMBER(SEARCH("non",LOWER($E862&amp;""))),$G862*0.85,$G862))))</f>
        <v/>
      </c>
      <c r="O862">
        <f>IF($A862="","",IF(OR(LOWER($D862&amp;"")="n/a",ISNUMBER(SEARCH("subscription",LOWER($A862&amp;" "&amp;$M862&amp;""))),ISNUMBER(SEARCH("membership",LOWER($A862&amp;" "&amp;$M862&amp;"")))),"",IF(OR($N862="",$I862="",$I862=0),"",$N862/$I862)))</f>
        <v/>
      </c>
      <c r="P862">
        <f>IF($A862="","",IF(OR(LOWER($D862&amp;"")="n/a",ISNUMBER(SEARCH("subscription",LOWER($A862&amp;" "&amp;$M862&amp;""))),ISNUMBER(SEARCH("membership",LOWER($A862&amp;" "&amp;$M862&amp;"")))),"",IF(LOWER($L862&amp;"")="yes",0,IF($K862&lt;&gt;"",$K862,IF($O862&lt;&gt;"",$O862,"")))))</f>
        <v/>
      </c>
      <c r="Q862">
        <f>IF($A862="","",IF($U862="Subscription","",IF($U862="Profit",$P862-$H862,0)))</f>
        <v/>
      </c>
      <c r="R862">
        <f>IF($A862="","",IF($U862="Subscription","",IF($U862="Draw",$H862,0)))</f>
        <v/>
      </c>
      <c r="S862">
        <f>IF($A862="","",IF($U862="Subscription","",IF($U862="Disqualified",$H862,0)))</f>
        <v/>
      </c>
      <c r="T862">
        <f>IF($A862="","",IF($U862="Subscription","",IF($H862=0,IF($U862="Profit","N/A",0),IF($U862="Profit",$Q862/$H862,IF($U862="Disqualified",-1,0)))))</f>
        <v/>
      </c>
      <c r="U862" s="350">
        <f>IF($A862="","",IF(OR(LOWER($D862&amp;"")="n/a",ISNUMBER(SEARCH("subscription",LOWER($A862&amp;" "&amp;$M862&amp;""))),ISNUMBER(SEARCH("membership",LOWER($A862&amp;" "&amp;$M862&amp;"")))),"Subscription",IF(LOWER($L862&amp;"")="yes","Disqualified",IF($P862&gt;$H862,"Profit","Draw"))))</f>
        <v/>
      </c>
      <c r="V862">
        <f>IF(OR($A862="",$B862="",$C862="",$U862="Subscription"),"",IFERROR(ROUNDUP((IF(ISNUMBER($C862),$C862,DATEVALUE($C862))-IF(ISNUMBER($B862),$B862,DATEVALUE($B862)))/7,0),""))</f>
        <v/>
      </c>
      <c r="W862" s="352">
        <f>IF($U862="Subscription","",$Q862-$S862)</f>
        <v/>
      </c>
      <c r="X862">
        <f>IF(OR($A862="",$U862="Subscription",$J862="",$I862="",$J862=0,$I862=0,$I862&gt;$J862),"",$J862-$I862)</f>
        <v/>
      </c>
      <c r="Y862">
        <f>IF(OR($A862="",$U862="Subscription",$J862="",$J862=0,$X862=""),"",$X862/$J862)</f>
        <v/>
      </c>
    </row>
    <row r="863">
      <c r="B863" s="354" t="n"/>
      <c r="C863" s="354" t="n"/>
      <c r="E863" s="350" t="n"/>
      <c r="F863" s="350" t="n"/>
      <c r="G863" s="350" t="n"/>
      <c r="H863" s="350" t="n"/>
      <c r="I863" s="350" t="n"/>
      <c r="J863" s="352" t="n"/>
      <c r="M863" s="350" t="n"/>
      <c r="N863" s="350">
        <f>IF($A863="","",IF(OR(LOWER($D863&amp;"")="n/a",ISNUMBER(SEARCH("subscription",LOWER($A863&amp;" "&amp;$M863&amp;""))),ISNUMBER(SEARCH("membership",LOWER($A863&amp;" "&amp;$M863&amp;"")))),"",IF($G863="","",IF(ISNUMBER(SEARCH("non",LOWER($E863&amp;""))),$G863*0.85,$G863))))</f>
        <v/>
      </c>
      <c r="O863">
        <f>IF($A863="","",IF(OR(LOWER($D863&amp;"")="n/a",ISNUMBER(SEARCH("subscription",LOWER($A863&amp;" "&amp;$M863&amp;""))),ISNUMBER(SEARCH("membership",LOWER($A863&amp;" "&amp;$M863&amp;"")))),"",IF(OR($N863="",$I863="",$I863=0),"",$N863/$I863)))</f>
        <v/>
      </c>
      <c r="P863">
        <f>IF($A863="","",IF(OR(LOWER($D863&amp;"")="n/a",ISNUMBER(SEARCH("subscription",LOWER($A863&amp;" "&amp;$M863&amp;""))),ISNUMBER(SEARCH("membership",LOWER($A863&amp;" "&amp;$M863&amp;"")))),"",IF(LOWER($L863&amp;"")="yes",0,IF($K863&lt;&gt;"",$K863,IF($O863&lt;&gt;"",$O863,"")))))</f>
        <v/>
      </c>
      <c r="Q863">
        <f>IF($A863="","",IF($U863="Subscription","",IF($U863="Profit",$P863-$H863,0)))</f>
        <v/>
      </c>
      <c r="R863">
        <f>IF($A863="","",IF($U863="Subscription","",IF($U863="Draw",$H863,0)))</f>
        <v/>
      </c>
      <c r="S863">
        <f>IF($A863="","",IF($U863="Subscription","",IF($U863="Disqualified",$H863,0)))</f>
        <v/>
      </c>
      <c r="T863">
        <f>IF($A863="","",IF($U863="Subscription","",IF($H863=0,IF($U863="Profit","N/A",0),IF($U863="Profit",$Q863/$H863,IF($U863="Disqualified",-1,0)))))</f>
        <v/>
      </c>
      <c r="U863" s="350">
        <f>IF($A863="","",IF(OR(LOWER($D863&amp;"")="n/a",ISNUMBER(SEARCH("subscription",LOWER($A863&amp;" "&amp;$M863&amp;""))),ISNUMBER(SEARCH("membership",LOWER($A863&amp;" "&amp;$M863&amp;"")))),"Subscription",IF(LOWER($L863&amp;"")="yes","Disqualified",IF($P863&gt;$H863,"Profit","Draw"))))</f>
        <v/>
      </c>
      <c r="V863">
        <f>IF(OR($A863="",$B863="",$C863="",$U863="Subscription"),"",IFERROR(ROUNDUP((IF(ISNUMBER($C863),$C863,DATEVALUE($C863))-IF(ISNUMBER($B863),$B863,DATEVALUE($B863)))/7,0),""))</f>
        <v/>
      </c>
      <c r="W863" s="352">
        <f>IF($U863="Subscription","",$Q863-$S863)</f>
        <v/>
      </c>
      <c r="X863">
        <f>IF(OR($A863="",$U863="Subscription",$J863="",$I863="",$J863=0,$I863=0,$I863&gt;$J863),"",$J863-$I863)</f>
        <v/>
      </c>
      <c r="Y863">
        <f>IF(OR($A863="",$U863="Subscription",$J863="",$J863=0,$X863=""),"",$X863/$J863)</f>
        <v/>
      </c>
    </row>
    <row r="864">
      <c r="B864" s="354" t="n"/>
      <c r="C864" s="354" t="n"/>
      <c r="E864" s="350" t="n"/>
      <c r="F864" s="350" t="n"/>
      <c r="G864" s="350" t="n"/>
      <c r="H864" s="350" t="n"/>
      <c r="I864" s="350" t="n"/>
      <c r="J864" s="352" t="n"/>
      <c r="M864" s="350" t="n"/>
      <c r="N864" s="350">
        <f>IF($A864="","",IF(OR(LOWER($D864&amp;"")="n/a",ISNUMBER(SEARCH("subscription",LOWER($A864&amp;" "&amp;$M864&amp;""))),ISNUMBER(SEARCH("membership",LOWER($A864&amp;" "&amp;$M864&amp;"")))),"",IF($G864="","",IF(ISNUMBER(SEARCH("non",LOWER($E864&amp;""))),$G864*0.85,$G864))))</f>
        <v/>
      </c>
      <c r="O864">
        <f>IF($A864="","",IF(OR(LOWER($D864&amp;"")="n/a",ISNUMBER(SEARCH("subscription",LOWER($A864&amp;" "&amp;$M864&amp;""))),ISNUMBER(SEARCH("membership",LOWER($A864&amp;" "&amp;$M864&amp;"")))),"",IF(OR($N864="",$I864="",$I864=0),"",$N864/$I864)))</f>
        <v/>
      </c>
      <c r="P864">
        <f>IF($A864="","",IF(OR(LOWER($D864&amp;"")="n/a",ISNUMBER(SEARCH("subscription",LOWER($A864&amp;" "&amp;$M864&amp;""))),ISNUMBER(SEARCH("membership",LOWER($A864&amp;" "&amp;$M864&amp;"")))),"",IF(LOWER($L864&amp;"")="yes",0,IF($K864&lt;&gt;"",$K864,IF($O864&lt;&gt;"",$O864,"")))))</f>
        <v/>
      </c>
      <c r="Q864">
        <f>IF($A864="","",IF($U864="Subscription","",IF($U864="Profit",$P864-$H864,0)))</f>
        <v/>
      </c>
      <c r="R864">
        <f>IF($A864="","",IF($U864="Subscription","",IF($U864="Draw",$H864,0)))</f>
        <v/>
      </c>
      <c r="S864">
        <f>IF($A864="","",IF($U864="Subscription","",IF($U864="Disqualified",$H864,0)))</f>
        <v/>
      </c>
      <c r="T864">
        <f>IF($A864="","",IF($U864="Subscription","",IF($H864=0,IF($U864="Profit","N/A",0),IF($U864="Profit",$Q864/$H864,IF($U864="Disqualified",-1,0)))))</f>
        <v/>
      </c>
      <c r="U864" s="350">
        <f>IF($A864="","",IF(OR(LOWER($D864&amp;"")="n/a",ISNUMBER(SEARCH("subscription",LOWER($A864&amp;" "&amp;$M864&amp;""))),ISNUMBER(SEARCH("membership",LOWER($A864&amp;" "&amp;$M864&amp;"")))),"Subscription",IF(LOWER($L864&amp;"")="yes","Disqualified",IF($P864&gt;$H864,"Profit","Draw"))))</f>
        <v/>
      </c>
      <c r="V864">
        <f>IF(OR($A864="",$B864="",$C864="",$U864="Subscription"),"",IFERROR(ROUNDUP((IF(ISNUMBER($C864),$C864,DATEVALUE($C864))-IF(ISNUMBER($B864),$B864,DATEVALUE($B864)))/7,0),""))</f>
        <v/>
      </c>
      <c r="W864" s="352">
        <f>IF($U864="Subscription","",$Q864-$S864)</f>
        <v/>
      </c>
      <c r="X864">
        <f>IF(OR($A864="",$U864="Subscription",$J864="",$I864="",$J864=0,$I864=0,$I864&gt;$J864),"",$J864-$I864)</f>
        <v/>
      </c>
      <c r="Y864">
        <f>IF(OR($A864="",$U864="Subscription",$J864="",$J864=0,$X864=""),"",$X864/$J864)</f>
        <v/>
      </c>
    </row>
    <row r="865">
      <c r="B865" s="354" t="n"/>
      <c r="C865" s="354" t="n"/>
      <c r="E865" s="350" t="n"/>
      <c r="F865" s="350" t="n"/>
      <c r="G865" s="350" t="n"/>
      <c r="H865" s="350" t="n"/>
      <c r="I865" s="350" t="n"/>
      <c r="J865" s="352" t="n"/>
      <c r="M865" s="350" t="n"/>
      <c r="N865" s="350">
        <f>IF($A865="","",IF(OR(LOWER($D865&amp;"")="n/a",ISNUMBER(SEARCH("subscription",LOWER($A865&amp;" "&amp;$M865&amp;""))),ISNUMBER(SEARCH("membership",LOWER($A865&amp;" "&amp;$M865&amp;"")))),"",IF($G865="","",IF(ISNUMBER(SEARCH("non",LOWER($E865&amp;""))),$G865*0.85,$G865))))</f>
        <v/>
      </c>
      <c r="O865">
        <f>IF($A865="","",IF(OR(LOWER($D865&amp;"")="n/a",ISNUMBER(SEARCH("subscription",LOWER($A865&amp;" "&amp;$M865&amp;""))),ISNUMBER(SEARCH("membership",LOWER($A865&amp;" "&amp;$M865&amp;"")))),"",IF(OR($N865="",$I865="",$I865=0),"",$N865/$I865)))</f>
        <v/>
      </c>
      <c r="P865">
        <f>IF($A865="","",IF(OR(LOWER($D865&amp;"")="n/a",ISNUMBER(SEARCH("subscription",LOWER($A865&amp;" "&amp;$M865&amp;""))),ISNUMBER(SEARCH("membership",LOWER($A865&amp;" "&amp;$M865&amp;"")))),"",IF(LOWER($L865&amp;"")="yes",0,IF($K865&lt;&gt;"",$K865,IF($O865&lt;&gt;"",$O865,"")))))</f>
        <v/>
      </c>
      <c r="Q865">
        <f>IF($A865="","",IF($U865="Subscription","",IF($U865="Profit",$P865-$H865,0)))</f>
        <v/>
      </c>
      <c r="R865">
        <f>IF($A865="","",IF($U865="Subscription","",IF($U865="Draw",$H865,0)))</f>
        <v/>
      </c>
      <c r="S865">
        <f>IF($A865="","",IF($U865="Subscription","",IF($U865="Disqualified",$H865,0)))</f>
        <v/>
      </c>
      <c r="T865">
        <f>IF($A865="","",IF($U865="Subscription","",IF($H865=0,IF($U865="Profit","N/A",0),IF($U865="Profit",$Q865/$H865,IF($U865="Disqualified",-1,0)))))</f>
        <v/>
      </c>
      <c r="U865" s="350">
        <f>IF($A865="","",IF(OR(LOWER($D865&amp;"")="n/a",ISNUMBER(SEARCH("subscription",LOWER($A865&amp;" "&amp;$M865&amp;""))),ISNUMBER(SEARCH("membership",LOWER($A865&amp;" "&amp;$M865&amp;"")))),"Subscription",IF(LOWER($L865&amp;"")="yes","Disqualified",IF($P865&gt;$H865,"Profit","Draw"))))</f>
        <v/>
      </c>
      <c r="V865">
        <f>IF(OR($A865="",$B865="",$C865="",$U865="Subscription"),"",IFERROR(ROUNDUP((IF(ISNUMBER($C865),$C865,DATEVALUE($C865))-IF(ISNUMBER($B865),$B865,DATEVALUE($B865)))/7,0),""))</f>
        <v/>
      </c>
      <c r="W865" s="352">
        <f>IF($U865="Subscription","",$Q865-$S865)</f>
        <v/>
      </c>
      <c r="X865">
        <f>IF(OR($A865="",$U865="Subscription",$J865="",$I865="",$J865=0,$I865=0,$I865&gt;$J865),"",$J865-$I865)</f>
        <v/>
      </c>
      <c r="Y865">
        <f>IF(OR($A865="",$U865="Subscription",$J865="",$J865=0,$X865=""),"",$X865/$J865)</f>
        <v/>
      </c>
    </row>
    <row r="866">
      <c r="B866" s="354" t="n"/>
      <c r="C866" s="354" t="n"/>
      <c r="E866" s="350" t="n"/>
      <c r="F866" s="350" t="n"/>
      <c r="G866" s="350" t="n"/>
      <c r="H866" s="350" t="n"/>
      <c r="I866" s="350" t="n"/>
      <c r="J866" s="352" t="n"/>
      <c r="M866" s="350" t="n"/>
      <c r="N866" s="350">
        <f>IF($A866="","",IF(OR(LOWER($D866&amp;"")="n/a",ISNUMBER(SEARCH("subscription",LOWER($A866&amp;" "&amp;$M866&amp;""))),ISNUMBER(SEARCH("membership",LOWER($A866&amp;" "&amp;$M866&amp;"")))),"",IF($G866="","",IF(ISNUMBER(SEARCH("non",LOWER($E866&amp;""))),$G866*0.85,$G866))))</f>
        <v/>
      </c>
      <c r="O866">
        <f>IF($A866="","",IF(OR(LOWER($D866&amp;"")="n/a",ISNUMBER(SEARCH("subscription",LOWER($A866&amp;" "&amp;$M866&amp;""))),ISNUMBER(SEARCH("membership",LOWER($A866&amp;" "&amp;$M866&amp;"")))),"",IF(OR($N866="",$I866="",$I866=0),"",$N866/$I866)))</f>
        <v/>
      </c>
      <c r="P866">
        <f>IF($A866="","",IF(OR(LOWER($D866&amp;"")="n/a",ISNUMBER(SEARCH("subscription",LOWER($A866&amp;" "&amp;$M866&amp;""))),ISNUMBER(SEARCH("membership",LOWER($A866&amp;" "&amp;$M866&amp;"")))),"",IF(LOWER($L866&amp;"")="yes",0,IF($K866&lt;&gt;"",$K866,IF($O866&lt;&gt;"",$O866,"")))))</f>
        <v/>
      </c>
      <c r="Q866">
        <f>IF($A866="","",IF($U866="Subscription","",IF($U866="Profit",$P866-$H866,0)))</f>
        <v/>
      </c>
      <c r="R866">
        <f>IF($A866="","",IF($U866="Subscription","",IF($U866="Draw",$H866,0)))</f>
        <v/>
      </c>
      <c r="S866">
        <f>IF($A866="","",IF($U866="Subscription","",IF($U866="Disqualified",$H866,0)))</f>
        <v/>
      </c>
      <c r="T866">
        <f>IF($A866="","",IF($U866="Subscription","",IF($H866=0,IF($U866="Profit","N/A",0),IF($U866="Profit",$Q866/$H866,IF($U866="Disqualified",-1,0)))))</f>
        <v/>
      </c>
      <c r="U866" s="350">
        <f>IF($A866="","",IF(OR(LOWER($D866&amp;"")="n/a",ISNUMBER(SEARCH("subscription",LOWER($A866&amp;" "&amp;$M866&amp;""))),ISNUMBER(SEARCH("membership",LOWER($A866&amp;" "&amp;$M866&amp;"")))),"Subscription",IF(LOWER($L866&amp;"")="yes","Disqualified",IF($P866&gt;$H866,"Profit","Draw"))))</f>
        <v/>
      </c>
      <c r="V866">
        <f>IF(OR($A866="",$B866="",$C866="",$U866="Subscription"),"",IFERROR(ROUNDUP((IF(ISNUMBER($C866),$C866,DATEVALUE($C866))-IF(ISNUMBER($B866),$B866,DATEVALUE($B866)))/7,0),""))</f>
        <v/>
      </c>
      <c r="W866" s="352">
        <f>IF($U866="Subscription","",$Q866-$S866)</f>
        <v/>
      </c>
      <c r="X866">
        <f>IF(OR($A866="",$U866="Subscription",$J866="",$I866="",$J866=0,$I866=0,$I866&gt;$J866),"",$J866-$I866)</f>
        <v/>
      </c>
      <c r="Y866">
        <f>IF(OR($A866="",$U866="Subscription",$J866="",$J866=0,$X866=""),"",$X866/$J866)</f>
        <v/>
      </c>
    </row>
    <row r="867">
      <c r="B867" s="354" t="n"/>
      <c r="C867" s="354" t="n"/>
      <c r="E867" s="350" t="n"/>
      <c r="F867" s="350" t="n"/>
      <c r="G867" s="350" t="n"/>
      <c r="H867" s="350" t="n"/>
      <c r="I867" s="350" t="n"/>
      <c r="J867" s="352" t="n"/>
      <c r="M867" s="350" t="n"/>
      <c r="N867" s="350">
        <f>IF($A867="","",IF(OR(LOWER($D867&amp;"")="n/a",ISNUMBER(SEARCH("subscription",LOWER($A867&amp;" "&amp;$M867&amp;""))),ISNUMBER(SEARCH("membership",LOWER($A867&amp;" "&amp;$M867&amp;"")))),"",IF($G867="","",IF(ISNUMBER(SEARCH("non",LOWER($E867&amp;""))),$G867*0.85,$G867))))</f>
        <v/>
      </c>
      <c r="O867">
        <f>IF($A867="","",IF(OR(LOWER($D867&amp;"")="n/a",ISNUMBER(SEARCH("subscription",LOWER($A867&amp;" "&amp;$M867&amp;""))),ISNUMBER(SEARCH("membership",LOWER($A867&amp;" "&amp;$M867&amp;"")))),"",IF(OR($N867="",$I867="",$I867=0),"",$N867/$I867)))</f>
        <v/>
      </c>
      <c r="P867">
        <f>IF($A867="","",IF(OR(LOWER($D867&amp;"")="n/a",ISNUMBER(SEARCH("subscription",LOWER($A867&amp;" "&amp;$M867&amp;""))),ISNUMBER(SEARCH("membership",LOWER($A867&amp;" "&amp;$M867&amp;"")))),"",IF(LOWER($L867&amp;"")="yes",0,IF($K867&lt;&gt;"",$K867,IF($O867&lt;&gt;"",$O867,"")))))</f>
        <v/>
      </c>
      <c r="Q867">
        <f>IF($A867="","",IF($U867="Subscription","",IF($U867="Profit",$P867-$H867,0)))</f>
        <v/>
      </c>
      <c r="R867">
        <f>IF($A867="","",IF($U867="Subscription","",IF($U867="Draw",$H867,0)))</f>
        <v/>
      </c>
      <c r="S867">
        <f>IF($A867="","",IF($U867="Subscription","",IF($U867="Disqualified",$H867,0)))</f>
        <v/>
      </c>
      <c r="T867">
        <f>IF($A867="","",IF($U867="Subscription","",IF($H867=0,IF($U867="Profit","N/A",0),IF($U867="Profit",$Q867/$H867,IF($U867="Disqualified",-1,0)))))</f>
        <v/>
      </c>
      <c r="U867" s="350">
        <f>IF($A867="","",IF(OR(LOWER($D867&amp;"")="n/a",ISNUMBER(SEARCH("subscription",LOWER($A867&amp;" "&amp;$M867&amp;""))),ISNUMBER(SEARCH("membership",LOWER($A867&amp;" "&amp;$M867&amp;"")))),"Subscription",IF(LOWER($L867&amp;"")="yes","Disqualified",IF($P867&gt;$H867,"Profit","Draw"))))</f>
        <v/>
      </c>
      <c r="V867">
        <f>IF(OR($A867="",$B867="",$C867="",$U867="Subscription"),"",IFERROR(ROUNDUP((IF(ISNUMBER($C867),$C867,DATEVALUE($C867))-IF(ISNUMBER($B867),$B867,DATEVALUE($B867)))/7,0),""))</f>
        <v/>
      </c>
      <c r="W867" s="352">
        <f>IF($U867="Subscription","",$Q867-$S867)</f>
        <v/>
      </c>
      <c r="X867">
        <f>IF(OR($A867="",$U867="Subscription",$J867="",$I867="",$J867=0,$I867=0,$I867&gt;$J867),"",$J867-$I867)</f>
        <v/>
      </c>
      <c r="Y867">
        <f>IF(OR($A867="",$U867="Subscription",$J867="",$J867=0,$X867=""),"",$X867/$J867)</f>
        <v/>
      </c>
    </row>
    <row r="868">
      <c r="B868" s="354" t="n"/>
      <c r="C868" s="354" t="n"/>
      <c r="E868" s="350" t="n"/>
      <c r="F868" s="350" t="n"/>
      <c r="G868" s="350" t="n"/>
      <c r="H868" s="350" t="n"/>
      <c r="I868" s="350" t="n"/>
      <c r="J868" s="352" t="n"/>
      <c r="M868" s="350" t="n"/>
      <c r="N868" s="350">
        <f>IF($A868="","",IF(OR(LOWER($D868&amp;"")="n/a",ISNUMBER(SEARCH("subscription",LOWER($A868&amp;" "&amp;$M868&amp;""))),ISNUMBER(SEARCH("membership",LOWER($A868&amp;" "&amp;$M868&amp;"")))),"",IF($G868="","",IF(ISNUMBER(SEARCH("non",LOWER($E868&amp;""))),$G868*0.85,$G868))))</f>
        <v/>
      </c>
      <c r="O868">
        <f>IF($A868="","",IF(OR(LOWER($D868&amp;"")="n/a",ISNUMBER(SEARCH("subscription",LOWER($A868&amp;" "&amp;$M868&amp;""))),ISNUMBER(SEARCH("membership",LOWER($A868&amp;" "&amp;$M868&amp;"")))),"",IF(OR($N868="",$I868="",$I868=0),"",$N868/$I868)))</f>
        <v/>
      </c>
      <c r="P868">
        <f>IF($A868="","",IF(OR(LOWER($D868&amp;"")="n/a",ISNUMBER(SEARCH("subscription",LOWER($A868&amp;" "&amp;$M868&amp;""))),ISNUMBER(SEARCH("membership",LOWER($A868&amp;" "&amp;$M868&amp;"")))),"",IF(LOWER($L868&amp;"")="yes",0,IF($K868&lt;&gt;"",$K868,IF($O868&lt;&gt;"",$O868,"")))))</f>
        <v/>
      </c>
      <c r="Q868">
        <f>IF($A868="","",IF($U868="Subscription","",IF($U868="Profit",$P868-$H868,0)))</f>
        <v/>
      </c>
      <c r="R868">
        <f>IF($A868="","",IF($U868="Subscription","",IF($U868="Draw",$H868,0)))</f>
        <v/>
      </c>
      <c r="S868">
        <f>IF($A868="","",IF($U868="Subscription","",IF($U868="Disqualified",$H868,0)))</f>
        <v/>
      </c>
      <c r="T868">
        <f>IF($A868="","",IF($U868="Subscription","",IF($H868=0,IF($U868="Profit","N/A",0),IF($U868="Profit",$Q868/$H868,IF($U868="Disqualified",-1,0)))))</f>
        <v/>
      </c>
      <c r="U868" s="350">
        <f>IF($A868="","",IF(OR(LOWER($D868&amp;"")="n/a",ISNUMBER(SEARCH("subscription",LOWER($A868&amp;" "&amp;$M868&amp;""))),ISNUMBER(SEARCH("membership",LOWER($A868&amp;" "&amp;$M868&amp;"")))),"Subscription",IF(LOWER($L868&amp;"")="yes","Disqualified",IF($P868&gt;$H868,"Profit","Draw"))))</f>
        <v/>
      </c>
      <c r="V868">
        <f>IF(OR($A868="",$B868="",$C868="",$U868="Subscription"),"",IFERROR(ROUNDUP((IF(ISNUMBER($C868),$C868,DATEVALUE($C868))-IF(ISNUMBER($B868),$B868,DATEVALUE($B868)))/7,0),""))</f>
        <v/>
      </c>
      <c r="W868" s="352">
        <f>IF($U868="Subscription","",$Q868-$S868)</f>
        <v/>
      </c>
      <c r="X868">
        <f>IF(OR($A868="",$U868="Subscription",$J868="",$I868="",$J868=0,$I868=0,$I868&gt;$J868),"",$J868-$I868)</f>
        <v/>
      </c>
      <c r="Y868">
        <f>IF(OR($A868="",$U868="Subscription",$J868="",$J868=0,$X868=""),"",$X868/$J868)</f>
        <v/>
      </c>
    </row>
    <row r="869">
      <c r="B869" s="354" t="n"/>
      <c r="C869" s="354" t="n"/>
      <c r="E869" s="350" t="n"/>
      <c r="F869" s="350" t="n"/>
      <c r="G869" s="350" t="n"/>
      <c r="H869" s="350" t="n"/>
      <c r="I869" s="350" t="n"/>
      <c r="J869" s="352" t="n"/>
      <c r="M869" s="350" t="n"/>
      <c r="N869" s="350">
        <f>IF($A869="","",IF(OR(LOWER($D869&amp;"")="n/a",ISNUMBER(SEARCH("subscription",LOWER($A869&amp;" "&amp;$M869&amp;""))),ISNUMBER(SEARCH("membership",LOWER($A869&amp;" "&amp;$M869&amp;"")))),"",IF($G869="","",IF(ISNUMBER(SEARCH("non",LOWER($E869&amp;""))),$G869*0.85,$G869))))</f>
        <v/>
      </c>
      <c r="O869">
        <f>IF($A869="","",IF(OR(LOWER($D869&amp;"")="n/a",ISNUMBER(SEARCH("subscription",LOWER($A869&amp;" "&amp;$M869&amp;""))),ISNUMBER(SEARCH("membership",LOWER($A869&amp;" "&amp;$M869&amp;"")))),"",IF(OR($N869="",$I869="",$I869=0),"",$N869/$I869)))</f>
        <v/>
      </c>
      <c r="P869">
        <f>IF($A869="","",IF(OR(LOWER($D869&amp;"")="n/a",ISNUMBER(SEARCH("subscription",LOWER($A869&amp;" "&amp;$M869&amp;""))),ISNUMBER(SEARCH("membership",LOWER($A869&amp;" "&amp;$M869&amp;"")))),"",IF(LOWER($L869&amp;"")="yes",0,IF($K869&lt;&gt;"",$K869,IF($O869&lt;&gt;"",$O869,"")))))</f>
        <v/>
      </c>
      <c r="Q869">
        <f>IF($A869="","",IF($U869="Subscription","",IF($U869="Profit",$P869-$H869,0)))</f>
        <v/>
      </c>
      <c r="R869">
        <f>IF($A869="","",IF($U869="Subscription","",IF($U869="Draw",$H869,0)))</f>
        <v/>
      </c>
      <c r="S869">
        <f>IF($A869="","",IF($U869="Subscription","",IF($U869="Disqualified",$H869,0)))</f>
        <v/>
      </c>
      <c r="T869">
        <f>IF($A869="","",IF($U869="Subscription","",IF($H869=0,IF($U869="Profit","N/A",0),IF($U869="Profit",$Q869/$H869,IF($U869="Disqualified",-1,0)))))</f>
        <v/>
      </c>
      <c r="U869" s="350">
        <f>IF($A869="","",IF(OR(LOWER($D869&amp;"")="n/a",ISNUMBER(SEARCH("subscription",LOWER($A869&amp;" "&amp;$M869&amp;""))),ISNUMBER(SEARCH("membership",LOWER($A869&amp;" "&amp;$M869&amp;"")))),"Subscription",IF(LOWER($L869&amp;"")="yes","Disqualified",IF($P869&gt;$H869,"Profit","Draw"))))</f>
        <v/>
      </c>
      <c r="V869">
        <f>IF(OR($A869="",$B869="",$C869="",$U869="Subscription"),"",IFERROR(ROUNDUP((IF(ISNUMBER($C869),$C869,DATEVALUE($C869))-IF(ISNUMBER($B869),$B869,DATEVALUE($B869)))/7,0),""))</f>
        <v/>
      </c>
      <c r="W869" s="352">
        <f>IF($U869="Subscription","",$Q869-$S869)</f>
        <v/>
      </c>
      <c r="X869">
        <f>IF(OR($A869="",$U869="Subscription",$J869="",$I869="",$J869=0,$I869=0,$I869&gt;$J869),"",$J869-$I869)</f>
        <v/>
      </c>
      <c r="Y869">
        <f>IF(OR($A869="",$U869="Subscription",$J869="",$J869=0,$X869=""),"",$X869/$J869)</f>
        <v/>
      </c>
    </row>
    <row r="870">
      <c r="B870" s="354" t="n"/>
      <c r="C870" s="354" t="n"/>
      <c r="E870" s="350" t="n"/>
      <c r="F870" s="350" t="n"/>
      <c r="G870" s="350" t="n"/>
      <c r="H870" s="350" t="n"/>
      <c r="I870" s="350" t="n"/>
      <c r="J870" s="352" t="n"/>
      <c r="M870" s="350" t="n"/>
      <c r="N870" s="350">
        <f>IF($A870="","",IF(OR(LOWER($D870&amp;"")="n/a",ISNUMBER(SEARCH("subscription",LOWER($A870&amp;" "&amp;$M870&amp;""))),ISNUMBER(SEARCH("membership",LOWER($A870&amp;" "&amp;$M870&amp;"")))),"",IF($G870="","",IF(ISNUMBER(SEARCH("non",LOWER($E870&amp;""))),$G870*0.85,$G870))))</f>
        <v/>
      </c>
      <c r="O870">
        <f>IF($A870="","",IF(OR(LOWER($D870&amp;"")="n/a",ISNUMBER(SEARCH("subscription",LOWER($A870&amp;" "&amp;$M870&amp;""))),ISNUMBER(SEARCH("membership",LOWER($A870&amp;" "&amp;$M870&amp;"")))),"",IF(OR($N870="",$I870="",$I870=0),"",$N870/$I870)))</f>
        <v/>
      </c>
      <c r="P870">
        <f>IF($A870="","",IF(OR(LOWER($D870&amp;"")="n/a",ISNUMBER(SEARCH("subscription",LOWER($A870&amp;" "&amp;$M870&amp;""))),ISNUMBER(SEARCH("membership",LOWER($A870&amp;" "&amp;$M870&amp;"")))),"",IF(LOWER($L870&amp;"")="yes",0,IF($K870&lt;&gt;"",$K870,IF($O870&lt;&gt;"",$O870,"")))))</f>
        <v/>
      </c>
      <c r="Q870">
        <f>IF($A870="","",IF($U870="Subscription","",IF($U870="Profit",$P870-$H870,0)))</f>
        <v/>
      </c>
      <c r="R870">
        <f>IF($A870="","",IF($U870="Subscription","",IF($U870="Draw",$H870,0)))</f>
        <v/>
      </c>
      <c r="S870">
        <f>IF($A870="","",IF($U870="Subscription","",IF($U870="Disqualified",$H870,0)))</f>
        <v/>
      </c>
      <c r="T870">
        <f>IF($A870="","",IF($U870="Subscription","",IF($H870=0,IF($U870="Profit","N/A",0),IF($U870="Profit",$Q870/$H870,IF($U870="Disqualified",-1,0)))))</f>
        <v/>
      </c>
      <c r="U870" s="350">
        <f>IF($A870="","",IF(OR(LOWER($D870&amp;"")="n/a",ISNUMBER(SEARCH("subscription",LOWER($A870&amp;" "&amp;$M870&amp;""))),ISNUMBER(SEARCH("membership",LOWER($A870&amp;" "&amp;$M870&amp;"")))),"Subscription",IF(LOWER($L870&amp;"")="yes","Disqualified",IF($P870&gt;$H870,"Profit","Draw"))))</f>
        <v/>
      </c>
      <c r="V870">
        <f>IF(OR($A870="",$B870="",$C870="",$U870="Subscription"),"",IFERROR(ROUNDUP((IF(ISNUMBER($C870),$C870,DATEVALUE($C870))-IF(ISNUMBER($B870),$B870,DATEVALUE($B870)))/7,0),""))</f>
        <v/>
      </c>
      <c r="W870" s="352">
        <f>IF($U870="Subscription","",$Q870-$S870)</f>
        <v/>
      </c>
      <c r="X870">
        <f>IF(OR($A870="",$U870="Subscription",$J870="",$I870="",$J870=0,$I870=0,$I870&gt;$J870),"",$J870-$I870)</f>
        <v/>
      </c>
      <c r="Y870">
        <f>IF(OR($A870="",$U870="Subscription",$J870="",$J870=0,$X870=""),"",$X870/$J870)</f>
        <v/>
      </c>
    </row>
    <row r="871">
      <c r="B871" s="354" t="n"/>
      <c r="C871" s="354" t="n"/>
      <c r="E871" s="350" t="n"/>
      <c r="F871" s="350" t="n"/>
      <c r="G871" s="350" t="n"/>
      <c r="H871" s="350" t="n"/>
      <c r="I871" s="350" t="n"/>
      <c r="J871" s="352" t="n"/>
      <c r="M871" s="350" t="n"/>
      <c r="N871" s="350">
        <f>IF($A871="","",IF(OR(LOWER($D871&amp;"")="n/a",ISNUMBER(SEARCH("subscription",LOWER($A871&amp;" "&amp;$M871&amp;""))),ISNUMBER(SEARCH("membership",LOWER($A871&amp;" "&amp;$M871&amp;"")))),"",IF($G871="","",IF(ISNUMBER(SEARCH("non",LOWER($E871&amp;""))),$G871*0.85,$G871))))</f>
        <v/>
      </c>
      <c r="O871">
        <f>IF($A871="","",IF(OR(LOWER($D871&amp;"")="n/a",ISNUMBER(SEARCH("subscription",LOWER($A871&amp;" "&amp;$M871&amp;""))),ISNUMBER(SEARCH("membership",LOWER($A871&amp;" "&amp;$M871&amp;"")))),"",IF(OR($N871="",$I871="",$I871=0),"",$N871/$I871)))</f>
        <v/>
      </c>
      <c r="P871">
        <f>IF($A871="","",IF(OR(LOWER($D871&amp;"")="n/a",ISNUMBER(SEARCH("subscription",LOWER($A871&amp;" "&amp;$M871&amp;""))),ISNUMBER(SEARCH("membership",LOWER($A871&amp;" "&amp;$M871&amp;"")))),"",IF(LOWER($L871&amp;"")="yes",0,IF($K871&lt;&gt;"",$K871,IF($O871&lt;&gt;"",$O871,"")))))</f>
        <v/>
      </c>
      <c r="Q871">
        <f>IF($A871="","",IF($U871="Subscription","",IF($U871="Profit",$P871-$H871,0)))</f>
        <v/>
      </c>
      <c r="R871">
        <f>IF($A871="","",IF($U871="Subscription","",IF($U871="Draw",$H871,0)))</f>
        <v/>
      </c>
      <c r="S871">
        <f>IF($A871="","",IF($U871="Subscription","",IF($U871="Disqualified",$H871,0)))</f>
        <v/>
      </c>
      <c r="T871">
        <f>IF($A871="","",IF($U871="Subscription","",IF($H871=0,IF($U871="Profit","N/A",0),IF($U871="Profit",$Q871/$H871,IF($U871="Disqualified",-1,0)))))</f>
        <v/>
      </c>
      <c r="U871" s="350">
        <f>IF($A871="","",IF(OR(LOWER($D871&amp;"")="n/a",ISNUMBER(SEARCH("subscription",LOWER($A871&amp;" "&amp;$M871&amp;""))),ISNUMBER(SEARCH("membership",LOWER($A871&amp;" "&amp;$M871&amp;"")))),"Subscription",IF(LOWER($L871&amp;"")="yes","Disqualified",IF($P871&gt;$H871,"Profit","Draw"))))</f>
        <v/>
      </c>
      <c r="V871">
        <f>IF(OR($A871="",$B871="",$C871="",$U871="Subscription"),"",IFERROR(ROUNDUP((IF(ISNUMBER($C871),$C871,DATEVALUE($C871))-IF(ISNUMBER($B871),$B871,DATEVALUE($B871)))/7,0),""))</f>
        <v/>
      </c>
      <c r="W871" s="352">
        <f>IF($U871="Subscription","",$Q871-$S871)</f>
        <v/>
      </c>
      <c r="X871">
        <f>IF(OR($A871="",$U871="Subscription",$J871="",$I871="",$J871=0,$I871=0,$I871&gt;$J871),"",$J871-$I871)</f>
        <v/>
      </c>
      <c r="Y871">
        <f>IF(OR($A871="",$U871="Subscription",$J871="",$J871=0,$X871=""),"",$X871/$J871)</f>
        <v/>
      </c>
    </row>
    <row r="872">
      <c r="B872" s="354" t="n"/>
      <c r="C872" s="354" t="n"/>
      <c r="E872" s="350" t="n"/>
      <c r="F872" s="350" t="n"/>
      <c r="G872" s="350" t="n"/>
      <c r="H872" s="350" t="n"/>
      <c r="I872" s="350" t="n"/>
      <c r="J872" s="352" t="n"/>
      <c r="M872" s="350" t="n"/>
      <c r="N872" s="350">
        <f>IF($A872="","",IF(OR(LOWER($D872&amp;"")="n/a",ISNUMBER(SEARCH("subscription",LOWER($A872&amp;" "&amp;$M872&amp;""))),ISNUMBER(SEARCH("membership",LOWER($A872&amp;" "&amp;$M872&amp;"")))),"",IF($G872="","",IF(ISNUMBER(SEARCH("non",LOWER($E872&amp;""))),$G872*0.85,$G872))))</f>
        <v/>
      </c>
      <c r="O872">
        <f>IF($A872="","",IF(OR(LOWER($D872&amp;"")="n/a",ISNUMBER(SEARCH("subscription",LOWER($A872&amp;" "&amp;$M872&amp;""))),ISNUMBER(SEARCH("membership",LOWER($A872&amp;" "&amp;$M872&amp;"")))),"",IF(OR($N872="",$I872="",$I872=0),"",$N872/$I872)))</f>
        <v/>
      </c>
      <c r="P872">
        <f>IF($A872="","",IF(OR(LOWER($D872&amp;"")="n/a",ISNUMBER(SEARCH("subscription",LOWER($A872&amp;" "&amp;$M872&amp;""))),ISNUMBER(SEARCH("membership",LOWER($A872&amp;" "&amp;$M872&amp;"")))),"",IF(LOWER($L872&amp;"")="yes",0,IF($K872&lt;&gt;"",$K872,IF($O872&lt;&gt;"",$O872,"")))))</f>
        <v/>
      </c>
      <c r="Q872">
        <f>IF($A872="","",IF($U872="Subscription","",IF($U872="Profit",$P872-$H872,0)))</f>
        <v/>
      </c>
      <c r="R872">
        <f>IF($A872="","",IF($U872="Subscription","",IF($U872="Draw",$H872,0)))</f>
        <v/>
      </c>
      <c r="S872">
        <f>IF($A872="","",IF($U872="Subscription","",IF($U872="Disqualified",$H872,0)))</f>
        <v/>
      </c>
      <c r="T872">
        <f>IF($A872="","",IF($U872="Subscription","",IF($H872=0,IF($U872="Profit","N/A",0),IF($U872="Profit",$Q872/$H872,IF($U872="Disqualified",-1,0)))))</f>
        <v/>
      </c>
      <c r="U872" s="350">
        <f>IF($A872="","",IF(OR(LOWER($D872&amp;"")="n/a",ISNUMBER(SEARCH("subscription",LOWER($A872&amp;" "&amp;$M872&amp;""))),ISNUMBER(SEARCH("membership",LOWER($A872&amp;" "&amp;$M872&amp;"")))),"Subscription",IF(LOWER($L872&amp;"")="yes","Disqualified",IF($P872&gt;$H872,"Profit","Draw"))))</f>
        <v/>
      </c>
      <c r="V872">
        <f>IF(OR($A872="",$B872="",$C872="",$U872="Subscription"),"",IFERROR(ROUNDUP((IF(ISNUMBER($C872),$C872,DATEVALUE($C872))-IF(ISNUMBER($B872),$B872,DATEVALUE($B872)))/7,0),""))</f>
        <v/>
      </c>
      <c r="W872" s="352">
        <f>IF($U872="Subscription","",$Q872-$S872)</f>
        <v/>
      </c>
      <c r="X872">
        <f>IF(OR($A872="",$U872="Subscription",$J872="",$I872="",$J872=0,$I872=0,$I872&gt;$J872),"",$J872-$I872)</f>
        <v/>
      </c>
      <c r="Y872">
        <f>IF(OR($A872="",$U872="Subscription",$J872="",$J872=0,$X872=""),"",$X872/$J872)</f>
        <v/>
      </c>
    </row>
    <row r="873">
      <c r="B873" s="354" t="n"/>
      <c r="C873" s="354" t="n"/>
      <c r="E873" s="350" t="n"/>
      <c r="F873" s="350" t="n"/>
      <c r="G873" s="350" t="n"/>
      <c r="H873" s="350" t="n"/>
      <c r="I873" s="350" t="n"/>
      <c r="J873" s="352" t="n"/>
      <c r="M873" s="350" t="n"/>
      <c r="N873" s="350">
        <f>IF($A873="","",IF(OR(LOWER($D873&amp;"")="n/a",ISNUMBER(SEARCH("subscription",LOWER($A873&amp;" "&amp;$M873&amp;""))),ISNUMBER(SEARCH("membership",LOWER($A873&amp;" "&amp;$M873&amp;"")))),"",IF($G873="","",IF(ISNUMBER(SEARCH("non",LOWER($E873&amp;""))),$G873*0.85,$G873))))</f>
        <v/>
      </c>
      <c r="O873">
        <f>IF($A873="","",IF(OR(LOWER($D873&amp;"")="n/a",ISNUMBER(SEARCH("subscription",LOWER($A873&amp;" "&amp;$M873&amp;""))),ISNUMBER(SEARCH("membership",LOWER($A873&amp;" "&amp;$M873&amp;"")))),"",IF(OR($N873="",$I873="",$I873=0),"",$N873/$I873)))</f>
        <v/>
      </c>
      <c r="P873">
        <f>IF($A873="","",IF(OR(LOWER($D873&amp;"")="n/a",ISNUMBER(SEARCH("subscription",LOWER($A873&amp;" "&amp;$M873&amp;""))),ISNUMBER(SEARCH("membership",LOWER($A873&amp;" "&amp;$M873&amp;"")))),"",IF(LOWER($L873&amp;"")="yes",0,IF($K873&lt;&gt;"",$K873,IF($O873&lt;&gt;"",$O873,"")))))</f>
        <v/>
      </c>
      <c r="Q873">
        <f>IF($A873="","",IF($U873="Subscription","",IF($U873="Profit",$P873-$H873,0)))</f>
        <v/>
      </c>
      <c r="R873">
        <f>IF($A873="","",IF($U873="Subscription","",IF($U873="Draw",$H873,0)))</f>
        <v/>
      </c>
      <c r="S873">
        <f>IF($A873="","",IF($U873="Subscription","",IF($U873="Disqualified",$H873,0)))</f>
        <v/>
      </c>
      <c r="T873">
        <f>IF($A873="","",IF($U873="Subscription","",IF($H873=0,IF($U873="Profit","N/A",0),IF($U873="Profit",$Q873/$H873,IF($U873="Disqualified",-1,0)))))</f>
        <v/>
      </c>
      <c r="U873" s="350">
        <f>IF($A873="","",IF(OR(LOWER($D873&amp;"")="n/a",ISNUMBER(SEARCH("subscription",LOWER($A873&amp;" "&amp;$M873&amp;""))),ISNUMBER(SEARCH("membership",LOWER($A873&amp;" "&amp;$M873&amp;"")))),"Subscription",IF(LOWER($L873&amp;"")="yes","Disqualified",IF($P873&gt;$H873,"Profit","Draw"))))</f>
        <v/>
      </c>
      <c r="V873">
        <f>IF(OR($A873="",$B873="",$C873="",$U873="Subscription"),"",IFERROR(ROUNDUP((IF(ISNUMBER($C873),$C873,DATEVALUE($C873))-IF(ISNUMBER($B873),$B873,DATEVALUE($B873)))/7,0),""))</f>
        <v/>
      </c>
      <c r="W873" s="352">
        <f>IF($U873="Subscription","",$Q873-$S873)</f>
        <v/>
      </c>
      <c r="X873">
        <f>IF(OR($A873="",$U873="Subscription",$J873="",$I873="",$J873=0,$I873=0,$I873&gt;$J873),"",$J873-$I873)</f>
        <v/>
      </c>
      <c r="Y873">
        <f>IF(OR($A873="",$U873="Subscription",$J873="",$J873=0,$X873=""),"",$X873/$J873)</f>
        <v/>
      </c>
    </row>
    <row r="874">
      <c r="B874" s="354" t="n"/>
      <c r="C874" s="354" t="n"/>
      <c r="E874" s="350" t="n"/>
      <c r="F874" s="350" t="n"/>
      <c r="G874" s="350" t="n"/>
      <c r="H874" s="350" t="n"/>
      <c r="I874" s="350" t="n"/>
      <c r="J874" s="352" t="n"/>
      <c r="M874" s="350" t="n"/>
      <c r="N874" s="350">
        <f>IF($A874="","",IF(OR(LOWER($D874&amp;"")="n/a",ISNUMBER(SEARCH("subscription",LOWER($A874&amp;" "&amp;$M874&amp;""))),ISNUMBER(SEARCH("membership",LOWER($A874&amp;" "&amp;$M874&amp;"")))),"",IF($G874="","",IF(ISNUMBER(SEARCH("non",LOWER($E874&amp;""))),$G874*0.85,$G874))))</f>
        <v/>
      </c>
      <c r="O874">
        <f>IF($A874="","",IF(OR(LOWER($D874&amp;"")="n/a",ISNUMBER(SEARCH("subscription",LOWER($A874&amp;" "&amp;$M874&amp;""))),ISNUMBER(SEARCH("membership",LOWER($A874&amp;" "&amp;$M874&amp;"")))),"",IF(OR($N874="",$I874="",$I874=0),"",$N874/$I874)))</f>
        <v/>
      </c>
      <c r="P874">
        <f>IF($A874="","",IF(OR(LOWER($D874&amp;"")="n/a",ISNUMBER(SEARCH("subscription",LOWER($A874&amp;" "&amp;$M874&amp;""))),ISNUMBER(SEARCH("membership",LOWER($A874&amp;" "&amp;$M874&amp;"")))),"",IF(LOWER($L874&amp;"")="yes",0,IF($K874&lt;&gt;"",$K874,IF($O874&lt;&gt;"",$O874,"")))))</f>
        <v/>
      </c>
      <c r="Q874">
        <f>IF($A874="","",IF($U874="Subscription","",IF($U874="Profit",$P874-$H874,0)))</f>
        <v/>
      </c>
      <c r="R874">
        <f>IF($A874="","",IF($U874="Subscription","",IF($U874="Draw",$H874,0)))</f>
        <v/>
      </c>
      <c r="S874">
        <f>IF($A874="","",IF($U874="Subscription","",IF($U874="Disqualified",$H874,0)))</f>
        <v/>
      </c>
      <c r="T874">
        <f>IF($A874="","",IF($U874="Subscription","",IF($H874=0,IF($U874="Profit","N/A",0),IF($U874="Profit",$Q874/$H874,IF($U874="Disqualified",-1,0)))))</f>
        <v/>
      </c>
      <c r="U874" s="350">
        <f>IF($A874="","",IF(OR(LOWER($D874&amp;"")="n/a",ISNUMBER(SEARCH("subscription",LOWER($A874&amp;" "&amp;$M874&amp;""))),ISNUMBER(SEARCH("membership",LOWER($A874&amp;" "&amp;$M874&amp;"")))),"Subscription",IF(LOWER($L874&amp;"")="yes","Disqualified",IF($P874&gt;$H874,"Profit","Draw"))))</f>
        <v/>
      </c>
      <c r="V874">
        <f>IF(OR($A874="",$B874="",$C874="",$U874="Subscription"),"",IFERROR(ROUNDUP((IF(ISNUMBER($C874),$C874,DATEVALUE($C874))-IF(ISNUMBER($B874),$B874,DATEVALUE($B874)))/7,0),""))</f>
        <v/>
      </c>
      <c r="W874" s="352">
        <f>IF($U874="Subscription","",$Q874-$S874)</f>
        <v/>
      </c>
      <c r="X874">
        <f>IF(OR($A874="",$U874="Subscription",$J874="",$I874="",$J874=0,$I874=0,$I874&gt;$J874),"",$J874-$I874)</f>
        <v/>
      </c>
      <c r="Y874">
        <f>IF(OR($A874="",$U874="Subscription",$J874="",$J874=0,$X874=""),"",$X874/$J874)</f>
        <v/>
      </c>
    </row>
    <row r="875">
      <c r="B875" s="354" t="n"/>
      <c r="C875" s="354" t="n"/>
      <c r="E875" s="350" t="n"/>
      <c r="F875" s="350" t="n"/>
      <c r="G875" s="350" t="n"/>
      <c r="H875" s="350" t="n"/>
      <c r="I875" s="350" t="n"/>
      <c r="J875" s="352" t="n"/>
      <c r="M875" s="350" t="n"/>
      <c r="N875" s="350">
        <f>IF($A875="","",IF(OR(LOWER($D875&amp;"")="n/a",ISNUMBER(SEARCH("subscription",LOWER($A875&amp;" "&amp;$M875&amp;""))),ISNUMBER(SEARCH("membership",LOWER($A875&amp;" "&amp;$M875&amp;"")))),"",IF($G875="","",IF(ISNUMBER(SEARCH("non",LOWER($E875&amp;""))),$G875*0.85,$G875))))</f>
        <v/>
      </c>
      <c r="O875">
        <f>IF($A875="","",IF(OR(LOWER($D875&amp;"")="n/a",ISNUMBER(SEARCH("subscription",LOWER($A875&amp;" "&amp;$M875&amp;""))),ISNUMBER(SEARCH("membership",LOWER($A875&amp;" "&amp;$M875&amp;"")))),"",IF(OR($N875="",$I875="",$I875=0),"",$N875/$I875)))</f>
        <v/>
      </c>
      <c r="P875">
        <f>IF($A875="","",IF(OR(LOWER($D875&amp;"")="n/a",ISNUMBER(SEARCH("subscription",LOWER($A875&amp;" "&amp;$M875&amp;""))),ISNUMBER(SEARCH("membership",LOWER($A875&amp;" "&amp;$M875&amp;"")))),"",IF(LOWER($L875&amp;"")="yes",0,IF($K875&lt;&gt;"",$K875,IF($O875&lt;&gt;"",$O875,"")))))</f>
        <v/>
      </c>
      <c r="Q875">
        <f>IF($A875="","",IF($U875="Subscription","",IF($U875="Profit",$P875-$H875,0)))</f>
        <v/>
      </c>
      <c r="R875">
        <f>IF($A875="","",IF($U875="Subscription","",IF($U875="Draw",$H875,0)))</f>
        <v/>
      </c>
      <c r="S875">
        <f>IF($A875="","",IF($U875="Subscription","",IF($U875="Disqualified",$H875,0)))</f>
        <v/>
      </c>
      <c r="T875">
        <f>IF($A875="","",IF($U875="Subscription","",IF($H875=0,IF($U875="Profit","N/A",0),IF($U875="Profit",$Q875/$H875,IF($U875="Disqualified",-1,0)))))</f>
        <v/>
      </c>
      <c r="U875" s="350">
        <f>IF($A875="","",IF(OR(LOWER($D875&amp;"")="n/a",ISNUMBER(SEARCH("subscription",LOWER($A875&amp;" "&amp;$M875&amp;""))),ISNUMBER(SEARCH("membership",LOWER($A875&amp;" "&amp;$M875&amp;"")))),"Subscription",IF(LOWER($L875&amp;"")="yes","Disqualified",IF($P875&gt;$H875,"Profit","Draw"))))</f>
        <v/>
      </c>
      <c r="V875">
        <f>IF(OR($A875="",$B875="",$C875="",$U875="Subscription"),"",IFERROR(ROUNDUP((IF(ISNUMBER($C875),$C875,DATEVALUE($C875))-IF(ISNUMBER($B875),$B875,DATEVALUE($B875)))/7,0),""))</f>
        <v/>
      </c>
      <c r="W875" s="352">
        <f>IF($U875="Subscription","",$Q875-$S875)</f>
        <v/>
      </c>
      <c r="X875">
        <f>IF(OR($A875="",$U875="Subscription",$J875="",$I875="",$J875=0,$I875=0,$I875&gt;$J875),"",$J875-$I875)</f>
        <v/>
      </c>
      <c r="Y875">
        <f>IF(OR($A875="",$U875="Subscription",$J875="",$J875=0,$X875=""),"",$X875/$J875)</f>
        <v/>
      </c>
    </row>
    <row r="876">
      <c r="B876" s="354" t="n"/>
      <c r="C876" s="354" t="n"/>
      <c r="E876" s="350" t="n"/>
      <c r="F876" s="350" t="n"/>
      <c r="G876" s="350" t="n"/>
      <c r="H876" s="350" t="n"/>
      <c r="I876" s="350" t="n"/>
      <c r="J876" s="352" t="n"/>
      <c r="M876" s="350" t="n"/>
      <c r="N876" s="350">
        <f>IF($A876="","",IF(OR(LOWER($D876&amp;"")="n/a",ISNUMBER(SEARCH("subscription",LOWER($A876&amp;" "&amp;$M876&amp;""))),ISNUMBER(SEARCH("membership",LOWER($A876&amp;" "&amp;$M876&amp;"")))),"",IF($G876="","",IF(ISNUMBER(SEARCH("non",LOWER($E876&amp;""))),$G876*0.85,$G876))))</f>
        <v/>
      </c>
      <c r="O876">
        <f>IF($A876="","",IF(OR(LOWER($D876&amp;"")="n/a",ISNUMBER(SEARCH("subscription",LOWER($A876&amp;" "&amp;$M876&amp;""))),ISNUMBER(SEARCH("membership",LOWER($A876&amp;" "&amp;$M876&amp;"")))),"",IF(OR($N876="",$I876="",$I876=0),"",$N876/$I876)))</f>
        <v/>
      </c>
      <c r="P876">
        <f>IF($A876="","",IF(OR(LOWER($D876&amp;"")="n/a",ISNUMBER(SEARCH("subscription",LOWER($A876&amp;" "&amp;$M876&amp;""))),ISNUMBER(SEARCH("membership",LOWER($A876&amp;" "&amp;$M876&amp;"")))),"",IF(LOWER($L876&amp;"")="yes",0,IF($K876&lt;&gt;"",$K876,IF($O876&lt;&gt;"",$O876,"")))))</f>
        <v/>
      </c>
      <c r="Q876">
        <f>IF($A876="","",IF($U876="Subscription","",IF($U876="Profit",$P876-$H876,0)))</f>
        <v/>
      </c>
      <c r="R876">
        <f>IF($A876="","",IF($U876="Subscription","",IF($U876="Draw",$H876,0)))</f>
        <v/>
      </c>
      <c r="S876">
        <f>IF($A876="","",IF($U876="Subscription","",IF($U876="Disqualified",$H876,0)))</f>
        <v/>
      </c>
      <c r="T876">
        <f>IF($A876="","",IF($U876="Subscription","",IF($H876=0,IF($U876="Profit","N/A",0),IF($U876="Profit",$Q876/$H876,IF($U876="Disqualified",-1,0)))))</f>
        <v/>
      </c>
      <c r="U876" s="350">
        <f>IF($A876="","",IF(OR(LOWER($D876&amp;"")="n/a",ISNUMBER(SEARCH("subscription",LOWER($A876&amp;" "&amp;$M876&amp;""))),ISNUMBER(SEARCH("membership",LOWER($A876&amp;" "&amp;$M876&amp;"")))),"Subscription",IF(LOWER($L876&amp;"")="yes","Disqualified",IF($P876&gt;$H876,"Profit","Draw"))))</f>
        <v/>
      </c>
      <c r="V876">
        <f>IF(OR($A876="",$B876="",$C876="",$U876="Subscription"),"",IFERROR(ROUNDUP((IF(ISNUMBER($C876),$C876,DATEVALUE($C876))-IF(ISNUMBER($B876),$B876,DATEVALUE($B876)))/7,0),""))</f>
        <v/>
      </c>
      <c r="W876" s="352">
        <f>IF($U876="Subscription","",$Q876-$S876)</f>
        <v/>
      </c>
      <c r="X876">
        <f>IF(OR($A876="",$U876="Subscription",$J876="",$I876="",$J876=0,$I876=0,$I876&gt;$J876),"",$J876-$I876)</f>
        <v/>
      </c>
      <c r="Y876">
        <f>IF(OR($A876="",$U876="Subscription",$J876="",$J876=0,$X876=""),"",$X876/$J876)</f>
        <v/>
      </c>
    </row>
    <row r="877">
      <c r="B877" s="354" t="n"/>
      <c r="C877" s="354" t="n"/>
      <c r="E877" s="350" t="n"/>
      <c r="F877" s="350" t="n"/>
      <c r="G877" s="350" t="n"/>
      <c r="H877" s="350" t="n"/>
      <c r="I877" s="350" t="n"/>
      <c r="J877" s="352" t="n"/>
      <c r="M877" s="350" t="n"/>
      <c r="N877" s="350">
        <f>IF($A877="","",IF(OR(LOWER($D877&amp;"")="n/a",ISNUMBER(SEARCH("subscription",LOWER($A877&amp;" "&amp;$M877&amp;""))),ISNUMBER(SEARCH("membership",LOWER($A877&amp;" "&amp;$M877&amp;"")))),"",IF($G877="","",IF(ISNUMBER(SEARCH("non",LOWER($E877&amp;""))),$G877*0.85,$G877))))</f>
        <v/>
      </c>
      <c r="O877">
        <f>IF($A877="","",IF(OR(LOWER($D877&amp;"")="n/a",ISNUMBER(SEARCH("subscription",LOWER($A877&amp;" "&amp;$M877&amp;""))),ISNUMBER(SEARCH("membership",LOWER($A877&amp;" "&amp;$M877&amp;"")))),"",IF(OR($N877="",$I877="",$I877=0),"",$N877/$I877)))</f>
        <v/>
      </c>
      <c r="P877">
        <f>IF($A877="","",IF(OR(LOWER($D877&amp;"")="n/a",ISNUMBER(SEARCH("subscription",LOWER($A877&amp;" "&amp;$M877&amp;""))),ISNUMBER(SEARCH("membership",LOWER($A877&amp;" "&amp;$M877&amp;"")))),"",IF(LOWER($L877&amp;"")="yes",0,IF($K877&lt;&gt;"",$K877,IF($O877&lt;&gt;"",$O877,"")))))</f>
        <v/>
      </c>
      <c r="Q877">
        <f>IF($A877="","",IF($U877="Subscription","",IF($U877="Profit",$P877-$H877,0)))</f>
        <v/>
      </c>
      <c r="R877">
        <f>IF($A877="","",IF($U877="Subscription","",IF($U877="Draw",$H877,0)))</f>
        <v/>
      </c>
      <c r="S877">
        <f>IF($A877="","",IF($U877="Subscription","",IF($U877="Disqualified",$H877,0)))</f>
        <v/>
      </c>
      <c r="T877">
        <f>IF($A877="","",IF($U877="Subscription","",IF($H877=0,IF($U877="Profit","N/A",0),IF($U877="Profit",$Q877/$H877,IF($U877="Disqualified",-1,0)))))</f>
        <v/>
      </c>
      <c r="U877" s="350">
        <f>IF($A877="","",IF(OR(LOWER($D877&amp;"")="n/a",ISNUMBER(SEARCH("subscription",LOWER($A877&amp;" "&amp;$M877&amp;""))),ISNUMBER(SEARCH("membership",LOWER($A877&amp;" "&amp;$M877&amp;"")))),"Subscription",IF(LOWER($L877&amp;"")="yes","Disqualified",IF($P877&gt;$H877,"Profit","Draw"))))</f>
        <v/>
      </c>
      <c r="V877">
        <f>IF(OR($A877="",$B877="",$C877="",$U877="Subscription"),"",IFERROR(ROUNDUP((IF(ISNUMBER($C877),$C877,DATEVALUE($C877))-IF(ISNUMBER($B877),$B877,DATEVALUE($B877)))/7,0),""))</f>
        <v/>
      </c>
      <c r="W877" s="352">
        <f>IF($U877="Subscription","",$Q877-$S877)</f>
        <v/>
      </c>
      <c r="X877">
        <f>IF(OR($A877="",$U877="Subscription",$J877="",$I877="",$J877=0,$I877=0,$I877&gt;$J877),"",$J877-$I877)</f>
        <v/>
      </c>
      <c r="Y877">
        <f>IF(OR($A877="",$U877="Subscription",$J877="",$J877=0,$X877=""),"",$X877/$J877)</f>
        <v/>
      </c>
    </row>
    <row r="878">
      <c r="B878" s="354" t="n"/>
      <c r="C878" s="354" t="n"/>
      <c r="E878" s="350" t="n"/>
      <c r="F878" s="350" t="n"/>
      <c r="G878" s="350" t="n"/>
      <c r="H878" s="350" t="n"/>
      <c r="I878" s="350" t="n"/>
      <c r="J878" s="352" t="n"/>
      <c r="M878" s="350" t="n"/>
      <c r="N878" s="350">
        <f>IF($A878="","",IF(OR(LOWER($D878&amp;"")="n/a",ISNUMBER(SEARCH("subscription",LOWER($A878&amp;" "&amp;$M878&amp;""))),ISNUMBER(SEARCH("membership",LOWER($A878&amp;" "&amp;$M878&amp;"")))),"",IF($G878="","",IF(ISNUMBER(SEARCH("non",LOWER($E878&amp;""))),$G878*0.85,$G878))))</f>
        <v/>
      </c>
      <c r="O878">
        <f>IF($A878="","",IF(OR(LOWER($D878&amp;"")="n/a",ISNUMBER(SEARCH("subscription",LOWER($A878&amp;" "&amp;$M878&amp;""))),ISNUMBER(SEARCH("membership",LOWER($A878&amp;" "&amp;$M878&amp;"")))),"",IF(OR($N878="",$I878="",$I878=0),"",$N878/$I878)))</f>
        <v/>
      </c>
      <c r="P878">
        <f>IF($A878="","",IF(OR(LOWER($D878&amp;"")="n/a",ISNUMBER(SEARCH("subscription",LOWER($A878&amp;" "&amp;$M878&amp;""))),ISNUMBER(SEARCH("membership",LOWER($A878&amp;" "&amp;$M878&amp;"")))),"",IF(LOWER($L878&amp;"")="yes",0,IF($K878&lt;&gt;"",$K878,IF($O878&lt;&gt;"",$O878,"")))))</f>
        <v/>
      </c>
      <c r="Q878">
        <f>IF($A878="","",IF($U878="Subscription","",IF($U878="Profit",$P878-$H878,0)))</f>
        <v/>
      </c>
      <c r="R878">
        <f>IF($A878="","",IF($U878="Subscription","",IF($U878="Draw",$H878,0)))</f>
        <v/>
      </c>
      <c r="S878">
        <f>IF($A878="","",IF($U878="Subscription","",IF($U878="Disqualified",$H878,0)))</f>
        <v/>
      </c>
      <c r="T878">
        <f>IF($A878="","",IF($U878="Subscription","",IF($H878=0,IF($U878="Profit","N/A",0),IF($U878="Profit",$Q878/$H878,IF($U878="Disqualified",-1,0)))))</f>
        <v/>
      </c>
      <c r="U878" s="350">
        <f>IF($A878="","",IF(OR(LOWER($D878&amp;"")="n/a",ISNUMBER(SEARCH("subscription",LOWER($A878&amp;" "&amp;$M878&amp;""))),ISNUMBER(SEARCH("membership",LOWER($A878&amp;" "&amp;$M878&amp;"")))),"Subscription",IF(LOWER($L878&amp;"")="yes","Disqualified",IF($P878&gt;$H878,"Profit","Draw"))))</f>
        <v/>
      </c>
      <c r="V878">
        <f>IF(OR($A878="",$B878="",$C878="",$U878="Subscription"),"",IFERROR(ROUNDUP((IF(ISNUMBER($C878),$C878,DATEVALUE($C878))-IF(ISNUMBER($B878),$B878,DATEVALUE($B878)))/7,0),""))</f>
        <v/>
      </c>
      <c r="W878" s="352">
        <f>IF($U878="Subscription","",$Q878-$S878)</f>
        <v/>
      </c>
      <c r="X878">
        <f>IF(OR($A878="",$U878="Subscription",$J878="",$I878="",$J878=0,$I878=0,$I878&gt;$J878),"",$J878-$I878)</f>
        <v/>
      </c>
      <c r="Y878">
        <f>IF(OR($A878="",$U878="Subscription",$J878="",$J878=0,$X878=""),"",$X878/$J878)</f>
        <v/>
      </c>
    </row>
    <row r="879">
      <c r="B879" s="354" t="n"/>
      <c r="C879" s="354" t="n"/>
      <c r="E879" s="350" t="n"/>
      <c r="F879" s="350" t="n"/>
      <c r="G879" s="350" t="n"/>
      <c r="H879" s="350" t="n"/>
      <c r="I879" s="350" t="n"/>
      <c r="J879" s="352" t="n"/>
      <c r="M879" s="350" t="n"/>
      <c r="N879" s="350">
        <f>IF($A879="","",IF(OR(LOWER($D879&amp;"")="n/a",ISNUMBER(SEARCH("subscription",LOWER($A879&amp;" "&amp;$M879&amp;""))),ISNUMBER(SEARCH("membership",LOWER($A879&amp;" "&amp;$M879&amp;"")))),"",IF($G879="","",IF(ISNUMBER(SEARCH("non",LOWER($E879&amp;""))),$G879*0.85,$G879))))</f>
        <v/>
      </c>
      <c r="O879">
        <f>IF($A879="","",IF(OR(LOWER($D879&amp;"")="n/a",ISNUMBER(SEARCH("subscription",LOWER($A879&amp;" "&amp;$M879&amp;""))),ISNUMBER(SEARCH("membership",LOWER($A879&amp;" "&amp;$M879&amp;"")))),"",IF(OR($N879="",$I879="",$I879=0),"",$N879/$I879)))</f>
        <v/>
      </c>
      <c r="P879">
        <f>IF($A879="","",IF(OR(LOWER($D879&amp;"")="n/a",ISNUMBER(SEARCH("subscription",LOWER($A879&amp;" "&amp;$M879&amp;""))),ISNUMBER(SEARCH("membership",LOWER($A879&amp;" "&amp;$M879&amp;"")))),"",IF(LOWER($L879&amp;"")="yes",0,IF($K879&lt;&gt;"",$K879,IF($O879&lt;&gt;"",$O879,"")))))</f>
        <v/>
      </c>
      <c r="Q879">
        <f>IF($A879="","",IF($U879="Subscription","",IF($U879="Profit",$P879-$H879,0)))</f>
        <v/>
      </c>
      <c r="R879">
        <f>IF($A879="","",IF($U879="Subscription","",IF($U879="Draw",$H879,0)))</f>
        <v/>
      </c>
      <c r="S879">
        <f>IF($A879="","",IF($U879="Subscription","",IF($U879="Disqualified",$H879,0)))</f>
        <v/>
      </c>
      <c r="T879">
        <f>IF($A879="","",IF($U879="Subscription","",IF($H879=0,IF($U879="Profit","N/A",0),IF($U879="Profit",$Q879/$H879,IF($U879="Disqualified",-1,0)))))</f>
        <v/>
      </c>
      <c r="U879" s="350">
        <f>IF($A879="","",IF(OR(LOWER($D879&amp;"")="n/a",ISNUMBER(SEARCH("subscription",LOWER($A879&amp;" "&amp;$M879&amp;""))),ISNUMBER(SEARCH("membership",LOWER($A879&amp;" "&amp;$M879&amp;"")))),"Subscription",IF(LOWER($L879&amp;"")="yes","Disqualified",IF($P879&gt;$H879,"Profit","Draw"))))</f>
        <v/>
      </c>
      <c r="V879">
        <f>IF(OR($A879="",$B879="",$C879="",$U879="Subscription"),"",IFERROR(ROUNDUP((IF(ISNUMBER($C879),$C879,DATEVALUE($C879))-IF(ISNUMBER($B879),$B879,DATEVALUE($B879)))/7,0),""))</f>
        <v/>
      </c>
      <c r="W879" s="352">
        <f>IF($U879="Subscription","",$Q879-$S879)</f>
        <v/>
      </c>
      <c r="X879">
        <f>IF(OR($A879="",$U879="Subscription",$J879="",$I879="",$J879=0,$I879=0,$I879&gt;$J879),"",$J879-$I879)</f>
        <v/>
      </c>
      <c r="Y879">
        <f>IF(OR($A879="",$U879="Subscription",$J879="",$J879=0,$X879=""),"",$X879/$J879)</f>
        <v/>
      </c>
    </row>
    <row r="880">
      <c r="B880" s="354" t="n"/>
      <c r="C880" s="354" t="n"/>
      <c r="E880" s="350" t="n"/>
      <c r="F880" s="350" t="n"/>
      <c r="G880" s="350" t="n"/>
      <c r="H880" s="350" t="n"/>
      <c r="I880" s="350" t="n"/>
      <c r="J880" s="352" t="n"/>
      <c r="M880" s="350" t="n"/>
      <c r="N880" s="350">
        <f>IF($A880="","",IF(OR(LOWER($D880&amp;"")="n/a",ISNUMBER(SEARCH("subscription",LOWER($A880&amp;" "&amp;$M880&amp;""))),ISNUMBER(SEARCH("membership",LOWER($A880&amp;" "&amp;$M880&amp;"")))),"",IF($G880="","",IF(ISNUMBER(SEARCH("non",LOWER($E880&amp;""))),$G880*0.85,$G880))))</f>
        <v/>
      </c>
      <c r="O880">
        <f>IF($A880="","",IF(OR(LOWER($D880&amp;"")="n/a",ISNUMBER(SEARCH("subscription",LOWER($A880&amp;" "&amp;$M880&amp;""))),ISNUMBER(SEARCH("membership",LOWER($A880&amp;" "&amp;$M880&amp;"")))),"",IF(OR($N880="",$I880="",$I880=0),"",$N880/$I880)))</f>
        <v/>
      </c>
      <c r="P880">
        <f>IF($A880="","",IF(OR(LOWER($D880&amp;"")="n/a",ISNUMBER(SEARCH("subscription",LOWER($A880&amp;" "&amp;$M880&amp;""))),ISNUMBER(SEARCH("membership",LOWER($A880&amp;" "&amp;$M880&amp;"")))),"",IF(LOWER($L880&amp;"")="yes",0,IF($K880&lt;&gt;"",$K880,IF($O880&lt;&gt;"",$O880,"")))))</f>
        <v/>
      </c>
      <c r="Q880">
        <f>IF($A880="","",IF($U880="Subscription","",IF($U880="Profit",$P880-$H880,0)))</f>
        <v/>
      </c>
      <c r="R880">
        <f>IF($A880="","",IF($U880="Subscription","",IF($U880="Draw",$H880,0)))</f>
        <v/>
      </c>
      <c r="S880">
        <f>IF($A880="","",IF($U880="Subscription","",IF($U880="Disqualified",$H880,0)))</f>
        <v/>
      </c>
      <c r="T880">
        <f>IF($A880="","",IF($U880="Subscription","",IF($H880=0,IF($U880="Profit","N/A",0),IF($U880="Profit",$Q880/$H880,IF($U880="Disqualified",-1,0)))))</f>
        <v/>
      </c>
      <c r="U880" s="350">
        <f>IF($A880="","",IF(OR(LOWER($D880&amp;"")="n/a",ISNUMBER(SEARCH("subscription",LOWER($A880&amp;" "&amp;$M880&amp;""))),ISNUMBER(SEARCH("membership",LOWER($A880&amp;" "&amp;$M880&amp;"")))),"Subscription",IF(LOWER($L880&amp;"")="yes","Disqualified",IF($P880&gt;$H880,"Profit","Draw"))))</f>
        <v/>
      </c>
      <c r="V880">
        <f>IF(OR($A880="",$B880="",$C880="",$U880="Subscription"),"",IFERROR(ROUNDUP((IF(ISNUMBER($C880),$C880,DATEVALUE($C880))-IF(ISNUMBER($B880),$B880,DATEVALUE($B880)))/7,0),""))</f>
        <v/>
      </c>
      <c r="W880" s="352">
        <f>IF($U880="Subscription","",$Q880-$S880)</f>
        <v/>
      </c>
      <c r="X880">
        <f>IF(OR($A880="",$U880="Subscription",$J880="",$I880="",$J880=0,$I880=0,$I880&gt;$J880),"",$J880-$I880)</f>
        <v/>
      </c>
      <c r="Y880">
        <f>IF(OR($A880="",$U880="Subscription",$J880="",$J880=0,$X880=""),"",$X880/$J880)</f>
        <v/>
      </c>
    </row>
    <row r="881">
      <c r="B881" s="354" t="n"/>
      <c r="C881" s="354" t="n"/>
      <c r="E881" s="350" t="n"/>
      <c r="F881" s="350" t="n"/>
      <c r="G881" s="350" t="n"/>
      <c r="H881" s="350" t="n"/>
      <c r="I881" s="350" t="n"/>
      <c r="J881" s="352" t="n"/>
      <c r="M881" s="350" t="n"/>
      <c r="N881" s="350">
        <f>IF($A881="","",IF(OR(LOWER($D881&amp;"")="n/a",ISNUMBER(SEARCH("subscription",LOWER($A881&amp;" "&amp;$M881&amp;""))),ISNUMBER(SEARCH("membership",LOWER($A881&amp;" "&amp;$M881&amp;"")))),"",IF($G881="","",IF(ISNUMBER(SEARCH("non",LOWER($E881&amp;""))),$G881*0.85,$G881))))</f>
        <v/>
      </c>
      <c r="O881">
        <f>IF($A881="","",IF(OR(LOWER($D881&amp;"")="n/a",ISNUMBER(SEARCH("subscription",LOWER($A881&amp;" "&amp;$M881&amp;""))),ISNUMBER(SEARCH("membership",LOWER($A881&amp;" "&amp;$M881&amp;"")))),"",IF(OR($N881="",$I881="",$I881=0),"",$N881/$I881)))</f>
        <v/>
      </c>
      <c r="P881">
        <f>IF($A881="","",IF(OR(LOWER($D881&amp;"")="n/a",ISNUMBER(SEARCH("subscription",LOWER($A881&amp;" "&amp;$M881&amp;""))),ISNUMBER(SEARCH("membership",LOWER($A881&amp;" "&amp;$M881&amp;"")))),"",IF(LOWER($L881&amp;"")="yes",0,IF($K881&lt;&gt;"",$K881,IF($O881&lt;&gt;"",$O881,"")))))</f>
        <v/>
      </c>
      <c r="Q881">
        <f>IF($A881="","",IF($U881="Subscription","",IF($U881="Profit",$P881-$H881,0)))</f>
        <v/>
      </c>
      <c r="R881">
        <f>IF($A881="","",IF($U881="Subscription","",IF($U881="Draw",$H881,0)))</f>
        <v/>
      </c>
      <c r="S881">
        <f>IF($A881="","",IF($U881="Subscription","",IF($U881="Disqualified",$H881,0)))</f>
        <v/>
      </c>
      <c r="T881">
        <f>IF($A881="","",IF($U881="Subscription","",IF($H881=0,IF($U881="Profit","N/A",0),IF($U881="Profit",$Q881/$H881,IF($U881="Disqualified",-1,0)))))</f>
        <v/>
      </c>
      <c r="U881" s="350">
        <f>IF($A881="","",IF(OR(LOWER($D881&amp;"")="n/a",ISNUMBER(SEARCH("subscription",LOWER($A881&amp;" "&amp;$M881&amp;""))),ISNUMBER(SEARCH("membership",LOWER($A881&amp;" "&amp;$M881&amp;"")))),"Subscription",IF(LOWER($L881&amp;"")="yes","Disqualified",IF($P881&gt;$H881,"Profit","Draw"))))</f>
        <v/>
      </c>
      <c r="V881">
        <f>IF(OR($A881="",$B881="",$C881="",$U881="Subscription"),"",IFERROR(ROUNDUP((IF(ISNUMBER($C881),$C881,DATEVALUE($C881))-IF(ISNUMBER($B881),$B881,DATEVALUE($B881)))/7,0),""))</f>
        <v/>
      </c>
      <c r="W881" s="352">
        <f>IF($U881="Subscription","",$Q881-$S881)</f>
        <v/>
      </c>
      <c r="X881">
        <f>IF(OR($A881="",$U881="Subscription",$J881="",$I881="",$J881=0,$I881=0,$I881&gt;$J881),"",$J881-$I881)</f>
        <v/>
      </c>
      <c r="Y881">
        <f>IF(OR($A881="",$U881="Subscription",$J881="",$J881=0,$X881=""),"",$X881/$J881)</f>
        <v/>
      </c>
    </row>
    <row r="882">
      <c r="B882" s="354" t="n"/>
      <c r="C882" s="354" t="n"/>
      <c r="E882" s="350" t="n"/>
      <c r="F882" s="350" t="n"/>
      <c r="G882" s="350" t="n"/>
      <c r="H882" s="350" t="n"/>
      <c r="I882" s="350" t="n"/>
      <c r="J882" s="352" t="n"/>
      <c r="M882" s="350" t="n"/>
      <c r="N882" s="350">
        <f>IF($A882="","",IF(OR(LOWER($D882&amp;"")="n/a",ISNUMBER(SEARCH("subscription",LOWER($A882&amp;" "&amp;$M882&amp;""))),ISNUMBER(SEARCH("membership",LOWER($A882&amp;" "&amp;$M882&amp;"")))),"",IF($G882="","",IF(ISNUMBER(SEARCH("non",LOWER($E882&amp;""))),$G882*0.85,$G882))))</f>
        <v/>
      </c>
      <c r="O882">
        <f>IF($A882="","",IF(OR(LOWER($D882&amp;"")="n/a",ISNUMBER(SEARCH("subscription",LOWER($A882&amp;" "&amp;$M882&amp;""))),ISNUMBER(SEARCH("membership",LOWER($A882&amp;" "&amp;$M882&amp;"")))),"",IF(OR($N882="",$I882="",$I882=0),"",$N882/$I882)))</f>
        <v/>
      </c>
      <c r="P882">
        <f>IF($A882="","",IF(OR(LOWER($D882&amp;"")="n/a",ISNUMBER(SEARCH("subscription",LOWER($A882&amp;" "&amp;$M882&amp;""))),ISNUMBER(SEARCH("membership",LOWER($A882&amp;" "&amp;$M882&amp;"")))),"",IF(LOWER($L882&amp;"")="yes",0,IF($K882&lt;&gt;"",$K882,IF($O882&lt;&gt;"",$O882,"")))))</f>
        <v/>
      </c>
      <c r="Q882">
        <f>IF($A882="","",IF($U882="Subscription","",IF($U882="Profit",$P882-$H882,0)))</f>
        <v/>
      </c>
      <c r="R882">
        <f>IF($A882="","",IF($U882="Subscription","",IF($U882="Draw",$H882,0)))</f>
        <v/>
      </c>
      <c r="S882">
        <f>IF($A882="","",IF($U882="Subscription","",IF($U882="Disqualified",$H882,0)))</f>
        <v/>
      </c>
      <c r="T882">
        <f>IF($A882="","",IF($U882="Subscription","",IF($H882=0,IF($U882="Profit","N/A",0),IF($U882="Profit",$Q882/$H882,IF($U882="Disqualified",-1,0)))))</f>
        <v/>
      </c>
      <c r="U882" s="350">
        <f>IF($A882="","",IF(OR(LOWER($D882&amp;"")="n/a",ISNUMBER(SEARCH("subscription",LOWER($A882&amp;" "&amp;$M882&amp;""))),ISNUMBER(SEARCH("membership",LOWER($A882&amp;" "&amp;$M882&amp;"")))),"Subscription",IF(LOWER($L882&amp;"")="yes","Disqualified",IF($P882&gt;$H882,"Profit","Draw"))))</f>
        <v/>
      </c>
      <c r="V882">
        <f>IF(OR($A882="",$B882="",$C882="",$U882="Subscription"),"",IFERROR(ROUNDUP((IF(ISNUMBER($C882),$C882,DATEVALUE($C882))-IF(ISNUMBER($B882),$B882,DATEVALUE($B882)))/7,0),""))</f>
        <v/>
      </c>
      <c r="W882" s="352">
        <f>IF($U882="Subscription","",$Q882-$S882)</f>
        <v/>
      </c>
      <c r="X882">
        <f>IF(OR($A882="",$U882="Subscription",$J882="",$I882="",$J882=0,$I882=0,$I882&gt;$J882),"",$J882-$I882)</f>
        <v/>
      </c>
      <c r="Y882">
        <f>IF(OR($A882="",$U882="Subscription",$J882="",$J882=0,$X882=""),"",$X882/$J882)</f>
        <v/>
      </c>
    </row>
    <row r="883">
      <c r="B883" s="354" t="n"/>
      <c r="C883" s="354" t="n"/>
      <c r="E883" s="350" t="n"/>
      <c r="F883" s="350" t="n"/>
      <c r="G883" s="350" t="n"/>
      <c r="H883" s="350" t="n"/>
      <c r="I883" s="350" t="n"/>
      <c r="J883" s="352" t="n"/>
      <c r="M883" s="350" t="n"/>
      <c r="N883" s="350">
        <f>IF($A883="","",IF(OR(LOWER($D883&amp;"")="n/a",ISNUMBER(SEARCH("subscription",LOWER($A883&amp;" "&amp;$M883&amp;""))),ISNUMBER(SEARCH("membership",LOWER($A883&amp;" "&amp;$M883&amp;"")))),"",IF($G883="","",IF(ISNUMBER(SEARCH("non",LOWER($E883&amp;""))),$G883*0.85,$G883))))</f>
        <v/>
      </c>
      <c r="O883">
        <f>IF($A883="","",IF(OR(LOWER($D883&amp;"")="n/a",ISNUMBER(SEARCH("subscription",LOWER($A883&amp;" "&amp;$M883&amp;""))),ISNUMBER(SEARCH("membership",LOWER($A883&amp;" "&amp;$M883&amp;"")))),"",IF(OR($N883="",$I883="",$I883=0),"",$N883/$I883)))</f>
        <v/>
      </c>
      <c r="P883">
        <f>IF($A883="","",IF(OR(LOWER($D883&amp;"")="n/a",ISNUMBER(SEARCH("subscription",LOWER($A883&amp;" "&amp;$M883&amp;""))),ISNUMBER(SEARCH("membership",LOWER($A883&amp;" "&amp;$M883&amp;"")))),"",IF(LOWER($L883&amp;"")="yes",0,IF($K883&lt;&gt;"",$K883,IF($O883&lt;&gt;"",$O883,"")))))</f>
        <v/>
      </c>
      <c r="Q883">
        <f>IF($A883="","",IF($U883="Subscription","",IF($U883="Profit",$P883-$H883,0)))</f>
        <v/>
      </c>
      <c r="R883">
        <f>IF($A883="","",IF($U883="Subscription","",IF($U883="Draw",$H883,0)))</f>
        <v/>
      </c>
      <c r="S883">
        <f>IF($A883="","",IF($U883="Subscription","",IF($U883="Disqualified",$H883,0)))</f>
        <v/>
      </c>
      <c r="T883">
        <f>IF($A883="","",IF($U883="Subscription","",IF($H883=0,IF($U883="Profit","N/A",0),IF($U883="Profit",$Q883/$H883,IF($U883="Disqualified",-1,0)))))</f>
        <v/>
      </c>
      <c r="U883" s="350">
        <f>IF($A883="","",IF(OR(LOWER($D883&amp;"")="n/a",ISNUMBER(SEARCH("subscription",LOWER($A883&amp;" "&amp;$M883&amp;""))),ISNUMBER(SEARCH("membership",LOWER($A883&amp;" "&amp;$M883&amp;"")))),"Subscription",IF(LOWER($L883&amp;"")="yes","Disqualified",IF($P883&gt;$H883,"Profit","Draw"))))</f>
        <v/>
      </c>
      <c r="V883">
        <f>IF(OR($A883="",$B883="",$C883="",$U883="Subscription"),"",IFERROR(ROUNDUP((IF(ISNUMBER($C883),$C883,DATEVALUE($C883))-IF(ISNUMBER($B883),$B883,DATEVALUE($B883)))/7,0),""))</f>
        <v/>
      </c>
      <c r="W883" s="352">
        <f>IF($U883="Subscription","",$Q883-$S883)</f>
        <v/>
      </c>
      <c r="X883">
        <f>IF(OR($A883="",$U883="Subscription",$J883="",$I883="",$J883=0,$I883=0,$I883&gt;$J883),"",$J883-$I883)</f>
        <v/>
      </c>
      <c r="Y883">
        <f>IF(OR($A883="",$U883="Subscription",$J883="",$J883=0,$X883=""),"",$X883/$J883)</f>
        <v/>
      </c>
    </row>
    <row r="884">
      <c r="B884" s="354" t="n"/>
      <c r="C884" s="354" t="n"/>
      <c r="E884" s="350" t="n"/>
      <c r="F884" s="350" t="n"/>
      <c r="G884" s="350" t="n"/>
      <c r="H884" s="350" t="n"/>
      <c r="I884" s="350" t="n"/>
      <c r="J884" s="352" t="n"/>
      <c r="M884" s="350" t="n"/>
      <c r="N884" s="350">
        <f>IF($A884="","",IF(OR(LOWER($D884&amp;"")="n/a",ISNUMBER(SEARCH("subscription",LOWER($A884&amp;" "&amp;$M884&amp;""))),ISNUMBER(SEARCH("membership",LOWER($A884&amp;" "&amp;$M884&amp;"")))),"",IF($G884="","",IF(ISNUMBER(SEARCH("non",LOWER($E884&amp;""))),$G884*0.85,$G884))))</f>
        <v/>
      </c>
      <c r="O884">
        <f>IF($A884="","",IF(OR(LOWER($D884&amp;"")="n/a",ISNUMBER(SEARCH("subscription",LOWER($A884&amp;" "&amp;$M884&amp;""))),ISNUMBER(SEARCH("membership",LOWER($A884&amp;" "&amp;$M884&amp;"")))),"",IF(OR($N884="",$I884="",$I884=0),"",$N884/$I884)))</f>
        <v/>
      </c>
      <c r="P884">
        <f>IF($A884="","",IF(OR(LOWER($D884&amp;"")="n/a",ISNUMBER(SEARCH("subscription",LOWER($A884&amp;" "&amp;$M884&amp;""))),ISNUMBER(SEARCH("membership",LOWER($A884&amp;" "&amp;$M884&amp;"")))),"",IF(LOWER($L884&amp;"")="yes",0,IF($K884&lt;&gt;"",$K884,IF($O884&lt;&gt;"",$O884,"")))))</f>
        <v/>
      </c>
      <c r="Q884">
        <f>IF($A884="","",IF($U884="Subscription","",IF($U884="Profit",$P884-$H884,0)))</f>
        <v/>
      </c>
      <c r="R884">
        <f>IF($A884="","",IF($U884="Subscription","",IF($U884="Draw",$H884,0)))</f>
        <v/>
      </c>
      <c r="S884">
        <f>IF($A884="","",IF($U884="Subscription","",IF($U884="Disqualified",$H884,0)))</f>
        <v/>
      </c>
      <c r="T884">
        <f>IF($A884="","",IF($U884="Subscription","",IF($H884=0,IF($U884="Profit","N/A",0),IF($U884="Profit",$Q884/$H884,IF($U884="Disqualified",-1,0)))))</f>
        <v/>
      </c>
      <c r="U884" s="350">
        <f>IF($A884="","",IF(OR(LOWER($D884&amp;"")="n/a",ISNUMBER(SEARCH("subscription",LOWER($A884&amp;" "&amp;$M884&amp;""))),ISNUMBER(SEARCH("membership",LOWER($A884&amp;" "&amp;$M884&amp;"")))),"Subscription",IF(LOWER($L884&amp;"")="yes","Disqualified",IF($P884&gt;$H884,"Profit","Draw"))))</f>
        <v/>
      </c>
      <c r="V884">
        <f>IF(OR($A884="",$B884="",$C884="",$U884="Subscription"),"",IFERROR(ROUNDUP((IF(ISNUMBER($C884),$C884,DATEVALUE($C884))-IF(ISNUMBER($B884),$B884,DATEVALUE($B884)))/7,0),""))</f>
        <v/>
      </c>
      <c r="W884" s="352">
        <f>IF($U884="Subscription","",$Q884-$S884)</f>
        <v/>
      </c>
      <c r="X884">
        <f>IF(OR($A884="",$U884="Subscription",$J884="",$I884="",$J884=0,$I884=0,$I884&gt;$J884),"",$J884-$I884)</f>
        <v/>
      </c>
      <c r="Y884">
        <f>IF(OR($A884="",$U884="Subscription",$J884="",$J884=0,$X884=""),"",$X884/$J884)</f>
        <v/>
      </c>
    </row>
    <row r="885">
      <c r="B885" s="354" t="n"/>
      <c r="C885" s="354" t="n"/>
      <c r="E885" s="350" t="n"/>
      <c r="F885" s="350" t="n"/>
      <c r="G885" s="350" t="n"/>
      <c r="H885" s="350" t="n"/>
      <c r="I885" s="350" t="n"/>
      <c r="J885" s="352" t="n"/>
      <c r="M885" s="350" t="n"/>
      <c r="N885" s="350">
        <f>IF($A885="","",IF(OR(LOWER($D885&amp;"")="n/a",ISNUMBER(SEARCH("subscription",LOWER($A885&amp;" "&amp;$M885&amp;""))),ISNUMBER(SEARCH("membership",LOWER($A885&amp;" "&amp;$M885&amp;"")))),"",IF($G885="","",IF(ISNUMBER(SEARCH("non",LOWER($E885&amp;""))),$G885*0.85,$G885))))</f>
        <v/>
      </c>
      <c r="O885">
        <f>IF($A885="","",IF(OR(LOWER($D885&amp;"")="n/a",ISNUMBER(SEARCH("subscription",LOWER($A885&amp;" "&amp;$M885&amp;""))),ISNUMBER(SEARCH("membership",LOWER($A885&amp;" "&amp;$M885&amp;"")))),"",IF(OR($N885="",$I885="",$I885=0),"",$N885/$I885)))</f>
        <v/>
      </c>
      <c r="P885">
        <f>IF($A885="","",IF(OR(LOWER($D885&amp;"")="n/a",ISNUMBER(SEARCH("subscription",LOWER($A885&amp;" "&amp;$M885&amp;""))),ISNUMBER(SEARCH("membership",LOWER($A885&amp;" "&amp;$M885&amp;"")))),"",IF(LOWER($L885&amp;"")="yes",0,IF($K885&lt;&gt;"",$K885,IF($O885&lt;&gt;"",$O885,"")))))</f>
        <v/>
      </c>
      <c r="Q885">
        <f>IF($A885="","",IF($U885="Subscription","",IF($U885="Profit",$P885-$H885,0)))</f>
        <v/>
      </c>
      <c r="R885">
        <f>IF($A885="","",IF($U885="Subscription","",IF($U885="Draw",$H885,0)))</f>
        <v/>
      </c>
      <c r="S885">
        <f>IF($A885="","",IF($U885="Subscription","",IF($U885="Disqualified",$H885,0)))</f>
        <v/>
      </c>
      <c r="T885">
        <f>IF($A885="","",IF($U885="Subscription","",IF($H885=0,IF($U885="Profit","N/A",0),IF($U885="Profit",$Q885/$H885,IF($U885="Disqualified",-1,0)))))</f>
        <v/>
      </c>
      <c r="U885" s="350">
        <f>IF($A885="","",IF(OR(LOWER($D885&amp;"")="n/a",ISNUMBER(SEARCH("subscription",LOWER($A885&amp;" "&amp;$M885&amp;""))),ISNUMBER(SEARCH("membership",LOWER($A885&amp;" "&amp;$M885&amp;"")))),"Subscription",IF(LOWER($L885&amp;"")="yes","Disqualified",IF($P885&gt;$H885,"Profit","Draw"))))</f>
        <v/>
      </c>
      <c r="V885">
        <f>IF(OR($A885="",$B885="",$C885="",$U885="Subscription"),"",IFERROR(ROUNDUP((IF(ISNUMBER($C885),$C885,DATEVALUE($C885))-IF(ISNUMBER($B885),$B885,DATEVALUE($B885)))/7,0),""))</f>
        <v/>
      </c>
      <c r="W885" s="352">
        <f>IF($U885="Subscription","",$Q885-$S885)</f>
        <v/>
      </c>
      <c r="X885">
        <f>IF(OR($A885="",$U885="Subscription",$J885="",$I885="",$J885=0,$I885=0,$I885&gt;$J885),"",$J885-$I885)</f>
        <v/>
      </c>
      <c r="Y885">
        <f>IF(OR($A885="",$U885="Subscription",$J885="",$J885=0,$X885=""),"",$X885/$J885)</f>
        <v/>
      </c>
    </row>
    <row r="886">
      <c r="B886" s="354" t="n"/>
      <c r="C886" s="354" t="n"/>
      <c r="E886" s="350" t="n"/>
      <c r="F886" s="350" t="n"/>
      <c r="G886" s="350" t="n"/>
      <c r="H886" s="350" t="n"/>
      <c r="I886" s="350" t="n"/>
      <c r="J886" s="352" t="n"/>
      <c r="M886" s="350" t="n"/>
      <c r="N886" s="350">
        <f>IF($A886="","",IF(OR(LOWER($D886&amp;"")="n/a",ISNUMBER(SEARCH("subscription",LOWER($A886&amp;" "&amp;$M886&amp;""))),ISNUMBER(SEARCH("membership",LOWER($A886&amp;" "&amp;$M886&amp;"")))),"",IF($G886="","",IF(ISNUMBER(SEARCH("non",LOWER($E886&amp;""))),$G886*0.85,$G886))))</f>
        <v/>
      </c>
      <c r="O886">
        <f>IF($A886="","",IF(OR(LOWER($D886&amp;"")="n/a",ISNUMBER(SEARCH("subscription",LOWER($A886&amp;" "&amp;$M886&amp;""))),ISNUMBER(SEARCH("membership",LOWER($A886&amp;" "&amp;$M886&amp;"")))),"",IF(OR($N886="",$I886="",$I886=0),"",$N886/$I886)))</f>
        <v/>
      </c>
      <c r="P886">
        <f>IF($A886="","",IF(OR(LOWER($D886&amp;"")="n/a",ISNUMBER(SEARCH("subscription",LOWER($A886&amp;" "&amp;$M886&amp;""))),ISNUMBER(SEARCH("membership",LOWER($A886&amp;" "&amp;$M886&amp;"")))),"",IF(LOWER($L886&amp;"")="yes",0,IF($K886&lt;&gt;"",$K886,IF($O886&lt;&gt;"",$O886,"")))))</f>
        <v/>
      </c>
      <c r="Q886">
        <f>IF($A886="","",IF($U886="Subscription","",IF($U886="Profit",$P886-$H886,0)))</f>
        <v/>
      </c>
      <c r="R886">
        <f>IF($A886="","",IF($U886="Subscription","",IF($U886="Draw",$H886,0)))</f>
        <v/>
      </c>
      <c r="S886">
        <f>IF($A886="","",IF($U886="Subscription","",IF($U886="Disqualified",$H886,0)))</f>
        <v/>
      </c>
      <c r="T886">
        <f>IF($A886="","",IF($U886="Subscription","",IF($H886=0,IF($U886="Profit","N/A",0),IF($U886="Profit",$Q886/$H886,IF($U886="Disqualified",-1,0)))))</f>
        <v/>
      </c>
      <c r="U886" s="350">
        <f>IF($A886="","",IF(OR(LOWER($D886&amp;"")="n/a",ISNUMBER(SEARCH("subscription",LOWER($A886&amp;" "&amp;$M886&amp;""))),ISNUMBER(SEARCH("membership",LOWER($A886&amp;" "&amp;$M886&amp;"")))),"Subscription",IF(LOWER($L886&amp;"")="yes","Disqualified",IF($P886&gt;$H886,"Profit","Draw"))))</f>
        <v/>
      </c>
      <c r="V886">
        <f>IF(OR($A886="",$B886="",$C886="",$U886="Subscription"),"",IFERROR(ROUNDUP((IF(ISNUMBER($C886),$C886,DATEVALUE($C886))-IF(ISNUMBER($B886),$B886,DATEVALUE($B886)))/7,0),""))</f>
        <v/>
      </c>
      <c r="W886" s="352">
        <f>IF($U886="Subscription","",$Q886-$S886)</f>
        <v/>
      </c>
      <c r="X886">
        <f>IF(OR($A886="",$U886="Subscription",$J886="",$I886="",$J886=0,$I886=0,$I886&gt;$J886),"",$J886-$I886)</f>
        <v/>
      </c>
      <c r="Y886">
        <f>IF(OR($A886="",$U886="Subscription",$J886="",$J886=0,$X886=""),"",$X886/$J886)</f>
        <v/>
      </c>
    </row>
    <row r="887">
      <c r="B887" s="354" t="n"/>
      <c r="C887" s="354" t="n"/>
      <c r="E887" s="350" t="n"/>
      <c r="F887" s="350" t="n"/>
      <c r="G887" s="350" t="n"/>
      <c r="H887" s="350" t="n"/>
      <c r="I887" s="350" t="n"/>
      <c r="J887" s="352" t="n"/>
      <c r="M887" s="350" t="n"/>
      <c r="N887" s="350">
        <f>IF($A887="","",IF(OR(LOWER($D887&amp;"")="n/a",ISNUMBER(SEARCH("subscription",LOWER($A887&amp;" "&amp;$M887&amp;""))),ISNUMBER(SEARCH("membership",LOWER($A887&amp;" "&amp;$M887&amp;"")))),"",IF($G887="","",IF(ISNUMBER(SEARCH("non",LOWER($E887&amp;""))),$G887*0.85,$G887))))</f>
        <v/>
      </c>
      <c r="O887">
        <f>IF($A887="","",IF(OR(LOWER($D887&amp;"")="n/a",ISNUMBER(SEARCH("subscription",LOWER($A887&amp;" "&amp;$M887&amp;""))),ISNUMBER(SEARCH("membership",LOWER($A887&amp;" "&amp;$M887&amp;"")))),"",IF(OR($N887="",$I887="",$I887=0),"",$N887/$I887)))</f>
        <v/>
      </c>
      <c r="P887">
        <f>IF($A887="","",IF(OR(LOWER($D887&amp;"")="n/a",ISNUMBER(SEARCH("subscription",LOWER($A887&amp;" "&amp;$M887&amp;""))),ISNUMBER(SEARCH("membership",LOWER($A887&amp;" "&amp;$M887&amp;"")))),"",IF(LOWER($L887&amp;"")="yes",0,IF($K887&lt;&gt;"",$K887,IF($O887&lt;&gt;"",$O887,"")))))</f>
        <v/>
      </c>
      <c r="Q887">
        <f>IF($A887="","",IF($U887="Subscription","",IF($U887="Profit",$P887-$H887,0)))</f>
        <v/>
      </c>
      <c r="R887">
        <f>IF($A887="","",IF($U887="Subscription","",IF($U887="Draw",$H887,0)))</f>
        <v/>
      </c>
      <c r="S887">
        <f>IF($A887="","",IF($U887="Subscription","",IF($U887="Disqualified",$H887,0)))</f>
        <v/>
      </c>
      <c r="T887">
        <f>IF($A887="","",IF($U887="Subscription","",IF($H887=0,IF($U887="Profit","N/A",0),IF($U887="Profit",$Q887/$H887,IF($U887="Disqualified",-1,0)))))</f>
        <v/>
      </c>
      <c r="U887" s="350">
        <f>IF($A887="","",IF(OR(LOWER($D887&amp;"")="n/a",ISNUMBER(SEARCH("subscription",LOWER($A887&amp;" "&amp;$M887&amp;""))),ISNUMBER(SEARCH("membership",LOWER($A887&amp;" "&amp;$M887&amp;"")))),"Subscription",IF(LOWER($L887&amp;"")="yes","Disqualified",IF($P887&gt;$H887,"Profit","Draw"))))</f>
        <v/>
      </c>
      <c r="V887">
        <f>IF(OR($A887="",$B887="",$C887="",$U887="Subscription"),"",IFERROR(ROUNDUP((IF(ISNUMBER($C887),$C887,DATEVALUE($C887))-IF(ISNUMBER($B887),$B887,DATEVALUE($B887)))/7,0),""))</f>
        <v/>
      </c>
      <c r="W887" s="352">
        <f>IF($U887="Subscription","",$Q887-$S887)</f>
        <v/>
      </c>
      <c r="X887">
        <f>IF(OR($A887="",$U887="Subscription",$J887="",$I887="",$J887=0,$I887=0,$I887&gt;$J887),"",$J887-$I887)</f>
        <v/>
      </c>
      <c r="Y887">
        <f>IF(OR($A887="",$U887="Subscription",$J887="",$J887=0,$X887=""),"",$X887/$J887)</f>
        <v/>
      </c>
    </row>
    <row r="888">
      <c r="B888" s="354" t="n"/>
      <c r="C888" s="354" t="n"/>
      <c r="E888" s="350" t="n"/>
      <c r="F888" s="350" t="n"/>
      <c r="G888" s="350" t="n"/>
      <c r="H888" s="350" t="n"/>
      <c r="I888" s="350" t="n"/>
      <c r="J888" s="352" t="n"/>
      <c r="M888" s="350" t="n"/>
      <c r="N888" s="350">
        <f>IF($A888="","",IF(OR(LOWER($D888&amp;"")="n/a",ISNUMBER(SEARCH("subscription",LOWER($A888&amp;" "&amp;$M888&amp;""))),ISNUMBER(SEARCH("membership",LOWER($A888&amp;" "&amp;$M888&amp;"")))),"",IF($G888="","",IF(ISNUMBER(SEARCH("non",LOWER($E888&amp;""))),$G888*0.85,$G888))))</f>
        <v/>
      </c>
      <c r="O888">
        <f>IF($A888="","",IF(OR(LOWER($D888&amp;"")="n/a",ISNUMBER(SEARCH("subscription",LOWER($A888&amp;" "&amp;$M888&amp;""))),ISNUMBER(SEARCH("membership",LOWER($A888&amp;" "&amp;$M888&amp;"")))),"",IF(OR($N888="",$I888="",$I888=0),"",$N888/$I888)))</f>
        <v/>
      </c>
      <c r="P888">
        <f>IF($A888="","",IF(OR(LOWER($D888&amp;"")="n/a",ISNUMBER(SEARCH("subscription",LOWER($A888&amp;" "&amp;$M888&amp;""))),ISNUMBER(SEARCH("membership",LOWER($A888&amp;" "&amp;$M888&amp;"")))),"",IF(LOWER($L888&amp;"")="yes",0,IF($K888&lt;&gt;"",$K888,IF($O888&lt;&gt;"",$O888,"")))))</f>
        <v/>
      </c>
      <c r="Q888">
        <f>IF($A888="","",IF($U888="Subscription","",IF($U888="Profit",$P888-$H888,0)))</f>
        <v/>
      </c>
      <c r="R888">
        <f>IF($A888="","",IF($U888="Subscription","",IF($U888="Draw",$H888,0)))</f>
        <v/>
      </c>
      <c r="S888">
        <f>IF($A888="","",IF($U888="Subscription","",IF($U888="Disqualified",$H888,0)))</f>
        <v/>
      </c>
      <c r="T888">
        <f>IF($A888="","",IF($U888="Subscription","",IF($H888=0,IF($U888="Profit","N/A",0),IF($U888="Profit",$Q888/$H888,IF($U888="Disqualified",-1,0)))))</f>
        <v/>
      </c>
      <c r="U888" s="350">
        <f>IF($A888="","",IF(OR(LOWER($D888&amp;"")="n/a",ISNUMBER(SEARCH("subscription",LOWER($A888&amp;" "&amp;$M888&amp;""))),ISNUMBER(SEARCH("membership",LOWER($A888&amp;" "&amp;$M888&amp;"")))),"Subscription",IF(LOWER($L888&amp;"")="yes","Disqualified",IF($P888&gt;$H888,"Profit","Draw"))))</f>
        <v/>
      </c>
      <c r="V888">
        <f>IF(OR($A888="",$B888="",$C888="",$U888="Subscription"),"",IFERROR(ROUNDUP((IF(ISNUMBER($C888),$C888,DATEVALUE($C888))-IF(ISNUMBER($B888),$B888,DATEVALUE($B888)))/7,0),""))</f>
        <v/>
      </c>
      <c r="W888" s="352">
        <f>IF($U888="Subscription","",$Q888-$S888)</f>
        <v/>
      </c>
      <c r="X888">
        <f>IF(OR($A888="",$U888="Subscription",$J888="",$I888="",$J888=0,$I888=0,$I888&gt;$J888),"",$J888-$I888)</f>
        <v/>
      </c>
      <c r="Y888">
        <f>IF(OR($A888="",$U888="Subscription",$J888="",$J888=0,$X888=""),"",$X888/$J888)</f>
        <v/>
      </c>
    </row>
    <row r="889">
      <c r="B889" s="354" t="n"/>
      <c r="C889" s="354" t="n"/>
      <c r="E889" s="350" t="n"/>
      <c r="F889" s="350" t="n"/>
      <c r="G889" s="350" t="n"/>
      <c r="H889" s="350" t="n"/>
      <c r="I889" s="350" t="n"/>
      <c r="J889" s="352" t="n"/>
      <c r="M889" s="350" t="n"/>
      <c r="N889" s="350">
        <f>IF($A889="","",IF(OR(LOWER($D889&amp;"")="n/a",ISNUMBER(SEARCH("subscription",LOWER($A889&amp;" "&amp;$M889&amp;""))),ISNUMBER(SEARCH("membership",LOWER($A889&amp;" "&amp;$M889&amp;"")))),"",IF($G889="","",IF(ISNUMBER(SEARCH("non",LOWER($E889&amp;""))),$G889*0.85,$G889))))</f>
        <v/>
      </c>
      <c r="O889">
        <f>IF($A889="","",IF(OR(LOWER($D889&amp;"")="n/a",ISNUMBER(SEARCH("subscription",LOWER($A889&amp;" "&amp;$M889&amp;""))),ISNUMBER(SEARCH("membership",LOWER($A889&amp;" "&amp;$M889&amp;"")))),"",IF(OR($N889="",$I889="",$I889=0),"",$N889/$I889)))</f>
        <v/>
      </c>
      <c r="P889">
        <f>IF($A889="","",IF(OR(LOWER($D889&amp;"")="n/a",ISNUMBER(SEARCH("subscription",LOWER($A889&amp;" "&amp;$M889&amp;""))),ISNUMBER(SEARCH("membership",LOWER($A889&amp;" "&amp;$M889&amp;"")))),"",IF(LOWER($L889&amp;"")="yes",0,IF($K889&lt;&gt;"",$K889,IF($O889&lt;&gt;"",$O889,"")))))</f>
        <v/>
      </c>
      <c r="Q889">
        <f>IF($A889="","",IF($U889="Subscription","",IF($U889="Profit",$P889-$H889,0)))</f>
        <v/>
      </c>
      <c r="R889">
        <f>IF($A889="","",IF($U889="Subscription","",IF($U889="Draw",$H889,0)))</f>
        <v/>
      </c>
      <c r="S889">
        <f>IF($A889="","",IF($U889="Subscription","",IF($U889="Disqualified",$H889,0)))</f>
        <v/>
      </c>
      <c r="T889">
        <f>IF($A889="","",IF($U889="Subscription","",IF($H889=0,IF($U889="Profit","N/A",0),IF($U889="Profit",$Q889/$H889,IF($U889="Disqualified",-1,0)))))</f>
        <v/>
      </c>
      <c r="U889" s="350">
        <f>IF($A889="","",IF(OR(LOWER($D889&amp;"")="n/a",ISNUMBER(SEARCH("subscription",LOWER($A889&amp;" "&amp;$M889&amp;""))),ISNUMBER(SEARCH("membership",LOWER($A889&amp;" "&amp;$M889&amp;"")))),"Subscription",IF(LOWER($L889&amp;"")="yes","Disqualified",IF($P889&gt;$H889,"Profit","Draw"))))</f>
        <v/>
      </c>
      <c r="V889">
        <f>IF(OR($A889="",$B889="",$C889="",$U889="Subscription"),"",IFERROR(ROUNDUP((IF(ISNUMBER($C889),$C889,DATEVALUE($C889))-IF(ISNUMBER($B889),$B889,DATEVALUE($B889)))/7,0),""))</f>
        <v/>
      </c>
      <c r="W889" s="352">
        <f>IF($U889="Subscription","",$Q889-$S889)</f>
        <v/>
      </c>
      <c r="X889">
        <f>IF(OR($A889="",$U889="Subscription",$J889="",$I889="",$J889=0,$I889=0,$I889&gt;$J889),"",$J889-$I889)</f>
        <v/>
      </c>
      <c r="Y889">
        <f>IF(OR($A889="",$U889="Subscription",$J889="",$J889=0,$X889=""),"",$X889/$J889)</f>
        <v/>
      </c>
    </row>
    <row r="890">
      <c r="B890" s="354" t="n"/>
      <c r="C890" s="354" t="n"/>
      <c r="E890" s="350" t="n"/>
      <c r="F890" s="350" t="n"/>
      <c r="G890" s="350" t="n"/>
      <c r="H890" s="350" t="n"/>
      <c r="I890" s="350" t="n"/>
      <c r="J890" s="352" t="n"/>
      <c r="M890" s="350" t="n"/>
      <c r="N890" s="350">
        <f>IF($A890="","",IF(OR(LOWER($D890&amp;"")="n/a",ISNUMBER(SEARCH("subscription",LOWER($A890&amp;" "&amp;$M890&amp;""))),ISNUMBER(SEARCH("membership",LOWER($A890&amp;" "&amp;$M890&amp;"")))),"",IF($G890="","",IF(ISNUMBER(SEARCH("non",LOWER($E890&amp;""))),$G890*0.85,$G890))))</f>
        <v/>
      </c>
      <c r="O890">
        <f>IF($A890="","",IF(OR(LOWER($D890&amp;"")="n/a",ISNUMBER(SEARCH("subscription",LOWER($A890&amp;" "&amp;$M890&amp;""))),ISNUMBER(SEARCH("membership",LOWER($A890&amp;" "&amp;$M890&amp;"")))),"",IF(OR($N890="",$I890="",$I890=0),"",$N890/$I890)))</f>
        <v/>
      </c>
      <c r="P890">
        <f>IF($A890="","",IF(OR(LOWER($D890&amp;"")="n/a",ISNUMBER(SEARCH("subscription",LOWER($A890&amp;" "&amp;$M890&amp;""))),ISNUMBER(SEARCH("membership",LOWER($A890&amp;" "&amp;$M890&amp;"")))),"",IF(LOWER($L890&amp;"")="yes",0,IF($K890&lt;&gt;"",$K890,IF($O890&lt;&gt;"",$O890,"")))))</f>
        <v/>
      </c>
      <c r="Q890">
        <f>IF($A890="","",IF($U890="Subscription","",IF($U890="Profit",$P890-$H890,0)))</f>
        <v/>
      </c>
      <c r="R890">
        <f>IF($A890="","",IF($U890="Subscription","",IF($U890="Draw",$H890,0)))</f>
        <v/>
      </c>
      <c r="S890">
        <f>IF($A890="","",IF($U890="Subscription","",IF($U890="Disqualified",$H890,0)))</f>
        <v/>
      </c>
      <c r="T890">
        <f>IF($A890="","",IF($U890="Subscription","",IF($H890=0,IF($U890="Profit","N/A",0),IF($U890="Profit",$Q890/$H890,IF($U890="Disqualified",-1,0)))))</f>
        <v/>
      </c>
      <c r="U890" s="350">
        <f>IF($A890="","",IF(OR(LOWER($D890&amp;"")="n/a",ISNUMBER(SEARCH("subscription",LOWER($A890&amp;" "&amp;$M890&amp;""))),ISNUMBER(SEARCH("membership",LOWER($A890&amp;" "&amp;$M890&amp;"")))),"Subscription",IF(LOWER($L890&amp;"")="yes","Disqualified",IF($P890&gt;$H890,"Profit","Draw"))))</f>
        <v/>
      </c>
      <c r="V890">
        <f>IF(OR($A890="",$B890="",$C890="",$U890="Subscription"),"",IFERROR(ROUNDUP((IF(ISNUMBER($C890),$C890,DATEVALUE($C890))-IF(ISNUMBER($B890),$B890,DATEVALUE($B890)))/7,0),""))</f>
        <v/>
      </c>
      <c r="W890" s="352">
        <f>IF($U890="Subscription","",$Q890-$S890)</f>
        <v/>
      </c>
      <c r="X890">
        <f>IF(OR($A890="",$U890="Subscription",$J890="",$I890="",$J890=0,$I890=0,$I890&gt;$J890),"",$J890-$I890)</f>
        <v/>
      </c>
      <c r="Y890">
        <f>IF(OR($A890="",$U890="Subscription",$J890="",$J890=0,$X890=""),"",$X890/$J890)</f>
        <v/>
      </c>
    </row>
    <row r="891">
      <c r="B891" s="354" t="n"/>
      <c r="C891" s="354" t="n"/>
      <c r="E891" s="350" t="n"/>
      <c r="F891" s="350" t="n"/>
      <c r="G891" s="350" t="n"/>
      <c r="H891" s="350" t="n"/>
      <c r="I891" s="350" t="n"/>
      <c r="J891" s="352" t="n"/>
      <c r="M891" s="350" t="n"/>
      <c r="N891" s="350">
        <f>IF($A891="","",IF(OR(LOWER($D891&amp;"")="n/a",ISNUMBER(SEARCH("subscription",LOWER($A891&amp;" "&amp;$M891&amp;""))),ISNUMBER(SEARCH("membership",LOWER($A891&amp;" "&amp;$M891&amp;"")))),"",IF($G891="","",IF(ISNUMBER(SEARCH("non",LOWER($E891&amp;""))),$G891*0.85,$G891))))</f>
        <v/>
      </c>
      <c r="O891">
        <f>IF($A891="","",IF(OR(LOWER($D891&amp;"")="n/a",ISNUMBER(SEARCH("subscription",LOWER($A891&amp;" "&amp;$M891&amp;""))),ISNUMBER(SEARCH("membership",LOWER($A891&amp;" "&amp;$M891&amp;"")))),"",IF(OR($N891="",$I891="",$I891=0),"",$N891/$I891)))</f>
        <v/>
      </c>
      <c r="P891">
        <f>IF($A891="","",IF(OR(LOWER($D891&amp;"")="n/a",ISNUMBER(SEARCH("subscription",LOWER($A891&amp;" "&amp;$M891&amp;""))),ISNUMBER(SEARCH("membership",LOWER($A891&amp;" "&amp;$M891&amp;"")))),"",IF(LOWER($L891&amp;"")="yes",0,IF($K891&lt;&gt;"",$K891,IF($O891&lt;&gt;"",$O891,"")))))</f>
        <v/>
      </c>
      <c r="Q891">
        <f>IF($A891="","",IF($U891="Subscription","",IF($U891="Profit",$P891-$H891,0)))</f>
        <v/>
      </c>
      <c r="R891">
        <f>IF($A891="","",IF($U891="Subscription","",IF($U891="Draw",$H891,0)))</f>
        <v/>
      </c>
      <c r="S891">
        <f>IF($A891="","",IF($U891="Subscription","",IF($U891="Disqualified",$H891,0)))</f>
        <v/>
      </c>
      <c r="T891">
        <f>IF($A891="","",IF($U891="Subscription","",IF($H891=0,IF($U891="Profit","N/A",0),IF($U891="Profit",$Q891/$H891,IF($U891="Disqualified",-1,0)))))</f>
        <v/>
      </c>
      <c r="U891" s="350">
        <f>IF($A891="","",IF(OR(LOWER($D891&amp;"")="n/a",ISNUMBER(SEARCH("subscription",LOWER($A891&amp;" "&amp;$M891&amp;""))),ISNUMBER(SEARCH("membership",LOWER($A891&amp;" "&amp;$M891&amp;"")))),"Subscription",IF(LOWER($L891&amp;"")="yes","Disqualified",IF($P891&gt;$H891,"Profit","Draw"))))</f>
        <v/>
      </c>
      <c r="V891">
        <f>IF(OR($A891="",$B891="",$C891="",$U891="Subscription"),"",IFERROR(ROUNDUP((IF(ISNUMBER($C891),$C891,DATEVALUE($C891))-IF(ISNUMBER($B891),$B891,DATEVALUE($B891)))/7,0),""))</f>
        <v/>
      </c>
      <c r="W891" s="352">
        <f>IF($U891="Subscription","",$Q891-$S891)</f>
        <v/>
      </c>
      <c r="X891">
        <f>IF(OR($A891="",$U891="Subscription",$J891="",$I891="",$J891=0,$I891=0,$I891&gt;$J891),"",$J891-$I891)</f>
        <v/>
      </c>
      <c r="Y891">
        <f>IF(OR($A891="",$U891="Subscription",$J891="",$J891=0,$X891=""),"",$X891/$J891)</f>
        <v/>
      </c>
    </row>
    <row r="892">
      <c r="B892" s="354" t="n"/>
      <c r="C892" s="354" t="n"/>
      <c r="E892" s="350" t="n"/>
      <c r="F892" s="350" t="n"/>
      <c r="G892" s="350" t="n"/>
      <c r="H892" s="350" t="n"/>
      <c r="I892" s="350" t="n"/>
      <c r="J892" s="352" t="n"/>
      <c r="M892" s="350" t="n"/>
      <c r="N892" s="350">
        <f>IF($A892="","",IF(OR(LOWER($D892&amp;"")="n/a",ISNUMBER(SEARCH("subscription",LOWER($A892&amp;" "&amp;$M892&amp;""))),ISNUMBER(SEARCH("membership",LOWER($A892&amp;" "&amp;$M892&amp;"")))),"",IF($G892="","",IF(ISNUMBER(SEARCH("non",LOWER($E892&amp;""))),$G892*0.85,$G892))))</f>
        <v/>
      </c>
      <c r="O892">
        <f>IF($A892="","",IF(OR(LOWER($D892&amp;"")="n/a",ISNUMBER(SEARCH("subscription",LOWER($A892&amp;" "&amp;$M892&amp;""))),ISNUMBER(SEARCH("membership",LOWER($A892&amp;" "&amp;$M892&amp;"")))),"",IF(OR($N892="",$I892="",$I892=0),"",$N892/$I892)))</f>
        <v/>
      </c>
      <c r="P892">
        <f>IF($A892="","",IF(OR(LOWER($D892&amp;"")="n/a",ISNUMBER(SEARCH("subscription",LOWER($A892&amp;" "&amp;$M892&amp;""))),ISNUMBER(SEARCH("membership",LOWER($A892&amp;" "&amp;$M892&amp;"")))),"",IF(LOWER($L892&amp;"")="yes",0,IF($K892&lt;&gt;"",$K892,IF($O892&lt;&gt;"",$O892,"")))))</f>
        <v/>
      </c>
      <c r="Q892">
        <f>IF($A892="","",IF($U892="Subscription","",IF($U892="Profit",$P892-$H892,0)))</f>
        <v/>
      </c>
      <c r="R892">
        <f>IF($A892="","",IF($U892="Subscription","",IF($U892="Draw",$H892,0)))</f>
        <v/>
      </c>
      <c r="S892">
        <f>IF($A892="","",IF($U892="Subscription","",IF($U892="Disqualified",$H892,0)))</f>
        <v/>
      </c>
      <c r="T892">
        <f>IF($A892="","",IF($U892="Subscription","",IF($H892=0,IF($U892="Profit","N/A",0),IF($U892="Profit",$Q892/$H892,IF($U892="Disqualified",-1,0)))))</f>
        <v/>
      </c>
      <c r="U892" s="350">
        <f>IF($A892="","",IF(OR(LOWER($D892&amp;"")="n/a",ISNUMBER(SEARCH("subscription",LOWER($A892&amp;" "&amp;$M892&amp;""))),ISNUMBER(SEARCH("membership",LOWER($A892&amp;" "&amp;$M892&amp;"")))),"Subscription",IF(LOWER($L892&amp;"")="yes","Disqualified",IF($P892&gt;$H892,"Profit","Draw"))))</f>
        <v/>
      </c>
      <c r="V892">
        <f>IF(OR($A892="",$B892="",$C892="",$U892="Subscription"),"",IFERROR(ROUNDUP((IF(ISNUMBER($C892),$C892,DATEVALUE($C892))-IF(ISNUMBER($B892),$B892,DATEVALUE($B892)))/7,0),""))</f>
        <v/>
      </c>
      <c r="W892" s="352">
        <f>IF($U892="Subscription","",$Q892-$S892)</f>
        <v/>
      </c>
      <c r="X892">
        <f>IF(OR($A892="",$U892="Subscription",$J892="",$I892="",$J892=0,$I892=0,$I892&gt;$J892),"",$J892-$I892)</f>
        <v/>
      </c>
      <c r="Y892">
        <f>IF(OR($A892="",$U892="Subscription",$J892="",$J892=0,$X892=""),"",$X892/$J892)</f>
        <v/>
      </c>
    </row>
    <row r="893">
      <c r="B893" s="354" t="n"/>
      <c r="C893" s="354" t="n"/>
      <c r="E893" s="350" t="n"/>
      <c r="F893" s="350" t="n"/>
      <c r="G893" s="350" t="n"/>
      <c r="H893" s="350" t="n"/>
      <c r="I893" s="350" t="n"/>
      <c r="J893" s="352" t="n"/>
      <c r="M893" s="350" t="n"/>
      <c r="N893" s="350">
        <f>IF($A893="","",IF(OR(LOWER($D893&amp;"")="n/a",ISNUMBER(SEARCH("subscription",LOWER($A893&amp;" "&amp;$M893&amp;""))),ISNUMBER(SEARCH("membership",LOWER($A893&amp;" "&amp;$M893&amp;"")))),"",IF($G893="","",IF(ISNUMBER(SEARCH("non",LOWER($E893&amp;""))),$G893*0.85,$G893))))</f>
        <v/>
      </c>
      <c r="O893">
        <f>IF($A893="","",IF(OR(LOWER($D893&amp;"")="n/a",ISNUMBER(SEARCH("subscription",LOWER($A893&amp;" "&amp;$M893&amp;""))),ISNUMBER(SEARCH("membership",LOWER($A893&amp;" "&amp;$M893&amp;"")))),"",IF(OR($N893="",$I893="",$I893=0),"",$N893/$I893)))</f>
        <v/>
      </c>
      <c r="P893">
        <f>IF($A893="","",IF(OR(LOWER($D893&amp;"")="n/a",ISNUMBER(SEARCH("subscription",LOWER($A893&amp;" "&amp;$M893&amp;""))),ISNUMBER(SEARCH("membership",LOWER($A893&amp;" "&amp;$M893&amp;"")))),"",IF(LOWER($L893&amp;"")="yes",0,IF($K893&lt;&gt;"",$K893,IF($O893&lt;&gt;"",$O893,"")))))</f>
        <v/>
      </c>
      <c r="Q893">
        <f>IF($A893="","",IF($U893="Subscription","",IF($U893="Profit",$P893-$H893,0)))</f>
        <v/>
      </c>
      <c r="R893">
        <f>IF($A893="","",IF($U893="Subscription","",IF($U893="Draw",$H893,0)))</f>
        <v/>
      </c>
      <c r="S893">
        <f>IF($A893="","",IF($U893="Subscription","",IF($U893="Disqualified",$H893,0)))</f>
        <v/>
      </c>
      <c r="T893">
        <f>IF($A893="","",IF($U893="Subscription","",IF($H893=0,IF($U893="Profit","N/A",0),IF($U893="Profit",$Q893/$H893,IF($U893="Disqualified",-1,0)))))</f>
        <v/>
      </c>
      <c r="U893" s="350">
        <f>IF($A893="","",IF(OR(LOWER($D893&amp;"")="n/a",ISNUMBER(SEARCH("subscription",LOWER($A893&amp;" "&amp;$M893&amp;""))),ISNUMBER(SEARCH("membership",LOWER($A893&amp;" "&amp;$M893&amp;"")))),"Subscription",IF(LOWER($L893&amp;"")="yes","Disqualified",IF($P893&gt;$H893,"Profit","Draw"))))</f>
        <v/>
      </c>
      <c r="V893">
        <f>IF(OR($A893="",$B893="",$C893="",$U893="Subscription"),"",IFERROR(ROUNDUP((IF(ISNUMBER($C893),$C893,DATEVALUE($C893))-IF(ISNUMBER($B893),$B893,DATEVALUE($B893)))/7,0),""))</f>
        <v/>
      </c>
      <c r="W893" s="352">
        <f>IF($U893="Subscription","",$Q893-$S893)</f>
        <v/>
      </c>
      <c r="X893">
        <f>IF(OR($A893="",$U893="Subscription",$J893="",$I893="",$J893=0,$I893=0,$I893&gt;$J893),"",$J893-$I893)</f>
        <v/>
      </c>
      <c r="Y893">
        <f>IF(OR($A893="",$U893="Subscription",$J893="",$J893=0,$X893=""),"",$X893/$J893)</f>
        <v/>
      </c>
    </row>
    <row r="894">
      <c r="B894" s="354" t="n"/>
      <c r="C894" s="354" t="n"/>
      <c r="E894" s="350" t="n"/>
      <c r="F894" s="350" t="n"/>
      <c r="G894" s="350" t="n"/>
      <c r="H894" s="350" t="n"/>
      <c r="I894" s="350" t="n"/>
      <c r="J894" s="352" t="n"/>
      <c r="M894" s="350" t="n"/>
      <c r="N894" s="350">
        <f>IF($A894="","",IF(OR(LOWER($D894&amp;"")="n/a",ISNUMBER(SEARCH("subscription",LOWER($A894&amp;" "&amp;$M894&amp;""))),ISNUMBER(SEARCH("membership",LOWER($A894&amp;" "&amp;$M894&amp;"")))),"",IF($G894="","",IF(ISNUMBER(SEARCH("non",LOWER($E894&amp;""))),$G894*0.85,$G894))))</f>
        <v/>
      </c>
      <c r="O894">
        <f>IF($A894="","",IF(OR(LOWER($D894&amp;"")="n/a",ISNUMBER(SEARCH("subscription",LOWER($A894&amp;" "&amp;$M894&amp;""))),ISNUMBER(SEARCH("membership",LOWER($A894&amp;" "&amp;$M894&amp;"")))),"",IF(OR($N894="",$I894="",$I894=0),"",$N894/$I894)))</f>
        <v/>
      </c>
      <c r="P894">
        <f>IF($A894="","",IF(OR(LOWER($D894&amp;"")="n/a",ISNUMBER(SEARCH("subscription",LOWER($A894&amp;" "&amp;$M894&amp;""))),ISNUMBER(SEARCH("membership",LOWER($A894&amp;" "&amp;$M894&amp;"")))),"",IF(LOWER($L894&amp;"")="yes",0,IF($K894&lt;&gt;"",$K894,IF($O894&lt;&gt;"",$O894,"")))))</f>
        <v/>
      </c>
      <c r="Q894">
        <f>IF($A894="","",IF($U894="Subscription","",IF($U894="Profit",$P894-$H894,0)))</f>
        <v/>
      </c>
      <c r="R894">
        <f>IF($A894="","",IF($U894="Subscription","",IF($U894="Draw",$H894,0)))</f>
        <v/>
      </c>
      <c r="S894">
        <f>IF($A894="","",IF($U894="Subscription","",IF($U894="Disqualified",$H894,0)))</f>
        <v/>
      </c>
      <c r="T894">
        <f>IF($A894="","",IF($U894="Subscription","",IF($H894=0,IF($U894="Profit","N/A",0),IF($U894="Profit",$Q894/$H894,IF($U894="Disqualified",-1,0)))))</f>
        <v/>
      </c>
      <c r="U894" s="350">
        <f>IF($A894="","",IF(OR(LOWER($D894&amp;"")="n/a",ISNUMBER(SEARCH("subscription",LOWER($A894&amp;" "&amp;$M894&amp;""))),ISNUMBER(SEARCH("membership",LOWER($A894&amp;" "&amp;$M894&amp;"")))),"Subscription",IF(LOWER($L894&amp;"")="yes","Disqualified",IF($P894&gt;$H894,"Profit","Draw"))))</f>
        <v/>
      </c>
      <c r="V894">
        <f>IF(OR($A894="",$B894="",$C894="",$U894="Subscription"),"",IFERROR(ROUNDUP((IF(ISNUMBER($C894),$C894,DATEVALUE($C894))-IF(ISNUMBER($B894),$B894,DATEVALUE($B894)))/7,0),""))</f>
        <v/>
      </c>
      <c r="W894" s="352">
        <f>IF($U894="Subscription","",$Q894-$S894)</f>
        <v/>
      </c>
      <c r="X894">
        <f>IF(OR($A894="",$U894="Subscription",$J894="",$I894="",$J894=0,$I894=0,$I894&gt;$J894),"",$J894-$I894)</f>
        <v/>
      </c>
      <c r="Y894">
        <f>IF(OR($A894="",$U894="Subscription",$J894="",$J894=0,$X894=""),"",$X894/$J894)</f>
        <v/>
      </c>
    </row>
    <row r="895">
      <c r="B895" s="354" t="n"/>
      <c r="C895" s="354" t="n"/>
      <c r="E895" s="350" t="n"/>
      <c r="F895" s="350" t="n"/>
      <c r="G895" s="350" t="n"/>
      <c r="H895" s="350" t="n"/>
      <c r="I895" s="350" t="n"/>
      <c r="J895" s="352" t="n"/>
      <c r="M895" s="350" t="n"/>
      <c r="N895" s="350">
        <f>IF($A895="","",IF(OR(LOWER($D895&amp;"")="n/a",ISNUMBER(SEARCH("subscription",LOWER($A895&amp;" "&amp;$M895&amp;""))),ISNUMBER(SEARCH("membership",LOWER($A895&amp;" "&amp;$M895&amp;"")))),"",IF($G895="","",IF(ISNUMBER(SEARCH("non",LOWER($E895&amp;""))),$G895*0.85,$G895))))</f>
        <v/>
      </c>
      <c r="O895">
        <f>IF($A895="","",IF(OR(LOWER($D895&amp;"")="n/a",ISNUMBER(SEARCH("subscription",LOWER($A895&amp;" "&amp;$M895&amp;""))),ISNUMBER(SEARCH("membership",LOWER($A895&amp;" "&amp;$M895&amp;"")))),"",IF(OR($N895="",$I895="",$I895=0),"",$N895/$I895)))</f>
        <v/>
      </c>
      <c r="P895">
        <f>IF($A895="","",IF(OR(LOWER($D895&amp;"")="n/a",ISNUMBER(SEARCH("subscription",LOWER($A895&amp;" "&amp;$M895&amp;""))),ISNUMBER(SEARCH("membership",LOWER($A895&amp;" "&amp;$M895&amp;"")))),"",IF(LOWER($L895&amp;"")="yes",0,IF($K895&lt;&gt;"",$K895,IF($O895&lt;&gt;"",$O895,"")))))</f>
        <v/>
      </c>
      <c r="Q895">
        <f>IF($A895="","",IF($U895="Subscription","",IF($U895="Profit",$P895-$H895,0)))</f>
        <v/>
      </c>
      <c r="R895">
        <f>IF($A895="","",IF($U895="Subscription","",IF($U895="Draw",$H895,0)))</f>
        <v/>
      </c>
      <c r="S895">
        <f>IF($A895="","",IF($U895="Subscription","",IF($U895="Disqualified",$H895,0)))</f>
        <v/>
      </c>
      <c r="T895">
        <f>IF($A895="","",IF($U895="Subscription","",IF($H895=0,IF($U895="Profit","N/A",0),IF($U895="Profit",$Q895/$H895,IF($U895="Disqualified",-1,0)))))</f>
        <v/>
      </c>
      <c r="U895" s="350">
        <f>IF($A895="","",IF(OR(LOWER($D895&amp;"")="n/a",ISNUMBER(SEARCH("subscription",LOWER($A895&amp;" "&amp;$M895&amp;""))),ISNUMBER(SEARCH("membership",LOWER($A895&amp;" "&amp;$M895&amp;"")))),"Subscription",IF(LOWER($L895&amp;"")="yes","Disqualified",IF($P895&gt;$H895,"Profit","Draw"))))</f>
        <v/>
      </c>
      <c r="V895">
        <f>IF(OR($A895="",$B895="",$C895="",$U895="Subscription"),"",IFERROR(ROUNDUP((IF(ISNUMBER($C895),$C895,DATEVALUE($C895))-IF(ISNUMBER($B895),$B895,DATEVALUE($B895)))/7,0),""))</f>
        <v/>
      </c>
      <c r="W895" s="352">
        <f>IF($U895="Subscription","",$Q895-$S895)</f>
        <v/>
      </c>
      <c r="X895">
        <f>IF(OR($A895="",$U895="Subscription",$J895="",$I895="",$J895=0,$I895=0,$I895&gt;$J895),"",$J895-$I895)</f>
        <v/>
      </c>
      <c r="Y895">
        <f>IF(OR($A895="",$U895="Subscription",$J895="",$J895=0,$X895=""),"",$X895/$J895)</f>
        <v/>
      </c>
    </row>
    <row r="896">
      <c r="B896" s="354" t="n"/>
      <c r="C896" s="354" t="n"/>
      <c r="E896" s="350" t="n"/>
      <c r="F896" s="350" t="n"/>
      <c r="G896" s="350" t="n"/>
      <c r="H896" s="350" t="n"/>
      <c r="I896" s="350" t="n"/>
      <c r="J896" s="352" t="n"/>
      <c r="M896" s="350" t="n"/>
      <c r="N896" s="350">
        <f>IF($A896="","",IF(OR(LOWER($D896&amp;"")="n/a",ISNUMBER(SEARCH("subscription",LOWER($A896&amp;" "&amp;$M896&amp;""))),ISNUMBER(SEARCH("membership",LOWER($A896&amp;" "&amp;$M896&amp;"")))),"",IF($G896="","",IF(ISNUMBER(SEARCH("non",LOWER($E896&amp;""))),$G896*0.85,$G896))))</f>
        <v/>
      </c>
      <c r="O896">
        <f>IF($A896="","",IF(OR(LOWER($D896&amp;"")="n/a",ISNUMBER(SEARCH("subscription",LOWER($A896&amp;" "&amp;$M896&amp;""))),ISNUMBER(SEARCH("membership",LOWER($A896&amp;" "&amp;$M896&amp;"")))),"",IF(OR($N896="",$I896="",$I896=0),"",$N896/$I896)))</f>
        <v/>
      </c>
      <c r="P896">
        <f>IF($A896="","",IF(OR(LOWER($D896&amp;"")="n/a",ISNUMBER(SEARCH("subscription",LOWER($A896&amp;" "&amp;$M896&amp;""))),ISNUMBER(SEARCH("membership",LOWER($A896&amp;" "&amp;$M896&amp;"")))),"",IF(LOWER($L896&amp;"")="yes",0,IF($K896&lt;&gt;"",$K896,IF($O896&lt;&gt;"",$O896,"")))))</f>
        <v/>
      </c>
      <c r="Q896">
        <f>IF($A896="","",IF($U896="Subscription","",IF($U896="Profit",$P896-$H896,0)))</f>
        <v/>
      </c>
      <c r="R896">
        <f>IF($A896="","",IF($U896="Subscription","",IF($U896="Draw",$H896,0)))</f>
        <v/>
      </c>
      <c r="S896">
        <f>IF($A896="","",IF($U896="Subscription","",IF($U896="Disqualified",$H896,0)))</f>
        <v/>
      </c>
      <c r="T896">
        <f>IF($A896="","",IF($U896="Subscription","",IF($H896=0,IF($U896="Profit","N/A",0),IF($U896="Profit",$Q896/$H896,IF($U896="Disqualified",-1,0)))))</f>
        <v/>
      </c>
      <c r="U896" s="350">
        <f>IF($A896="","",IF(OR(LOWER($D896&amp;"")="n/a",ISNUMBER(SEARCH("subscription",LOWER($A896&amp;" "&amp;$M896&amp;""))),ISNUMBER(SEARCH("membership",LOWER($A896&amp;" "&amp;$M896&amp;"")))),"Subscription",IF(LOWER($L896&amp;"")="yes","Disqualified",IF($P896&gt;$H896,"Profit","Draw"))))</f>
        <v/>
      </c>
      <c r="V896">
        <f>IF(OR($A896="",$B896="",$C896="",$U896="Subscription"),"",IFERROR(ROUNDUP((IF(ISNUMBER($C896),$C896,DATEVALUE($C896))-IF(ISNUMBER($B896),$B896,DATEVALUE($B896)))/7,0),""))</f>
        <v/>
      </c>
      <c r="W896" s="352">
        <f>IF($U896="Subscription","",$Q896-$S896)</f>
        <v/>
      </c>
      <c r="X896">
        <f>IF(OR($A896="",$U896="Subscription",$J896="",$I896="",$J896=0,$I896=0,$I896&gt;$J896),"",$J896-$I896)</f>
        <v/>
      </c>
      <c r="Y896">
        <f>IF(OR($A896="",$U896="Subscription",$J896="",$J896=0,$X896=""),"",$X896/$J896)</f>
        <v/>
      </c>
    </row>
    <row r="897">
      <c r="B897" s="354" t="n"/>
      <c r="C897" s="354" t="n"/>
      <c r="E897" s="350" t="n"/>
      <c r="F897" s="350" t="n"/>
      <c r="G897" s="350" t="n"/>
      <c r="H897" s="350" t="n"/>
      <c r="I897" s="350" t="n"/>
      <c r="J897" s="352" t="n"/>
      <c r="M897" s="350" t="n"/>
      <c r="N897" s="350">
        <f>IF($A897="","",IF(OR(LOWER($D897&amp;"")="n/a",ISNUMBER(SEARCH("subscription",LOWER($A897&amp;" "&amp;$M897&amp;""))),ISNUMBER(SEARCH("membership",LOWER($A897&amp;" "&amp;$M897&amp;"")))),"",IF($G897="","",IF(ISNUMBER(SEARCH("non",LOWER($E897&amp;""))),$G897*0.85,$G897))))</f>
        <v/>
      </c>
      <c r="O897">
        <f>IF($A897="","",IF(OR(LOWER($D897&amp;"")="n/a",ISNUMBER(SEARCH("subscription",LOWER($A897&amp;" "&amp;$M897&amp;""))),ISNUMBER(SEARCH("membership",LOWER($A897&amp;" "&amp;$M897&amp;"")))),"",IF(OR($N897="",$I897="",$I897=0),"",$N897/$I897)))</f>
        <v/>
      </c>
      <c r="P897">
        <f>IF($A897="","",IF(OR(LOWER($D897&amp;"")="n/a",ISNUMBER(SEARCH("subscription",LOWER($A897&amp;" "&amp;$M897&amp;""))),ISNUMBER(SEARCH("membership",LOWER($A897&amp;" "&amp;$M897&amp;"")))),"",IF(LOWER($L897&amp;"")="yes",0,IF($K897&lt;&gt;"",$K897,IF($O897&lt;&gt;"",$O897,"")))))</f>
        <v/>
      </c>
      <c r="Q897">
        <f>IF($A897="","",IF($U897="Subscription","",IF($U897="Profit",$P897-$H897,0)))</f>
        <v/>
      </c>
      <c r="R897">
        <f>IF($A897="","",IF($U897="Subscription","",IF($U897="Draw",$H897,0)))</f>
        <v/>
      </c>
      <c r="S897">
        <f>IF($A897="","",IF($U897="Subscription","",IF($U897="Disqualified",$H897,0)))</f>
        <v/>
      </c>
      <c r="T897">
        <f>IF($A897="","",IF($U897="Subscription","",IF($H897=0,IF($U897="Profit","N/A",0),IF($U897="Profit",$Q897/$H897,IF($U897="Disqualified",-1,0)))))</f>
        <v/>
      </c>
      <c r="U897" s="350">
        <f>IF($A897="","",IF(OR(LOWER($D897&amp;"")="n/a",ISNUMBER(SEARCH("subscription",LOWER($A897&amp;" "&amp;$M897&amp;""))),ISNUMBER(SEARCH("membership",LOWER($A897&amp;" "&amp;$M897&amp;"")))),"Subscription",IF(LOWER($L897&amp;"")="yes","Disqualified",IF($P897&gt;$H897,"Profit","Draw"))))</f>
        <v/>
      </c>
      <c r="V897">
        <f>IF(OR($A897="",$B897="",$C897="",$U897="Subscription"),"",IFERROR(ROUNDUP((IF(ISNUMBER($C897),$C897,DATEVALUE($C897))-IF(ISNUMBER($B897),$B897,DATEVALUE($B897)))/7,0),""))</f>
        <v/>
      </c>
      <c r="W897" s="352">
        <f>IF($U897="Subscription","",$Q897-$S897)</f>
        <v/>
      </c>
      <c r="X897">
        <f>IF(OR($A897="",$U897="Subscription",$J897="",$I897="",$J897=0,$I897=0,$I897&gt;$J897),"",$J897-$I897)</f>
        <v/>
      </c>
      <c r="Y897">
        <f>IF(OR($A897="",$U897="Subscription",$J897="",$J897=0,$X897=""),"",$X897/$J897)</f>
        <v/>
      </c>
    </row>
    <row r="898">
      <c r="B898" s="354" t="n"/>
      <c r="C898" s="354" t="n"/>
      <c r="E898" s="350" t="n"/>
      <c r="F898" s="350" t="n"/>
      <c r="G898" s="350" t="n"/>
      <c r="H898" s="350" t="n"/>
      <c r="I898" s="350" t="n"/>
      <c r="J898" s="352" t="n"/>
      <c r="M898" s="350" t="n"/>
      <c r="N898" s="350">
        <f>IF($A898="","",IF(OR(LOWER($D898&amp;"")="n/a",ISNUMBER(SEARCH("subscription",LOWER($A898&amp;" "&amp;$M898&amp;""))),ISNUMBER(SEARCH("membership",LOWER($A898&amp;" "&amp;$M898&amp;"")))),"",IF($G898="","",IF(ISNUMBER(SEARCH("non",LOWER($E898&amp;""))),$G898*0.85,$G898))))</f>
        <v/>
      </c>
      <c r="O898">
        <f>IF($A898="","",IF(OR(LOWER($D898&amp;"")="n/a",ISNUMBER(SEARCH("subscription",LOWER($A898&amp;" "&amp;$M898&amp;""))),ISNUMBER(SEARCH("membership",LOWER($A898&amp;" "&amp;$M898&amp;"")))),"",IF(OR($N898="",$I898="",$I898=0),"",$N898/$I898)))</f>
        <v/>
      </c>
      <c r="P898">
        <f>IF($A898="","",IF(OR(LOWER($D898&amp;"")="n/a",ISNUMBER(SEARCH("subscription",LOWER($A898&amp;" "&amp;$M898&amp;""))),ISNUMBER(SEARCH("membership",LOWER($A898&amp;" "&amp;$M898&amp;"")))),"",IF(LOWER($L898&amp;"")="yes",0,IF($K898&lt;&gt;"",$K898,IF($O898&lt;&gt;"",$O898,"")))))</f>
        <v/>
      </c>
      <c r="Q898">
        <f>IF($A898="","",IF($U898="Subscription","",IF($U898="Profit",$P898-$H898,0)))</f>
        <v/>
      </c>
      <c r="R898">
        <f>IF($A898="","",IF($U898="Subscription","",IF($U898="Draw",$H898,0)))</f>
        <v/>
      </c>
      <c r="S898">
        <f>IF($A898="","",IF($U898="Subscription","",IF($U898="Disqualified",$H898,0)))</f>
        <v/>
      </c>
      <c r="T898">
        <f>IF($A898="","",IF($U898="Subscription","",IF($H898=0,IF($U898="Profit","N/A",0),IF($U898="Profit",$Q898/$H898,IF($U898="Disqualified",-1,0)))))</f>
        <v/>
      </c>
      <c r="U898" s="350">
        <f>IF($A898="","",IF(OR(LOWER($D898&amp;"")="n/a",ISNUMBER(SEARCH("subscription",LOWER($A898&amp;" "&amp;$M898&amp;""))),ISNUMBER(SEARCH("membership",LOWER($A898&amp;" "&amp;$M898&amp;"")))),"Subscription",IF(LOWER($L898&amp;"")="yes","Disqualified",IF($P898&gt;$H898,"Profit","Draw"))))</f>
        <v/>
      </c>
      <c r="V898">
        <f>IF(OR($A898="",$B898="",$C898="",$U898="Subscription"),"",IFERROR(ROUNDUP((IF(ISNUMBER($C898),$C898,DATEVALUE($C898))-IF(ISNUMBER($B898),$B898,DATEVALUE($B898)))/7,0),""))</f>
        <v/>
      </c>
      <c r="W898" s="352">
        <f>IF($U898="Subscription","",$Q898-$S898)</f>
        <v/>
      </c>
      <c r="X898">
        <f>IF(OR($A898="",$U898="Subscription",$J898="",$I898="",$J898=0,$I898=0,$I898&gt;$J898),"",$J898-$I898)</f>
        <v/>
      </c>
      <c r="Y898">
        <f>IF(OR($A898="",$U898="Subscription",$J898="",$J898=0,$X898=""),"",$X898/$J898)</f>
        <v/>
      </c>
    </row>
    <row r="899">
      <c r="B899" s="354" t="n"/>
      <c r="C899" s="354" t="n"/>
      <c r="E899" s="350" t="n"/>
      <c r="F899" s="350" t="n"/>
      <c r="G899" s="350" t="n"/>
      <c r="H899" s="350" t="n"/>
      <c r="I899" s="350" t="n"/>
      <c r="J899" s="352" t="n"/>
      <c r="M899" s="350" t="n"/>
      <c r="N899" s="350">
        <f>IF($A899="","",IF(OR(LOWER($D899&amp;"")="n/a",ISNUMBER(SEARCH("subscription",LOWER($A899&amp;" "&amp;$M899&amp;""))),ISNUMBER(SEARCH("membership",LOWER($A899&amp;" "&amp;$M899&amp;"")))),"",IF($G899="","",IF(ISNUMBER(SEARCH("non",LOWER($E899&amp;""))),$G899*0.85,$G899))))</f>
        <v/>
      </c>
      <c r="O899">
        <f>IF($A899="","",IF(OR(LOWER($D899&amp;"")="n/a",ISNUMBER(SEARCH("subscription",LOWER($A899&amp;" "&amp;$M899&amp;""))),ISNUMBER(SEARCH("membership",LOWER($A899&amp;" "&amp;$M899&amp;"")))),"",IF(OR($N899="",$I899="",$I899=0),"",$N899/$I899)))</f>
        <v/>
      </c>
      <c r="P899">
        <f>IF($A899="","",IF(OR(LOWER($D899&amp;"")="n/a",ISNUMBER(SEARCH("subscription",LOWER($A899&amp;" "&amp;$M899&amp;""))),ISNUMBER(SEARCH("membership",LOWER($A899&amp;" "&amp;$M899&amp;"")))),"",IF(LOWER($L899&amp;"")="yes",0,IF($K899&lt;&gt;"",$K899,IF($O899&lt;&gt;"",$O899,"")))))</f>
        <v/>
      </c>
      <c r="Q899">
        <f>IF($A899="","",IF($U899="Subscription","",IF($U899="Profit",$P899-$H899,0)))</f>
        <v/>
      </c>
      <c r="R899">
        <f>IF($A899="","",IF($U899="Subscription","",IF($U899="Draw",$H899,0)))</f>
        <v/>
      </c>
      <c r="S899">
        <f>IF($A899="","",IF($U899="Subscription","",IF($U899="Disqualified",$H899,0)))</f>
        <v/>
      </c>
      <c r="T899">
        <f>IF($A899="","",IF($U899="Subscription","",IF($H899=0,IF($U899="Profit","N/A",0),IF($U899="Profit",$Q899/$H899,IF($U899="Disqualified",-1,0)))))</f>
        <v/>
      </c>
      <c r="U899" s="350">
        <f>IF($A899="","",IF(OR(LOWER($D899&amp;"")="n/a",ISNUMBER(SEARCH("subscription",LOWER($A899&amp;" "&amp;$M899&amp;""))),ISNUMBER(SEARCH("membership",LOWER($A899&amp;" "&amp;$M899&amp;"")))),"Subscription",IF(LOWER($L899&amp;"")="yes","Disqualified",IF($P899&gt;$H899,"Profit","Draw"))))</f>
        <v/>
      </c>
      <c r="V899">
        <f>IF(OR($A899="",$B899="",$C899="",$U899="Subscription"),"",IFERROR(ROUNDUP((IF(ISNUMBER($C899),$C899,DATEVALUE($C899))-IF(ISNUMBER($B899),$B899,DATEVALUE($B899)))/7,0),""))</f>
        <v/>
      </c>
      <c r="W899" s="352">
        <f>IF($U899="Subscription","",$Q899-$S899)</f>
        <v/>
      </c>
      <c r="X899">
        <f>IF(OR($A899="",$U899="Subscription",$J899="",$I899="",$J899=0,$I899=0,$I899&gt;$J899),"",$J899-$I899)</f>
        <v/>
      </c>
      <c r="Y899">
        <f>IF(OR($A899="",$U899="Subscription",$J899="",$J899=0,$X899=""),"",$X899/$J899)</f>
        <v/>
      </c>
    </row>
    <row r="900">
      <c r="B900" s="354" t="n"/>
      <c r="C900" s="354" t="n"/>
      <c r="E900" s="350" t="n"/>
      <c r="F900" s="350" t="n"/>
      <c r="G900" s="350" t="n"/>
      <c r="H900" s="350" t="n"/>
      <c r="I900" s="350" t="n"/>
      <c r="J900" s="352" t="n"/>
      <c r="M900" s="350" t="n"/>
      <c r="N900" s="350">
        <f>IF($A900="","",IF(OR(LOWER($D900&amp;"")="n/a",ISNUMBER(SEARCH("subscription",LOWER($A900&amp;" "&amp;$M900&amp;""))),ISNUMBER(SEARCH("membership",LOWER($A900&amp;" "&amp;$M900&amp;"")))),"",IF($G900="","",IF(ISNUMBER(SEARCH("non",LOWER($E900&amp;""))),$G900*0.85,$G900))))</f>
        <v/>
      </c>
      <c r="O900">
        <f>IF($A900="","",IF(OR(LOWER($D900&amp;"")="n/a",ISNUMBER(SEARCH("subscription",LOWER($A900&amp;" "&amp;$M900&amp;""))),ISNUMBER(SEARCH("membership",LOWER($A900&amp;" "&amp;$M900&amp;"")))),"",IF(OR($N900="",$I900="",$I900=0),"",$N900/$I900)))</f>
        <v/>
      </c>
      <c r="P900">
        <f>IF($A900="","",IF(OR(LOWER($D900&amp;"")="n/a",ISNUMBER(SEARCH("subscription",LOWER($A900&amp;" "&amp;$M900&amp;""))),ISNUMBER(SEARCH("membership",LOWER($A900&amp;" "&amp;$M900&amp;"")))),"",IF(LOWER($L900&amp;"")="yes",0,IF($K900&lt;&gt;"",$K900,IF($O900&lt;&gt;"",$O900,"")))))</f>
        <v/>
      </c>
      <c r="Q900">
        <f>IF($A900="","",IF($U900="Subscription","",IF($U900="Profit",$P900-$H900,0)))</f>
        <v/>
      </c>
      <c r="R900">
        <f>IF($A900="","",IF($U900="Subscription","",IF($U900="Draw",$H900,0)))</f>
        <v/>
      </c>
      <c r="S900">
        <f>IF($A900="","",IF($U900="Subscription","",IF($U900="Disqualified",$H900,0)))</f>
        <v/>
      </c>
      <c r="T900">
        <f>IF($A900="","",IF($U900="Subscription","",IF($H900=0,IF($U900="Profit","N/A",0),IF($U900="Profit",$Q900/$H900,IF($U900="Disqualified",-1,0)))))</f>
        <v/>
      </c>
      <c r="U900" s="350">
        <f>IF($A900="","",IF(OR(LOWER($D900&amp;"")="n/a",ISNUMBER(SEARCH("subscription",LOWER($A900&amp;" "&amp;$M900&amp;""))),ISNUMBER(SEARCH("membership",LOWER($A900&amp;" "&amp;$M900&amp;"")))),"Subscription",IF(LOWER($L900&amp;"")="yes","Disqualified",IF($P900&gt;$H900,"Profit","Draw"))))</f>
        <v/>
      </c>
      <c r="V900">
        <f>IF(OR($A900="",$B900="",$C900="",$U900="Subscription"),"",IFERROR(ROUNDUP((IF(ISNUMBER($C900),$C900,DATEVALUE($C900))-IF(ISNUMBER($B900),$B900,DATEVALUE($B900)))/7,0),""))</f>
        <v/>
      </c>
      <c r="W900" s="352">
        <f>IF($U900="Subscription","",$Q900-$S900)</f>
        <v/>
      </c>
      <c r="X900">
        <f>IF(OR($A900="",$U900="Subscription",$J900="",$I900="",$J900=0,$I900=0,$I900&gt;$J900),"",$J900-$I900)</f>
        <v/>
      </c>
      <c r="Y900">
        <f>IF(OR($A900="",$U900="Subscription",$J900="",$J900=0,$X900=""),"",$X900/$J900)</f>
        <v/>
      </c>
    </row>
    <row r="901">
      <c r="B901" s="354" t="n"/>
      <c r="C901" s="354" t="n"/>
      <c r="E901" s="350" t="n"/>
      <c r="F901" s="350" t="n"/>
      <c r="G901" s="350" t="n"/>
      <c r="H901" s="350" t="n"/>
      <c r="I901" s="350" t="n"/>
      <c r="J901" s="352" t="n"/>
      <c r="M901" s="350" t="n"/>
      <c r="N901" s="350">
        <f>IF($A901="","",IF(OR(LOWER($D901&amp;"")="n/a",ISNUMBER(SEARCH("subscription",LOWER($A901&amp;" "&amp;$M901&amp;""))),ISNUMBER(SEARCH("membership",LOWER($A901&amp;" "&amp;$M901&amp;"")))),"",IF($G901="","",IF(ISNUMBER(SEARCH("non",LOWER($E901&amp;""))),$G901*0.85,$G901))))</f>
        <v/>
      </c>
      <c r="O901">
        <f>IF($A901="","",IF(OR(LOWER($D901&amp;"")="n/a",ISNUMBER(SEARCH("subscription",LOWER($A901&amp;" "&amp;$M901&amp;""))),ISNUMBER(SEARCH("membership",LOWER($A901&amp;" "&amp;$M901&amp;"")))),"",IF(OR($N901="",$I901="",$I901=0),"",$N901/$I901)))</f>
        <v/>
      </c>
      <c r="P901">
        <f>IF($A901="","",IF(OR(LOWER($D901&amp;"")="n/a",ISNUMBER(SEARCH("subscription",LOWER($A901&amp;" "&amp;$M901&amp;""))),ISNUMBER(SEARCH("membership",LOWER($A901&amp;" "&amp;$M901&amp;"")))),"",IF(LOWER($L901&amp;"")="yes",0,IF($K901&lt;&gt;"",$K901,IF($O901&lt;&gt;"",$O901,"")))))</f>
        <v/>
      </c>
      <c r="Q901">
        <f>IF($A901="","",IF($U901="Subscription","",IF($U901="Profit",$P901-$H901,0)))</f>
        <v/>
      </c>
      <c r="R901">
        <f>IF($A901="","",IF($U901="Subscription","",IF($U901="Draw",$H901,0)))</f>
        <v/>
      </c>
      <c r="S901">
        <f>IF($A901="","",IF($U901="Subscription","",IF($U901="Disqualified",$H901,0)))</f>
        <v/>
      </c>
      <c r="T901">
        <f>IF($A901="","",IF($U901="Subscription","",IF($H901=0,IF($U901="Profit","N/A",0),IF($U901="Profit",$Q901/$H901,IF($U901="Disqualified",-1,0)))))</f>
        <v/>
      </c>
      <c r="U901" s="350">
        <f>IF($A901="","",IF(OR(LOWER($D901&amp;"")="n/a",ISNUMBER(SEARCH("subscription",LOWER($A901&amp;" "&amp;$M901&amp;""))),ISNUMBER(SEARCH("membership",LOWER($A901&amp;" "&amp;$M901&amp;"")))),"Subscription",IF(LOWER($L901&amp;"")="yes","Disqualified",IF($P901&gt;$H901,"Profit","Draw"))))</f>
        <v/>
      </c>
      <c r="V901">
        <f>IF(OR($A901="",$B901="",$C901="",$U901="Subscription"),"",IFERROR(ROUNDUP((IF(ISNUMBER($C901),$C901,DATEVALUE($C901))-IF(ISNUMBER($B901),$B901,DATEVALUE($B901)))/7,0),""))</f>
        <v/>
      </c>
      <c r="W901" s="352">
        <f>IF($U901="Subscription","",$Q901-$S901)</f>
        <v/>
      </c>
      <c r="X901">
        <f>IF(OR($A901="",$U901="Subscription",$J901="",$I901="",$J901=0,$I901=0,$I901&gt;$J901),"",$J901-$I901)</f>
        <v/>
      </c>
      <c r="Y901">
        <f>IF(OR($A901="",$U901="Subscription",$J901="",$J901=0,$X901=""),"",$X901/$J901)</f>
        <v/>
      </c>
    </row>
    <row r="902">
      <c r="B902" s="354" t="n"/>
      <c r="C902" s="354" t="n"/>
      <c r="E902" s="350" t="n"/>
      <c r="F902" s="350" t="n"/>
      <c r="G902" s="350" t="n"/>
      <c r="H902" s="350" t="n"/>
      <c r="I902" s="350" t="n"/>
      <c r="J902" s="352" t="n"/>
      <c r="M902" s="350" t="n"/>
      <c r="N902" s="350">
        <f>IF($A902="","",IF(OR(LOWER($D902&amp;"")="n/a",ISNUMBER(SEARCH("subscription",LOWER($A902&amp;" "&amp;$M902&amp;""))),ISNUMBER(SEARCH("membership",LOWER($A902&amp;" "&amp;$M902&amp;"")))),"",IF($G902="","",IF(ISNUMBER(SEARCH("non",LOWER($E902&amp;""))),$G902*0.85,$G902))))</f>
        <v/>
      </c>
      <c r="O902">
        <f>IF($A902="","",IF(OR(LOWER($D902&amp;"")="n/a",ISNUMBER(SEARCH("subscription",LOWER($A902&amp;" "&amp;$M902&amp;""))),ISNUMBER(SEARCH("membership",LOWER($A902&amp;" "&amp;$M902&amp;"")))),"",IF(OR($N902="",$I902="",$I902=0),"",$N902/$I902)))</f>
        <v/>
      </c>
      <c r="P902">
        <f>IF($A902="","",IF(OR(LOWER($D902&amp;"")="n/a",ISNUMBER(SEARCH("subscription",LOWER($A902&amp;" "&amp;$M902&amp;""))),ISNUMBER(SEARCH("membership",LOWER($A902&amp;" "&amp;$M902&amp;"")))),"",IF(LOWER($L902&amp;"")="yes",0,IF($K902&lt;&gt;"",$K902,IF($O902&lt;&gt;"",$O902,"")))))</f>
        <v/>
      </c>
      <c r="Q902">
        <f>IF($A902="","",IF($U902="Subscription","",IF($U902="Profit",$P902-$H902,0)))</f>
        <v/>
      </c>
      <c r="R902">
        <f>IF($A902="","",IF($U902="Subscription","",IF($U902="Draw",$H902,0)))</f>
        <v/>
      </c>
      <c r="S902">
        <f>IF($A902="","",IF($U902="Subscription","",IF($U902="Disqualified",$H902,0)))</f>
        <v/>
      </c>
      <c r="T902">
        <f>IF($A902="","",IF($U902="Subscription","",IF($H902=0,IF($U902="Profit","N/A",0),IF($U902="Profit",$Q902/$H902,IF($U902="Disqualified",-1,0)))))</f>
        <v/>
      </c>
      <c r="U902" s="350">
        <f>IF($A902="","",IF(OR(LOWER($D902&amp;"")="n/a",ISNUMBER(SEARCH("subscription",LOWER($A902&amp;" "&amp;$M902&amp;""))),ISNUMBER(SEARCH("membership",LOWER($A902&amp;" "&amp;$M902&amp;"")))),"Subscription",IF(LOWER($L902&amp;"")="yes","Disqualified",IF($P902&gt;$H902,"Profit","Draw"))))</f>
        <v/>
      </c>
      <c r="V902">
        <f>IF(OR($A902="",$B902="",$C902="",$U902="Subscription"),"",IFERROR(ROUNDUP((IF(ISNUMBER($C902),$C902,DATEVALUE($C902))-IF(ISNUMBER($B902),$B902,DATEVALUE($B902)))/7,0),""))</f>
        <v/>
      </c>
      <c r="W902" s="352">
        <f>IF($U902="Subscription","",$Q902-$S902)</f>
        <v/>
      </c>
      <c r="X902">
        <f>IF(OR($A902="",$U902="Subscription",$J902="",$I902="",$J902=0,$I902=0,$I902&gt;$J902),"",$J902-$I902)</f>
        <v/>
      </c>
      <c r="Y902">
        <f>IF(OR($A902="",$U902="Subscription",$J902="",$J902=0,$X902=""),"",$X902/$J902)</f>
        <v/>
      </c>
    </row>
    <row r="903">
      <c r="B903" s="354" t="n"/>
      <c r="C903" s="354" t="n"/>
      <c r="E903" s="350" t="n"/>
      <c r="F903" s="350" t="n"/>
      <c r="G903" s="350" t="n"/>
      <c r="H903" s="350" t="n"/>
      <c r="I903" s="350" t="n"/>
      <c r="J903" s="352" t="n"/>
      <c r="M903" s="350" t="n"/>
      <c r="N903" s="350">
        <f>IF($A903="","",IF(OR(LOWER($D903&amp;"")="n/a",ISNUMBER(SEARCH("subscription",LOWER($A903&amp;" "&amp;$M903&amp;""))),ISNUMBER(SEARCH("membership",LOWER($A903&amp;" "&amp;$M903&amp;"")))),"",IF($G903="","",IF(ISNUMBER(SEARCH("non",LOWER($E903&amp;""))),$G903*0.85,$G903))))</f>
        <v/>
      </c>
      <c r="O903">
        <f>IF($A903="","",IF(OR(LOWER($D903&amp;"")="n/a",ISNUMBER(SEARCH("subscription",LOWER($A903&amp;" "&amp;$M903&amp;""))),ISNUMBER(SEARCH("membership",LOWER($A903&amp;" "&amp;$M903&amp;"")))),"",IF(OR($N903="",$I903="",$I903=0),"",$N903/$I903)))</f>
        <v/>
      </c>
      <c r="P903">
        <f>IF($A903="","",IF(OR(LOWER($D903&amp;"")="n/a",ISNUMBER(SEARCH("subscription",LOWER($A903&amp;" "&amp;$M903&amp;""))),ISNUMBER(SEARCH("membership",LOWER($A903&amp;" "&amp;$M903&amp;"")))),"",IF(LOWER($L903&amp;"")="yes",0,IF($K903&lt;&gt;"",$K903,IF($O903&lt;&gt;"",$O903,"")))))</f>
        <v/>
      </c>
      <c r="Q903">
        <f>IF($A903="","",IF($U903="Subscription","",IF($U903="Profit",$P903-$H903,0)))</f>
        <v/>
      </c>
      <c r="R903">
        <f>IF($A903="","",IF($U903="Subscription","",IF($U903="Draw",$H903,0)))</f>
        <v/>
      </c>
      <c r="S903">
        <f>IF($A903="","",IF($U903="Subscription","",IF($U903="Disqualified",$H903,0)))</f>
        <v/>
      </c>
      <c r="T903">
        <f>IF($A903="","",IF($U903="Subscription","",IF($H903=0,IF($U903="Profit","N/A",0),IF($U903="Profit",$Q903/$H903,IF($U903="Disqualified",-1,0)))))</f>
        <v/>
      </c>
      <c r="U903" s="350">
        <f>IF($A903="","",IF(OR(LOWER($D903&amp;"")="n/a",ISNUMBER(SEARCH("subscription",LOWER($A903&amp;" "&amp;$M903&amp;""))),ISNUMBER(SEARCH("membership",LOWER($A903&amp;" "&amp;$M903&amp;"")))),"Subscription",IF(LOWER($L903&amp;"")="yes","Disqualified",IF($P903&gt;$H903,"Profit","Draw"))))</f>
        <v/>
      </c>
      <c r="V903">
        <f>IF(OR($A903="",$B903="",$C903="",$U903="Subscription"),"",IFERROR(ROUNDUP((IF(ISNUMBER($C903),$C903,DATEVALUE($C903))-IF(ISNUMBER($B903),$B903,DATEVALUE($B903)))/7,0),""))</f>
        <v/>
      </c>
      <c r="W903" s="352">
        <f>IF($U903="Subscription","",$Q903-$S903)</f>
        <v/>
      </c>
      <c r="X903">
        <f>IF(OR($A903="",$U903="Subscription",$J903="",$I903="",$J903=0,$I903=0,$I903&gt;$J903),"",$J903-$I903)</f>
        <v/>
      </c>
      <c r="Y903">
        <f>IF(OR($A903="",$U903="Subscription",$J903="",$J903=0,$X903=""),"",$X903/$J903)</f>
        <v/>
      </c>
    </row>
    <row r="904">
      <c r="B904" s="354" t="n"/>
      <c r="C904" s="354" t="n"/>
      <c r="E904" s="350" t="n"/>
      <c r="F904" s="350" t="n"/>
      <c r="G904" s="350" t="n"/>
      <c r="H904" s="350" t="n"/>
      <c r="I904" s="350" t="n"/>
      <c r="J904" s="352" t="n"/>
      <c r="M904" s="350" t="n"/>
      <c r="N904" s="350">
        <f>IF($A904="","",IF(OR(LOWER($D904&amp;"")="n/a",ISNUMBER(SEARCH("subscription",LOWER($A904&amp;" "&amp;$M904&amp;""))),ISNUMBER(SEARCH("membership",LOWER($A904&amp;" "&amp;$M904&amp;"")))),"",IF($G904="","",IF(ISNUMBER(SEARCH("non",LOWER($E904&amp;""))),$G904*0.85,$G904))))</f>
        <v/>
      </c>
      <c r="O904">
        <f>IF($A904="","",IF(OR(LOWER($D904&amp;"")="n/a",ISNUMBER(SEARCH("subscription",LOWER($A904&amp;" "&amp;$M904&amp;""))),ISNUMBER(SEARCH("membership",LOWER($A904&amp;" "&amp;$M904&amp;"")))),"",IF(OR($N904="",$I904="",$I904=0),"",$N904/$I904)))</f>
        <v/>
      </c>
      <c r="P904">
        <f>IF($A904="","",IF(OR(LOWER($D904&amp;"")="n/a",ISNUMBER(SEARCH("subscription",LOWER($A904&amp;" "&amp;$M904&amp;""))),ISNUMBER(SEARCH("membership",LOWER($A904&amp;" "&amp;$M904&amp;"")))),"",IF(LOWER($L904&amp;"")="yes",0,IF($K904&lt;&gt;"",$K904,IF($O904&lt;&gt;"",$O904,"")))))</f>
        <v/>
      </c>
      <c r="Q904">
        <f>IF($A904="","",IF($U904="Subscription","",IF($U904="Profit",$P904-$H904,0)))</f>
        <v/>
      </c>
      <c r="R904">
        <f>IF($A904="","",IF($U904="Subscription","",IF($U904="Draw",$H904,0)))</f>
        <v/>
      </c>
      <c r="S904">
        <f>IF($A904="","",IF($U904="Subscription","",IF($U904="Disqualified",$H904,0)))</f>
        <v/>
      </c>
      <c r="T904">
        <f>IF($A904="","",IF($U904="Subscription","",IF($H904=0,IF($U904="Profit","N/A",0),IF($U904="Profit",$Q904/$H904,IF($U904="Disqualified",-1,0)))))</f>
        <v/>
      </c>
      <c r="U904" s="350">
        <f>IF($A904="","",IF(OR(LOWER($D904&amp;"")="n/a",ISNUMBER(SEARCH("subscription",LOWER($A904&amp;" "&amp;$M904&amp;""))),ISNUMBER(SEARCH("membership",LOWER($A904&amp;" "&amp;$M904&amp;"")))),"Subscription",IF(LOWER($L904&amp;"")="yes","Disqualified",IF($P904&gt;$H904,"Profit","Draw"))))</f>
        <v/>
      </c>
      <c r="V904">
        <f>IF(OR($A904="",$B904="",$C904="",$U904="Subscription"),"",IFERROR(ROUNDUP((IF(ISNUMBER($C904),$C904,DATEVALUE($C904))-IF(ISNUMBER($B904),$B904,DATEVALUE($B904)))/7,0),""))</f>
        <v/>
      </c>
      <c r="W904" s="352">
        <f>IF($U904="Subscription","",$Q904-$S904)</f>
        <v/>
      </c>
      <c r="X904">
        <f>IF(OR($A904="",$U904="Subscription",$J904="",$I904="",$J904=0,$I904=0,$I904&gt;$J904),"",$J904-$I904)</f>
        <v/>
      </c>
      <c r="Y904">
        <f>IF(OR($A904="",$U904="Subscription",$J904="",$J904=0,$X904=""),"",$X904/$J904)</f>
        <v/>
      </c>
    </row>
    <row r="905">
      <c r="B905" s="354" t="n"/>
      <c r="C905" s="354" t="n"/>
      <c r="E905" s="350" t="n"/>
      <c r="F905" s="350" t="n"/>
      <c r="G905" s="350" t="n"/>
      <c r="H905" s="350" t="n"/>
      <c r="I905" s="350" t="n"/>
      <c r="J905" s="352" t="n"/>
      <c r="M905" s="350" t="n"/>
      <c r="N905" s="350">
        <f>IF($A905="","",IF(OR(LOWER($D905&amp;"")="n/a",ISNUMBER(SEARCH("subscription",LOWER($A905&amp;" "&amp;$M905&amp;""))),ISNUMBER(SEARCH("membership",LOWER($A905&amp;" "&amp;$M905&amp;"")))),"",IF($G905="","",IF(ISNUMBER(SEARCH("non",LOWER($E905&amp;""))),$G905*0.85,$G905))))</f>
        <v/>
      </c>
      <c r="O905">
        <f>IF($A905="","",IF(OR(LOWER($D905&amp;"")="n/a",ISNUMBER(SEARCH("subscription",LOWER($A905&amp;" "&amp;$M905&amp;""))),ISNUMBER(SEARCH("membership",LOWER($A905&amp;" "&amp;$M905&amp;"")))),"",IF(OR($N905="",$I905="",$I905=0),"",$N905/$I905)))</f>
        <v/>
      </c>
      <c r="P905">
        <f>IF($A905="","",IF(OR(LOWER($D905&amp;"")="n/a",ISNUMBER(SEARCH("subscription",LOWER($A905&amp;" "&amp;$M905&amp;""))),ISNUMBER(SEARCH("membership",LOWER($A905&amp;" "&amp;$M905&amp;"")))),"",IF(LOWER($L905&amp;"")="yes",0,IF($K905&lt;&gt;"",$K905,IF($O905&lt;&gt;"",$O905,"")))))</f>
        <v/>
      </c>
      <c r="Q905">
        <f>IF($A905="","",IF($U905="Subscription","",IF($U905="Profit",$P905-$H905,0)))</f>
        <v/>
      </c>
      <c r="R905">
        <f>IF($A905="","",IF($U905="Subscription","",IF($U905="Draw",$H905,0)))</f>
        <v/>
      </c>
      <c r="S905">
        <f>IF($A905="","",IF($U905="Subscription","",IF($U905="Disqualified",$H905,0)))</f>
        <v/>
      </c>
      <c r="T905">
        <f>IF($A905="","",IF($U905="Subscription","",IF($H905=0,IF($U905="Profit","N/A",0),IF($U905="Profit",$Q905/$H905,IF($U905="Disqualified",-1,0)))))</f>
        <v/>
      </c>
      <c r="U905" s="350">
        <f>IF($A905="","",IF(OR(LOWER($D905&amp;"")="n/a",ISNUMBER(SEARCH("subscription",LOWER($A905&amp;" "&amp;$M905&amp;""))),ISNUMBER(SEARCH("membership",LOWER($A905&amp;" "&amp;$M905&amp;"")))),"Subscription",IF(LOWER($L905&amp;"")="yes","Disqualified",IF($P905&gt;$H905,"Profit","Draw"))))</f>
        <v/>
      </c>
      <c r="V905">
        <f>IF(OR($A905="",$B905="",$C905="",$U905="Subscription"),"",IFERROR(ROUNDUP((IF(ISNUMBER($C905),$C905,DATEVALUE($C905))-IF(ISNUMBER($B905),$B905,DATEVALUE($B905)))/7,0),""))</f>
        <v/>
      </c>
      <c r="W905" s="352">
        <f>IF($U905="Subscription","",$Q905-$S905)</f>
        <v/>
      </c>
      <c r="X905">
        <f>IF(OR($A905="",$U905="Subscription",$J905="",$I905="",$J905=0,$I905=0,$I905&gt;$J905),"",$J905-$I905)</f>
        <v/>
      </c>
      <c r="Y905">
        <f>IF(OR($A905="",$U905="Subscription",$J905="",$J905=0,$X905=""),"",$X905/$J905)</f>
        <v/>
      </c>
    </row>
    <row r="906">
      <c r="B906" s="354" t="n"/>
      <c r="C906" s="354" t="n"/>
      <c r="E906" s="350" t="n"/>
      <c r="F906" s="350" t="n"/>
      <c r="G906" s="350" t="n"/>
      <c r="H906" s="350" t="n"/>
      <c r="I906" s="350" t="n"/>
      <c r="J906" s="352" t="n"/>
      <c r="M906" s="350" t="n"/>
      <c r="N906" s="350">
        <f>IF($A906="","",IF(OR(LOWER($D906&amp;"")="n/a",ISNUMBER(SEARCH("subscription",LOWER($A906&amp;" "&amp;$M906&amp;""))),ISNUMBER(SEARCH("membership",LOWER($A906&amp;" "&amp;$M906&amp;"")))),"",IF($G906="","",IF(ISNUMBER(SEARCH("non",LOWER($E906&amp;""))),$G906*0.85,$G906))))</f>
        <v/>
      </c>
      <c r="O906">
        <f>IF($A906="","",IF(OR(LOWER($D906&amp;"")="n/a",ISNUMBER(SEARCH("subscription",LOWER($A906&amp;" "&amp;$M906&amp;""))),ISNUMBER(SEARCH("membership",LOWER($A906&amp;" "&amp;$M906&amp;"")))),"",IF(OR($N906="",$I906="",$I906=0),"",$N906/$I906)))</f>
        <v/>
      </c>
      <c r="P906">
        <f>IF($A906="","",IF(OR(LOWER($D906&amp;"")="n/a",ISNUMBER(SEARCH("subscription",LOWER($A906&amp;" "&amp;$M906&amp;""))),ISNUMBER(SEARCH("membership",LOWER($A906&amp;" "&amp;$M906&amp;"")))),"",IF(LOWER($L906&amp;"")="yes",0,IF($K906&lt;&gt;"",$K906,IF($O906&lt;&gt;"",$O906,"")))))</f>
        <v/>
      </c>
      <c r="Q906">
        <f>IF($A906="","",IF($U906="Subscription","",IF($U906="Profit",$P906-$H906,0)))</f>
        <v/>
      </c>
      <c r="R906">
        <f>IF($A906="","",IF($U906="Subscription","",IF($U906="Draw",$H906,0)))</f>
        <v/>
      </c>
      <c r="S906">
        <f>IF($A906="","",IF($U906="Subscription","",IF($U906="Disqualified",$H906,0)))</f>
        <v/>
      </c>
      <c r="T906">
        <f>IF($A906="","",IF($U906="Subscription","",IF($H906=0,IF($U906="Profit","N/A",0),IF($U906="Profit",$Q906/$H906,IF($U906="Disqualified",-1,0)))))</f>
        <v/>
      </c>
      <c r="U906" s="350">
        <f>IF($A906="","",IF(OR(LOWER($D906&amp;"")="n/a",ISNUMBER(SEARCH("subscription",LOWER($A906&amp;" "&amp;$M906&amp;""))),ISNUMBER(SEARCH("membership",LOWER($A906&amp;" "&amp;$M906&amp;"")))),"Subscription",IF(LOWER($L906&amp;"")="yes","Disqualified",IF($P906&gt;$H906,"Profit","Draw"))))</f>
        <v/>
      </c>
      <c r="V906">
        <f>IF(OR($A906="",$B906="",$C906="",$U906="Subscription"),"",IFERROR(ROUNDUP((IF(ISNUMBER($C906),$C906,DATEVALUE($C906))-IF(ISNUMBER($B906),$B906,DATEVALUE($B906)))/7,0),""))</f>
        <v/>
      </c>
      <c r="W906" s="352">
        <f>IF($U906="Subscription","",$Q906-$S906)</f>
        <v/>
      </c>
      <c r="X906">
        <f>IF(OR($A906="",$U906="Subscription",$J906="",$I906="",$J906=0,$I906=0,$I906&gt;$J906),"",$J906-$I906)</f>
        <v/>
      </c>
      <c r="Y906">
        <f>IF(OR($A906="",$U906="Subscription",$J906="",$J906=0,$X906=""),"",$X906/$J906)</f>
        <v/>
      </c>
    </row>
    <row r="907">
      <c r="B907" s="354" t="n"/>
      <c r="C907" s="354" t="n"/>
      <c r="E907" s="350" t="n"/>
      <c r="F907" s="350" t="n"/>
      <c r="G907" s="350" t="n"/>
      <c r="H907" s="350" t="n"/>
      <c r="I907" s="350" t="n"/>
      <c r="J907" s="352" t="n"/>
      <c r="M907" s="350" t="n"/>
      <c r="N907" s="350">
        <f>IF($A907="","",IF(OR(LOWER($D907&amp;"")="n/a",ISNUMBER(SEARCH("subscription",LOWER($A907&amp;" "&amp;$M907&amp;""))),ISNUMBER(SEARCH("membership",LOWER($A907&amp;" "&amp;$M907&amp;"")))),"",IF($G907="","",IF(ISNUMBER(SEARCH("non",LOWER($E907&amp;""))),$G907*0.85,$G907))))</f>
        <v/>
      </c>
      <c r="O907">
        <f>IF($A907="","",IF(OR(LOWER($D907&amp;"")="n/a",ISNUMBER(SEARCH("subscription",LOWER($A907&amp;" "&amp;$M907&amp;""))),ISNUMBER(SEARCH("membership",LOWER($A907&amp;" "&amp;$M907&amp;"")))),"",IF(OR($N907="",$I907="",$I907=0),"",$N907/$I907)))</f>
        <v/>
      </c>
      <c r="P907">
        <f>IF($A907="","",IF(OR(LOWER($D907&amp;"")="n/a",ISNUMBER(SEARCH("subscription",LOWER($A907&amp;" "&amp;$M907&amp;""))),ISNUMBER(SEARCH("membership",LOWER($A907&amp;" "&amp;$M907&amp;"")))),"",IF(LOWER($L907&amp;"")="yes",0,IF($K907&lt;&gt;"",$K907,IF($O907&lt;&gt;"",$O907,"")))))</f>
        <v/>
      </c>
      <c r="Q907">
        <f>IF($A907="","",IF($U907="Subscription","",IF($U907="Profit",$P907-$H907,0)))</f>
        <v/>
      </c>
      <c r="R907">
        <f>IF($A907="","",IF($U907="Subscription","",IF($U907="Draw",$H907,0)))</f>
        <v/>
      </c>
      <c r="S907">
        <f>IF($A907="","",IF($U907="Subscription","",IF($U907="Disqualified",$H907,0)))</f>
        <v/>
      </c>
      <c r="T907">
        <f>IF($A907="","",IF($U907="Subscription","",IF($H907=0,IF($U907="Profit","N/A",0),IF($U907="Profit",$Q907/$H907,IF($U907="Disqualified",-1,0)))))</f>
        <v/>
      </c>
      <c r="U907" s="350">
        <f>IF($A907="","",IF(OR(LOWER($D907&amp;"")="n/a",ISNUMBER(SEARCH("subscription",LOWER($A907&amp;" "&amp;$M907&amp;""))),ISNUMBER(SEARCH("membership",LOWER($A907&amp;" "&amp;$M907&amp;"")))),"Subscription",IF(LOWER($L907&amp;"")="yes","Disqualified",IF($P907&gt;$H907,"Profit","Draw"))))</f>
        <v/>
      </c>
      <c r="V907">
        <f>IF(OR($A907="",$B907="",$C907="",$U907="Subscription"),"",IFERROR(ROUNDUP((IF(ISNUMBER($C907),$C907,DATEVALUE($C907))-IF(ISNUMBER($B907),$B907,DATEVALUE($B907)))/7,0),""))</f>
        <v/>
      </c>
      <c r="W907" s="352">
        <f>IF($U907="Subscription","",$Q907-$S907)</f>
        <v/>
      </c>
      <c r="X907">
        <f>IF(OR($A907="",$U907="Subscription",$J907="",$I907="",$J907=0,$I907=0,$I907&gt;$J907),"",$J907-$I907)</f>
        <v/>
      </c>
      <c r="Y907">
        <f>IF(OR($A907="",$U907="Subscription",$J907="",$J907=0,$X907=""),"",$X907/$J907)</f>
        <v/>
      </c>
    </row>
    <row r="908">
      <c r="B908" s="354" t="n"/>
      <c r="C908" s="354" t="n"/>
      <c r="E908" s="350" t="n"/>
      <c r="F908" s="350" t="n"/>
      <c r="G908" s="350" t="n"/>
      <c r="H908" s="350" t="n"/>
      <c r="I908" s="350" t="n"/>
      <c r="J908" s="352" t="n"/>
      <c r="M908" s="350" t="n"/>
      <c r="N908" s="350">
        <f>IF($A908="","",IF(OR(LOWER($D908&amp;"")="n/a",ISNUMBER(SEARCH("subscription",LOWER($A908&amp;" "&amp;$M908&amp;""))),ISNUMBER(SEARCH("membership",LOWER($A908&amp;" "&amp;$M908&amp;"")))),"",IF($G908="","",IF(ISNUMBER(SEARCH("non",LOWER($E908&amp;""))),$G908*0.85,$G908))))</f>
        <v/>
      </c>
      <c r="O908">
        <f>IF($A908="","",IF(OR(LOWER($D908&amp;"")="n/a",ISNUMBER(SEARCH("subscription",LOWER($A908&amp;" "&amp;$M908&amp;""))),ISNUMBER(SEARCH("membership",LOWER($A908&amp;" "&amp;$M908&amp;"")))),"",IF(OR($N908="",$I908="",$I908=0),"",$N908/$I908)))</f>
        <v/>
      </c>
      <c r="P908">
        <f>IF($A908="","",IF(OR(LOWER($D908&amp;"")="n/a",ISNUMBER(SEARCH("subscription",LOWER($A908&amp;" "&amp;$M908&amp;""))),ISNUMBER(SEARCH("membership",LOWER($A908&amp;" "&amp;$M908&amp;"")))),"",IF(LOWER($L908&amp;"")="yes",0,IF($K908&lt;&gt;"",$K908,IF($O908&lt;&gt;"",$O908,"")))))</f>
        <v/>
      </c>
      <c r="Q908">
        <f>IF($A908="","",IF($U908="Subscription","",IF($U908="Profit",$P908-$H908,0)))</f>
        <v/>
      </c>
      <c r="R908">
        <f>IF($A908="","",IF($U908="Subscription","",IF($U908="Draw",$H908,0)))</f>
        <v/>
      </c>
      <c r="S908">
        <f>IF($A908="","",IF($U908="Subscription","",IF($U908="Disqualified",$H908,0)))</f>
        <v/>
      </c>
      <c r="T908">
        <f>IF($A908="","",IF($U908="Subscription","",IF($H908=0,IF($U908="Profit","N/A",0),IF($U908="Profit",$Q908/$H908,IF($U908="Disqualified",-1,0)))))</f>
        <v/>
      </c>
      <c r="U908" s="350">
        <f>IF($A908="","",IF(OR(LOWER($D908&amp;"")="n/a",ISNUMBER(SEARCH("subscription",LOWER($A908&amp;" "&amp;$M908&amp;""))),ISNUMBER(SEARCH("membership",LOWER($A908&amp;" "&amp;$M908&amp;"")))),"Subscription",IF(LOWER($L908&amp;"")="yes","Disqualified",IF($P908&gt;$H908,"Profit","Draw"))))</f>
        <v/>
      </c>
      <c r="V908">
        <f>IF(OR($A908="",$B908="",$C908="",$U908="Subscription"),"",IFERROR(ROUNDUP((IF(ISNUMBER($C908),$C908,DATEVALUE($C908))-IF(ISNUMBER($B908),$B908,DATEVALUE($B908)))/7,0),""))</f>
        <v/>
      </c>
      <c r="W908" s="352">
        <f>IF($U908="Subscription","",$Q908-$S908)</f>
        <v/>
      </c>
      <c r="X908">
        <f>IF(OR($A908="",$U908="Subscription",$J908="",$I908="",$J908=0,$I908=0,$I908&gt;$J908),"",$J908-$I908)</f>
        <v/>
      </c>
      <c r="Y908">
        <f>IF(OR($A908="",$U908="Subscription",$J908="",$J908=0,$X908=""),"",$X908/$J908)</f>
        <v/>
      </c>
    </row>
    <row r="909">
      <c r="B909" s="354" t="n"/>
      <c r="C909" s="354" t="n"/>
      <c r="E909" s="350" t="n"/>
      <c r="F909" s="350" t="n"/>
      <c r="G909" s="350" t="n"/>
      <c r="H909" s="350" t="n"/>
      <c r="I909" s="350" t="n"/>
      <c r="J909" s="352" t="n"/>
      <c r="M909" s="350" t="n"/>
      <c r="N909" s="350">
        <f>IF($A909="","",IF(OR(LOWER($D909&amp;"")="n/a",ISNUMBER(SEARCH("subscription",LOWER($A909&amp;" "&amp;$M909&amp;""))),ISNUMBER(SEARCH("membership",LOWER($A909&amp;" "&amp;$M909&amp;"")))),"",IF($G909="","",IF(ISNUMBER(SEARCH("non",LOWER($E909&amp;""))),$G909*0.85,$G909))))</f>
        <v/>
      </c>
      <c r="O909">
        <f>IF($A909="","",IF(OR(LOWER($D909&amp;"")="n/a",ISNUMBER(SEARCH("subscription",LOWER($A909&amp;" "&amp;$M909&amp;""))),ISNUMBER(SEARCH("membership",LOWER($A909&amp;" "&amp;$M909&amp;"")))),"",IF(OR($N909="",$I909="",$I909=0),"",$N909/$I909)))</f>
        <v/>
      </c>
      <c r="P909">
        <f>IF($A909="","",IF(OR(LOWER($D909&amp;"")="n/a",ISNUMBER(SEARCH("subscription",LOWER($A909&amp;" "&amp;$M909&amp;""))),ISNUMBER(SEARCH("membership",LOWER($A909&amp;" "&amp;$M909&amp;"")))),"",IF(LOWER($L909&amp;"")="yes",0,IF($K909&lt;&gt;"",$K909,IF($O909&lt;&gt;"",$O909,"")))))</f>
        <v/>
      </c>
      <c r="Q909">
        <f>IF($A909="","",IF($U909="Subscription","",IF($U909="Profit",$P909-$H909,0)))</f>
        <v/>
      </c>
      <c r="R909">
        <f>IF($A909="","",IF($U909="Subscription","",IF($U909="Draw",$H909,0)))</f>
        <v/>
      </c>
      <c r="S909">
        <f>IF($A909="","",IF($U909="Subscription","",IF($U909="Disqualified",$H909,0)))</f>
        <v/>
      </c>
      <c r="T909">
        <f>IF($A909="","",IF($U909="Subscription","",IF($H909=0,IF($U909="Profit","N/A",0),IF($U909="Profit",$Q909/$H909,IF($U909="Disqualified",-1,0)))))</f>
        <v/>
      </c>
      <c r="U909" s="350">
        <f>IF($A909="","",IF(OR(LOWER($D909&amp;"")="n/a",ISNUMBER(SEARCH("subscription",LOWER($A909&amp;" "&amp;$M909&amp;""))),ISNUMBER(SEARCH("membership",LOWER($A909&amp;" "&amp;$M909&amp;"")))),"Subscription",IF(LOWER($L909&amp;"")="yes","Disqualified",IF($P909&gt;$H909,"Profit","Draw"))))</f>
        <v/>
      </c>
      <c r="V909">
        <f>IF(OR($A909="",$B909="",$C909="",$U909="Subscription"),"",IFERROR(ROUNDUP((IF(ISNUMBER($C909),$C909,DATEVALUE($C909))-IF(ISNUMBER($B909),$B909,DATEVALUE($B909)))/7,0),""))</f>
        <v/>
      </c>
      <c r="W909" s="352">
        <f>IF($U909="Subscription","",$Q909-$S909)</f>
        <v/>
      </c>
      <c r="X909">
        <f>IF(OR($A909="",$U909="Subscription",$J909="",$I909="",$J909=0,$I909=0,$I909&gt;$J909),"",$J909-$I909)</f>
        <v/>
      </c>
      <c r="Y909">
        <f>IF(OR($A909="",$U909="Subscription",$J909="",$J909=0,$X909=""),"",$X909/$J909)</f>
        <v/>
      </c>
    </row>
    <row r="910">
      <c r="B910" s="354" t="n"/>
      <c r="C910" s="354" t="n"/>
      <c r="E910" s="350" t="n"/>
      <c r="F910" s="350" t="n"/>
      <c r="G910" s="350" t="n"/>
      <c r="H910" s="350" t="n"/>
      <c r="I910" s="350" t="n"/>
      <c r="J910" s="352" t="n"/>
      <c r="M910" s="350" t="n"/>
      <c r="N910" s="350">
        <f>IF($A910="","",IF(OR(LOWER($D910&amp;"")="n/a",ISNUMBER(SEARCH("subscription",LOWER($A910&amp;" "&amp;$M910&amp;""))),ISNUMBER(SEARCH("membership",LOWER($A910&amp;" "&amp;$M910&amp;"")))),"",IF($G910="","",IF(ISNUMBER(SEARCH("non",LOWER($E910&amp;""))),$G910*0.85,$G910))))</f>
        <v/>
      </c>
      <c r="O910">
        <f>IF($A910="","",IF(OR(LOWER($D910&amp;"")="n/a",ISNUMBER(SEARCH("subscription",LOWER($A910&amp;" "&amp;$M910&amp;""))),ISNUMBER(SEARCH("membership",LOWER($A910&amp;" "&amp;$M910&amp;"")))),"",IF(OR($N910="",$I910="",$I910=0),"",$N910/$I910)))</f>
        <v/>
      </c>
      <c r="P910">
        <f>IF($A910="","",IF(OR(LOWER($D910&amp;"")="n/a",ISNUMBER(SEARCH("subscription",LOWER($A910&amp;" "&amp;$M910&amp;""))),ISNUMBER(SEARCH("membership",LOWER($A910&amp;" "&amp;$M910&amp;"")))),"",IF(LOWER($L910&amp;"")="yes",0,IF($K910&lt;&gt;"",$K910,IF($O910&lt;&gt;"",$O910,"")))))</f>
        <v/>
      </c>
      <c r="Q910">
        <f>IF($A910="","",IF($U910="Subscription","",IF($U910="Profit",$P910-$H910,0)))</f>
        <v/>
      </c>
      <c r="R910">
        <f>IF($A910="","",IF($U910="Subscription","",IF($U910="Draw",$H910,0)))</f>
        <v/>
      </c>
      <c r="S910">
        <f>IF($A910="","",IF($U910="Subscription","",IF($U910="Disqualified",$H910,0)))</f>
        <v/>
      </c>
      <c r="T910">
        <f>IF($A910="","",IF($U910="Subscription","",IF($H910=0,IF($U910="Profit","N/A",0),IF($U910="Profit",$Q910/$H910,IF($U910="Disqualified",-1,0)))))</f>
        <v/>
      </c>
      <c r="U910" s="350">
        <f>IF($A910="","",IF(OR(LOWER($D910&amp;"")="n/a",ISNUMBER(SEARCH("subscription",LOWER($A910&amp;" "&amp;$M910&amp;""))),ISNUMBER(SEARCH("membership",LOWER($A910&amp;" "&amp;$M910&amp;"")))),"Subscription",IF(LOWER($L910&amp;"")="yes","Disqualified",IF($P910&gt;$H910,"Profit","Draw"))))</f>
        <v/>
      </c>
      <c r="V910">
        <f>IF(OR($A910="",$B910="",$C910="",$U910="Subscription"),"",IFERROR(ROUNDUP((IF(ISNUMBER($C910),$C910,DATEVALUE($C910))-IF(ISNUMBER($B910),$B910,DATEVALUE($B910)))/7,0),""))</f>
        <v/>
      </c>
      <c r="W910" s="352">
        <f>IF($U910="Subscription","",$Q910-$S910)</f>
        <v/>
      </c>
      <c r="X910">
        <f>IF(OR($A910="",$U910="Subscription",$J910="",$I910="",$J910=0,$I910=0,$I910&gt;$J910),"",$J910-$I910)</f>
        <v/>
      </c>
      <c r="Y910">
        <f>IF(OR($A910="",$U910="Subscription",$J910="",$J910=0,$X910=""),"",$X910/$J910)</f>
        <v/>
      </c>
    </row>
    <row r="911">
      <c r="B911" s="354" t="n"/>
      <c r="C911" s="354" t="n"/>
      <c r="E911" s="350" t="n"/>
      <c r="F911" s="350" t="n"/>
      <c r="G911" s="350" t="n"/>
      <c r="H911" s="350" t="n"/>
      <c r="I911" s="350" t="n"/>
      <c r="J911" s="352" t="n"/>
      <c r="M911" s="350" t="n"/>
      <c r="N911" s="350">
        <f>IF($A911="","",IF(OR(LOWER($D911&amp;"")="n/a",ISNUMBER(SEARCH("subscription",LOWER($A911&amp;" "&amp;$M911&amp;""))),ISNUMBER(SEARCH("membership",LOWER($A911&amp;" "&amp;$M911&amp;"")))),"",IF($G911="","",IF(ISNUMBER(SEARCH("non",LOWER($E911&amp;""))),$G911*0.85,$G911))))</f>
        <v/>
      </c>
      <c r="O911">
        <f>IF($A911="","",IF(OR(LOWER($D911&amp;"")="n/a",ISNUMBER(SEARCH("subscription",LOWER($A911&amp;" "&amp;$M911&amp;""))),ISNUMBER(SEARCH("membership",LOWER($A911&amp;" "&amp;$M911&amp;"")))),"",IF(OR($N911="",$I911="",$I911=0),"",$N911/$I911)))</f>
        <v/>
      </c>
      <c r="P911">
        <f>IF($A911="","",IF(OR(LOWER($D911&amp;"")="n/a",ISNUMBER(SEARCH("subscription",LOWER($A911&amp;" "&amp;$M911&amp;""))),ISNUMBER(SEARCH("membership",LOWER($A911&amp;" "&amp;$M911&amp;"")))),"",IF(LOWER($L911&amp;"")="yes",0,IF($K911&lt;&gt;"",$K911,IF($O911&lt;&gt;"",$O911,"")))))</f>
        <v/>
      </c>
      <c r="Q911">
        <f>IF($A911="","",IF($U911="Subscription","",IF($U911="Profit",$P911-$H911,0)))</f>
        <v/>
      </c>
      <c r="R911">
        <f>IF($A911="","",IF($U911="Subscription","",IF($U911="Draw",$H911,0)))</f>
        <v/>
      </c>
      <c r="S911">
        <f>IF($A911="","",IF($U911="Subscription","",IF($U911="Disqualified",$H911,0)))</f>
        <v/>
      </c>
      <c r="T911">
        <f>IF($A911="","",IF($U911="Subscription","",IF($H911=0,IF($U911="Profit","N/A",0),IF($U911="Profit",$Q911/$H911,IF($U911="Disqualified",-1,0)))))</f>
        <v/>
      </c>
      <c r="U911" s="350">
        <f>IF($A911="","",IF(OR(LOWER($D911&amp;"")="n/a",ISNUMBER(SEARCH("subscription",LOWER($A911&amp;" "&amp;$M911&amp;""))),ISNUMBER(SEARCH("membership",LOWER($A911&amp;" "&amp;$M911&amp;"")))),"Subscription",IF(LOWER($L911&amp;"")="yes","Disqualified",IF($P911&gt;$H911,"Profit","Draw"))))</f>
        <v/>
      </c>
      <c r="V911">
        <f>IF(OR($A911="",$B911="",$C911="",$U911="Subscription"),"",IFERROR(ROUNDUP((IF(ISNUMBER($C911),$C911,DATEVALUE($C911))-IF(ISNUMBER($B911),$B911,DATEVALUE($B911)))/7,0),""))</f>
        <v/>
      </c>
      <c r="W911" s="352">
        <f>IF($U911="Subscription","",$Q911-$S911)</f>
        <v/>
      </c>
      <c r="X911">
        <f>IF(OR($A911="",$U911="Subscription",$J911="",$I911="",$J911=0,$I911=0,$I911&gt;$J911),"",$J911-$I911)</f>
        <v/>
      </c>
      <c r="Y911">
        <f>IF(OR($A911="",$U911="Subscription",$J911="",$J911=0,$X911=""),"",$X911/$J911)</f>
        <v/>
      </c>
    </row>
    <row r="912">
      <c r="B912" s="354" t="n"/>
      <c r="C912" s="354" t="n"/>
      <c r="E912" s="350" t="n"/>
      <c r="F912" s="350" t="n"/>
      <c r="G912" s="350" t="n"/>
      <c r="H912" s="350" t="n"/>
      <c r="I912" s="350" t="n"/>
      <c r="J912" s="352" t="n"/>
      <c r="M912" s="350" t="n"/>
      <c r="N912" s="350">
        <f>IF($A912="","",IF(OR(LOWER($D912&amp;"")="n/a",ISNUMBER(SEARCH("subscription",LOWER($A912&amp;" "&amp;$M912&amp;""))),ISNUMBER(SEARCH("membership",LOWER($A912&amp;" "&amp;$M912&amp;"")))),"",IF($G912="","",IF(ISNUMBER(SEARCH("non",LOWER($E912&amp;""))),$G912*0.85,$G912))))</f>
        <v/>
      </c>
      <c r="O912">
        <f>IF($A912="","",IF(OR(LOWER($D912&amp;"")="n/a",ISNUMBER(SEARCH("subscription",LOWER($A912&amp;" "&amp;$M912&amp;""))),ISNUMBER(SEARCH("membership",LOWER($A912&amp;" "&amp;$M912&amp;"")))),"",IF(OR($N912="",$I912="",$I912=0),"",$N912/$I912)))</f>
        <v/>
      </c>
      <c r="P912">
        <f>IF($A912="","",IF(OR(LOWER($D912&amp;"")="n/a",ISNUMBER(SEARCH("subscription",LOWER($A912&amp;" "&amp;$M912&amp;""))),ISNUMBER(SEARCH("membership",LOWER($A912&amp;" "&amp;$M912&amp;"")))),"",IF(LOWER($L912&amp;"")="yes",0,IF($K912&lt;&gt;"",$K912,IF($O912&lt;&gt;"",$O912,"")))))</f>
        <v/>
      </c>
      <c r="Q912">
        <f>IF($A912="","",IF($U912="Subscription","",IF($U912="Profit",$P912-$H912,0)))</f>
        <v/>
      </c>
      <c r="R912">
        <f>IF($A912="","",IF($U912="Subscription","",IF($U912="Draw",$H912,0)))</f>
        <v/>
      </c>
      <c r="S912">
        <f>IF($A912="","",IF($U912="Subscription","",IF($U912="Disqualified",$H912,0)))</f>
        <v/>
      </c>
      <c r="T912">
        <f>IF($A912="","",IF($U912="Subscription","",IF($H912=0,IF($U912="Profit","N/A",0),IF($U912="Profit",$Q912/$H912,IF($U912="Disqualified",-1,0)))))</f>
        <v/>
      </c>
      <c r="U912" s="350">
        <f>IF($A912="","",IF(OR(LOWER($D912&amp;"")="n/a",ISNUMBER(SEARCH("subscription",LOWER($A912&amp;" "&amp;$M912&amp;""))),ISNUMBER(SEARCH("membership",LOWER($A912&amp;" "&amp;$M912&amp;"")))),"Subscription",IF(LOWER($L912&amp;"")="yes","Disqualified",IF($P912&gt;$H912,"Profit","Draw"))))</f>
        <v/>
      </c>
      <c r="V912">
        <f>IF(OR($A912="",$B912="",$C912="",$U912="Subscription"),"",IFERROR(ROUNDUP((IF(ISNUMBER($C912),$C912,DATEVALUE($C912))-IF(ISNUMBER($B912),$B912,DATEVALUE($B912)))/7,0),""))</f>
        <v/>
      </c>
      <c r="W912" s="352">
        <f>IF($U912="Subscription","",$Q912-$S912)</f>
        <v/>
      </c>
      <c r="X912">
        <f>IF(OR($A912="",$U912="Subscription",$J912="",$I912="",$J912=0,$I912=0,$I912&gt;$J912),"",$J912-$I912)</f>
        <v/>
      </c>
      <c r="Y912">
        <f>IF(OR($A912="",$U912="Subscription",$J912="",$J912=0,$X912=""),"",$X912/$J912)</f>
        <v/>
      </c>
    </row>
    <row r="913">
      <c r="B913" s="354" t="n"/>
      <c r="C913" s="354" t="n"/>
      <c r="E913" s="350" t="n"/>
      <c r="F913" s="350" t="n"/>
      <c r="G913" s="350" t="n"/>
      <c r="H913" s="350" t="n"/>
      <c r="I913" s="350" t="n"/>
      <c r="J913" s="352" t="n"/>
      <c r="M913" s="350" t="n"/>
      <c r="N913" s="350">
        <f>IF($A913="","",IF(OR(LOWER($D913&amp;"")="n/a",ISNUMBER(SEARCH("subscription",LOWER($A913&amp;" "&amp;$M913&amp;""))),ISNUMBER(SEARCH("membership",LOWER($A913&amp;" "&amp;$M913&amp;"")))),"",IF($G913="","",IF(ISNUMBER(SEARCH("non",LOWER($E913&amp;""))),$G913*0.85,$G913))))</f>
        <v/>
      </c>
      <c r="O913">
        <f>IF($A913="","",IF(OR(LOWER($D913&amp;"")="n/a",ISNUMBER(SEARCH("subscription",LOWER($A913&amp;" "&amp;$M913&amp;""))),ISNUMBER(SEARCH("membership",LOWER($A913&amp;" "&amp;$M913&amp;"")))),"",IF(OR($N913="",$I913="",$I913=0),"",$N913/$I913)))</f>
        <v/>
      </c>
      <c r="P913">
        <f>IF($A913="","",IF(OR(LOWER($D913&amp;"")="n/a",ISNUMBER(SEARCH("subscription",LOWER($A913&amp;" "&amp;$M913&amp;""))),ISNUMBER(SEARCH("membership",LOWER($A913&amp;" "&amp;$M913&amp;"")))),"",IF(LOWER($L913&amp;"")="yes",0,IF($K913&lt;&gt;"",$K913,IF($O913&lt;&gt;"",$O913,"")))))</f>
        <v/>
      </c>
      <c r="Q913">
        <f>IF($A913="","",IF($U913="Subscription","",IF($U913="Profit",$P913-$H913,0)))</f>
        <v/>
      </c>
      <c r="R913">
        <f>IF($A913="","",IF($U913="Subscription","",IF($U913="Draw",$H913,0)))</f>
        <v/>
      </c>
      <c r="S913">
        <f>IF($A913="","",IF($U913="Subscription","",IF($U913="Disqualified",$H913,0)))</f>
        <v/>
      </c>
      <c r="T913">
        <f>IF($A913="","",IF($U913="Subscription","",IF($H913=0,IF($U913="Profit","N/A",0),IF($U913="Profit",$Q913/$H913,IF($U913="Disqualified",-1,0)))))</f>
        <v/>
      </c>
      <c r="U913" s="350">
        <f>IF($A913="","",IF(OR(LOWER($D913&amp;"")="n/a",ISNUMBER(SEARCH("subscription",LOWER($A913&amp;" "&amp;$M913&amp;""))),ISNUMBER(SEARCH("membership",LOWER($A913&amp;" "&amp;$M913&amp;"")))),"Subscription",IF(LOWER($L913&amp;"")="yes","Disqualified",IF($P913&gt;$H913,"Profit","Draw"))))</f>
        <v/>
      </c>
      <c r="V913">
        <f>IF(OR($A913="",$B913="",$C913="",$U913="Subscription"),"",IFERROR(ROUNDUP((IF(ISNUMBER($C913),$C913,DATEVALUE($C913))-IF(ISNUMBER($B913),$B913,DATEVALUE($B913)))/7,0),""))</f>
        <v/>
      </c>
      <c r="W913" s="352">
        <f>IF($U913="Subscription","",$Q913-$S913)</f>
        <v/>
      </c>
      <c r="X913">
        <f>IF(OR($A913="",$U913="Subscription",$J913="",$I913="",$J913=0,$I913=0,$I913&gt;$J913),"",$J913-$I913)</f>
        <v/>
      </c>
      <c r="Y913">
        <f>IF(OR($A913="",$U913="Subscription",$J913="",$J913=0,$X913=""),"",$X913/$J913)</f>
        <v/>
      </c>
    </row>
    <row r="914">
      <c r="B914" s="354" t="n"/>
      <c r="C914" s="354" t="n"/>
      <c r="E914" s="350" t="n"/>
      <c r="F914" s="350" t="n"/>
      <c r="G914" s="350" t="n"/>
      <c r="H914" s="350" t="n"/>
      <c r="I914" s="350" t="n"/>
      <c r="J914" s="352" t="n"/>
      <c r="M914" s="350" t="n"/>
      <c r="N914" s="350">
        <f>IF($A914="","",IF(OR(LOWER($D914&amp;"")="n/a",ISNUMBER(SEARCH("subscription",LOWER($A914&amp;" "&amp;$M914&amp;""))),ISNUMBER(SEARCH("membership",LOWER($A914&amp;" "&amp;$M914&amp;"")))),"",IF($G914="","",IF(ISNUMBER(SEARCH("non",LOWER($E914&amp;""))),$G914*0.85,$G914))))</f>
        <v/>
      </c>
      <c r="O914">
        <f>IF($A914="","",IF(OR(LOWER($D914&amp;"")="n/a",ISNUMBER(SEARCH("subscription",LOWER($A914&amp;" "&amp;$M914&amp;""))),ISNUMBER(SEARCH("membership",LOWER($A914&amp;" "&amp;$M914&amp;"")))),"",IF(OR($N914="",$I914="",$I914=0),"",$N914/$I914)))</f>
        <v/>
      </c>
      <c r="P914">
        <f>IF($A914="","",IF(OR(LOWER($D914&amp;"")="n/a",ISNUMBER(SEARCH("subscription",LOWER($A914&amp;" "&amp;$M914&amp;""))),ISNUMBER(SEARCH("membership",LOWER($A914&amp;" "&amp;$M914&amp;"")))),"",IF(LOWER($L914&amp;"")="yes",0,IF($K914&lt;&gt;"",$K914,IF($O914&lt;&gt;"",$O914,"")))))</f>
        <v/>
      </c>
      <c r="Q914">
        <f>IF($A914="","",IF($U914="Subscription","",IF($U914="Profit",$P914-$H914,0)))</f>
        <v/>
      </c>
      <c r="R914">
        <f>IF($A914="","",IF($U914="Subscription","",IF($U914="Draw",$H914,0)))</f>
        <v/>
      </c>
      <c r="S914">
        <f>IF($A914="","",IF($U914="Subscription","",IF($U914="Disqualified",$H914,0)))</f>
        <v/>
      </c>
      <c r="T914">
        <f>IF($A914="","",IF($U914="Subscription","",IF($H914=0,IF($U914="Profit","N/A",0),IF($U914="Profit",$Q914/$H914,IF($U914="Disqualified",-1,0)))))</f>
        <v/>
      </c>
      <c r="U914" s="350">
        <f>IF($A914="","",IF(OR(LOWER($D914&amp;"")="n/a",ISNUMBER(SEARCH("subscription",LOWER($A914&amp;" "&amp;$M914&amp;""))),ISNUMBER(SEARCH("membership",LOWER($A914&amp;" "&amp;$M914&amp;"")))),"Subscription",IF(LOWER($L914&amp;"")="yes","Disqualified",IF($P914&gt;$H914,"Profit","Draw"))))</f>
        <v/>
      </c>
      <c r="V914">
        <f>IF(OR($A914="",$B914="",$C914="",$U914="Subscription"),"",IFERROR(ROUNDUP((IF(ISNUMBER($C914),$C914,DATEVALUE($C914))-IF(ISNUMBER($B914),$B914,DATEVALUE($B914)))/7,0),""))</f>
        <v/>
      </c>
      <c r="W914" s="352">
        <f>IF($U914="Subscription","",$Q914-$S914)</f>
        <v/>
      </c>
      <c r="X914">
        <f>IF(OR($A914="",$U914="Subscription",$J914="",$I914="",$J914=0,$I914=0,$I914&gt;$J914),"",$J914-$I914)</f>
        <v/>
      </c>
      <c r="Y914">
        <f>IF(OR($A914="",$U914="Subscription",$J914="",$J914=0,$X914=""),"",$X914/$J914)</f>
        <v/>
      </c>
    </row>
    <row r="915">
      <c r="B915" s="354" t="n"/>
      <c r="C915" s="354" t="n"/>
      <c r="E915" s="350" t="n"/>
      <c r="F915" s="350" t="n"/>
      <c r="G915" s="350" t="n"/>
      <c r="H915" s="350" t="n"/>
      <c r="I915" s="350" t="n"/>
      <c r="J915" s="352" t="n"/>
      <c r="M915" s="350" t="n"/>
      <c r="N915" s="350">
        <f>IF($A915="","",IF(OR(LOWER($D915&amp;"")="n/a",ISNUMBER(SEARCH("subscription",LOWER($A915&amp;" "&amp;$M915&amp;""))),ISNUMBER(SEARCH("membership",LOWER($A915&amp;" "&amp;$M915&amp;"")))),"",IF($G915="","",IF(ISNUMBER(SEARCH("non",LOWER($E915&amp;""))),$G915*0.85,$G915))))</f>
        <v/>
      </c>
      <c r="O915">
        <f>IF($A915="","",IF(OR(LOWER($D915&amp;"")="n/a",ISNUMBER(SEARCH("subscription",LOWER($A915&amp;" "&amp;$M915&amp;""))),ISNUMBER(SEARCH("membership",LOWER($A915&amp;" "&amp;$M915&amp;"")))),"",IF(OR($N915="",$I915="",$I915=0),"",$N915/$I915)))</f>
        <v/>
      </c>
      <c r="P915">
        <f>IF($A915="","",IF(OR(LOWER($D915&amp;"")="n/a",ISNUMBER(SEARCH("subscription",LOWER($A915&amp;" "&amp;$M915&amp;""))),ISNUMBER(SEARCH("membership",LOWER($A915&amp;" "&amp;$M915&amp;"")))),"",IF(LOWER($L915&amp;"")="yes",0,IF($K915&lt;&gt;"",$K915,IF($O915&lt;&gt;"",$O915,"")))))</f>
        <v/>
      </c>
      <c r="Q915">
        <f>IF($A915="","",IF($U915="Subscription","",IF($U915="Profit",$P915-$H915,0)))</f>
        <v/>
      </c>
      <c r="R915">
        <f>IF($A915="","",IF($U915="Subscription","",IF($U915="Draw",$H915,0)))</f>
        <v/>
      </c>
      <c r="S915">
        <f>IF($A915="","",IF($U915="Subscription","",IF($U915="Disqualified",$H915,0)))</f>
        <v/>
      </c>
      <c r="T915">
        <f>IF($A915="","",IF($U915="Subscription","",IF($H915=0,IF($U915="Profit","N/A",0),IF($U915="Profit",$Q915/$H915,IF($U915="Disqualified",-1,0)))))</f>
        <v/>
      </c>
      <c r="U915" s="350">
        <f>IF($A915="","",IF(OR(LOWER($D915&amp;"")="n/a",ISNUMBER(SEARCH("subscription",LOWER($A915&amp;" "&amp;$M915&amp;""))),ISNUMBER(SEARCH("membership",LOWER($A915&amp;" "&amp;$M915&amp;"")))),"Subscription",IF(LOWER($L915&amp;"")="yes","Disqualified",IF($P915&gt;$H915,"Profit","Draw"))))</f>
        <v/>
      </c>
      <c r="V915">
        <f>IF(OR($A915="",$B915="",$C915="",$U915="Subscription"),"",IFERROR(ROUNDUP((IF(ISNUMBER($C915),$C915,DATEVALUE($C915))-IF(ISNUMBER($B915),$B915,DATEVALUE($B915)))/7,0),""))</f>
        <v/>
      </c>
      <c r="W915" s="352">
        <f>IF($U915="Subscription","",$Q915-$S915)</f>
        <v/>
      </c>
      <c r="X915">
        <f>IF(OR($A915="",$U915="Subscription",$J915="",$I915="",$J915=0,$I915=0,$I915&gt;$J915),"",$J915-$I915)</f>
        <v/>
      </c>
      <c r="Y915">
        <f>IF(OR($A915="",$U915="Subscription",$J915="",$J915=0,$X915=""),"",$X915/$J915)</f>
        <v/>
      </c>
    </row>
    <row r="916">
      <c r="B916" s="354" t="n"/>
      <c r="C916" s="354" t="n"/>
      <c r="E916" s="350" t="n"/>
      <c r="F916" s="350" t="n"/>
      <c r="G916" s="350" t="n"/>
      <c r="H916" s="350" t="n"/>
      <c r="I916" s="350" t="n"/>
      <c r="J916" s="352" t="n"/>
      <c r="M916" s="350" t="n"/>
      <c r="N916" s="350">
        <f>IF($A916="","",IF(OR(LOWER($D916&amp;"")="n/a",ISNUMBER(SEARCH("subscription",LOWER($A916&amp;" "&amp;$M916&amp;""))),ISNUMBER(SEARCH("membership",LOWER($A916&amp;" "&amp;$M916&amp;"")))),"",IF($G916="","",IF(ISNUMBER(SEARCH("non",LOWER($E916&amp;""))),$G916*0.85,$G916))))</f>
        <v/>
      </c>
      <c r="O916">
        <f>IF($A916="","",IF(OR(LOWER($D916&amp;"")="n/a",ISNUMBER(SEARCH("subscription",LOWER($A916&amp;" "&amp;$M916&amp;""))),ISNUMBER(SEARCH("membership",LOWER($A916&amp;" "&amp;$M916&amp;"")))),"",IF(OR($N916="",$I916="",$I916=0),"",$N916/$I916)))</f>
        <v/>
      </c>
      <c r="P916">
        <f>IF($A916="","",IF(OR(LOWER($D916&amp;"")="n/a",ISNUMBER(SEARCH("subscription",LOWER($A916&amp;" "&amp;$M916&amp;""))),ISNUMBER(SEARCH("membership",LOWER($A916&amp;" "&amp;$M916&amp;"")))),"",IF(LOWER($L916&amp;"")="yes",0,IF($K916&lt;&gt;"",$K916,IF($O916&lt;&gt;"",$O916,"")))))</f>
        <v/>
      </c>
      <c r="Q916">
        <f>IF($A916="","",IF($U916="Subscription","",IF($U916="Profit",$P916-$H916,0)))</f>
        <v/>
      </c>
      <c r="R916">
        <f>IF($A916="","",IF($U916="Subscription","",IF($U916="Draw",$H916,0)))</f>
        <v/>
      </c>
      <c r="S916">
        <f>IF($A916="","",IF($U916="Subscription","",IF($U916="Disqualified",$H916,0)))</f>
        <v/>
      </c>
      <c r="T916">
        <f>IF($A916="","",IF($U916="Subscription","",IF($H916=0,IF($U916="Profit","N/A",0),IF($U916="Profit",$Q916/$H916,IF($U916="Disqualified",-1,0)))))</f>
        <v/>
      </c>
      <c r="U916" s="350">
        <f>IF($A916="","",IF(OR(LOWER($D916&amp;"")="n/a",ISNUMBER(SEARCH("subscription",LOWER($A916&amp;" "&amp;$M916&amp;""))),ISNUMBER(SEARCH("membership",LOWER($A916&amp;" "&amp;$M916&amp;"")))),"Subscription",IF(LOWER($L916&amp;"")="yes","Disqualified",IF($P916&gt;$H916,"Profit","Draw"))))</f>
        <v/>
      </c>
      <c r="V916">
        <f>IF(OR($A916="",$B916="",$C916="",$U916="Subscription"),"",IFERROR(ROUNDUP((IF(ISNUMBER($C916),$C916,DATEVALUE($C916))-IF(ISNUMBER($B916),$B916,DATEVALUE($B916)))/7,0),""))</f>
        <v/>
      </c>
      <c r="W916" s="352">
        <f>IF($U916="Subscription","",$Q916-$S916)</f>
        <v/>
      </c>
      <c r="X916">
        <f>IF(OR($A916="",$U916="Subscription",$J916="",$I916="",$J916=0,$I916=0,$I916&gt;$J916),"",$J916-$I916)</f>
        <v/>
      </c>
      <c r="Y916">
        <f>IF(OR($A916="",$U916="Subscription",$J916="",$J916=0,$X916=""),"",$X916/$J916)</f>
        <v/>
      </c>
    </row>
    <row r="917">
      <c r="B917" s="354" t="n"/>
      <c r="C917" s="354" t="n"/>
      <c r="E917" s="350" t="n"/>
      <c r="F917" s="350" t="n"/>
      <c r="G917" s="350" t="n"/>
      <c r="H917" s="350" t="n"/>
      <c r="I917" s="350" t="n"/>
      <c r="J917" s="352" t="n"/>
      <c r="M917" s="350" t="n"/>
      <c r="N917" s="350">
        <f>IF($A917="","",IF(OR(LOWER($D917&amp;"")="n/a",ISNUMBER(SEARCH("subscription",LOWER($A917&amp;" "&amp;$M917&amp;""))),ISNUMBER(SEARCH("membership",LOWER($A917&amp;" "&amp;$M917&amp;"")))),"",IF($G917="","",IF(ISNUMBER(SEARCH("non",LOWER($E917&amp;""))),$G917*0.85,$G917))))</f>
        <v/>
      </c>
      <c r="O917">
        <f>IF($A917="","",IF(OR(LOWER($D917&amp;"")="n/a",ISNUMBER(SEARCH("subscription",LOWER($A917&amp;" "&amp;$M917&amp;""))),ISNUMBER(SEARCH("membership",LOWER($A917&amp;" "&amp;$M917&amp;"")))),"",IF(OR($N917="",$I917="",$I917=0),"",$N917/$I917)))</f>
        <v/>
      </c>
      <c r="P917">
        <f>IF($A917="","",IF(OR(LOWER($D917&amp;"")="n/a",ISNUMBER(SEARCH("subscription",LOWER($A917&amp;" "&amp;$M917&amp;""))),ISNUMBER(SEARCH("membership",LOWER($A917&amp;" "&amp;$M917&amp;"")))),"",IF(LOWER($L917&amp;"")="yes",0,IF($K917&lt;&gt;"",$K917,IF($O917&lt;&gt;"",$O917,"")))))</f>
        <v/>
      </c>
      <c r="Q917">
        <f>IF($A917="","",IF($U917="Subscription","",IF($U917="Profit",$P917-$H917,0)))</f>
        <v/>
      </c>
      <c r="R917">
        <f>IF($A917="","",IF($U917="Subscription","",IF($U917="Draw",$H917,0)))</f>
        <v/>
      </c>
      <c r="S917">
        <f>IF($A917="","",IF($U917="Subscription","",IF($U917="Disqualified",$H917,0)))</f>
        <v/>
      </c>
      <c r="T917">
        <f>IF($A917="","",IF($U917="Subscription","",IF($H917=0,IF($U917="Profit","N/A",0),IF($U917="Profit",$Q917/$H917,IF($U917="Disqualified",-1,0)))))</f>
        <v/>
      </c>
      <c r="U917" s="350">
        <f>IF($A917="","",IF(OR(LOWER($D917&amp;"")="n/a",ISNUMBER(SEARCH("subscription",LOWER($A917&amp;" "&amp;$M917&amp;""))),ISNUMBER(SEARCH("membership",LOWER($A917&amp;" "&amp;$M917&amp;"")))),"Subscription",IF(LOWER($L917&amp;"")="yes","Disqualified",IF($P917&gt;$H917,"Profit","Draw"))))</f>
        <v/>
      </c>
      <c r="V917">
        <f>IF(OR($A917="",$B917="",$C917="",$U917="Subscription"),"",IFERROR(ROUNDUP((IF(ISNUMBER($C917),$C917,DATEVALUE($C917))-IF(ISNUMBER($B917),$B917,DATEVALUE($B917)))/7,0),""))</f>
        <v/>
      </c>
      <c r="W917" s="352">
        <f>IF($U917="Subscription","",$Q917-$S917)</f>
        <v/>
      </c>
      <c r="X917">
        <f>IF(OR($A917="",$U917="Subscription",$J917="",$I917="",$J917=0,$I917=0,$I917&gt;$J917),"",$J917-$I917)</f>
        <v/>
      </c>
      <c r="Y917">
        <f>IF(OR($A917="",$U917="Subscription",$J917="",$J917=0,$X917=""),"",$X917/$J917)</f>
        <v/>
      </c>
    </row>
    <row r="918">
      <c r="B918" s="354" t="n"/>
      <c r="C918" s="354" t="n"/>
      <c r="E918" s="350" t="n"/>
      <c r="F918" s="350" t="n"/>
      <c r="G918" s="350" t="n"/>
      <c r="H918" s="350" t="n"/>
      <c r="I918" s="350" t="n"/>
      <c r="J918" s="352" t="n"/>
      <c r="M918" s="350" t="n"/>
      <c r="N918" s="350">
        <f>IF($A918="","",IF(OR(LOWER($D918&amp;"")="n/a",ISNUMBER(SEARCH("subscription",LOWER($A918&amp;" "&amp;$M918&amp;""))),ISNUMBER(SEARCH("membership",LOWER($A918&amp;" "&amp;$M918&amp;"")))),"",IF($G918="","",IF(ISNUMBER(SEARCH("non",LOWER($E918&amp;""))),$G918*0.85,$G918))))</f>
        <v/>
      </c>
      <c r="O918">
        <f>IF($A918="","",IF(OR(LOWER($D918&amp;"")="n/a",ISNUMBER(SEARCH("subscription",LOWER($A918&amp;" "&amp;$M918&amp;""))),ISNUMBER(SEARCH("membership",LOWER($A918&amp;" "&amp;$M918&amp;"")))),"",IF(OR($N918="",$I918="",$I918=0),"",$N918/$I918)))</f>
        <v/>
      </c>
      <c r="P918">
        <f>IF($A918="","",IF(OR(LOWER($D918&amp;"")="n/a",ISNUMBER(SEARCH("subscription",LOWER($A918&amp;" "&amp;$M918&amp;""))),ISNUMBER(SEARCH("membership",LOWER($A918&amp;" "&amp;$M918&amp;"")))),"",IF(LOWER($L918&amp;"")="yes",0,IF($K918&lt;&gt;"",$K918,IF($O918&lt;&gt;"",$O918,"")))))</f>
        <v/>
      </c>
      <c r="Q918">
        <f>IF($A918="","",IF($U918="Subscription","",IF($U918="Profit",$P918-$H918,0)))</f>
        <v/>
      </c>
      <c r="R918">
        <f>IF($A918="","",IF($U918="Subscription","",IF($U918="Draw",$H918,0)))</f>
        <v/>
      </c>
      <c r="S918">
        <f>IF($A918="","",IF($U918="Subscription","",IF($U918="Disqualified",$H918,0)))</f>
        <v/>
      </c>
      <c r="T918">
        <f>IF($A918="","",IF($U918="Subscription","",IF($H918=0,IF($U918="Profit","N/A",0),IF($U918="Profit",$Q918/$H918,IF($U918="Disqualified",-1,0)))))</f>
        <v/>
      </c>
      <c r="U918" s="350">
        <f>IF($A918="","",IF(OR(LOWER($D918&amp;"")="n/a",ISNUMBER(SEARCH("subscription",LOWER($A918&amp;" "&amp;$M918&amp;""))),ISNUMBER(SEARCH("membership",LOWER($A918&amp;" "&amp;$M918&amp;"")))),"Subscription",IF(LOWER($L918&amp;"")="yes","Disqualified",IF($P918&gt;$H918,"Profit","Draw"))))</f>
        <v/>
      </c>
      <c r="V918">
        <f>IF(OR($A918="",$B918="",$C918="",$U918="Subscription"),"",IFERROR(ROUNDUP((IF(ISNUMBER($C918),$C918,DATEVALUE($C918))-IF(ISNUMBER($B918),$B918,DATEVALUE($B918)))/7,0),""))</f>
        <v/>
      </c>
      <c r="W918" s="352">
        <f>IF($U918="Subscription","",$Q918-$S918)</f>
        <v/>
      </c>
      <c r="X918">
        <f>IF(OR($A918="",$U918="Subscription",$J918="",$I918="",$J918=0,$I918=0,$I918&gt;$J918),"",$J918-$I918)</f>
        <v/>
      </c>
      <c r="Y918">
        <f>IF(OR($A918="",$U918="Subscription",$J918="",$J918=0,$X918=""),"",$X918/$J918)</f>
        <v/>
      </c>
    </row>
    <row r="919">
      <c r="B919" s="354" t="n"/>
      <c r="C919" s="354" t="n"/>
      <c r="E919" s="350" t="n"/>
      <c r="F919" s="350" t="n"/>
      <c r="G919" s="350" t="n"/>
      <c r="H919" s="350" t="n"/>
      <c r="I919" s="350" t="n"/>
      <c r="J919" s="352" t="n"/>
      <c r="M919" s="350" t="n"/>
      <c r="N919" s="350">
        <f>IF($A919="","",IF(OR(LOWER($D919&amp;"")="n/a",ISNUMBER(SEARCH("subscription",LOWER($A919&amp;" "&amp;$M919&amp;""))),ISNUMBER(SEARCH("membership",LOWER($A919&amp;" "&amp;$M919&amp;"")))),"",IF($G919="","",IF(ISNUMBER(SEARCH("non",LOWER($E919&amp;""))),$G919*0.85,$G919))))</f>
        <v/>
      </c>
      <c r="O919">
        <f>IF($A919="","",IF(OR(LOWER($D919&amp;"")="n/a",ISNUMBER(SEARCH("subscription",LOWER($A919&amp;" "&amp;$M919&amp;""))),ISNUMBER(SEARCH("membership",LOWER($A919&amp;" "&amp;$M919&amp;"")))),"",IF(OR($N919="",$I919="",$I919=0),"",$N919/$I919)))</f>
        <v/>
      </c>
      <c r="P919">
        <f>IF($A919="","",IF(OR(LOWER($D919&amp;"")="n/a",ISNUMBER(SEARCH("subscription",LOWER($A919&amp;" "&amp;$M919&amp;""))),ISNUMBER(SEARCH("membership",LOWER($A919&amp;" "&amp;$M919&amp;"")))),"",IF(LOWER($L919&amp;"")="yes",0,IF($K919&lt;&gt;"",$K919,IF($O919&lt;&gt;"",$O919,"")))))</f>
        <v/>
      </c>
      <c r="Q919">
        <f>IF($A919="","",IF($U919="Subscription","",IF($U919="Profit",$P919-$H919,0)))</f>
        <v/>
      </c>
      <c r="R919">
        <f>IF($A919="","",IF($U919="Subscription","",IF($U919="Draw",$H919,0)))</f>
        <v/>
      </c>
      <c r="S919">
        <f>IF($A919="","",IF($U919="Subscription","",IF($U919="Disqualified",$H919,0)))</f>
        <v/>
      </c>
      <c r="T919">
        <f>IF($A919="","",IF($U919="Subscription","",IF($H919=0,IF($U919="Profit","N/A",0),IF($U919="Profit",$Q919/$H919,IF($U919="Disqualified",-1,0)))))</f>
        <v/>
      </c>
      <c r="U919" s="350">
        <f>IF($A919="","",IF(OR(LOWER($D919&amp;"")="n/a",ISNUMBER(SEARCH("subscription",LOWER($A919&amp;" "&amp;$M919&amp;""))),ISNUMBER(SEARCH("membership",LOWER($A919&amp;" "&amp;$M919&amp;"")))),"Subscription",IF(LOWER($L919&amp;"")="yes","Disqualified",IF($P919&gt;$H919,"Profit","Draw"))))</f>
        <v/>
      </c>
      <c r="V919">
        <f>IF(OR($A919="",$B919="",$C919="",$U919="Subscription"),"",IFERROR(ROUNDUP((IF(ISNUMBER($C919),$C919,DATEVALUE($C919))-IF(ISNUMBER($B919),$B919,DATEVALUE($B919)))/7,0),""))</f>
        <v/>
      </c>
      <c r="W919" s="352">
        <f>IF($U919="Subscription","",$Q919-$S919)</f>
        <v/>
      </c>
      <c r="X919">
        <f>IF(OR($A919="",$U919="Subscription",$J919="",$I919="",$J919=0,$I919=0,$I919&gt;$J919),"",$J919-$I919)</f>
        <v/>
      </c>
      <c r="Y919">
        <f>IF(OR($A919="",$U919="Subscription",$J919="",$J919=0,$X919=""),"",$X919/$J919)</f>
        <v/>
      </c>
    </row>
    <row r="920">
      <c r="B920" s="354" t="n"/>
      <c r="C920" s="354" t="n"/>
      <c r="E920" s="350" t="n"/>
      <c r="F920" s="350" t="n"/>
      <c r="G920" s="350" t="n"/>
      <c r="H920" s="350" t="n"/>
      <c r="I920" s="350" t="n"/>
      <c r="J920" s="352" t="n"/>
      <c r="M920" s="350" t="n"/>
      <c r="N920" s="350">
        <f>IF($A920="","",IF(OR(LOWER($D920&amp;"")="n/a",ISNUMBER(SEARCH("subscription",LOWER($A920&amp;" "&amp;$M920&amp;""))),ISNUMBER(SEARCH("membership",LOWER($A920&amp;" "&amp;$M920&amp;"")))),"",IF($G920="","",IF(ISNUMBER(SEARCH("non",LOWER($E920&amp;""))),$G920*0.85,$G920))))</f>
        <v/>
      </c>
      <c r="O920">
        <f>IF($A920="","",IF(OR(LOWER($D920&amp;"")="n/a",ISNUMBER(SEARCH("subscription",LOWER($A920&amp;" "&amp;$M920&amp;""))),ISNUMBER(SEARCH("membership",LOWER($A920&amp;" "&amp;$M920&amp;"")))),"",IF(OR($N920="",$I920="",$I920=0),"",$N920/$I920)))</f>
        <v/>
      </c>
      <c r="P920">
        <f>IF($A920="","",IF(OR(LOWER($D920&amp;"")="n/a",ISNUMBER(SEARCH("subscription",LOWER($A920&amp;" "&amp;$M920&amp;""))),ISNUMBER(SEARCH("membership",LOWER($A920&amp;" "&amp;$M920&amp;"")))),"",IF(LOWER($L920&amp;"")="yes",0,IF($K920&lt;&gt;"",$K920,IF($O920&lt;&gt;"",$O920,"")))))</f>
        <v/>
      </c>
      <c r="Q920">
        <f>IF($A920="","",IF($U920="Subscription","",IF($U920="Profit",$P920-$H920,0)))</f>
        <v/>
      </c>
      <c r="R920">
        <f>IF($A920="","",IF($U920="Subscription","",IF($U920="Draw",$H920,0)))</f>
        <v/>
      </c>
      <c r="S920">
        <f>IF($A920="","",IF($U920="Subscription","",IF($U920="Disqualified",$H920,0)))</f>
        <v/>
      </c>
      <c r="T920">
        <f>IF($A920="","",IF($U920="Subscription","",IF($H920=0,IF($U920="Profit","N/A",0),IF($U920="Profit",$Q920/$H920,IF($U920="Disqualified",-1,0)))))</f>
        <v/>
      </c>
      <c r="U920" s="350">
        <f>IF($A920="","",IF(OR(LOWER($D920&amp;"")="n/a",ISNUMBER(SEARCH("subscription",LOWER($A920&amp;" "&amp;$M920&amp;""))),ISNUMBER(SEARCH("membership",LOWER($A920&amp;" "&amp;$M920&amp;"")))),"Subscription",IF(LOWER($L920&amp;"")="yes","Disqualified",IF($P920&gt;$H920,"Profit","Draw"))))</f>
        <v/>
      </c>
      <c r="V920">
        <f>IF(OR($A920="",$B920="",$C920="",$U920="Subscription"),"",IFERROR(ROUNDUP((IF(ISNUMBER($C920),$C920,DATEVALUE($C920))-IF(ISNUMBER($B920),$B920,DATEVALUE($B920)))/7,0),""))</f>
        <v/>
      </c>
      <c r="W920" s="352">
        <f>IF($U920="Subscription","",$Q920-$S920)</f>
        <v/>
      </c>
      <c r="X920">
        <f>IF(OR($A920="",$U920="Subscription",$J920="",$I920="",$J920=0,$I920=0,$I920&gt;$J920),"",$J920-$I920)</f>
        <v/>
      </c>
      <c r="Y920">
        <f>IF(OR($A920="",$U920="Subscription",$J920="",$J920=0,$X920=""),"",$X920/$J920)</f>
        <v/>
      </c>
    </row>
    <row r="921">
      <c r="B921" s="354" t="n"/>
      <c r="C921" s="354" t="n"/>
      <c r="E921" s="350" t="n"/>
      <c r="F921" s="350" t="n"/>
      <c r="G921" s="350" t="n"/>
      <c r="H921" s="350" t="n"/>
      <c r="I921" s="350" t="n"/>
      <c r="J921" s="352" t="n"/>
      <c r="M921" s="350" t="n"/>
      <c r="N921" s="350">
        <f>IF($A921="","",IF(OR(LOWER($D921&amp;"")="n/a",ISNUMBER(SEARCH("subscription",LOWER($A921&amp;" "&amp;$M921&amp;""))),ISNUMBER(SEARCH("membership",LOWER($A921&amp;" "&amp;$M921&amp;"")))),"",IF($G921="","",IF(ISNUMBER(SEARCH("non",LOWER($E921&amp;""))),$G921*0.85,$G921))))</f>
        <v/>
      </c>
      <c r="O921">
        <f>IF($A921="","",IF(OR(LOWER($D921&amp;"")="n/a",ISNUMBER(SEARCH("subscription",LOWER($A921&amp;" "&amp;$M921&amp;""))),ISNUMBER(SEARCH("membership",LOWER($A921&amp;" "&amp;$M921&amp;"")))),"",IF(OR($N921="",$I921="",$I921=0),"",$N921/$I921)))</f>
        <v/>
      </c>
      <c r="P921">
        <f>IF($A921="","",IF(OR(LOWER($D921&amp;"")="n/a",ISNUMBER(SEARCH("subscription",LOWER($A921&amp;" "&amp;$M921&amp;""))),ISNUMBER(SEARCH("membership",LOWER($A921&amp;" "&amp;$M921&amp;"")))),"",IF(LOWER($L921&amp;"")="yes",0,IF($K921&lt;&gt;"",$K921,IF($O921&lt;&gt;"",$O921,"")))))</f>
        <v/>
      </c>
      <c r="Q921">
        <f>IF($A921="","",IF($U921="Subscription","",IF($U921="Profit",$P921-$H921,0)))</f>
        <v/>
      </c>
      <c r="R921">
        <f>IF($A921="","",IF($U921="Subscription","",IF($U921="Draw",$H921,0)))</f>
        <v/>
      </c>
      <c r="S921">
        <f>IF($A921="","",IF($U921="Subscription","",IF($U921="Disqualified",$H921,0)))</f>
        <v/>
      </c>
      <c r="T921">
        <f>IF($A921="","",IF($U921="Subscription","",IF($H921=0,IF($U921="Profit","N/A",0),IF($U921="Profit",$Q921/$H921,IF($U921="Disqualified",-1,0)))))</f>
        <v/>
      </c>
      <c r="U921" s="350">
        <f>IF($A921="","",IF(OR(LOWER($D921&amp;"")="n/a",ISNUMBER(SEARCH("subscription",LOWER($A921&amp;" "&amp;$M921&amp;""))),ISNUMBER(SEARCH("membership",LOWER($A921&amp;" "&amp;$M921&amp;"")))),"Subscription",IF(LOWER($L921&amp;"")="yes","Disqualified",IF($P921&gt;$H921,"Profit","Draw"))))</f>
        <v/>
      </c>
      <c r="V921">
        <f>IF(OR($A921="",$B921="",$C921="",$U921="Subscription"),"",IFERROR(ROUNDUP((IF(ISNUMBER($C921),$C921,DATEVALUE($C921))-IF(ISNUMBER($B921),$B921,DATEVALUE($B921)))/7,0),""))</f>
        <v/>
      </c>
      <c r="W921" s="352">
        <f>IF($U921="Subscription","",$Q921-$S921)</f>
        <v/>
      </c>
      <c r="X921">
        <f>IF(OR($A921="",$U921="Subscription",$J921="",$I921="",$J921=0,$I921=0,$I921&gt;$J921),"",$J921-$I921)</f>
        <v/>
      </c>
      <c r="Y921">
        <f>IF(OR($A921="",$U921="Subscription",$J921="",$J921=0,$X921=""),"",$X921/$J921)</f>
        <v/>
      </c>
    </row>
    <row r="922">
      <c r="B922" s="354" t="n"/>
      <c r="C922" s="354" t="n"/>
      <c r="E922" s="350" t="n"/>
      <c r="F922" s="350" t="n"/>
      <c r="G922" s="350" t="n"/>
      <c r="H922" s="350" t="n"/>
      <c r="I922" s="350" t="n"/>
      <c r="J922" s="352" t="n"/>
      <c r="M922" s="350" t="n"/>
      <c r="N922" s="350">
        <f>IF($A922="","",IF(OR(LOWER($D922&amp;"")="n/a",ISNUMBER(SEARCH("subscription",LOWER($A922&amp;" "&amp;$M922&amp;""))),ISNUMBER(SEARCH("membership",LOWER($A922&amp;" "&amp;$M922&amp;"")))),"",IF($G922="","",IF(ISNUMBER(SEARCH("non",LOWER($E922&amp;""))),$G922*0.85,$G922))))</f>
        <v/>
      </c>
      <c r="O922">
        <f>IF($A922="","",IF(OR(LOWER($D922&amp;"")="n/a",ISNUMBER(SEARCH("subscription",LOWER($A922&amp;" "&amp;$M922&amp;""))),ISNUMBER(SEARCH("membership",LOWER($A922&amp;" "&amp;$M922&amp;"")))),"",IF(OR($N922="",$I922="",$I922=0),"",$N922/$I922)))</f>
        <v/>
      </c>
      <c r="P922">
        <f>IF($A922="","",IF(OR(LOWER($D922&amp;"")="n/a",ISNUMBER(SEARCH("subscription",LOWER($A922&amp;" "&amp;$M922&amp;""))),ISNUMBER(SEARCH("membership",LOWER($A922&amp;" "&amp;$M922&amp;"")))),"",IF(LOWER($L922&amp;"")="yes",0,IF($K922&lt;&gt;"",$K922,IF($O922&lt;&gt;"",$O922,"")))))</f>
        <v/>
      </c>
      <c r="Q922">
        <f>IF($A922="","",IF($U922="Subscription","",IF($U922="Profit",$P922-$H922,0)))</f>
        <v/>
      </c>
      <c r="R922">
        <f>IF($A922="","",IF($U922="Subscription","",IF($U922="Draw",$H922,0)))</f>
        <v/>
      </c>
      <c r="S922">
        <f>IF($A922="","",IF($U922="Subscription","",IF($U922="Disqualified",$H922,0)))</f>
        <v/>
      </c>
      <c r="T922">
        <f>IF($A922="","",IF($U922="Subscription","",IF($H922=0,IF($U922="Profit","N/A",0),IF($U922="Profit",$Q922/$H922,IF($U922="Disqualified",-1,0)))))</f>
        <v/>
      </c>
      <c r="U922" s="350">
        <f>IF($A922="","",IF(OR(LOWER($D922&amp;"")="n/a",ISNUMBER(SEARCH("subscription",LOWER($A922&amp;" "&amp;$M922&amp;""))),ISNUMBER(SEARCH("membership",LOWER($A922&amp;" "&amp;$M922&amp;"")))),"Subscription",IF(LOWER($L922&amp;"")="yes","Disqualified",IF($P922&gt;$H922,"Profit","Draw"))))</f>
        <v/>
      </c>
      <c r="V922">
        <f>IF(OR($A922="",$B922="",$C922="",$U922="Subscription"),"",IFERROR(ROUNDUP((IF(ISNUMBER($C922),$C922,DATEVALUE($C922))-IF(ISNUMBER($B922),$B922,DATEVALUE($B922)))/7,0),""))</f>
        <v/>
      </c>
      <c r="W922" s="352">
        <f>IF($U922="Subscription","",$Q922-$S922)</f>
        <v/>
      </c>
      <c r="X922">
        <f>IF(OR($A922="",$U922="Subscription",$J922="",$I922="",$J922=0,$I922=0,$I922&gt;$J922),"",$J922-$I922)</f>
        <v/>
      </c>
      <c r="Y922">
        <f>IF(OR($A922="",$U922="Subscription",$J922="",$J922=0,$X922=""),"",$X922/$J922)</f>
        <v/>
      </c>
    </row>
    <row r="923">
      <c r="B923" s="354" t="n"/>
      <c r="C923" s="354" t="n"/>
      <c r="E923" s="350" t="n"/>
      <c r="F923" s="350" t="n"/>
      <c r="G923" s="350" t="n"/>
      <c r="H923" s="350" t="n"/>
      <c r="I923" s="350" t="n"/>
      <c r="J923" s="352" t="n"/>
      <c r="M923" s="350" t="n"/>
      <c r="N923" s="350">
        <f>IF($A923="","",IF(OR(LOWER($D923&amp;"")="n/a",ISNUMBER(SEARCH("subscription",LOWER($A923&amp;" "&amp;$M923&amp;""))),ISNUMBER(SEARCH("membership",LOWER($A923&amp;" "&amp;$M923&amp;"")))),"",IF($G923="","",IF(ISNUMBER(SEARCH("non",LOWER($E923&amp;""))),$G923*0.85,$G923))))</f>
        <v/>
      </c>
      <c r="O923">
        <f>IF($A923="","",IF(OR(LOWER($D923&amp;"")="n/a",ISNUMBER(SEARCH("subscription",LOWER($A923&amp;" "&amp;$M923&amp;""))),ISNUMBER(SEARCH("membership",LOWER($A923&amp;" "&amp;$M923&amp;"")))),"",IF(OR($N923="",$I923="",$I923=0),"",$N923/$I923)))</f>
        <v/>
      </c>
      <c r="P923">
        <f>IF($A923="","",IF(OR(LOWER($D923&amp;"")="n/a",ISNUMBER(SEARCH("subscription",LOWER($A923&amp;" "&amp;$M923&amp;""))),ISNUMBER(SEARCH("membership",LOWER($A923&amp;" "&amp;$M923&amp;"")))),"",IF(LOWER($L923&amp;"")="yes",0,IF($K923&lt;&gt;"",$K923,IF($O923&lt;&gt;"",$O923,"")))))</f>
        <v/>
      </c>
      <c r="Q923">
        <f>IF($A923="","",IF($U923="Subscription","",IF($U923="Profit",$P923-$H923,0)))</f>
        <v/>
      </c>
      <c r="R923">
        <f>IF($A923="","",IF($U923="Subscription","",IF($U923="Draw",$H923,0)))</f>
        <v/>
      </c>
      <c r="S923">
        <f>IF($A923="","",IF($U923="Subscription","",IF($U923="Disqualified",$H923,0)))</f>
        <v/>
      </c>
      <c r="T923">
        <f>IF($A923="","",IF($U923="Subscription","",IF($H923=0,IF($U923="Profit","N/A",0),IF($U923="Profit",$Q923/$H923,IF($U923="Disqualified",-1,0)))))</f>
        <v/>
      </c>
      <c r="U923" s="350">
        <f>IF($A923="","",IF(OR(LOWER($D923&amp;"")="n/a",ISNUMBER(SEARCH("subscription",LOWER($A923&amp;" "&amp;$M923&amp;""))),ISNUMBER(SEARCH("membership",LOWER($A923&amp;" "&amp;$M923&amp;"")))),"Subscription",IF(LOWER($L923&amp;"")="yes","Disqualified",IF($P923&gt;$H923,"Profit","Draw"))))</f>
        <v/>
      </c>
      <c r="V923">
        <f>IF(OR($A923="",$B923="",$C923="",$U923="Subscription"),"",IFERROR(ROUNDUP((IF(ISNUMBER($C923),$C923,DATEVALUE($C923))-IF(ISNUMBER($B923),$B923,DATEVALUE($B923)))/7,0),""))</f>
        <v/>
      </c>
      <c r="W923" s="352">
        <f>IF($U923="Subscription","",$Q923-$S923)</f>
        <v/>
      </c>
      <c r="X923">
        <f>IF(OR($A923="",$U923="Subscription",$J923="",$I923="",$J923=0,$I923=0,$I923&gt;$J923),"",$J923-$I923)</f>
        <v/>
      </c>
      <c r="Y923">
        <f>IF(OR($A923="",$U923="Subscription",$J923="",$J923=0,$X923=""),"",$X923/$J923)</f>
        <v/>
      </c>
    </row>
    <row r="924">
      <c r="B924" s="354" t="n"/>
      <c r="C924" s="354" t="n"/>
      <c r="E924" s="350" t="n"/>
      <c r="F924" s="350" t="n"/>
      <c r="G924" s="350" t="n"/>
      <c r="H924" s="350" t="n"/>
      <c r="I924" s="350" t="n"/>
      <c r="J924" s="352" t="n"/>
      <c r="M924" s="350" t="n"/>
      <c r="N924" s="350">
        <f>IF($A924="","",IF(OR(LOWER($D924&amp;"")="n/a",ISNUMBER(SEARCH("subscription",LOWER($A924&amp;" "&amp;$M924&amp;""))),ISNUMBER(SEARCH("membership",LOWER($A924&amp;" "&amp;$M924&amp;"")))),"",IF($G924="","",IF(ISNUMBER(SEARCH("non",LOWER($E924&amp;""))),$G924*0.85,$G924))))</f>
        <v/>
      </c>
      <c r="O924">
        <f>IF($A924="","",IF(OR(LOWER($D924&amp;"")="n/a",ISNUMBER(SEARCH("subscription",LOWER($A924&amp;" "&amp;$M924&amp;""))),ISNUMBER(SEARCH("membership",LOWER($A924&amp;" "&amp;$M924&amp;"")))),"",IF(OR($N924="",$I924="",$I924=0),"",$N924/$I924)))</f>
        <v/>
      </c>
      <c r="P924">
        <f>IF($A924="","",IF(OR(LOWER($D924&amp;"")="n/a",ISNUMBER(SEARCH("subscription",LOWER($A924&amp;" "&amp;$M924&amp;""))),ISNUMBER(SEARCH("membership",LOWER($A924&amp;" "&amp;$M924&amp;"")))),"",IF(LOWER($L924&amp;"")="yes",0,IF($K924&lt;&gt;"",$K924,IF($O924&lt;&gt;"",$O924,"")))))</f>
        <v/>
      </c>
      <c r="Q924">
        <f>IF($A924="","",IF($U924="Subscription","",IF($U924="Profit",$P924-$H924,0)))</f>
        <v/>
      </c>
      <c r="R924">
        <f>IF($A924="","",IF($U924="Subscription","",IF($U924="Draw",$H924,0)))</f>
        <v/>
      </c>
      <c r="S924">
        <f>IF($A924="","",IF($U924="Subscription","",IF($U924="Disqualified",$H924,0)))</f>
        <v/>
      </c>
      <c r="T924">
        <f>IF($A924="","",IF($U924="Subscription","",IF($H924=0,IF($U924="Profit","N/A",0),IF($U924="Profit",$Q924/$H924,IF($U924="Disqualified",-1,0)))))</f>
        <v/>
      </c>
      <c r="U924" s="350">
        <f>IF($A924="","",IF(OR(LOWER($D924&amp;"")="n/a",ISNUMBER(SEARCH("subscription",LOWER($A924&amp;" "&amp;$M924&amp;""))),ISNUMBER(SEARCH("membership",LOWER($A924&amp;" "&amp;$M924&amp;"")))),"Subscription",IF(LOWER($L924&amp;"")="yes","Disqualified",IF($P924&gt;$H924,"Profit","Draw"))))</f>
        <v/>
      </c>
      <c r="V924">
        <f>IF(OR($A924="",$B924="",$C924="",$U924="Subscription"),"",IFERROR(ROUNDUP((IF(ISNUMBER($C924),$C924,DATEVALUE($C924))-IF(ISNUMBER($B924),$B924,DATEVALUE($B924)))/7,0),""))</f>
        <v/>
      </c>
      <c r="W924" s="352">
        <f>IF($U924="Subscription","",$Q924-$S924)</f>
        <v/>
      </c>
      <c r="X924">
        <f>IF(OR($A924="",$U924="Subscription",$J924="",$I924="",$J924=0,$I924=0,$I924&gt;$J924),"",$J924-$I924)</f>
        <v/>
      </c>
      <c r="Y924">
        <f>IF(OR($A924="",$U924="Subscription",$J924="",$J924=0,$X924=""),"",$X924/$J924)</f>
        <v/>
      </c>
    </row>
    <row r="925">
      <c r="B925" s="354" t="n"/>
      <c r="C925" s="354" t="n"/>
      <c r="E925" s="350" t="n"/>
      <c r="F925" s="350" t="n"/>
      <c r="G925" s="350" t="n"/>
      <c r="H925" s="350" t="n"/>
      <c r="I925" s="350" t="n"/>
      <c r="J925" s="352" t="n"/>
      <c r="M925" s="350" t="n"/>
      <c r="N925" s="350">
        <f>IF($A925="","",IF(OR(LOWER($D925&amp;"")="n/a",ISNUMBER(SEARCH("subscription",LOWER($A925&amp;" "&amp;$M925&amp;""))),ISNUMBER(SEARCH("membership",LOWER($A925&amp;" "&amp;$M925&amp;"")))),"",IF($G925="","",IF(ISNUMBER(SEARCH("non",LOWER($E925&amp;""))),$G925*0.85,$G925))))</f>
        <v/>
      </c>
      <c r="O925">
        <f>IF($A925="","",IF(OR(LOWER($D925&amp;"")="n/a",ISNUMBER(SEARCH("subscription",LOWER($A925&amp;" "&amp;$M925&amp;""))),ISNUMBER(SEARCH("membership",LOWER($A925&amp;" "&amp;$M925&amp;"")))),"",IF(OR($N925="",$I925="",$I925=0),"",$N925/$I925)))</f>
        <v/>
      </c>
      <c r="P925">
        <f>IF($A925="","",IF(OR(LOWER($D925&amp;"")="n/a",ISNUMBER(SEARCH("subscription",LOWER($A925&amp;" "&amp;$M925&amp;""))),ISNUMBER(SEARCH("membership",LOWER($A925&amp;" "&amp;$M925&amp;"")))),"",IF(LOWER($L925&amp;"")="yes",0,IF($K925&lt;&gt;"",$K925,IF($O925&lt;&gt;"",$O925,"")))))</f>
        <v/>
      </c>
      <c r="Q925">
        <f>IF($A925="","",IF($U925="Subscription","",IF($U925="Profit",$P925-$H925,0)))</f>
        <v/>
      </c>
      <c r="R925">
        <f>IF($A925="","",IF($U925="Subscription","",IF($U925="Draw",$H925,0)))</f>
        <v/>
      </c>
      <c r="S925">
        <f>IF($A925="","",IF($U925="Subscription","",IF($U925="Disqualified",$H925,0)))</f>
        <v/>
      </c>
      <c r="T925">
        <f>IF($A925="","",IF($U925="Subscription","",IF($H925=0,IF($U925="Profit","N/A",0),IF($U925="Profit",$Q925/$H925,IF($U925="Disqualified",-1,0)))))</f>
        <v/>
      </c>
      <c r="U925" s="350">
        <f>IF($A925="","",IF(OR(LOWER($D925&amp;"")="n/a",ISNUMBER(SEARCH("subscription",LOWER($A925&amp;" "&amp;$M925&amp;""))),ISNUMBER(SEARCH("membership",LOWER($A925&amp;" "&amp;$M925&amp;"")))),"Subscription",IF(LOWER($L925&amp;"")="yes","Disqualified",IF($P925&gt;$H925,"Profit","Draw"))))</f>
        <v/>
      </c>
      <c r="V925">
        <f>IF(OR($A925="",$B925="",$C925="",$U925="Subscription"),"",IFERROR(ROUNDUP((IF(ISNUMBER($C925),$C925,DATEVALUE($C925))-IF(ISNUMBER($B925),$B925,DATEVALUE($B925)))/7,0),""))</f>
        <v/>
      </c>
      <c r="W925" s="352">
        <f>IF($U925="Subscription","",$Q925-$S925)</f>
        <v/>
      </c>
      <c r="X925">
        <f>IF(OR($A925="",$U925="Subscription",$J925="",$I925="",$J925=0,$I925=0,$I925&gt;$J925),"",$J925-$I925)</f>
        <v/>
      </c>
      <c r="Y925">
        <f>IF(OR($A925="",$U925="Subscription",$J925="",$J925=0,$X925=""),"",$X925/$J925)</f>
        <v/>
      </c>
    </row>
    <row r="926">
      <c r="B926" s="354" t="n"/>
      <c r="C926" s="354" t="n"/>
      <c r="E926" s="350" t="n"/>
      <c r="F926" s="350" t="n"/>
      <c r="G926" s="350" t="n"/>
      <c r="H926" s="350" t="n"/>
      <c r="I926" s="350" t="n"/>
      <c r="J926" s="352" t="n"/>
      <c r="M926" s="350" t="n"/>
      <c r="N926" s="350">
        <f>IF($A926="","",IF(OR(LOWER($D926&amp;"")="n/a",ISNUMBER(SEARCH("subscription",LOWER($A926&amp;" "&amp;$M926&amp;""))),ISNUMBER(SEARCH("membership",LOWER($A926&amp;" "&amp;$M926&amp;"")))),"",IF($G926="","",IF(ISNUMBER(SEARCH("non",LOWER($E926&amp;""))),$G926*0.85,$G926))))</f>
        <v/>
      </c>
      <c r="O926">
        <f>IF($A926="","",IF(OR(LOWER($D926&amp;"")="n/a",ISNUMBER(SEARCH("subscription",LOWER($A926&amp;" "&amp;$M926&amp;""))),ISNUMBER(SEARCH("membership",LOWER($A926&amp;" "&amp;$M926&amp;"")))),"",IF(OR($N926="",$I926="",$I926=0),"",$N926/$I926)))</f>
        <v/>
      </c>
      <c r="P926">
        <f>IF($A926="","",IF(OR(LOWER($D926&amp;"")="n/a",ISNUMBER(SEARCH("subscription",LOWER($A926&amp;" "&amp;$M926&amp;""))),ISNUMBER(SEARCH("membership",LOWER($A926&amp;" "&amp;$M926&amp;"")))),"",IF(LOWER($L926&amp;"")="yes",0,IF($K926&lt;&gt;"",$K926,IF($O926&lt;&gt;"",$O926,"")))))</f>
        <v/>
      </c>
      <c r="Q926">
        <f>IF($A926="","",IF($U926="Subscription","",IF($U926="Profit",$P926-$H926,0)))</f>
        <v/>
      </c>
      <c r="R926">
        <f>IF($A926="","",IF($U926="Subscription","",IF($U926="Draw",$H926,0)))</f>
        <v/>
      </c>
      <c r="S926">
        <f>IF($A926="","",IF($U926="Subscription","",IF($U926="Disqualified",$H926,0)))</f>
        <v/>
      </c>
      <c r="T926">
        <f>IF($A926="","",IF($U926="Subscription","",IF($H926=0,IF($U926="Profit","N/A",0),IF($U926="Profit",$Q926/$H926,IF($U926="Disqualified",-1,0)))))</f>
        <v/>
      </c>
      <c r="U926" s="350">
        <f>IF($A926="","",IF(OR(LOWER($D926&amp;"")="n/a",ISNUMBER(SEARCH("subscription",LOWER($A926&amp;" "&amp;$M926&amp;""))),ISNUMBER(SEARCH("membership",LOWER($A926&amp;" "&amp;$M926&amp;"")))),"Subscription",IF(LOWER($L926&amp;"")="yes","Disqualified",IF($P926&gt;$H926,"Profit","Draw"))))</f>
        <v/>
      </c>
      <c r="V926">
        <f>IF(OR($A926="",$B926="",$C926="",$U926="Subscription"),"",IFERROR(ROUNDUP((IF(ISNUMBER($C926),$C926,DATEVALUE($C926))-IF(ISNUMBER($B926),$B926,DATEVALUE($B926)))/7,0),""))</f>
        <v/>
      </c>
      <c r="W926" s="352">
        <f>IF($U926="Subscription","",$Q926-$S926)</f>
        <v/>
      </c>
      <c r="X926">
        <f>IF(OR($A926="",$U926="Subscription",$J926="",$I926="",$J926=0,$I926=0,$I926&gt;$J926),"",$J926-$I926)</f>
        <v/>
      </c>
      <c r="Y926">
        <f>IF(OR($A926="",$U926="Subscription",$J926="",$J926=0,$X926=""),"",$X926/$J926)</f>
        <v/>
      </c>
    </row>
    <row r="927">
      <c r="B927" s="354" t="n"/>
      <c r="C927" s="354" t="n"/>
      <c r="E927" s="350" t="n"/>
      <c r="F927" s="350" t="n"/>
      <c r="G927" s="350" t="n"/>
      <c r="H927" s="350" t="n"/>
      <c r="I927" s="350" t="n"/>
      <c r="J927" s="352" t="n"/>
      <c r="M927" s="350" t="n"/>
      <c r="N927" s="350">
        <f>IF($A927="","",IF(OR(LOWER($D927&amp;"")="n/a",ISNUMBER(SEARCH("subscription",LOWER($A927&amp;" "&amp;$M927&amp;""))),ISNUMBER(SEARCH("membership",LOWER($A927&amp;" "&amp;$M927&amp;"")))),"",IF($G927="","",IF(ISNUMBER(SEARCH("non",LOWER($E927&amp;""))),$G927*0.85,$G927))))</f>
        <v/>
      </c>
      <c r="O927">
        <f>IF($A927="","",IF(OR(LOWER($D927&amp;"")="n/a",ISNUMBER(SEARCH("subscription",LOWER($A927&amp;" "&amp;$M927&amp;""))),ISNUMBER(SEARCH("membership",LOWER($A927&amp;" "&amp;$M927&amp;"")))),"",IF(OR($N927="",$I927="",$I927=0),"",$N927/$I927)))</f>
        <v/>
      </c>
      <c r="P927">
        <f>IF($A927="","",IF(OR(LOWER($D927&amp;"")="n/a",ISNUMBER(SEARCH("subscription",LOWER($A927&amp;" "&amp;$M927&amp;""))),ISNUMBER(SEARCH("membership",LOWER($A927&amp;" "&amp;$M927&amp;"")))),"",IF(LOWER($L927&amp;"")="yes",0,IF($K927&lt;&gt;"",$K927,IF($O927&lt;&gt;"",$O927,"")))))</f>
        <v/>
      </c>
      <c r="Q927">
        <f>IF($A927="","",IF($U927="Subscription","",IF($U927="Profit",$P927-$H927,0)))</f>
        <v/>
      </c>
      <c r="R927">
        <f>IF($A927="","",IF($U927="Subscription","",IF($U927="Draw",$H927,0)))</f>
        <v/>
      </c>
      <c r="S927">
        <f>IF($A927="","",IF($U927="Subscription","",IF($U927="Disqualified",$H927,0)))</f>
        <v/>
      </c>
      <c r="T927">
        <f>IF($A927="","",IF($U927="Subscription","",IF($H927=0,IF($U927="Profit","N/A",0),IF($U927="Profit",$Q927/$H927,IF($U927="Disqualified",-1,0)))))</f>
        <v/>
      </c>
      <c r="U927" s="350">
        <f>IF($A927="","",IF(OR(LOWER($D927&amp;"")="n/a",ISNUMBER(SEARCH("subscription",LOWER($A927&amp;" "&amp;$M927&amp;""))),ISNUMBER(SEARCH("membership",LOWER($A927&amp;" "&amp;$M927&amp;"")))),"Subscription",IF(LOWER($L927&amp;"")="yes","Disqualified",IF($P927&gt;$H927,"Profit","Draw"))))</f>
        <v/>
      </c>
      <c r="V927">
        <f>IF(OR($A927="",$B927="",$C927="",$U927="Subscription"),"",IFERROR(ROUNDUP((IF(ISNUMBER($C927),$C927,DATEVALUE($C927))-IF(ISNUMBER($B927),$B927,DATEVALUE($B927)))/7,0),""))</f>
        <v/>
      </c>
      <c r="W927" s="352">
        <f>IF($U927="Subscription","",$Q927-$S927)</f>
        <v/>
      </c>
      <c r="X927">
        <f>IF(OR($A927="",$U927="Subscription",$J927="",$I927="",$J927=0,$I927=0,$I927&gt;$J927),"",$J927-$I927)</f>
        <v/>
      </c>
      <c r="Y927">
        <f>IF(OR($A927="",$U927="Subscription",$J927="",$J927=0,$X927=""),"",$X927/$J927)</f>
        <v/>
      </c>
    </row>
    <row r="928">
      <c r="B928" s="354" t="n"/>
      <c r="C928" s="354" t="n"/>
      <c r="E928" s="350" t="n"/>
      <c r="F928" s="350" t="n"/>
      <c r="G928" s="350" t="n"/>
      <c r="H928" s="350" t="n"/>
      <c r="I928" s="350" t="n"/>
      <c r="J928" s="352" t="n"/>
      <c r="M928" s="350" t="n"/>
      <c r="N928" s="350">
        <f>IF($A928="","",IF(OR(LOWER($D928&amp;"")="n/a",ISNUMBER(SEARCH("subscription",LOWER($A928&amp;" "&amp;$M928&amp;""))),ISNUMBER(SEARCH("membership",LOWER($A928&amp;" "&amp;$M928&amp;"")))),"",IF($G928="","",IF(ISNUMBER(SEARCH("non",LOWER($E928&amp;""))),$G928*0.85,$G928))))</f>
        <v/>
      </c>
      <c r="O928">
        <f>IF($A928="","",IF(OR(LOWER($D928&amp;"")="n/a",ISNUMBER(SEARCH("subscription",LOWER($A928&amp;" "&amp;$M928&amp;""))),ISNUMBER(SEARCH("membership",LOWER($A928&amp;" "&amp;$M928&amp;"")))),"",IF(OR($N928="",$I928="",$I928=0),"",$N928/$I928)))</f>
        <v/>
      </c>
      <c r="P928">
        <f>IF($A928="","",IF(OR(LOWER($D928&amp;"")="n/a",ISNUMBER(SEARCH("subscription",LOWER($A928&amp;" "&amp;$M928&amp;""))),ISNUMBER(SEARCH("membership",LOWER($A928&amp;" "&amp;$M928&amp;"")))),"",IF(LOWER($L928&amp;"")="yes",0,IF($K928&lt;&gt;"",$K928,IF($O928&lt;&gt;"",$O928,"")))))</f>
        <v/>
      </c>
      <c r="Q928">
        <f>IF($A928="","",IF($U928="Subscription","",IF($U928="Profit",$P928-$H928,0)))</f>
        <v/>
      </c>
      <c r="R928">
        <f>IF($A928="","",IF($U928="Subscription","",IF($U928="Draw",$H928,0)))</f>
        <v/>
      </c>
      <c r="S928">
        <f>IF($A928="","",IF($U928="Subscription","",IF($U928="Disqualified",$H928,0)))</f>
        <v/>
      </c>
      <c r="T928">
        <f>IF($A928="","",IF($U928="Subscription","",IF($H928=0,IF($U928="Profit","N/A",0),IF($U928="Profit",$Q928/$H928,IF($U928="Disqualified",-1,0)))))</f>
        <v/>
      </c>
      <c r="U928" s="350">
        <f>IF($A928="","",IF(OR(LOWER($D928&amp;"")="n/a",ISNUMBER(SEARCH("subscription",LOWER($A928&amp;" "&amp;$M928&amp;""))),ISNUMBER(SEARCH("membership",LOWER($A928&amp;" "&amp;$M928&amp;"")))),"Subscription",IF(LOWER($L928&amp;"")="yes","Disqualified",IF($P928&gt;$H928,"Profit","Draw"))))</f>
        <v/>
      </c>
      <c r="V928">
        <f>IF(OR($A928="",$B928="",$C928="",$U928="Subscription"),"",IFERROR(ROUNDUP((IF(ISNUMBER($C928),$C928,DATEVALUE($C928))-IF(ISNUMBER($B928),$B928,DATEVALUE($B928)))/7,0),""))</f>
        <v/>
      </c>
      <c r="W928" s="352">
        <f>IF($U928="Subscription","",$Q928-$S928)</f>
        <v/>
      </c>
      <c r="X928">
        <f>IF(OR($A928="",$U928="Subscription",$J928="",$I928="",$J928=0,$I928=0,$I928&gt;$J928),"",$J928-$I928)</f>
        <v/>
      </c>
      <c r="Y928">
        <f>IF(OR($A928="",$U928="Subscription",$J928="",$J928=0,$X928=""),"",$X928/$J928)</f>
        <v/>
      </c>
    </row>
    <row r="929">
      <c r="B929" s="354" t="n"/>
      <c r="C929" s="354" t="n"/>
      <c r="E929" s="350" t="n"/>
      <c r="F929" s="350" t="n"/>
      <c r="G929" s="350" t="n"/>
      <c r="H929" s="350" t="n"/>
      <c r="I929" s="350" t="n"/>
      <c r="J929" s="352" t="n"/>
      <c r="M929" s="350" t="n"/>
      <c r="N929" s="350">
        <f>IF($A929="","",IF(OR(LOWER($D929&amp;"")="n/a",ISNUMBER(SEARCH("subscription",LOWER($A929&amp;" "&amp;$M929&amp;""))),ISNUMBER(SEARCH("membership",LOWER($A929&amp;" "&amp;$M929&amp;"")))),"",IF($G929="","",IF(ISNUMBER(SEARCH("non",LOWER($E929&amp;""))),$G929*0.85,$G929))))</f>
        <v/>
      </c>
      <c r="O929">
        <f>IF($A929="","",IF(OR(LOWER($D929&amp;"")="n/a",ISNUMBER(SEARCH("subscription",LOWER($A929&amp;" "&amp;$M929&amp;""))),ISNUMBER(SEARCH("membership",LOWER($A929&amp;" "&amp;$M929&amp;"")))),"",IF(OR($N929="",$I929="",$I929=0),"",$N929/$I929)))</f>
        <v/>
      </c>
      <c r="P929">
        <f>IF($A929="","",IF(OR(LOWER($D929&amp;"")="n/a",ISNUMBER(SEARCH("subscription",LOWER($A929&amp;" "&amp;$M929&amp;""))),ISNUMBER(SEARCH("membership",LOWER($A929&amp;" "&amp;$M929&amp;"")))),"",IF(LOWER($L929&amp;"")="yes",0,IF($K929&lt;&gt;"",$K929,IF($O929&lt;&gt;"",$O929,"")))))</f>
        <v/>
      </c>
      <c r="Q929">
        <f>IF($A929="","",IF($U929="Subscription","",IF($U929="Profit",$P929-$H929,0)))</f>
        <v/>
      </c>
      <c r="R929">
        <f>IF($A929="","",IF($U929="Subscription","",IF($U929="Draw",$H929,0)))</f>
        <v/>
      </c>
      <c r="S929">
        <f>IF($A929="","",IF($U929="Subscription","",IF($U929="Disqualified",$H929,0)))</f>
        <v/>
      </c>
      <c r="T929">
        <f>IF($A929="","",IF($U929="Subscription","",IF($H929=0,IF($U929="Profit","N/A",0),IF($U929="Profit",$Q929/$H929,IF($U929="Disqualified",-1,0)))))</f>
        <v/>
      </c>
      <c r="U929" s="350">
        <f>IF($A929="","",IF(OR(LOWER($D929&amp;"")="n/a",ISNUMBER(SEARCH("subscription",LOWER($A929&amp;" "&amp;$M929&amp;""))),ISNUMBER(SEARCH("membership",LOWER($A929&amp;" "&amp;$M929&amp;"")))),"Subscription",IF(LOWER($L929&amp;"")="yes","Disqualified",IF($P929&gt;$H929,"Profit","Draw"))))</f>
        <v/>
      </c>
      <c r="V929">
        <f>IF(OR($A929="",$B929="",$C929="",$U929="Subscription"),"",IFERROR(ROUNDUP((IF(ISNUMBER($C929),$C929,DATEVALUE($C929))-IF(ISNUMBER($B929),$B929,DATEVALUE($B929)))/7,0),""))</f>
        <v/>
      </c>
      <c r="W929" s="352">
        <f>IF($U929="Subscription","",$Q929-$S929)</f>
        <v/>
      </c>
      <c r="X929">
        <f>IF(OR($A929="",$U929="Subscription",$J929="",$I929="",$J929=0,$I929=0,$I929&gt;$J929),"",$J929-$I929)</f>
        <v/>
      </c>
      <c r="Y929">
        <f>IF(OR($A929="",$U929="Subscription",$J929="",$J929=0,$X929=""),"",$X929/$J929)</f>
        <v/>
      </c>
    </row>
    <row r="930">
      <c r="B930" s="354" t="n"/>
      <c r="C930" s="354" t="n"/>
      <c r="E930" s="350" t="n"/>
      <c r="F930" s="350" t="n"/>
      <c r="G930" s="350" t="n"/>
      <c r="H930" s="350" t="n"/>
      <c r="I930" s="350" t="n"/>
      <c r="J930" s="352" t="n"/>
      <c r="M930" s="350" t="n"/>
      <c r="N930" s="350">
        <f>IF($A930="","",IF(OR(LOWER($D930&amp;"")="n/a",ISNUMBER(SEARCH("subscription",LOWER($A930&amp;" "&amp;$M930&amp;""))),ISNUMBER(SEARCH("membership",LOWER($A930&amp;" "&amp;$M930&amp;"")))),"",IF($G930="","",IF(ISNUMBER(SEARCH("non",LOWER($E930&amp;""))),$G930*0.85,$G930))))</f>
        <v/>
      </c>
      <c r="O930">
        <f>IF($A930="","",IF(OR(LOWER($D930&amp;"")="n/a",ISNUMBER(SEARCH("subscription",LOWER($A930&amp;" "&amp;$M930&amp;""))),ISNUMBER(SEARCH("membership",LOWER($A930&amp;" "&amp;$M930&amp;"")))),"",IF(OR($N930="",$I930="",$I930=0),"",$N930/$I930)))</f>
        <v/>
      </c>
      <c r="P930">
        <f>IF($A930="","",IF(OR(LOWER($D930&amp;"")="n/a",ISNUMBER(SEARCH("subscription",LOWER($A930&amp;" "&amp;$M930&amp;""))),ISNUMBER(SEARCH("membership",LOWER($A930&amp;" "&amp;$M930&amp;"")))),"",IF(LOWER($L930&amp;"")="yes",0,IF($K930&lt;&gt;"",$K930,IF($O930&lt;&gt;"",$O930,"")))))</f>
        <v/>
      </c>
      <c r="Q930">
        <f>IF($A930="","",IF($U930="Subscription","",IF($U930="Profit",$P930-$H930,0)))</f>
        <v/>
      </c>
      <c r="R930">
        <f>IF($A930="","",IF($U930="Subscription","",IF($U930="Draw",$H930,0)))</f>
        <v/>
      </c>
      <c r="S930">
        <f>IF($A930="","",IF($U930="Subscription","",IF($U930="Disqualified",$H930,0)))</f>
        <v/>
      </c>
      <c r="T930">
        <f>IF($A930="","",IF($U930="Subscription","",IF($H930=0,IF($U930="Profit","N/A",0),IF($U930="Profit",$Q930/$H930,IF($U930="Disqualified",-1,0)))))</f>
        <v/>
      </c>
      <c r="U930" s="350">
        <f>IF($A930="","",IF(OR(LOWER($D930&amp;"")="n/a",ISNUMBER(SEARCH("subscription",LOWER($A930&amp;" "&amp;$M930&amp;""))),ISNUMBER(SEARCH("membership",LOWER($A930&amp;" "&amp;$M930&amp;"")))),"Subscription",IF(LOWER($L930&amp;"")="yes","Disqualified",IF($P930&gt;$H930,"Profit","Draw"))))</f>
        <v/>
      </c>
      <c r="V930">
        <f>IF(OR($A930="",$B930="",$C930="",$U930="Subscription"),"",IFERROR(ROUNDUP((IF(ISNUMBER($C930),$C930,DATEVALUE($C930))-IF(ISNUMBER($B930),$B930,DATEVALUE($B930)))/7,0),""))</f>
        <v/>
      </c>
      <c r="W930" s="352">
        <f>IF($U930="Subscription","",$Q930-$S930)</f>
        <v/>
      </c>
      <c r="X930">
        <f>IF(OR($A930="",$U930="Subscription",$J930="",$I930="",$J930=0,$I930=0,$I930&gt;$J930),"",$J930-$I930)</f>
        <v/>
      </c>
      <c r="Y930">
        <f>IF(OR($A930="",$U930="Subscription",$J930="",$J930=0,$X930=""),"",$X930/$J930)</f>
        <v/>
      </c>
    </row>
    <row r="931">
      <c r="B931" s="354" t="n"/>
      <c r="C931" s="354" t="n"/>
      <c r="E931" s="350" t="n"/>
      <c r="F931" s="350" t="n"/>
      <c r="G931" s="350" t="n"/>
      <c r="H931" s="350" t="n"/>
      <c r="I931" s="350" t="n"/>
      <c r="J931" s="352" t="n"/>
      <c r="M931" s="350" t="n"/>
      <c r="N931" s="350">
        <f>IF($A931="","",IF(OR(LOWER($D931&amp;"")="n/a",ISNUMBER(SEARCH("subscription",LOWER($A931&amp;" "&amp;$M931&amp;""))),ISNUMBER(SEARCH("membership",LOWER($A931&amp;" "&amp;$M931&amp;"")))),"",IF($G931="","",IF(ISNUMBER(SEARCH("non",LOWER($E931&amp;""))),$G931*0.85,$G931))))</f>
        <v/>
      </c>
      <c r="O931">
        <f>IF($A931="","",IF(OR(LOWER($D931&amp;"")="n/a",ISNUMBER(SEARCH("subscription",LOWER($A931&amp;" "&amp;$M931&amp;""))),ISNUMBER(SEARCH("membership",LOWER($A931&amp;" "&amp;$M931&amp;"")))),"",IF(OR($N931="",$I931="",$I931=0),"",$N931/$I931)))</f>
        <v/>
      </c>
      <c r="P931">
        <f>IF($A931="","",IF(OR(LOWER($D931&amp;"")="n/a",ISNUMBER(SEARCH("subscription",LOWER($A931&amp;" "&amp;$M931&amp;""))),ISNUMBER(SEARCH("membership",LOWER($A931&amp;" "&amp;$M931&amp;"")))),"",IF(LOWER($L931&amp;"")="yes",0,IF($K931&lt;&gt;"",$K931,IF($O931&lt;&gt;"",$O931,"")))))</f>
        <v/>
      </c>
      <c r="Q931">
        <f>IF($A931="","",IF($U931="Subscription","",IF($U931="Profit",$P931-$H931,0)))</f>
        <v/>
      </c>
      <c r="R931">
        <f>IF($A931="","",IF($U931="Subscription","",IF($U931="Draw",$H931,0)))</f>
        <v/>
      </c>
      <c r="S931">
        <f>IF($A931="","",IF($U931="Subscription","",IF($U931="Disqualified",$H931,0)))</f>
        <v/>
      </c>
      <c r="T931">
        <f>IF($A931="","",IF($U931="Subscription","",IF($H931=0,IF($U931="Profit","N/A",0),IF($U931="Profit",$Q931/$H931,IF($U931="Disqualified",-1,0)))))</f>
        <v/>
      </c>
      <c r="U931" s="350">
        <f>IF($A931="","",IF(OR(LOWER($D931&amp;"")="n/a",ISNUMBER(SEARCH("subscription",LOWER($A931&amp;" "&amp;$M931&amp;""))),ISNUMBER(SEARCH("membership",LOWER($A931&amp;" "&amp;$M931&amp;"")))),"Subscription",IF(LOWER($L931&amp;"")="yes","Disqualified",IF($P931&gt;$H931,"Profit","Draw"))))</f>
        <v/>
      </c>
      <c r="V931">
        <f>IF(OR($A931="",$B931="",$C931="",$U931="Subscription"),"",IFERROR(ROUNDUP((IF(ISNUMBER($C931),$C931,DATEVALUE($C931))-IF(ISNUMBER($B931),$B931,DATEVALUE($B931)))/7,0),""))</f>
        <v/>
      </c>
      <c r="W931" s="352">
        <f>IF($U931="Subscription","",$Q931-$S931)</f>
        <v/>
      </c>
      <c r="X931">
        <f>IF(OR($A931="",$U931="Subscription",$J931="",$I931="",$J931=0,$I931=0,$I931&gt;$J931),"",$J931-$I931)</f>
        <v/>
      </c>
      <c r="Y931">
        <f>IF(OR($A931="",$U931="Subscription",$J931="",$J931=0,$X931=""),"",$X931/$J931)</f>
        <v/>
      </c>
    </row>
    <row r="932">
      <c r="B932" s="354" t="n"/>
      <c r="C932" s="354" t="n"/>
      <c r="E932" s="350" t="n"/>
      <c r="F932" s="350" t="n"/>
      <c r="G932" s="350" t="n"/>
      <c r="H932" s="350" t="n"/>
      <c r="I932" s="350" t="n"/>
      <c r="J932" s="352" t="n"/>
      <c r="M932" s="350" t="n"/>
      <c r="N932" s="350">
        <f>IF($A932="","",IF(OR(LOWER($D932&amp;"")="n/a",ISNUMBER(SEARCH("subscription",LOWER($A932&amp;" "&amp;$M932&amp;""))),ISNUMBER(SEARCH("membership",LOWER($A932&amp;" "&amp;$M932&amp;"")))),"",IF($G932="","",IF(ISNUMBER(SEARCH("non",LOWER($E932&amp;""))),$G932*0.85,$G932))))</f>
        <v/>
      </c>
      <c r="O932">
        <f>IF($A932="","",IF(OR(LOWER($D932&amp;"")="n/a",ISNUMBER(SEARCH("subscription",LOWER($A932&amp;" "&amp;$M932&amp;""))),ISNUMBER(SEARCH("membership",LOWER($A932&amp;" "&amp;$M932&amp;"")))),"",IF(OR($N932="",$I932="",$I932=0),"",$N932/$I932)))</f>
        <v/>
      </c>
      <c r="P932">
        <f>IF($A932="","",IF(OR(LOWER($D932&amp;"")="n/a",ISNUMBER(SEARCH("subscription",LOWER($A932&amp;" "&amp;$M932&amp;""))),ISNUMBER(SEARCH("membership",LOWER($A932&amp;" "&amp;$M932&amp;"")))),"",IF(LOWER($L932&amp;"")="yes",0,IF($K932&lt;&gt;"",$K932,IF($O932&lt;&gt;"",$O932,"")))))</f>
        <v/>
      </c>
      <c r="Q932">
        <f>IF($A932="","",IF($U932="Subscription","",IF($U932="Profit",$P932-$H932,0)))</f>
        <v/>
      </c>
      <c r="R932">
        <f>IF($A932="","",IF($U932="Subscription","",IF($U932="Draw",$H932,0)))</f>
        <v/>
      </c>
      <c r="S932">
        <f>IF($A932="","",IF($U932="Subscription","",IF($U932="Disqualified",$H932,0)))</f>
        <v/>
      </c>
      <c r="T932">
        <f>IF($A932="","",IF($U932="Subscription","",IF($H932=0,IF($U932="Profit","N/A",0),IF($U932="Profit",$Q932/$H932,IF($U932="Disqualified",-1,0)))))</f>
        <v/>
      </c>
      <c r="U932" s="350">
        <f>IF($A932="","",IF(OR(LOWER($D932&amp;"")="n/a",ISNUMBER(SEARCH("subscription",LOWER($A932&amp;" "&amp;$M932&amp;""))),ISNUMBER(SEARCH("membership",LOWER($A932&amp;" "&amp;$M932&amp;"")))),"Subscription",IF(LOWER($L932&amp;"")="yes","Disqualified",IF($P932&gt;$H932,"Profit","Draw"))))</f>
        <v/>
      </c>
      <c r="V932">
        <f>IF(OR($A932="",$B932="",$C932="",$U932="Subscription"),"",IFERROR(ROUNDUP((IF(ISNUMBER($C932),$C932,DATEVALUE($C932))-IF(ISNUMBER($B932),$B932,DATEVALUE($B932)))/7,0),""))</f>
        <v/>
      </c>
      <c r="W932" s="352">
        <f>IF($U932="Subscription","",$Q932-$S932)</f>
        <v/>
      </c>
      <c r="X932">
        <f>IF(OR($A932="",$U932="Subscription",$J932="",$I932="",$J932=0,$I932=0,$I932&gt;$J932),"",$J932-$I932)</f>
        <v/>
      </c>
      <c r="Y932">
        <f>IF(OR($A932="",$U932="Subscription",$J932="",$J932=0,$X932=""),"",$X932/$J932)</f>
        <v/>
      </c>
    </row>
    <row r="933">
      <c r="B933" s="354" t="n"/>
      <c r="C933" s="354" t="n"/>
      <c r="E933" s="350" t="n"/>
      <c r="F933" s="350" t="n"/>
      <c r="G933" s="350" t="n"/>
      <c r="H933" s="350" t="n"/>
      <c r="I933" s="350" t="n"/>
      <c r="J933" s="352" t="n"/>
      <c r="M933" s="350" t="n"/>
      <c r="N933" s="350">
        <f>IF($A933="","",IF(OR(LOWER($D933&amp;"")="n/a",ISNUMBER(SEARCH("subscription",LOWER($A933&amp;" "&amp;$M933&amp;""))),ISNUMBER(SEARCH("membership",LOWER($A933&amp;" "&amp;$M933&amp;"")))),"",IF($G933="","",IF(ISNUMBER(SEARCH("non",LOWER($E933&amp;""))),$G933*0.85,$G933))))</f>
        <v/>
      </c>
      <c r="O933">
        <f>IF($A933="","",IF(OR(LOWER($D933&amp;"")="n/a",ISNUMBER(SEARCH("subscription",LOWER($A933&amp;" "&amp;$M933&amp;""))),ISNUMBER(SEARCH("membership",LOWER($A933&amp;" "&amp;$M933&amp;"")))),"",IF(OR($N933="",$I933="",$I933=0),"",$N933/$I933)))</f>
        <v/>
      </c>
      <c r="P933">
        <f>IF($A933="","",IF(OR(LOWER($D933&amp;"")="n/a",ISNUMBER(SEARCH("subscription",LOWER($A933&amp;" "&amp;$M933&amp;""))),ISNUMBER(SEARCH("membership",LOWER($A933&amp;" "&amp;$M933&amp;"")))),"",IF(LOWER($L933&amp;"")="yes",0,IF($K933&lt;&gt;"",$K933,IF($O933&lt;&gt;"",$O933,"")))))</f>
        <v/>
      </c>
      <c r="Q933">
        <f>IF($A933="","",IF($U933="Subscription","",IF($U933="Profit",$P933-$H933,0)))</f>
        <v/>
      </c>
      <c r="R933">
        <f>IF($A933="","",IF($U933="Subscription","",IF($U933="Draw",$H933,0)))</f>
        <v/>
      </c>
      <c r="S933">
        <f>IF($A933="","",IF($U933="Subscription","",IF($U933="Disqualified",$H933,0)))</f>
        <v/>
      </c>
      <c r="T933">
        <f>IF($A933="","",IF($U933="Subscription","",IF($H933=0,IF($U933="Profit","N/A",0),IF($U933="Profit",$Q933/$H933,IF($U933="Disqualified",-1,0)))))</f>
        <v/>
      </c>
      <c r="U933" s="350">
        <f>IF($A933="","",IF(OR(LOWER($D933&amp;"")="n/a",ISNUMBER(SEARCH("subscription",LOWER($A933&amp;" "&amp;$M933&amp;""))),ISNUMBER(SEARCH("membership",LOWER($A933&amp;" "&amp;$M933&amp;"")))),"Subscription",IF(LOWER($L933&amp;"")="yes","Disqualified",IF($P933&gt;$H933,"Profit","Draw"))))</f>
        <v/>
      </c>
      <c r="V933">
        <f>IF(OR($A933="",$B933="",$C933="",$U933="Subscription"),"",IFERROR(ROUNDUP((IF(ISNUMBER($C933),$C933,DATEVALUE($C933))-IF(ISNUMBER($B933),$B933,DATEVALUE($B933)))/7,0),""))</f>
        <v/>
      </c>
      <c r="W933" s="352">
        <f>IF($U933="Subscription","",$Q933-$S933)</f>
        <v/>
      </c>
      <c r="X933">
        <f>IF(OR($A933="",$U933="Subscription",$J933="",$I933="",$J933=0,$I933=0,$I933&gt;$J933),"",$J933-$I933)</f>
        <v/>
      </c>
      <c r="Y933">
        <f>IF(OR($A933="",$U933="Subscription",$J933="",$J933=0,$X933=""),"",$X933/$J933)</f>
        <v/>
      </c>
    </row>
    <row r="934">
      <c r="B934" s="354" t="n"/>
      <c r="C934" s="354" t="n"/>
      <c r="E934" s="350" t="n"/>
      <c r="F934" s="350" t="n"/>
      <c r="G934" s="350" t="n"/>
      <c r="H934" s="350" t="n"/>
      <c r="I934" s="350" t="n"/>
      <c r="J934" s="352" t="n"/>
      <c r="M934" s="350" t="n"/>
      <c r="N934" s="350">
        <f>IF($A934="","",IF(OR(LOWER($D934&amp;"")="n/a",ISNUMBER(SEARCH("subscription",LOWER($A934&amp;" "&amp;$M934&amp;""))),ISNUMBER(SEARCH("membership",LOWER($A934&amp;" "&amp;$M934&amp;"")))),"",IF($G934="","",IF(ISNUMBER(SEARCH("non",LOWER($E934&amp;""))),$G934*0.85,$G934))))</f>
        <v/>
      </c>
      <c r="O934">
        <f>IF($A934="","",IF(OR(LOWER($D934&amp;"")="n/a",ISNUMBER(SEARCH("subscription",LOWER($A934&amp;" "&amp;$M934&amp;""))),ISNUMBER(SEARCH("membership",LOWER($A934&amp;" "&amp;$M934&amp;"")))),"",IF(OR($N934="",$I934="",$I934=0),"",$N934/$I934)))</f>
        <v/>
      </c>
      <c r="P934">
        <f>IF($A934="","",IF(OR(LOWER($D934&amp;"")="n/a",ISNUMBER(SEARCH("subscription",LOWER($A934&amp;" "&amp;$M934&amp;""))),ISNUMBER(SEARCH("membership",LOWER($A934&amp;" "&amp;$M934&amp;"")))),"",IF(LOWER($L934&amp;"")="yes",0,IF($K934&lt;&gt;"",$K934,IF($O934&lt;&gt;"",$O934,"")))))</f>
        <v/>
      </c>
      <c r="Q934">
        <f>IF($A934="","",IF($U934="Subscription","",IF($U934="Profit",$P934-$H934,0)))</f>
        <v/>
      </c>
      <c r="R934">
        <f>IF($A934="","",IF($U934="Subscription","",IF($U934="Draw",$H934,0)))</f>
        <v/>
      </c>
      <c r="S934">
        <f>IF($A934="","",IF($U934="Subscription","",IF($U934="Disqualified",$H934,0)))</f>
        <v/>
      </c>
      <c r="T934">
        <f>IF($A934="","",IF($U934="Subscription","",IF($H934=0,IF($U934="Profit","N/A",0),IF($U934="Profit",$Q934/$H934,IF($U934="Disqualified",-1,0)))))</f>
        <v/>
      </c>
      <c r="U934" s="350">
        <f>IF($A934="","",IF(OR(LOWER($D934&amp;"")="n/a",ISNUMBER(SEARCH("subscription",LOWER($A934&amp;" "&amp;$M934&amp;""))),ISNUMBER(SEARCH("membership",LOWER($A934&amp;" "&amp;$M934&amp;"")))),"Subscription",IF(LOWER($L934&amp;"")="yes","Disqualified",IF($P934&gt;$H934,"Profit","Draw"))))</f>
        <v/>
      </c>
      <c r="V934">
        <f>IF(OR($A934="",$B934="",$C934="",$U934="Subscription"),"",IFERROR(ROUNDUP((IF(ISNUMBER($C934),$C934,DATEVALUE($C934))-IF(ISNUMBER($B934),$B934,DATEVALUE($B934)))/7,0),""))</f>
        <v/>
      </c>
      <c r="W934" s="352">
        <f>IF($U934="Subscription","",$Q934-$S934)</f>
        <v/>
      </c>
      <c r="X934">
        <f>IF(OR($A934="",$U934="Subscription",$J934="",$I934="",$J934=0,$I934=0,$I934&gt;$J934),"",$J934-$I934)</f>
        <v/>
      </c>
      <c r="Y934">
        <f>IF(OR($A934="",$U934="Subscription",$J934="",$J934=0,$X934=""),"",$X934/$J934)</f>
        <v/>
      </c>
    </row>
    <row r="935">
      <c r="B935" s="354" t="n"/>
      <c r="C935" s="354" t="n"/>
      <c r="E935" s="350" t="n"/>
      <c r="F935" s="350" t="n"/>
      <c r="G935" s="350" t="n"/>
      <c r="H935" s="350" t="n"/>
      <c r="I935" s="350" t="n"/>
      <c r="J935" s="352" t="n"/>
      <c r="M935" s="350" t="n"/>
      <c r="N935" s="350">
        <f>IF($A935="","",IF(OR(LOWER($D935&amp;"")="n/a",ISNUMBER(SEARCH("subscription",LOWER($A935&amp;" "&amp;$M935&amp;""))),ISNUMBER(SEARCH("membership",LOWER($A935&amp;" "&amp;$M935&amp;"")))),"",IF($G935="","",IF(ISNUMBER(SEARCH("non",LOWER($E935&amp;""))),$G935*0.85,$G935))))</f>
        <v/>
      </c>
      <c r="O935">
        <f>IF($A935="","",IF(OR(LOWER($D935&amp;"")="n/a",ISNUMBER(SEARCH("subscription",LOWER($A935&amp;" "&amp;$M935&amp;""))),ISNUMBER(SEARCH("membership",LOWER($A935&amp;" "&amp;$M935&amp;"")))),"",IF(OR($N935="",$I935="",$I935=0),"",$N935/$I935)))</f>
        <v/>
      </c>
      <c r="P935">
        <f>IF($A935="","",IF(OR(LOWER($D935&amp;"")="n/a",ISNUMBER(SEARCH("subscription",LOWER($A935&amp;" "&amp;$M935&amp;""))),ISNUMBER(SEARCH("membership",LOWER($A935&amp;" "&amp;$M935&amp;"")))),"",IF(LOWER($L935&amp;"")="yes",0,IF($K935&lt;&gt;"",$K935,IF($O935&lt;&gt;"",$O935,"")))))</f>
        <v/>
      </c>
      <c r="Q935">
        <f>IF($A935="","",IF($U935="Subscription","",IF($U935="Profit",$P935-$H935,0)))</f>
        <v/>
      </c>
      <c r="R935">
        <f>IF($A935="","",IF($U935="Subscription","",IF($U935="Draw",$H935,0)))</f>
        <v/>
      </c>
      <c r="S935">
        <f>IF($A935="","",IF($U935="Subscription","",IF($U935="Disqualified",$H935,0)))</f>
        <v/>
      </c>
      <c r="T935">
        <f>IF($A935="","",IF($U935="Subscription","",IF($H935=0,IF($U935="Profit","N/A",0),IF($U935="Profit",$Q935/$H935,IF($U935="Disqualified",-1,0)))))</f>
        <v/>
      </c>
      <c r="U935" s="350">
        <f>IF($A935="","",IF(OR(LOWER($D935&amp;"")="n/a",ISNUMBER(SEARCH("subscription",LOWER($A935&amp;" "&amp;$M935&amp;""))),ISNUMBER(SEARCH("membership",LOWER($A935&amp;" "&amp;$M935&amp;"")))),"Subscription",IF(LOWER($L935&amp;"")="yes","Disqualified",IF($P935&gt;$H935,"Profit","Draw"))))</f>
        <v/>
      </c>
      <c r="V935">
        <f>IF(OR($A935="",$B935="",$C935="",$U935="Subscription"),"",IFERROR(ROUNDUP((IF(ISNUMBER($C935),$C935,DATEVALUE($C935))-IF(ISNUMBER($B935),$B935,DATEVALUE($B935)))/7,0),""))</f>
        <v/>
      </c>
      <c r="W935" s="352">
        <f>IF($U935="Subscription","",$Q935-$S935)</f>
        <v/>
      </c>
      <c r="X935">
        <f>IF(OR($A935="",$U935="Subscription",$J935="",$I935="",$J935=0,$I935=0,$I935&gt;$J935),"",$J935-$I935)</f>
        <v/>
      </c>
      <c r="Y935">
        <f>IF(OR($A935="",$U935="Subscription",$J935="",$J935=0,$X935=""),"",$X935/$J935)</f>
        <v/>
      </c>
    </row>
    <row r="936">
      <c r="B936" s="354" t="n"/>
      <c r="C936" s="354" t="n"/>
      <c r="E936" s="350" t="n"/>
      <c r="F936" s="350" t="n"/>
      <c r="G936" s="350" t="n"/>
      <c r="H936" s="350" t="n"/>
      <c r="I936" s="350" t="n"/>
      <c r="J936" s="352" t="n"/>
      <c r="M936" s="350" t="n"/>
      <c r="N936" s="350">
        <f>IF($A936="","",IF(OR(LOWER($D936&amp;"")="n/a",ISNUMBER(SEARCH("subscription",LOWER($A936&amp;" "&amp;$M936&amp;""))),ISNUMBER(SEARCH("membership",LOWER($A936&amp;" "&amp;$M936&amp;"")))),"",IF($G936="","",IF(ISNUMBER(SEARCH("non",LOWER($E936&amp;""))),$G936*0.85,$G936))))</f>
        <v/>
      </c>
      <c r="O936">
        <f>IF($A936="","",IF(OR(LOWER($D936&amp;"")="n/a",ISNUMBER(SEARCH("subscription",LOWER($A936&amp;" "&amp;$M936&amp;""))),ISNUMBER(SEARCH("membership",LOWER($A936&amp;" "&amp;$M936&amp;"")))),"",IF(OR($N936="",$I936="",$I936=0),"",$N936/$I936)))</f>
        <v/>
      </c>
      <c r="P936">
        <f>IF($A936="","",IF(OR(LOWER($D936&amp;"")="n/a",ISNUMBER(SEARCH("subscription",LOWER($A936&amp;" "&amp;$M936&amp;""))),ISNUMBER(SEARCH("membership",LOWER($A936&amp;" "&amp;$M936&amp;"")))),"",IF(LOWER($L936&amp;"")="yes",0,IF($K936&lt;&gt;"",$K936,IF($O936&lt;&gt;"",$O936,"")))))</f>
        <v/>
      </c>
      <c r="Q936">
        <f>IF($A936="","",IF($U936="Subscription","",IF($U936="Profit",$P936-$H936,0)))</f>
        <v/>
      </c>
      <c r="R936">
        <f>IF($A936="","",IF($U936="Subscription","",IF($U936="Draw",$H936,0)))</f>
        <v/>
      </c>
      <c r="S936">
        <f>IF($A936="","",IF($U936="Subscription","",IF($U936="Disqualified",$H936,0)))</f>
        <v/>
      </c>
      <c r="T936">
        <f>IF($A936="","",IF($U936="Subscription","",IF($H936=0,IF($U936="Profit","N/A",0),IF($U936="Profit",$Q936/$H936,IF($U936="Disqualified",-1,0)))))</f>
        <v/>
      </c>
      <c r="U936" s="350">
        <f>IF($A936="","",IF(OR(LOWER($D936&amp;"")="n/a",ISNUMBER(SEARCH("subscription",LOWER($A936&amp;" "&amp;$M936&amp;""))),ISNUMBER(SEARCH("membership",LOWER($A936&amp;" "&amp;$M936&amp;"")))),"Subscription",IF(LOWER($L936&amp;"")="yes","Disqualified",IF($P936&gt;$H936,"Profit","Draw"))))</f>
        <v/>
      </c>
      <c r="V936">
        <f>IF(OR($A936="",$B936="",$C936="",$U936="Subscription"),"",IFERROR(ROUNDUP((IF(ISNUMBER($C936),$C936,DATEVALUE($C936))-IF(ISNUMBER($B936),$B936,DATEVALUE($B936)))/7,0),""))</f>
        <v/>
      </c>
      <c r="W936" s="352">
        <f>IF($U936="Subscription","",$Q936-$S936)</f>
        <v/>
      </c>
      <c r="X936">
        <f>IF(OR($A936="",$U936="Subscription",$J936="",$I936="",$J936=0,$I936=0,$I936&gt;$J936),"",$J936-$I936)</f>
        <v/>
      </c>
      <c r="Y936">
        <f>IF(OR($A936="",$U936="Subscription",$J936="",$J936=0,$X936=""),"",$X936/$J936)</f>
        <v/>
      </c>
    </row>
    <row r="937">
      <c r="B937" s="354" t="n"/>
      <c r="C937" s="354" t="n"/>
      <c r="E937" s="350" t="n"/>
      <c r="F937" s="350" t="n"/>
      <c r="G937" s="350" t="n"/>
      <c r="H937" s="350" t="n"/>
      <c r="I937" s="350" t="n"/>
      <c r="J937" s="352" t="n"/>
      <c r="M937" s="350" t="n"/>
      <c r="N937" s="350">
        <f>IF($A937="","",IF(OR(LOWER($D937&amp;"")="n/a",ISNUMBER(SEARCH("subscription",LOWER($A937&amp;" "&amp;$M937&amp;""))),ISNUMBER(SEARCH("membership",LOWER($A937&amp;" "&amp;$M937&amp;"")))),"",IF($G937="","",IF(ISNUMBER(SEARCH("non",LOWER($E937&amp;""))),$G937*0.85,$G937))))</f>
        <v/>
      </c>
      <c r="O937">
        <f>IF($A937="","",IF(OR(LOWER($D937&amp;"")="n/a",ISNUMBER(SEARCH("subscription",LOWER($A937&amp;" "&amp;$M937&amp;""))),ISNUMBER(SEARCH("membership",LOWER($A937&amp;" "&amp;$M937&amp;"")))),"",IF(OR($N937="",$I937="",$I937=0),"",$N937/$I937)))</f>
        <v/>
      </c>
      <c r="P937">
        <f>IF($A937="","",IF(OR(LOWER($D937&amp;"")="n/a",ISNUMBER(SEARCH("subscription",LOWER($A937&amp;" "&amp;$M937&amp;""))),ISNUMBER(SEARCH("membership",LOWER($A937&amp;" "&amp;$M937&amp;"")))),"",IF(LOWER($L937&amp;"")="yes",0,IF($K937&lt;&gt;"",$K937,IF($O937&lt;&gt;"",$O937,"")))))</f>
        <v/>
      </c>
      <c r="Q937">
        <f>IF($A937="","",IF($U937="Subscription","",IF($U937="Profit",$P937-$H937,0)))</f>
        <v/>
      </c>
      <c r="R937">
        <f>IF($A937="","",IF($U937="Subscription","",IF($U937="Draw",$H937,0)))</f>
        <v/>
      </c>
      <c r="S937">
        <f>IF($A937="","",IF($U937="Subscription","",IF($U937="Disqualified",$H937,0)))</f>
        <v/>
      </c>
      <c r="T937">
        <f>IF($A937="","",IF($U937="Subscription","",IF($H937=0,IF($U937="Profit","N/A",0),IF($U937="Profit",$Q937/$H937,IF($U937="Disqualified",-1,0)))))</f>
        <v/>
      </c>
      <c r="U937" s="350">
        <f>IF($A937="","",IF(OR(LOWER($D937&amp;"")="n/a",ISNUMBER(SEARCH("subscription",LOWER($A937&amp;" "&amp;$M937&amp;""))),ISNUMBER(SEARCH("membership",LOWER($A937&amp;" "&amp;$M937&amp;"")))),"Subscription",IF(LOWER($L937&amp;"")="yes","Disqualified",IF($P937&gt;$H937,"Profit","Draw"))))</f>
        <v/>
      </c>
      <c r="V937">
        <f>IF(OR($A937="",$B937="",$C937="",$U937="Subscription"),"",IFERROR(ROUNDUP((IF(ISNUMBER($C937),$C937,DATEVALUE($C937))-IF(ISNUMBER($B937),$B937,DATEVALUE($B937)))/7,0),""))</f>
        <v/>
      </c>
      <c r="W937" s="352">
        <f>IF($U937="Subscription","",$Q937-$S937)</f>
        <v/>
      </c>
      <c r="X937">
        <f>IF(OR($A937="",$U937="Subscription",$J937="",$I937="",$J937=0,$I937=0,$I937&gt;$J937),"",$J937-$I937)</f>
        <v/>
      </c>
      <c r="Y937">
        <f>IF(OR($A937="",$U937="Subscription",$J937="",$J937=0,$X937=""),"",$X937/$J937)</f>
        <v/>
      </c>
    </row>
    <row r="938">
      <c r="B938" s="354" t="n"/>
      <c r="C938" s="354" t="n"/>
      <c r="E938" s="350" t="n"/>
      <c r="F938" s="350" t="n"/>
      <c r="G938" s="350" t="n"/>
      <c r="H938" s="350" t="n"/>
      <c r="I938" s="350" t="n"/>
      <c r="J938" s="352" t="n"/>
      <c r="M938" s="350" t="n"/>
      <c r="N938" s="350">
        <f>IF($A938="","",IF(OR(LOWER($D938&amp;"")="n/a",ISNUMBER(SEARCH("subscription",LOWER($A938&amp;" "&amp;$M938&amp;""))),ISNUMBER(SEARCH("membership",LOWER($A938&amp;" "&amp;$M938&amp;"")))),"",IF($G938="","",IF(ISNUMBER(SEARCH("non",LOWER($E938&amp;""))),$G938*0.85,$G938))))</f>
        <v/>
      </c>
      <c r="O938">
        <f>IF($A938="","",IF(OR(LOWER($D938&amp;"")="n/a",ISNUMBER(SEARCH("subscription",LOWER($A938&amp;" "&amp;$M938&amp;""))),ISNUMBER(SEARCH("membership",LOWER($A938&amp;" "&amp;$M938&amp;"")))),"",IF(OR($N938="",$I938="",$I938=0),"",$N938/$I938)))</f>
        <v/>
      </c>
      <c r="P938">
        <f>IF($A938="","",IF(OR(LOWER($D938&amp;"")="n/a",ISNUMBER(SEARCH("subscription",LOWER($A938&amp;" "&amp;$M938&amp;""))),ISNUMBER(SEARCH("membership",LOWER($A938&amp;" "&amp;$M938&amp;"")))),"",IF(LOWER($L938&amp;"")="yes",0,IF($K938&lt;&gt;"",$K938,IF($O938&lt;&gt;"",$O938,"")))))</f>
        <v/>
      </c>
      <c r="Q938">
        <f>IF($A938="","",IF($U938="Subscription","",IF($U938="Profit",$P938-$H938,0)))</f>
        <v/>
      </c>
      <c r="R938">
        <f>IF($A938="","",IF($U938="Subscription","",IF($U938="Draw",$H938,0)))</f>
        <v/>
      </c>
      <c r="S938">
        <f>IF($A938="","",IF($U938="Subscription","",IF($U938="Disqualified",$H938,0)))</f>
        <v/>
      </c>
      <c r="T938">
        <f>IF($A938="","",IF($U938="Subscription","",IF($H938=0,IF($U938="Profit","N/A",0),IF($U938="Profit",$Q938/$H938,IF($U938="Disqualified",-1,0)))))</f>
        <v/>
      </c>
      <c r="U938" s="350">
        <f>IF($A938="","",IF(OR(LOWER($D938&amp;"")="n/a",ISNUMBER(SEARCH("subscription",LOWER($A938&amp;" "&amp;$M938&amp;""))),ISNUMBER(SEARCH("membership",LOWER($A938&amp;" "&amp;$M938&amp;"")))),"Subscription",IF(LOWER($L938&amp;"")="yes","Disqualified",IF($P938&gt;$H938,"Profit","Draw"))))</f>
        <v/>
      </c>
      <c r="V938">
        <f>IF(OR($A938="",$B938="",$C938="",$U938="Subscription"),"",IFERROR(ROUNDUP((IF(ISNUMBER($C938),$C938,DATEVALUE($C938))-IF(ISNUMBER($B938),$B938,DATEVALUE($B938)))/7,0),""))</f>
        <v/>
      </c>
      <c r="W938" s="352">
        <f>IF($U938="Subscription","",$Q938-$S938)</f>
        <v/>
      </c>
      <c r="X938">
        <f>IF(OR($A938="",$U938="Subscription",$J938="",$I938="",$J938=0,$I938=0,$I938&gt;$J938),"",$J938-$I938)</f>
        <v/>
      </c>
      <c r="Y938">
        <f>IF(OR($A938="",$U938="Subscription",$J938="",$J938=0,$X938=""),"",$X938/$J938)</f>
        <v/>
      </c>
    </row>
    <row r="939">
      <c r="B939" s="354" t="n"/>
      <c r="C939" s="354" t="n"/>
      <c r="E939" s="350" t="n"/>
      <c r="F939" s="350" t="n"/>
      <c r="G939" s="350" t="n"/>
      <c r="H939" s="350" t="n"/>
      <c r="I939" s="350" t="n"/>
      <c r="J939" s="352" t="n"/>
      <c r="M939" s="350" t="n"/>
      <c r="N939" s="350">
        <f>IF($A939="","",IF(OR(LOWER($D939&amp;"")="n/a",ISNUMBER(SEARCH("subscription",LOWER($A939&amp;" "&amp;$M939&amp;""))),ISNUMBER(SEARCH("membership",LOWER($A939&amp;" "&amp;$M939&amp;"")))),"",IF($G939="","",IF(ISNUMBER(SEARCH("non",LOWER($E939&amp;""))),$G939*0.85,$G939))))</f>
        <v/>
      </c>
      <c r="O939">
        <f>IF($A939="","",IF(OR(LOWER($D939&amp;"")="n/a",ISNUMBER(SEARCH("subscription",LOWER($A939&amp;" "&amp;$M939&amp;""))),ISNUMBER(SEARCH("membership",LOWER($A939&amp;" "&amp;$M939&amp;"")))),"",IF(OR($N939="",$I939="",$I939=0),"",$N939/$I939)))</f>
        <v/>
      </c>
      <c r="P939">
        <f>IF($A939="","",IF(OR(LOWER($D939&amp;"")="n/a",ISNUMBER(SEARCH("subscription",LOWER($A939&amp;" "&amp;$M939&amp;""))),ISNUMBER(SEARCH("membership",LOWER($A939&amp;" "&amp;$M939&amp;"")))),"",IF(LOWER($L939&amp;"")="yes",0,IF($K939&lt;&gt;"",$K939,IF($O939&lt;&gt;"",$O939,"")))))</f>
        <v/>
      </c>
      <c r="Q939">
        <f>IF($A939="","",IF($U939="Subscription","",IF($U939="Profit",$P939-$H939,0)))</f>
        <v/>
      </c>
      <c r="R939">
        <f>IF($A939="","",IF($U939="Subscription","",IF($U939="Draw",$H939,0)))</f>
        <v/>
      </c>
      <c r="S939">
        <f>IF($A939="","",IF($U939="Subscription","",IF($U939="Disqualified",$H939,0)))</f>
        <v/>
      </c>
      <c r="T939">
        <f>IF($A939="","",IF($U939="Subscription","",IF($H939=0,IF($U939="Profit","N/A",0),IF($U939="Profit",$Q939/$H939,IF($U939="Disqualified",-1,0)))))</f>
        <v/>
      </c>
      <c r="U939" s="350">
        <f>IF($A939="","",IF(OR(LOWER($D939&amp;"")="n/a",ISNUMBER(SEARCH("subscription",LOWER($A939&amp;" "&amp;$M939&amp;""))),ISNUMBER(SEARCH("membership",LOWER($A939&amp;" "&amp;$M939&amp;"")))),"Subscription",IF(LOWER($L939&amp;"")="yes","Disqualified",IF($P939&gt;$H939,"Profit","Draw"))))</f>
        <v/>
      </c>
      <c r="V939">
        <f>IF(OR($A939="",$B939="",$C939="",$U939="Subscription"),"",IFERROR(ROUNDUP((IF(ISNUMBER($C939),$C939,DATEVALUE($C939))-IF(ISNUMBER($B939),$B939,DATEVALUE($B939)))/7,0),""))</f>
        <v/>
      </c>
      <c r="W939" s="352">
        <f>IF($U939="Subscription","",$Q939-$S939)</f>
        <v/>
      </c>
      <c r="X939">
        <f>IF(OR($A939="",$U939="Subscription",$J939="",$I939="",$J939=0,$I939=0,$I939&gt;$J939),"",$J939-$I939)</f>
        <v/>
      </c>
      <c r="Y939">
        <f>IF(OR($A939="",$U939="Subscription",$J939="",$J939=0,$X939=""),"",$X939/$J939)</f>
        <v/>
      </c>
    </row>
    <row r="940">
      <c r="B940" s="354" t="n"/>
      <c r="C940" s="354" t="n"/>
      <c r="E940" s="350" t="n"/>
      <c r="F940" s="350" t="n"/>
      <c r="G940" s="350" t="n"/>
      <c r="H940" s="350" t="n"/>
      <c r="I940" s="350" t="n"/>
      <c r="J940" s="352" t="n"/>
      <c r="M940" s="350" t="n"/>
      <c r="N940" s="350">
        <f>IF($A940="","",IF(OR(LOWER($D940&amp;"")="n/a",ISNUMBER(SEARCH("subscription",LOWER($A940&amp;" "&amp;$M940&amp;""))),ISNUMBER(SEARCH("membership",LOWER($A940&amp;" "&amp;$M940&amp;"")))),"",IF($G940="","",IF(ISNUMBER(SEARCH("non",LOWER($E940&amp;""))),$G940*0.85,$G940))))</f>
        <v/>
      </c>
      <c r="O940">
        <f>IF($A940="","",IF(OR(LOWER($D940&amp;"")="n/a",ISNUMBER(SEARCH("subscription",LOWER($A940&amp;" "&amp;$M940&amp;""))),ISNUMBER(SEARCH("membership",LOWER($A940&amp;" "&amp;$M940&amp;"")))),"",IF(OR($N940="",$I940="",$I940=0),"",$N940/$I940)))</f>
        <v/>
      </c>
      <c r="P940">
        <f>IF($A940="","",IF(OR(LOWER($D940&amp;"")="n/a",ISNUMBER(SEARCH("subscription",LOWER($A940&amp;" "&amp;$M940&amp;""))),ISNUMBER(SEARCH("membership",LOWER($A940&amp;" "&amp;$M940&amp;"")))),"",IF(LOWER($L940&amp;"")="yes",0,IF($K940&lt;&gt;"",$K940,IF($O940&lt;&gt;"",$O940,"")))))</f>
        <v/>
      </c>
      <c r="Q940">
        <f>IF($A940="","",IF($U940="Subscription","",IF($U940="Profit",$P940-$H940,0)))</f>
        <v/>
      </c>
      <c r="R940">
        <f>IF($A940="","",IF($U940="Subscription","",IF($U940="Draw",$H940,0)))</f>
        <v/>
      </c>
      <c r="S940">
        <f>IF($A940="","",IF($U940="Subscription","",IF($U940="Disqualified",$H940,0)))</f>
        <v/>
      </c>
      <c r="T940">
        <f>IF($A940="","",IF($U940="Subscription","",IF($H940=0,IF($U940="Profit","N/A",0),IF($U940="Profit",$Q940/$H940,IF($U940="Disqualified",-1,0)))))</f>
        <v/>
      </c>
      <c r="U940" s="350">
        <f>IF($A940="","",IF(OR(LOWER($D940&amp;"")="n/a",ISNUMBER(SEARCH("subscription",LOWER($A940&amp;" "&amp;$M940&amp;""))),ISNUMBER(SEARCH("membership",LOWER($A940&amp;" "&amp;$M940&amp;"")))),"Subscription",IF(LOWER($L940&amp;"")="yes","Disqualified",IF($P940&gt;$H940,"Profit","Draw"))))</f>
        <v/>
      </c>
      <c r="V940">
        <f>IF(OR($A940="",$B940="",$C940="",$U940="Subscription"),"",IFERROR(ROUNDUP((IF(ISNUMBER($C940),$C940,DATEVALUE($C940))-IF(ISNUMBER($B940),$B940,DATEVALUE($B940)))/7,0),""))</f>
        <v/>
      </c>
      <c r="W940" s="352">
        <f>IF($U940="Subscription","",$Q940-$S940)</f>
        <v/>
      </c>
      <c r="X940">
        <f>IF(OR($A940="",$U940="Subscription",$J940="",$I940="",$J940=0,$I940=0,$I940&gt;$J940),"",$J940-$I940)</f>
        <v/>
      </c>
      <c r="Y940">
        <f>IF(OR($A940="",$U940="Subscription",$J940="",$J940=0,$X940=""),"",$X940/$J940)</f>
        <v/>
      </c>
    </row>
    <row r="941">
      <c r="B941" s="354" t="n"/>
      <c r="C941" s="354" t="n"/>
      <c r="E941" s="350" t="n"/>
      <c r="F941" s="350" t="n"/>
      <c r="G941" s="350" t="n"/>
      <c r="H941" s="350" t="n"/>
      <c r="I941" s="350" t="n"/>
      <c r="J941" s="352" t="n"/>
      <c r="M941" s="350" t="n"/>
      <c r="N941" s="350">
        <f>IF($A941="","",IF(OR(LOWER($D941&amp;"")="n/a",ISNUMBER(SEARCH("subscription",LOWER($A941&amp;" "&amp;$M941&amp;""))),ISNUMBER(SEARCH("membership",LOWER($A941&amp;" "&amp;$M941&amp;"")))),"",IF($G941="","",IF(ISNUMBER(SEARCH("non",LOWER($E941&amp;""))),$G941*0.85,$G941))))</f>
        <v/>
      </c>
      <c r="O941">
        <f>IF($A941="","",IF(OR(LOWER($D941&amp;"")="n/a",ISNUMBER(SEARCH("subscription",LOWER($A941&amp;" "&amp;$M941&amp;""))),ISNUMBER(SEARCH("membership",LOWER($A941&amp;" "&amp;$M941&amp;"")))),"",IF(OR($N941="",$I941="",$I941=0),"",$N941/$I941)))</f>
        <v/>
      </c>
      <c r="P941">
        <f>IF($A941="","",IF(OR(LOWER($D941&amp;"")="n/a",ISNUMBER(SEARCH("subscription",LOWER($A941&amp;" "&amp;$M941&amp;""))),ISNUMBER(SEARCH("membership",LOWER($A941&amp;" "&amp;$M941&amp;"")))),"",IF(LOWER($L941&amp;"")="yes",0,IF($K941&lt;&gt;"",$K941,IF($O941&lt;&gt;"",$O941,"")))))</f>
        <v/>
      </c>
      <c r="Q941">
        <f>IF($A941="","",IF($U941="Subscription","",IF($U941="Profit",$P941-$H941,0)))</f>
        <v/>
      </c>
      <c r="R941">
        <f>IF($A941="","",IF($U941="Subscription","",IF($U941="Draw",$H941,0)))</f>
        <v/>
      </c>
      <c r="S941">
        <f>IF($A941="","",IF($U941="Subscription","",IF($U941="Disqualified",$H941,0)))</f>
        <v/>
      </c>
      <c r="T941">
        <f>IF($A941="","",IF($U941="Subscription","",IF($H941=0,IF($U941="Profit","N/A",0),IF($U941="Profit",$Q941/$H941,IF($U941="Disqualified",-1,0)))))</f>
        <v/>
      </c>
      <c r="U941" s="350">
        <f>IF($A941="","",IF(OR(LOWER($D941&amp;"")="n/a",ISNUMBER(SEARCH("subscription",LOWER($A941&amp;" "&amp;$M941&amp;""))),ISNUMBER(SEARCH("membership",LOWER($A941&amp;" "&amp;$M941&amp;"")))),"Subscription",IF(LOWER($L941&amp;"")="yes","Disqualified",IF($P941&gt;$H941,"Profit","Draw"))))</f>
        <v/>
      </c>
      <c r="V941">
        <f>IF(OR($A941="",$B941="",$C941="",$U941="Subscription"),"",IFERROR(ROUNDUP((IF(ISNUMBER($C941),$C941,DATEVALUE($C941))-IF(ISNUMBER($B941),$B941,DATEVALUE($B941)))/7,0),""))</f>
        <v/>
      </c>
      <c r="W941" s="352">
        <f>IF($U941="Subscription","",$Q941-$S941)</f>
        <v/>
      </c>
      <c r="X941">
        <f>IF(OR($A941="",$U941="Subscription",$J941="",$I941="",$J941=0,$I941=0,$I941&gt;$J941),"",$J941-$I941)</f>
        <v/>
      </c>
      <c r="Y941">
        <f>IF(OR($A941="",$U941="Subscription",$J941="",$J941=0,$X941=""),"",$X941/$J941)</f>
        <v/>
      </c>
    </row>
    <row r="942">
      <c r="B942" s="354" t="n"/>
      <c r="C942" s="354" t="n"/>
      <c r="E942" s="350" t="n"/>
      <c r="F942" s="350" t="n"/>
      <c r="G942" s="350" t="n"/>
      <c r="H942" s="350" t="n"/>
      <c r="I942" s="350" t="n"/>
      <c r="J942" s="352" t="n"/>
      <c r="M942" s="350" t="n"/>
      <c r="N942" s="350">
        <f>IF($A942="","",IF(OR(LOWER($D942&amp;"")="n/a",ISNUMBER(SEARCH("subscription",LOWER($A942&amp;" "&amp;$M942&amp;""))),ISNUMBER(SEARCH("membership",LOWER($A942&amp;" "&amp;$M942&amp;"")))),"",IF($G942="","",IF(ISNUMBER(SEARCH("non",LOWER($E942&amp;""))),$G942*0.85,$G942))))</f>
        <v/>
      </c>
      <c r="O942">
        <f>IF($A942="","",IF(OR(LOWER($D942&amp;"")="n/a",ISNUMBER(SEARCH("subscription",LOWER($A942&amp;" "&amp;$M942&amp;""))),ISNUMBER(SEARCH("membership",LOWER($A942&amp;" "&amp;$M942&amp;"")))),"",IF(OR($N942="",$I942="",$I942=0),"",$N942/$I942)))</f>
        <v/>
      </c>
      <c r="P942">
        <f>IF($A942="","",IF(OR(LOWER($D942&amp;"")="n/a",ISNUMBER(SEARCH("subscription",LOWER($A942&amp;" "&amp;$M942&amp;""))),ISNUMBER(SEARCH("membership",LOWER($A942&amp;" "&amp;$M942&amp;"")))),"",IF(LOWER($L942&amp;"")="yes",0,IF($K942&lt;&gt;"",$K942,IF($O942&lt;&gt;"",$O942,"")))))</f>
        <v/>
      </c>
      <c r="Q942">
        <f>IF($A942="","",IF($U942="Subscription","",IF($U942="Profit",$P942-$H942,0)))</f>
        <v/>
      </c>
      <c r="R942">
        <f>IF($A942="","",IF($U942="Subscription","",IF($U942="Draw",$H942,0)))</f>
        <v/>
      </c>
      <c r="S942">
        <f>IF($A942="","",IF($U942="Subscription","",IF($U942="Disqualified",$H942,0)))</f>
        <v/>
      </c>
      <c r="T942">
        <f>IF($A942="","",IF($U942="Subscription","",IF($H942=0,IF($U942="Profit","N/A",0),IF($U942="Profit",$Q942/$H942,IF($U942="Disqualified",-1,0)))))</f>
        <v/>
      </c>
      <c r="U942" s="350">
        <f>IF($A942="","",IF(OR(LOWER($D942&amp;"")="n/a",ISNUMBER(SEARCH("subscription",LOWER($A942&amp;" "&amp;$M942&amp;""))),ISNUMBER(SEARCH("membership",LOWER($A942&amp;" "&amp;$M942&amp;"")))),"Subscription",IF(LOWER($L942&amp;"")="yes","Disqualified",IF($P942&gt;$H942,"Profit","Draw"))))</f>
        <v/>
      </c>
      <c r="V942">
        <f>IF(OR($A942="",$B942="",$C942="",$U942="Subscription"),"",IFERROR(ROUNDUP((IF(ISNUMBER($C942),$C942,DATEVALUE($C942))-IF(ISNUMBER($B942),$B942,DATEVALUE($B942)))/7,0),""))</f>
        <v/>
      </c>
      <c r="W942" s="352">
        <f>IF($U942="Subscription","",$Q942-$S942)</f>
        <v/>
      </c>
      <c r="X942">
        <f>IF(OR($A942="",$U942="Subscription",$J942="",$I942="",$J942=0,$I942=0,$I942&gt;$J942),"",$J942-$I942)</f>
        <v/>
      </c>
      <c r="Y942">
        <f>IF(OR($A942="",$U942="Subscription",$J942="",$J942=0,$X942=""),"",$X942/$J942)</f>
        <v/>
      </c>
    </row>
    <row r="943">
      <c r="B943" s="354" t="n"/>
      <c r="C943" s="354" t="n"/>
      <c r="E943" s="350" t="n"/>
      <c r="F943" s="350" t="n"/>
      <c r="G943" s="350" t="n"/>
      <c r="H943" s="350" t="n"/>
      <c r="I943" s="350" t="n"/>
      <c r="J943" s="352" t="n"/>
      <c r="M943" s="350" t="n"/>
      <c r="N943" s="350">
        <f>IF($A943="","",IF(OR(LOWER($D943&amp;"")="n/a",ISNUMBER(SEARCH("subscription",LOWER($A943&amp;" "&amp;$M943&amp;""))),ISNUMBER(SEARCH("membership",LOWER($A943&amp;" "&amp;$M943&amp;"")))),"",IF($G943="","",IF(ISNUMBER(SEARCH("non",LOWER($E943&amp;""))),$G943*0.85,$G943))))</f>
        <v/>
      </c>
      <c r="O943">
        <f>IF($A943="","",IF(OR(LOWER($D943&amp;"")="n/a",ISNUMBER(SEARCH("subscription",LOWER($A943&amp;" "&amp;$M943&amp;""))),ISNUMBER(SEARCH("membership",LOWER($A943&amp;" "&amp;$M943&amp;"")))),"",IF(OR($N943="",$I943="",$I943=0),"",$N943/$I943)))</f>
        <v/>
      </c>
      <c r="P943">
        <f>IF($A943="","",IF(OR(LOWER($D943&amp;"")="n/a",ISNUMBER(SEARCH("subscription",LOWER($A943&amp;" "&amp;$M943&amp;""))),ISNUMBER(SEARCH("membership",LOWER($A943&amp;" "&amp;$M943&amp;"")))),"",IF(LOWER($L943&amp;"")="yes",0,IF($K943&lt;&gt;"",$K943,IF($O943&lt;&gt;"",$O943,"")))))</f>
        <v/>
      </c>
      <c r="Q943">
        <f>IF($A943="","",IF($U943="Subscription","",IF($U943="Profit",$P943-$H943,0)))</f>
        <v/>
      </c>
      <c r="R943">
        <f>IF($A943="","",IF($U943="Subscription","",IF($U943="Draw",$H943,0)))</f>
        <v/>
      </c>
      <c r="S943">
        <f>IF($A943="","",IF($U943="Subscription","",IF($U943="Disqualified",$H943,0)))</f>
        <v/>
      </c>
      <c r="T943">
        <f>IF($A943="","",IF($U943="Subscription","",IF($H943=0,IF($U943="Profit","N/A",0),IF($U943="Profit",$Q943/$H943,IF($U943="Disqualified",-1,0)))))</f>
        <v/>
      </c>
      <c r="U943" s="350">
        <f>IF($A943="","",IF(OR(LOWER($D943&amp;"")="n/a",ISNUMBER(SEARCH("subscription",LOWER($A943&amp;" "&amp;$M943&amp;""))),ISNUMBER(SEARCH("membership",LOWER($A943&amp;" "&amp;$M943&amp;"")))),"Subscription",IF(LOWER($L943&amp;"")="yes","Disqualified",IF($P943&gt;$H943,"Profit","Draw"))))</f>
        <v/>
      </c>
      <c r="V943">
        <f>IF(OR($A943="",$B943="",$C943="",$U943="Subscription"),"",IFERROR(ROUNDUP((IF(ISNUMBER($C943),$C943,DATEVALUE($C943))-IF(ISNUMBER($B943),$B943,DATEVALUE($B943)))/7,0),""))</f>
        <v/>
      </c>
      <c r="W943" s="352">
        <f>IF($U943="Subscription","",$Q943-$S943)</f>
        <v/>
      </c>
      <c r="X943">
        <f>IF(OR($A943="",$U943="Subscription",$J943="",$I943="",$J943=0,$I943=0,$I943&gt;$J943),"",$J943-$I943)</f>
        <v/>
      </c>
      <c r="Y943">
        <f>IF(OR($A943="",$U943="Subscription",$J943="",$J943=0,$X943=""),"",$X943/$J943)</f>
        <v/>
      </c>
    </row>
    <row r="944">
      <c r="B944" s="354" t="n"/>
      <c r="C944" s="354" t="n"/>
      <c r="E944" s="350" t="n"/>
      <c r="F944" s="350" t="n"/>
      <c r="G944" s="350" t="n"/>
      <c r="H944" s="350" t="n"/>
      <c r="I944" s="350" t="n"/>
      <c r="J944" s="352" t="n"/>
      <c r="M944" s="350" t="n"/>
      <c r="N944" s="350">
        <f>IF($A944="","",IF(OR(LOWER($D944&amp;"")="n/a",ISNUMBER(SEARCH("subscription",LOWER($A944&amp;" "&amp;$M944&amp;""))),ISNUMBER(SEARCH("membership",LOWER($A944&amp;" "&amp;$M944&amp;"")))),"",IF($G944="","",IF(ISNUMBER(SEARCH("non",LOWER($E944&amp;""))),$G944*0.85,$G944))))</f>
        <v/>
      </c>
      <c r="O944">
        <f>IF($A944="","",IF(OR(LOWER($D944&amp;"")="n/a",ISNUMBER(SEARCH("subscription",LOWER($A944&amp;" "&amp;$M944&amp;""))),ISNUMBER(SEARCH("membership",LOWER($A944&amp;" "&amp;$M944&amp;"")))),"",IF(OR($N944="",$I944="",$I944=0),"",$N944/$I944)))</f>
        <v/>
      </c>
      <c r="P944">
        <f>IF($A944="","",IF(OR(LOWER($D944&amp;"")="n/a",ISNUMBER(SEARCH("subscription",LOWER($A944&amp;" "&amp;$M944&amp;""))),ISNUMBER(SEARCH("membership",LOWER($A944&amp;" "&amp;$M944&amp;"")))),"",IF(LOWER($L944&amp;"")="yes",0,IF($K944&lt;&gt;"",$K944,IF($O944&lt;&gt;"",$O944,"")))))</f>
        <v/>
      </c>
      <c r="Q944">
        <f>IF($A944="","",IF($U944="Subscription","",IF($U944="Profit",$P944-$H944,0)))</f>
        <v/>
      </c>
      <c r="R944">
        <f>IF($A944="","",IF($U944="Subscription","",IF($U944="Draw",$H944,0)))</f>
        <v/>
      </c>
      <c r="S944">
        <f>IF($A944="","",IF($U944="Subscription","",IF($U944="Disqualified",$H944,0)))</f>
        <v/>
      </c>
      <c r="T944">
        <f>IF($A944="","",IF($U944="Subscription","",IF($H944=0,IF($U944="Profit","N/A",0),IF($U944="Profit",$Q944/$H944,IF($U944="Disqualified",-1,0)))))</f>
        <v/>
      </c>
      <c r="U944" s="350">
        <f>IF($A944="","",IF(OR(LOWER($D944&amp;"")="n/a",ISNUMBER(SEARCH("subscription",LOWER($A944&amp;" "&amp;$M944&amp;""))),ISNUMBER(SEARCH("membership",LOWER($A944&amp;" "&amp;$M944&amp;"")))),"Subscription",IF(LOWER($L944&amp;"")="yes","Disqualified",IF($P944&gt;$H944,"Profit","Draw"))))</f>
        <v/>
      </c>
      <c r="V944">
        <f>IF(OR($A944="",$B944="",$C944="",$U944="Subscription"),"",IFERROR(ROUNDUP((IF(ISNUMBER($C944),$C944,DATEVALUE($C944))-IF(ISNUMBER($B944),$B944,DATEVALUE($B944)))/7,0),""))</f>
        <v/>
      </c>
      <c r="W944" s="352">
        <f>IF($U944="Subscription","",$Q944-$S944)</f>
        <v/>
      </c>
      <c r="X944">
        <f>IF(OR($A944="",$U944="Subscription",$J944="",$I944="",$J944=0,$I944=0,$I944&gt;$J944),"",$J944-$I944)</f>
        <v/>
      </c>
      <c r="Y944">
        <f>IF(OR($A944="",$U944="Subscription",$J944="",$J944=0,$X944=""),"",$X944/$J944)</f>
        <v/>
      </c>
    </row>
    <row r="945">
      <c r="B945" s="354" t="n"/>
      <c r="C945" s="354" t="n"/>
      <c r="E945" s="350" t="n"/>
      <c r="F945" s="350" t="n"/>
      <c r="G945" s="350" t="n"/>
      <c r="H945" s="350" t="n"/>
      <c r="I945" s="350" t="n"/>
      <c r="J945" s="352" t="n"/>
      <c r="M945" s="350" t="n"/>
      <c r="N945" s="350">
        <f>IF($A945="","",IF(OR(LOWER($D945&amp;"")="n/a",ISNUMBER(SEARCH("subscription",LOWER($A945&amp;" "&amp;$M945&amp;""))),ISNUMBER(SEARCH("membership",LOWER($A945&amp;" "&amp;$M945&amp;"")))),"",IF($G945="","",IF(ISNUMBER(SEARCH("non",LOWER($E945&amp;""))),$G945*0.85,$G945))))</f>
        <v/>
      </c>
      <c r="O945">
        <f>IF($A945="","",IF(OR(LOWER($D945&amp;"")="n/a",ISNUMBER(SEARCH("subscription",LOWER($A945&amp;" "&amp;$M945&amp;""))),ISNUMBER(SEARCH("membership",LOWER($A945&amp;" "&amp;$M945&amp;"")))),"",IF(OR($N945="",$I945="",$I945=0),"",$N945/$I945)))</f>
        <v/>
      </c>
      <c r="P945">
        <f>IF($A945="","",IF(OR(LOWER($D945&amp;"")="n/a",ISNUMBER(SEARCH("subscription",LOWER($A945&amp;" "&amp;$M945&amp;""))),ISNUMBER(SEARCH("membership",LOWER($A945&amp;" "&amp;$M945&amp;"")))),"",IF(LOWER($L945&amp;"")="yes",0,IF($K945&lt;&gt;"",$K945,IF($O945&lt;&gt;"",$O945,"")))))</f>
        <v/>
      </c>
      <c r="Q945">
        <f>IF($A945="","",IF($U945="Subscription","",IF($U945="Profit",$P945-$H945,0)))</f>
        <v/>
      </c>
      <c r="R945">
        <f>IF($A945="","",IF($U945="Subscription","",IF($U945="Draw",$H945,0)))</f>
        <v/>
      </c>
      <c r="S945">
        <f>IF($A945="","",IF($U945="Subscription","",IF($U945="Disqualified",$H945,0)))</f>
        <v/>
      </c>
      <c r="T945">
        <f>IF($A945="","",IF($U945="Subscription","",IF($H945=0,IF($U945="Profit","N/A",0),IF($U945="Profit",$Q945/$H945,IF($U945="Disqualified",-1,0)))))</f>
        <v/>
      </c>
      <c r="U945" s="350">
        <f>IF($A945="","",IF(OR(LOWER($D945&amp;"")="n/a",ISNUMBER(SEARCH("subscription",LOWER($A945&amp;" "&amp;$M945&amp;""))),ISNUMBER(SEARCH("membership",LOWER($A945&amp;" "&amp;$M945&amp;"")))),"Subscription",IF(LOWER($L945&amp;"")="yes","Disqualified",IF($P945&gt;$H945,"Profit","Draw"))))</f>
        <v/>
      </c>
      <c r="V945">
        <f>IF(OR($A945="",$B945="",$C945="",$U945="Subscription"),"",IFERROR(ROUNDUP((IF(ISNUMBER($C945),$C945,DATEVALUE($C945))-IF(ISNUMBER($B945),$B945,DATEVALUE($B945)))/7,0),""))</f>
        <v/>
      </c>
      <c r="W945" s="352">
        <f>IF($U945="Subscription","",$Q945-$S945)</f>
        <v/>
      </c>
      <c r="X945">
        <f>IF(OR($A945="",$U945="Subscription",$J945="",$I945="",$J945=0,$I945=0,$I945&gt;$J945),"",$J945-$I945)</f>
        <v/>
      </c>
      <c r="Y945">
        <f>IF(OR($A945="",$U945="Subscription",$J945="",$J945=0,$X945=""),"",$X945/$J945)</f>
        <v/>
      </c>
    </row>
    <row r="946">
      <c r="B946" s="354" t="n"/>
      <c r="C946" s="354" t="n"/>
      <c r="E946" s="350" t="n"/>
      <c r="F946" s="350" t="n"/>
      <c r="G946" s="350" t="n"/>
      <c r="H946" s="350" t="n"/>
      <c r="I946" s="350" t="n"/>
      <c r="J946" s="352" t="n"/>
      <c r="M946" s="350" t="n"/>
      <c r="N946" s="350">
        <f>IF($A946="","",IF(OR(LOWER($D946&amp;"")="n/a",ISNUMBER(SEARCH("subscription",LOWER($A946&amp;" "&amp;$M946&amp;""))),ISNUMBER(SEARCH("membership",LOWER($A946&amp;" "&amp;$M946&amp;"")))),"",IF($G946="","",IF(ISNUMBER(SEARCH("non",LOWER($E946&amp;""))),$G946*0.85,$G946))))</f>
        <v/>
      </c>
      <c r="O946">
        <f>IF($A946="","",IF(OR(LOWER($D946&amp;"")="n/a",ISNUMBER(SEARCH("subscription",LOWER($A946&amp;" "&amp;$M946&amp;""))),ISNUMBER(SEARCH("membership",LOWER($A946&amp;" "&amp;$M946&amp;"")))),"",IF(OR($N946="",$I946="",$I946=0),"",$N946/$I946)))</f>
        <v/>
      </c>
      <c r="P946">
        <f>IF($A946="","",IF(OR(LOWER($D946&amp;"")="n/a",ISNUMBER(SEARCH("subscription",LOWER($A946&amp;" "&amp;$M946&amp;""))),ISNUMBER(SEARCH("membership",LOWER($A946&amp;" "&amp;$M946&amp;"")))),"",IF(LOWER($L946&amp;"")="yes",0,IF($K946&lt;&gt;"",$K946,IF($O946&lt;&gt;"",$O946,"")))))</f>
        <v/>
      </c>
      <c r="Q946">
        <f>IF($A946="","",IF($U946="Subscription","",IF($U946="Profit",$P946-$H946,0)))</f>
        <v/>
      </c>
      <c r="R946">
        <f>IF($A946="","",IF($U946="Subscription","",IF($U946="Draw",$H946,0)))</f>
        <v/>
      </c>
      <c r="S946">
        <f>IF($A946="","",IF($U946="Subscription","",IF($U946="Disqualified",$H946,0)))</f>
        <v/>
      </c>
      <c r="T946">
        <f>IF($A946="","",IF($U946="Subscription","",IF($H946=0,IF($U946="Profit","N/A",0),IF($U946="Profit",$Q946/$H946,IF($U946="Disqualified",-1,0)))))</f>
        <v/>
      </c>
      <c r="U946" s="350">
        <f>IF($A946="","",IF(OR(LOWER($D946&amp;"")="n/a",ISNUMBER(SEARCH("subscription",LOWER($A946&amp;" "&amp;$M946&amp;""))),ISNUMBER(SEARCH("membership",LOWER($A946&amp;" "&amp;$M946&amp;"")))),"Subscription",IF(LOWER($L946&amp;"")="yes","Disqualified",IF($P946&gt;$H946,"Profit","Draw"))))</f>
        <v/>
      </c>
      <c r="V946">
        <f>IF(OR($A946="",$B946="",$C946="",$U946="Subscription"),"",IFERROR(ROUNDUP((IF(ISNUMBER($C946),$C946,DATEVALUE($C946))-IF(ISNUMBER($B946),$B946,DATEVALUE($B946)))/7,0),""))</f>
        <v/>
      </c>
      <c r="W946" s="352">
        <f>IF($U946="Subscription","",$Q946-$S946)</f>
        <v/>
      </c>
      <c r="X946">
        <f>IF(OR($A946="",$U946="Subscription",$J946="",$I946="",$J946=0,$I946=0,$I946&gt;$J946),"",$J946-$I946)</f>
        <v/>
      </c>
      <c r="Y946">
        <f>IF(OR($A946="",$U946="Subscription",$J946="",$J946=0,$X946=""),"",$X946/$J946)</f>
        <v/>
      </c>
    </row>
    <row r="947">
      <c r="B947" s="354" t="n"/>
      <c r="C947" s="354" t="n"/>
      <c r="E947" s="350" t="n"/>
      <c r="F947" s="350" t="n"/>
      <c r="G947" s="350" t="n"/>
      <c r="H947" s="350" t="n"/>
      <c r="I947" s="350" t="n"/>
      <c r="J947" s="352" t="n"/>
      <c r="M947" s="350" t="n"/>
      <c r="N947" s="350">
        <f>IF($A947="","",IF(OR(LOWER($D947&amp;"")="n/a",ISNUMBER(SEARCH("subscription",LOWER($A947&amp;" "&amp;$M947&amp;""))),ISNUMBER(SEARCH("membership",LOWER($A947&amp;" "&amp;$M947&amp;"")))),"",IF($G947="","",IF(ISNUMBER(SEARCH("non",LOWER($E947&amp;""))),$G947*0.85,$G947))))</f>
        <v/>
      </c>
      <c r="O947">
        <f>IF($A947="","",IF(OR(LOWER($D947&amp;"")="n/a",ISNUMBER(SEARCH("subscription",LOWER($A947&amp;" "&amp;$M947&amp;""))),ISNUMBER(SEARCH("membership",LOWER($A947&amp;" "&amp;$M947&amp;"")))),"",IF(OR($N947="",$I947="",$I947=0),"",$N947/$I947)))</f>
        <v/>
      </c>
      <c r="P947">
        <f>IF($A947="","",IF(OR(LOWER($D947&amp;"")="n/a",ISNUMBER(SEARCH("subscription",LOWER($A947&amp;" "&amp;$M947&amp;""))),ISNUMBER(SEARCH("membership",LOWER($A947&amp;" "&amp;$M947&amp;"")))),"",IF(LOWER($L947&amp;"")="yes",0,IF($K947&lt;&gt;"",$K947,IF($O947&lt;&gt;"",$O947,"")))))</f>
        <v/>
      </c>
      <c r="Q947">
        <f>IF($A947="","",IF($U947="Subscription","",IF($U947="Profit",$P947-$H947,0)))</f>
        <v/>
      </c>
      <c r="R947">
        <f>IF($A947="","",IF($U947="Subscription","",IF($U947="Draw",$H947,0)))</f>
        <v/>
      </c>
      <c r="S947">
        <f>IF($A947="","",IF($U947="Subscription","",IF($U947="Disqualified",$H947,0)))</f>
        <v/>
      </c>
      <c r="T947">
        <f>IF($A947="","",IF($U947="Subscription","",IF($H947=0,IF($U947="Profit","N/A",0),IF($U947="Profit",$Q947/$H947,IF($U947="Disqualified",-1,0)))))</f>
        <v/>
      </c>
      <c r="U947" s="350">
        <f>IF($A947="","",IF(OR(LOWER($D947&amp;"")="n/a",ISNUMBER(SEARCH("subscription",LOWER($A947&amp;" "&amp;$M947&amp;""))),ISNUMBER(SEARCH("membership",LOWER($A947&amp;" "&amp;$M947&amp;"")))),"Subscription",IF(LOWER($L947&amp;"")="yes","Disqualified",IF($P947&gt;$H947,"Profit","Draw"))))</f>
        <v/>
      </c>
      <c r="V947">
        <f>IF(OR($A947="",$B947="",$C947="",$U947="Subscription"),"",IFERROR(ROUNDUP((IF(ISNUMBER($C947),$C947,DATEVALUE($C947))-IF(ISNUMBER($B947),$B947,DATEVALUE($B947)))/7,0),""))</f>
        <v/>
      </c>
      <c r="W947" s="352">
        <f>IF($U947="Subscription","",$Q947-$S947)</f>
        <v/>
      </c>
      <c r="X947">
        <f>IF(OR($A947="",$U947="Subscription",$J947="",$I947="",$J947=0,$I947=0,$I947&gt;$J947),"",$J947-$I947)</f>
        <v/>
      </c>
      <c r="Y947">
        <f>IF(OR($A947="",$U947="Subscription",$J947="",$J947=0,$X947=""),"",$X947/$J947)</f>
        <v/>
      </c>
    </row>
    <row r="948">
      <c r="B948" s="354" t="n"/>
      <c r="C948" s="354" t="n"/>
      <c r="E948" s="350" t="n"/>
      <c r="F948" s="350" t="n"/>
      <c r="G948" s="350" t="n"/>
      <c r="H948" s="350" t="n"/>
      <c r="I948" s="350" t="n"/>
      <c r="J948" s="352" t="n"/>
      <c r="M948" s="350" t="n"/>
      <c r="N948" s="350">
        <f>IF($A948="","",IF(OR(LOWER($D948&amp;"")="n/a",ISNUMBER(SEARCH("subscription",LOWER($A948&amp;" "&amp;$M948&amp;""))),ISNUMBER(SEARCH("membership",LOWER($A948&amp;" "&amp;$M948&amp;"")))),"",IF($G948="","",IF(ISNUMBER(SEARCH("non",LOWER($E948&amp;""))),$G948*0.85,$G948))))</f>
        <v/>
      </c>
      <c r="O948">
        <f>IF($A948="","",IF(OR(LOWER($D948&amp;"")="n/a",ISNUMBER(SEARCH("subscription",LOWER($A948&amp;" "&amp;$M948&amp;""))),ISNUMBER(SEARCH("membership",LOWER($A948&amp;" "&amp;$M948&amp;"")))),"",IF(OR($N948="",$I948="",$I948=0),"",$N948/$I948)))</f>
        <v/>
      </c>
      <c r="P948">
        <f>IF($A948="","",IF(OR(LOWER($D948&amp;"")="n/a",ISNUMBER(SEARCH("subscription",LOWER($A948&amp;" "&amp;$M948&amp;""))),ISNUMBER(SEARCH("membership",LOWER($A948&amp;" "&amp;$M948&amp;"")))),"",IF(LOWER($L948&amp;"")="yes",0,IF($K948&lt;&gt;"",$K948,IF($O948&lt;&gt;"",$O948,"")))))</f>
        <v/>
      </c>
      <c r="Q948">
        <f>IF($A948="","",IF($U948="Subscription","",IF($U948="Profit",$P948-$H948,0)))</f>
        <v/>
      </c>
      <c r="R948">
        <f>IF($A948="","",IF($U948="Subscription","",IF($U948="Draw",$H948,0)))</f>
        <v/>
      </c>
      <c r="S948">
        <f>IF($A948="","",IF($U948="Subscription","",IF($U948="Disqualified",$H948,0)))</f>
        <v/>
      </c>
      <c r="T948">
        <f>IF($A948="","",IF($U948="Subscription","",IF($H948=0,IF($U948="Profit","N/A",0),IF($U948="Profit",$Q948/$H948,IF($U948="Disqualified",-1,0)))))</f>
        <v/>
      </c>
      <c r="U948" s="350">
        <f>IF($A948="","",IF(OR(LOWER($D948&amp;"")="n/a",ISNUMBER(SEARCH("subscription",LOWER($A948&amp;" "&amp;$M948&amp;""))),ISNUMBER(SEARCH("membership",LOWER($A948&amp;" "&amp;$M948&amp;"")))),"Subscription",IF(LOWER($L948&amp;"")="yes","Disqualified",IF($P948&gt;$H948,"Profit","Draw"))))</f>
        <v/>
      </c>
      <c r="V948">
        <f>IF(OR($A948="",$B948="",$C948="",$U948="Subscription"),"",IFERROR(ROUNDUP((IF(ISNUMBER($C948),$C948,DATEVALUE($C948))-IF(ISNUMBER($B948),$B948,DATEVALUE($B948)))/7,0),""))</f>
        <v/>
      </c>
      <c r="W948" s="352">
        <f>IF($U948="Subscription","",$Q948-$S948)</f>
        <v/>
      </c>
      <c r="X948">
        <f>IF(OR($A948="",$U948="Subscription",$J948="",$I948="",$J948=0,$I948=0,$I948&gt;$J948),"",$J948-$I948)</f>
        <v/>
      </c>
      <c r="Y948">
        <f>IF(OR($A948="",$U948="Subscription",$J948="",$J948=0,$X948=""),"",$X948/$J948)</f>
        <v/>
      </c>
    </row>
    <row r="949">
      <c r="B949" s="354" t="n"/>
      <c r="C949" s="354" t="n"/>
      <c r="E949" s="350" t="n"/>
      <c r="F949" s="350" t="n"/>
      <c r="G949" s="350" t="n"/>
      <c r="H949" s="350" t="n"/>
      <c r="I949" s="350" t="n"/>
      <c r="J949" s="352" t="n"/>
      <c r="M949" s="350" t="n"/>
      <c r="N949" s="350">
        <f>IF($A949="","",IF(OR(LOWER($D949&amp;"")="n/a",ISNUMBER(SEARCH("subscription",LOWER($A949&amp;" "&amp;$M949&amp;""))),ISNUMBER(SEARCH("membership",LOWER($A949&amp;" "&amp;$M949&amp;"")))),"",IF($G949="","",IF(ISNUMBER(SEARCH("non",LOWER($E949&amp;""))),$G949*0.85,$G949))))</f>
        <v/>
      </c>
      <c r="O949">
        <f>IF($A949="","",IF(OR(LOWER($D949&amp;"")="n/a",ISNUMBER(SEARCH("subscription",LOWER($A949&amp;" "&amp;$M949&amp;""))),ISNUMBER(SEARCH("membership",LOWER($A949&amp;" "&amp;$M949&amp;"")))),"",IF(OR($N949="",$I949="",$I949=0),"",$N949/$I949)))</f>
        <v/>
      </c>
      <c r="P949">
        <f>IF($A949="","",IF(OR(LOWER($D949&amp;"")="n/a",ISNUMBER(SEARCH("subscription",LOWER($A949&amp;" "&amp;$M949&amp;""))),ISNUMBER(SEARCH("membership",LOWER($A949&amp;" "&amp;$M949&amp;"")))),"",IF(LOWER($L949&amp;"")="yes",0,IF($K949&lt;&gt;"",$K949,IF($O949&lt;&gt;"",$O949,"")))))</f>
        <v/>
      </c>
      <c r="Q949">
        <f>IF($A949="","",IF($U949="Subscription","",IF($U949="Profit",$P949-$H949,0)))</f>
        <v/>
      </c>
      <c r="R949">
        <f>IF($A949="","",IF($U949="Subscription","",IF($U949="Draw",$H949,0)))</f>
        <v/>
      </c>
      <c r="S949">
        <f>IF($A949="","",IF($U949="Subscription","",IF($U949="Disqualified",$H949,0)))</f>
        <v/>
      </c>
      <c r="T949">
        <f>IF($A949="","",IF($U949="Subscription","",IF($H949=0,IF($U949="Profit","N/A",0),IF($U949="Profit",$Q949/$H949,IF($U949="Disqualified",-1,0)))))</f>
        <v/>
      </c>
      <c r="U949" s="350">
        <f>IF($A949="","",IF(OR(LOWER($D949&amp;"")="n/a",ISNUMBER(SEARCH("subscription",LOWER($A949&amp;" "&amp;$M949&amp;""))),ISNUMBER(SEARCH("membership",LOWER($A949&amp;" "&amp;$M949&amp;"")))),"Subscription",IF(LOWER($L949&amp;"")="yes","Disqualified",IF($P949&gt;$H949,"Profit","Draw"))))</f>
        <v/>
      </c>
      <c r="V949">
        <f>IF(OR($A949="",$B949="",$C949="",$U949="Subscription"),"",IFERROR(ROUNDUP((IF(ISNUMBER($C949),$C949,DATEVALUE($C949))-IF(ISNUMBER($B949),$B949,DATEVALUE($B949)))/7,0),""))</f>
        <v/>
      </c>
      <c r="W949" s="352">
        <f>IF($U949="Subscription","",$Q949-$S949)</f>
        <v/>
      </c>
      <c r="X949">
        <f>IF(OR($A949="",$U949="Subscription",$J949="",$I949="",$J949=0,$I949=0,$I949&gt;$J949),"",$J949-$I949)</f>
        <v/>
      </c>
      <c r="Y949">
        <f>IF(OR($A949="",$U949="Subscription",$J949="",$J949=0,$X949=""),"",$X949/$J949)</f>
        <v/>
      </c>
    </row>
    <row r="950">
      <c r="B950" s="354" t="n"/>
      <c r="C950" s="354" t="n"/>
      <c r="E950" s="350" t="n"/>
      <c r="F950" s="350" t="n"/>
      <c r="G950" s="350" t="n"/>
      <c r="H950" s="350" t="n"/>
      <c r="I950" s="350" t="n"/>
      <c r="J950" s="352" t="n"/>
      <c r="M950" s="350" t="n"/>
      <c r="N950" s="350">
        <f>IF($A950="","",IF(OR(LOWER($D950&amp;"")="n/a",ISNUMBER(SEARCH("subscription",LOWER($A950&amp;" "&amp;$M950&amp;""))),ISNUMBER(SEARCH("membership",LOWER($A950&amp;" "&amp;$M950&amp;"")))),"",IF($G950="","",IF(ISNUMBER(SEARCH("non",LOWER($E950&amp;""))),$G950*0.85,$G950))))</f>
        <v/>
      </c>
      <c r="O950">
        <f>IF($A950="","",IF(OR(LOWER($D950&amp;"")="n/a",ISNUMBER(SEARCH("subscription",LOWER($A950&amp;" "&amp;$M950&amp;""))),ISNUMBER(SEARCH("membership",LOWER($A950&amp;" "&amp;$M950&amp;"")))),"",IF(OR($N950="",$I950="",$I950=0),"",$N950/$I950)))</f>
        <v/>
      </c>
      <c r="P950">
        <f>IF($A950="","",IF(OR(LOWER($D950&amp;"")="n/a",ISNUMBER(SEARCH("subscription",LOWER($A950&amp;" "&amp;$M950&amp;""))),ISNUMBER(SEARCH("membership",LOWER($A950&amp;" "&amp;$M950&amp;"")))),"",IF(LOWER($L950&amp;"")="yes",0,IF($K950&lt;&gt;"",$K950,IF($O950&lt;&gt;"",$O950,"")))))</f>
        <v/>
      </c>
      <c r="Q950">
        <f>IF($A950="","",IF($U950="Subscription","",IF($U950="Profit",$P950-$H950,0)))</f>
        <v/>
      </c>
      <c r="R950">
        <f>IF($A950="","",IF($U950="Subscription","",IF($U950="Draw",$H950,0)))</f>
        <v/>
      </c>
      <c r="S950">
        <f>IF($A950="","",IF($U950="Subscription","",IF($U950="Disqualified",$H950,0)))</f>
        <v/>
      </c>
      <c r="T950">
        <f>IF($A950="","",IF($U950="Subscription","",IF($H950=0,IF($U950="Profit","N/A",0),IF($U950="Profit",$Q950/$H950,IF($U950="Disqualified",-1,0)))))</f>
        <v/>
      </c>
      <c r="U950" s="350">
        <f>IF($A950="","",IF(OR(LOWER($D950&amp;"")="n/a",ISNUMBER(SEARCH("subscription",LOWER($A950&amp;" "&amp;$M950&amp;""))),ISNUMBER(SEARCH("membership",LOWER($A950&amp;" "&amp;$M950&amp;"")))),"Subscription",IF(LOWER($L950&amp;"")="yes","Disqualified",IF($P950&gt;$H950,"Profit","Draw"))))</f>
        <v/>
      </c>
      <c r="V950">
        <f>IF(OR($A950="",$B950="",$C950="",$U950="Subscription"),"",IFERROR(ROUNDUP((IF(ISNUMBER($C950),$C950,DATEVALUE($C950))-IF(ISNUMBER($B950),$B950,DATEVALUE($B950)))/7,0),""))</f>
        <v/>
      </c>
      <c r="W950" s="352">
        <f>IF($U950="Subscription","",$Q950-$S950)</f>
        <v/>
      </c>
      <c r="X950">
        <f>IF(OR($A950="",$U950="Subscription",$J950="",$I950="",$J950=0,$I950=0,$I950&gt;$J950),"",$J950-$I950)</f>
        <v/>
      </c>
      <c r="Y950">
        <f>IF(OR($A950="",$U950="Subscription",$J950="",$J950=0,$X950=""),"",$X950/$J950)</f>
        <v/>
      </c>
    </row>
    <row r="951">
      <c r="B951" s="354" t="n"/>
      <c r="C951" s="354" t="n"/>
      <c r="E951" s="350" t="n"/>
      <c r="F951" s="350" t="n"/>
      <c r="G951" s="350" t="n"/>
      <c r="H951" s="350" t="n"/>
      <c r="I951" s="350" t="n"/>
      <c r="J951" s="352" t="n"/>
      <c r="M951" s="350" t="n"/>
      <c r="N951" s="350">
        <f>IF($A951="","",IF(OR(LOWER($D951&amp;"")="n/a",ISNUMBER(SEARCH("subscription",LOWER($A951&amp;" "&amp;$M951&amp;""))),ISNUMBER(SEARCH("membership",LOWER($A951&amp;" "&amp;$M951&amp;"")))),"",IF($G951="","",IF(ISNUMBER(SEARCH("non",LOWER($E951&amp;""))),$G951*0.85,$G951))))</f>
        <v/>
      </c>
      <c r="O951">
        <f>IF($A951="","",IF(OR(LOWER($D951&amp;"")="n/a",ISNUMBER(SEARCH("subscription",LOWER($A951&amp;" "&amp;$M951&amp;""))),ISNUMBER(SEARCH("membership",LOWER($A951&amp;" "&amp;$M951&amp;"")))),"",IF(OR($N951="",$I951="",$I951=0),"",$N951/$I951)))</f>
        <v/>
      </c>
      <c r="P951">
        <f>IF($A951="","",IF(OR(LOWER($D951&amp;"")="n/a",ISNUMBER(SEARCH("subscription",LOWER($A951&amp;" "&amp;$M951&amp;""))),ISNUMBER(SEARCH("membership",LOWER($A951&amp;" "&amp;$M951&amp;"")))),"",IF(LOWER($L951&amp;"")="yes",0,IF($K951&lt;&gt;"",$K951,IF($O951&lt;&gt;"",$O951,"")))))</f>
        <v/>
      </c>
      <c r="Q951">
        <f>IF($A951="","",IF($U951="Subscription","",IF($U951="Profit",$P951-$H951,0)))</f>
        <v/>
      </c>
      <c r="R951">
        <f>IF($A951="","",IF($U951="Subscription","",IF($U951="Draw",$H951,0)))</f>
        <v/>
      </c>
      <c r="S951">
        <f>IF($A951="","",IF($U951="Subscription","",IF($U951="Disqualified",$H951,0)))</f>
        <v/>
      </c>
      <c r="T951">
        <f>IF($A951="","",IF($U951="Subscription","",IF($H951=0,IF($U951="Profit","N/A",0),IF($U951="Profit",$Q951/$H951,IF($U951="Disqualified",-1,0)))))</f>
        <v/>
      </c>
      <c r="U951" s="350">
        <f>IF($A951="","",IF(OR(LOWER($D951&amp;"")="n/a",ISNUMBER(SEARCH("subscription",LOWER($A951&amp;" "&amp;$M951&amp;""))),ISNUMBER(SEARCH("membership",LOWER($A951&amp;" "&amp;$M951&amp;"")))),"Subscription",IF(LOWER($L951&amp;"")="yes","Disqualified",IF($P951&gt;$H951,"Profit","Draw"))))</f>
        <v/>
      </c>
      <c r="V951">
        <f>IF(OR($A951="",$B951="",$C951="",$U951="Subscription"),"",IFERROR(ROUNDUP((IF(ISNUMBER($C951),$C951,DATEVALUE($C951))-IF(ISNUMBER($B951),$B951,DATEVALUE($B951)))/7,0),""))</f>
        <v/>
      </c>
      <c r="W951" s="352">
        <f>IF($U951="Subscription","",$Q951-$S951)</f>
        <v/>
      </c>
      <c r="X951">
        <f>IF(OR($A951="",$U951="Subscription",$J951="",$I951="",$J951=0,$I951=0,$I951&gt;$J951),"",$J951-$I951)</f>
        <v/>
      </c>
      <c r="Y951">
        <f>IF(OR($A951="",$U951="Subscription",$J951="",$J951=0,$X951=""),"",$X951/$J951)</f>
        <v/>
      </c>
    </row>
    <row r="952">
      <c r="B952" s="354" t="n"/>
      <c r="C952" s="354" t="n"/>
      <c r="E952" s="350" t="n"/>
      <c r="F952" s="350" t="n"/>
      <c r="G952" s="350" t="n"/>
      <c r="H952" s="350" t="n"/>
      <c r="I952" s="350" t="n"/>
      <c r="J952" s="352" t="n"/>
      <c r="M952" s="350" t="n"/>
      <c r="N952" s="350">
        <f>IF($A952="","",IF(OR(LOWER($D952&amp;"")="n/a",ISNUMBER(SEARCH("subscription",LOWER($A952&amp;" "&amp;$M952&amp;""))),ISNUMBER(SEARCH("membership",LOWER($A952&amp;" "&amp;$M952&amp;"")))),"",IF($G952="","",IF(ISNUMBER(SEARCH("non",LOWER($E952&amp;""))),$G952*0.85,$G952))))</f>
        <v/>
      </c>
      <c r="O952">
        <f>IF($A952="","",IF(OR(LOWER($D952&amp;"")="n/a",ISNUMBER(SEARCH("subscription",LOWER($A952&amp;" "&amp;$M952&amp;""))),ISNUMBER(SEARCH("membership",LOWER($A952&amp;" "&amp;$M952&amp;"")))),"",IF(OR($N952="",$I952="",$I952=0),"",$N952/$I952)))</f>
        <v/>
      </c>
      <c r="P952">
        <f>IF($A952="","",IF(OR(LOWER($D952&amp;"")="n/a",ISNUMBER(SEARCH("subscription",LOWER($A952&amp;" "&amp;$M952&amp;""))),ISNUMBER(SEARCH("membership",LOWER($A952&amp;" "&amp;$M952&amp;"")))),"",IF(LOWER($L952&amp;"")="yes",0,IF($K952&lt;&gt;"",$K952,IF($O952&lt;&gt;"",$O952,"")))))</f>
        <v/>
      </c>
      <c r="Q952">
        <f>IF($A952="","",IF($U952="Subscription","",IF($U952="Profit",$P952-$H952,0)))</f>
        <v/>
      </c>
      <c r="R952">
        <f>IF($A952="","",IF($U952="Subscription","",IF($U952="Draw",$H952,0)))</f>
        <v/>
      </c>
      <c r="S952">
        <f>IF($A952="","",IF($U952="Subscription","",IF($U952="Disqualified",$H952,0)))</f>
        <v/>
      </c>
      <c r="T952">
        <f>IF($A952="","",IF($U952="Subscription","",IF($H952=0,IF($U952="Profit","N/A",0),IF($U952="Profit",$Q952/$H952,IF($U952="Disqualified",-1,0)))))</f>
        <v/>
      </c>
      <c r="U952" s="350">
        <f>IF($A952="","",IF(OR(LOWER($D952&amp;"")="n/a",ISNUMBER(SEARCH("subscription",LOWER($A952&amp;" "&amp;$M952&amp;""))),ISNUMBER(SEARCH("membership",LOWER($A952&amp;" "&amp;$M952&amp;"")))),"Subscription",IF(LOWER($L952&amp;"")="yes","Disqualified",IF($P952&gt;$H952,"Profit","Draw"))))</f>
        <v/>
      </c>
      <c r="V952">
        <f>IF(OR($A952="",$B952="",$C952="",$U952="Subscription"),"",IFERROR(ROUNDUP((IF(ISNUMBER($C952),$C952,DATEVALUE($C952))-IF(ISNUMBER($B952),$B952,DATEVALUE($B952)))/7,0),""))</f>
        <v/>
      </c>
      <c r="W952" s="352">
        <f>IF($U952="Subscription","",$Q952-$S952)</f>
        <v/>
      </c>
      <c r="X952">
        <f>IF(OR($A952="",$U952="Subscription",$J952="",$I952="",$J952=0,$I952=0,$I952&gt;$J952),"",$J952-$I952)</f>
        <v/>
      </c>
      <c r="Y952">
        <f>IF(OR($A952="",$U952="Subscription",$J952="",$J952=0,$X952=""),"",$X952/$J952)</f>
        <v/>
      </c>
    </row>
    <row r="953">
      <c r="B953" s="354" t="n"/>
      <c r="C953" s="354" t="n"/>
      <c r="E953" s="350" t="n"/>
      <c r="F953" s="350" t="n"/>
      <c r="G953" s="350" t="n"/>
      <c r="H953" s="350" t="n"/>
      <c r="I953" s="350" t="n"/>
      <c r="J953" s="352" t="n"/>
      <c r="M953" s="350" t="n"/>
      <c r="N953" s="350">
        <f>IF($A953="","",IF(OR(LOWER($D953&amp;"")="n/a",ISNUMBER(SEARCH("subscription",LOWER($A953&amp;" "&amp;$M953&amp;""))),ISNUMBER(SEARCH("membership",LOWER($A953&amp;" "&amp;$M953&amp;"")))),"",IF($G953="","",IF(ISNUMBER(SEARCH("non",LOWER($E953&amp;""))),$G953*0.85,$G953))))</f>
        <v/>
      </c>
      <c r="O953">
        <f>IF($A953="","",IF(OR(LOWER($D953&amp;"")="n/a",ISNUMBER(SEARCH("subscription",LOWER($A953&amp;" "&amp;$M953&amp;""))),ISNUMBER(SEARCH("membership",LOWER($A953&amp;" "&amp;$M953&amp;"")))),"",IF(OR($N953="",$I953="",$I953=0),"",$N953/$I953)))</f>
        <v/>
      </c>
      <c r="P953">
        <f>IF($A953="","",IF(OR(LOWER($D953&amp;"")="n/a",ISNUMBER(SEARCH("subscription",LOWER($A953&amp;" "&amp;$M953&amp;""))),ISNUMBER(SEARCH("membership",LOWER($A953&amp;" "&amp;$M953&amp;"")))),"",IF(LOWER($L953&amp;"")="yes",0,IF($K953&lt;&gt;"",$K953,IF($O953&lt;&gt;"",$O953,"")))))</f>
        <v/>
      </c>
      <c r="Q953">
        <f>IF($A953="","",IF($U953="Subscription","",IF($U953="Profit",$P953-$H953,0)))</f>
        <v/>
      </c>
      <c r="R953">
        <f>IF($A953="","",IF($U953="Subscription","",IF($U953="Draw",$H953,0)))</f>
        <v/>
      </c>
      <c r="S953">
        <f>IF($A953="","",IF($U953="Subscription","",IF($U953="Disqualified",$H953,0)))</f>
        <v/>
      </c>
      <c r="T953">
        <f>IF($A953="","",IF($U953="Subscription","",IF($H953=0,IF($U953="Profit","N/A",0),IF($U953="Profit",$Q953/$H953,IF($U953="Disqualified",-1,0)))))</f>
        <v/>
      </c>
      <c r="U953" s="350">
        <f>IF($A953="","",IF(OR(LOWER($D953&amp;"")="n/a",ISNUMBER(SEARCH("subscription",LOWER($A953&amp;" "&amp;$M953&amp;""))),ISNUMBER(SEARCH("membership",LOWER($A953&amp;" "&amp;$M953&amp;"")))),"Subscription",IF(LOWER($L953&amp;"")="yes","Disqualified",IF($P953&gt;$H953,"Profit","Draw"))))</f>
        <v/>
      </c>
      <c r="V953">
        <f>IF(OR($A953="",$B953="",$C953="",$U953="Subscription"),"",IFERROR(ROUNDUP((IF(ISNUMBER($C953),$C953,DATEVALUE($C953))-IF(ISNUMBER($B953),$B953,DATEVALUE($B953)))/7,0),""))</f>
        <v/>
      </c>
      <c r="W953" s="352">
        <f>IF($U953="Subscription","",$Q953-$S953)</f>
        <v/>
      </c>
      <c r="X953">
        <f>IF(OR($A953="",$U953="Subscription",$J953="",$I953="",$J953=0,$I953=0,$I953&gt;$J953),"",$J953-$I953)</f>
        <v/>
      </c>
      <c r="Y953">
        <f>IF(OR($A953="",$U953="Subscription",$J953="",$J953=0,$X953=""),"",$X953/$J953)</f>
        <v/>
      </c>
    </row>
    <row r="954">
      <c r="B954" s="354" t="n"/>
      <c r="C954" s="354" t="n"/>
      <c r="E954" s="350" t="n"/>
      <c r="F954" s="350" t="n"/>
      <c r="G954" s="350" t="n"/>
      <c r="H954" s="350" t="n"/>
      <c r="I954" s="350" t="n"/>
      <c r="J954" s="352" t="n"/>
      <c r="M954" s="350" t="n"/>
      <c r="N954" s="350">
        <f>IF($A954="","",IF(OR(LOWER($D954&amp;"")="n/a",ISNUMBER(SEARCH("subscription",LOWER($A954&amp;" "&amp;$M954&amp;""))),ISNUMBER(SEARCH("membership",LOWER($A954&amp;" "&amp;$M954&amp;"")))),"",IF($G954="","",IF(ISNUMBER(SEARCH("non",LOWER($E954&amp;""))),$G954*0.85,$G954))))</f>
        <v/>
      </c>
      <c r="O954">
        <f>IF($A954="","",IF(OR(LOWER($D954&amp;"")="n/a",ISNUMBER(SEARCH("subscription",LOWER($A954&amp;" "&amp;$M954&amp;""))),ISNUMBER(SEARCH("membership",LOWER($A954&amp;" "&amp;$M954&amp;"")))),"",IF(OR($N954="",$I954="",$I954=0),"",$N954/$I954)))</f>
        <v/>
      </c>
      <c r="P954">
        <f>IF($A954="","",IF(OR(LOWER($D954&amp;"")="n/a",ISNUMBER(SEARCH("subscription",LOWER($A954&amp;" "&amp;$M954&amp;""))),ISNUMBER(SEARCH("membership",LOWER($A954&amp;" "&amp;$M954&amp;"")))),"",IF(LOWER($L954&amp;"")="yes",0,IF($K954&lt;&gt;"",$K954,IF($O954&lt;&gt;"",$O954,"")))))</f>
        <v/>
      </c>
      <c r="Q954">
        <f>IF($A954="","",IF($U954="Subscription","",IF($U954="Profit",$P954-$H954,0)))</f>
        <v/>
      </c>
      <c r="R954">
        <f>IF($A954="","",IF($U954="Subscription","",IF($U954="Draw",$H954,0)))</f>
        <v/>
      </c>
      <c r="S954">
        <f>IF($A954="","",IF($U954="Subscription","",IF($U954="Disqualified",$H954,0)))</f>
        <v/>
      </c>
      <c r="T954">
        <f>IF($A954="","",IF($U954="Subscription","",IF($H954=0,IF($U954="Profit","N/A",0),IF($U954="Profit",$Q954/$H954,IF($U954="Disqualified",-1,0)))))</f>
        <v/>
      </c>
      <c r="U954" s="350">
        <f>IF($A954="","",IF(OR(LOWER($D954&amp;"")="n/a",ISNUMBER(SEARCH("subscription",LOWER($A954&amp;" "&amp;$M954&amp;""))),ISNUMBER(SEARCH("membership",LOWER($A954&amp;" "&amp;$M954&amp;"")))),"Subscription",IF(LOWER($L954&amp;"")="yes","Disqualified",IF($P954&gt;$H954,"Profit","Draw"))))</f>
        <v/>
      </c>
      <c r="V954">
        <f>IF(OR($A954="",$B954="",$C954="",$U954="Subscription"),"",IFERROR(ROUNDUP((IF(ISNUMBER($C954),$C954,DATEVALUE($C954))-IF(ISNUMBER($B954),$B954,DATEVALUE($B954)))/7,0),""))</f>
        <v/>
      </c>
      <c r="W954" s="352">
        <f>IF($U954="Subscription","",$Q954-$S954)</f>
        <v/>
      </c>
      <c r="X954">
        <f>IF(OR($A954="",$U954="Subscription",$J954="",$I954="",$J954=0,$I954=0,$I954&gt;$J954),"",$J954-$I954)</f>
        <v/>
      </c>
      <c r="Y954">
        <f>IF(OR($A954="",$U954="Subscription",$J954="",$J954=0,$X954=""),"",$X954/$J954)</f>
        <v/>
      </c>
    </row>
    <row r="955">
      <c r="B955" s="354" t="n"/>
      <c r="C955" s="354" t="n"/>
      <c r="E955" s="350" t="n"/>
      <c r="F955" s="350" t="n"/>
      <c r="G955" s="350" t="n"/>
      <c r="H955" s="350" t="n"/>
      <c r="I955" s="350" t="n"/>
      <c r="J955" s="352" t="n"/>
      <c r="M955" s="350" t="n"/>
      <c r="N955" s="350">
        <f>IF($A955="","",IF(OR(LOWER($D955&amp;"")="n/a",ISNUMBER(SEARCH("subscription",LOWER($A955&amp;" "&amp;$M955&amp;""))),ISNUMBER(SEARCH("membership",LOWER($A955&amp;" "&amp;$M955&amp;"")))),"",IF($G955="","",IF(ISNUMBER(SEARCH("non",LOWER($E955&amp;""))),$G955*0.85,$G955))))</f>
        <v/>
      </c>
      <c r="O955">
        <f>IF($A955="","",IF(OR(LOWER($D955&amp;"")="n/a",ISNUMBER(SEARCH("subscription",LOWER($A955&amp;" "&amp;$M955&amp;""))),ISNUMBER(SEARCH("membership",LOWER($A955&amp;" "&amp;$M955&amp;"")))),"",IF(OR($N955="",$I955="",$I955=0),"",$N955/$I955)))</f>
        <v/>
      </c>
      <c r="P955">
        <f>IF($A955="","",IF(OR(LOWER($D955&amp;"")="n/a",ISNUMBER(SEARCH("subscription",LOWER($A955&amp;" "&amp;$M955&amp;""))),ISNUMBER(SEARCH("membership",LOWER($A955&amp;" "&amp;$M955&amp;"")))),"",IF(LOWER($L955&amp;"")="yes",0,IF($K955&lt;&gt;"",$K955,IF($O955&lt;&gt;"",$O955,"")))))</f>
        <v/>
      </c>
      <c r="Q955">
        <f>IF($A955="","",IF($U955="Subscription","",IF($U955="Profit",$P955-$H955,0)))</f>
        <v/>
      </c>
      <c r="R955">
        <f>IF($A955="","",IF($U955="Subscription","",IF($U955="Draw",$H955,0)))</f>
        <v/>
      </c>
      <c r="S955">
        <f>IF($A955="","",IF($U955="Subscription","",IF($U955="Disqualified",$H955,0)))</f>
        <v/>
      </c>
      <c r="T955">
        <f>IF($A955="","",IF($U955="Subscription","",IF($H955=0,IF($U955="Profit","N/A",0),IF($U955="Profit",$Q955/$H955,IF($U955="Disqualified",-1,0)))))</f>
        <v/>
      </c>
      <c r="U955" s="350">
        <f>IF($A955="","",IF(OR(LOWER($D955&amp;"")="n/a",ISNUMBER(SEARCH("subscription",LOWER($A955&amp;" "&amp;$M955&amp;""))),ISNUMBER(SEARCH("membership",LOWER($A955&amp;" "&amp;$M955&amp;"")))),"Subscription",IF(LOWER($L955&amp;"")="yes","Disqualified",IF($P955&gt;$H955,"Profit","Draw"))))</f>
        <v/>
      </c>
      <c r="V955">
        <f>IF(OR($A955="",$B955="",$C955="",$U955="Subscription"),"",IFERROR(ROUNDUP((IF(ISNUMBER($C955),$C955,DATEVALUE($C955))-IF(ISNUMBER($B955),$B955,DATEVALUE($B955)))/7,0),""))</f>
        <v/>
      </c>
      <c r="W955" s="352">
        <f>IF($U955="Subscription","",$Q955-$S955)</f>
        <v/>
      </c>
      <c r="X955">
        <f>IF(OR($A955="",$U955="Subscription",$J955="",$I955="",$J955=0,$I955=0,$I955&gt;$J955),"",$J955-$I955)</f>
        <v/>
      </c>
      <c r="Y955">
        <f>IF(OR($A955="",$U955="Subscription",$J955="",$J955=0,$X955=""),"",$X955/$J955)</f>
        <v/>
      </c>
    </row>
    <row r="956">
      <c r="B956" s="354" t="n"/>
      <c r="C956" s="354" t="n"/>
      <c r="E956" s="350" t="n"/>
      <c r="F956" s="350" t="n"/>
      <c r="G956" s="350" t="n"/>
      <c r="H956" s="350" t="n"/>
      <c r="I956" s="350" t="n"/>
      <c r="J956" s="352" t="n"/>
      <c r="M956" s="350" t="n"/>
      <c r="N956" s="350">
        <f>IF($A956="","",IF(OR(LOWER($D956&amp;"")="n/a",ISNUMBER(SEARCH("subscription",LOWER($A956&amp;" "&amp;$M956&amp;""))),ISNUMBER(SEARCH("membership",LOWER($A956&amp;" "&amp;$M956&amp;"")))),"",IF($G956="","",IF(ISNUMBER(SEARCH("non",LOWER($E956&amp;""))),$G956*0.85,$G956))))</f>
        <v/>
      </c>
      <c r="O956">
        <f>IF($A956="","",IF(OR(LOWER($D956&amp;"")="n/a",ISNUMBER(SEARCH("subscription",LOWER($A956&amp;" "&amp;$M956&amp;""))),ISNUMBER(SEARCH("membership",LOWER($A956&amp;" "&amp;$M956&amp;"")))),"",IF(OR($N956="",$I956="",$I956=0),"",$N956/$I956)))</f>
        <v/>
      </c>
      <c r="P956">
        <f>IF($A956="","",IF(OR(LOWER($D956&amp;"")="n/a",ISNUMBER(SEARCH("subscription",LOWER($A956&amp;" "&amp;$M956&amp;""))),ISNUMBER(SEARCH("membership",LOWER($A956&amp;" "&amp;$M956&amp;"")))),"",IF(LOWER($L956&amp;"")="yes",0,IF($K956&lt;&gt;"",$K956,IF($O956&lt;&gt;"",$O956,"")))))</f>
        <v/>
      </c>
      <c r="Q956">
        <f>IF($A956="","",IF($U956="Subscription","",IF($U956="Profit",$P956-$H956,0)))</f>
        <v/>
      </c>
      <c r="R956">
        <f>IF($A956="","",IF($U956="Subscription","",IF($U956="Draw",$H956,0)))</f>
        <v/>
      </c>
      <c r="S956">
        <f>IF($A956="","",IF($U956="Subscription","",IF($U956="Disqualified",$H956,0)))</f>
        <v/>
      </c>
      <c r="T956">
        <f>IF($A956="","",IF($U956="Subscription","",IF($H956=0,IF($U956="Profit","N/A",0),IF($U956="Profit",$Q956/$H956,IF($U956="Disqualified",-1,0)))))</f>
        <v/>
      </c>
      <c r="U956" s="350">
        <f>IF($A956="","",IF(OR(LOWER($D956&amp;"")="n/a",ISNUMBER(SEARCH("subscription",LOWER($A956&amp;" "&amp;$M956&amp;""))),ISNUMBER(SEARCH("membership",LOWER($A956&amp;" "&amp;$M956&amp;"")))),"Subscription",IF(LOWER($L956&amp;"")="yes","Disqualified",IF($P956&gt;$H956,"Profit","Draw"))))</f>
        <v/>
      </c>
      <c r="V956">
        <f>IF(OR($A956="",$B956="",$C956="",$U956="Subscription"),"",IFERROR(ROUNDUP((IF(ISNUMBER($C956),$C956,DATEVALUE($C956))-IF(ISNUMBER($B956),$B956,DATEVALUE($B956)))/7,0),""))</f>
        <v/>
      </c>
      <c r="W956" s="352">
        <f>IF($U956="Subscription","",$Q956-$S956)</f>
        <v/>
      </c>
      <c r="X956">
        <f>IF(OR($A956="",$U956="Subscription",$J956="",$I956="",$J956=0,$I956=0,$I956&gt;$J956),"",$J956-$I956)</f>
        <v/>
      </c>
      <c r="Y956">
        <f>IF(OR($A956="",$U956="Subscription",$J956="",$J956=0,$X956=""),"",$X956/$J956)</f>
        <v/>
      </c>
    </row>
    <row r="957">
      <c r="B957" s="354" t="n"/>
      <c r="C957" s="354" t="n"/>
      <c r="E957" s="350" t="n"/>
      <c r="F957" s="350" t="n"/>
      <c r="G957" s="350" t="n"/>
      <c r="H957" s="350" t="n"/>
      <c r="I957" s="350" t="n"/>
      <c r="J957" s="352" t="n"/>
      <c r="M957" s="350" t="n"/>
      <c r="N957" s="350">
        <f>IF($A957="","",IF(OR(LOWER($D957&amp;"")="n/a",ISNUMBER(SEARCH("subscription",LOWER($A957&amp;" "&amp;$M957&amp;""))),ISNUMBER(SEARCH("membership",LOWER($A957&amp;" "&amp;$M957&amp;"")))),"",IF($G957="","",IF(ISNUMBER(SEARCH("non",LOWER($E957&amp;""))),$G957*0.85,$G957))))</f>
        <v/>
      </c>
      <c r="O957">
        <f>IF($A957="","",IF(OR(LOWER($D957&amp;"")="n/a",ISNUMBER(SEARCH("subscription",LOWER($A957&amp;" "&amp;$M957&amp;""))),ISNUMBER(SEARCH("membership",LOWER($A957&amp;" "&amp;$M957&amp;"")))),"",IF(OR($N957="",$I957="",$I957=0),"",$N957/$I957)))</f>
        <v/>
      </c>
      <c r="P957">
        <f>IF($A957="","",IF(OR(LOWER($D957&amp;"")="n/a",ISNUMBER(SEARCH("subscription",LOWER($A957&amp;" "&amp;$M957&amp;""))),ISNUMBER(SEARCH("membership",LOWER($A957&amp;" "&amp;$M957&amp;"")))),"",IF(LOWER($L957&amp;"")="yes",0,IF($K957&lt;&gt;"",$K957,IF($O957&lt;&gt;"",$O957,"")))))</f>
        <v/>
      </c>
      <c r="Q957">
        <f>IF($A957="","",IF($U957="Subscription","",IF($U957="Profit",$P957-$H957,0)))</f>
        <v/>
      </c>
      <c r="R957">
        <f>IF($A957="","",IF($U957="Subscription","",IF($U957="Draw",$H957,0)))</f>
        <v/>
      </c>
      <c r="S957">
        <f>IF($A957="","",IF($U957="Subscription","",IF($U957="Disqualified",$H957,0)))</f>
        <v/>
      </c>
      <c r="T957">
        <f>IF($A957="","",IF($U957="Subscription","",IF($H957=0,IF($U957="Profit","N/A",0),IF($U957="Profit",$Q957/$H957,IF($U957="Disqualified",-1,0)))))</f>
        <v/>
      </c>
      <c r="U957" s="350">
        <f>IF($A957="","",IF(OR(LOWER($D957&amp;"")="n/a",ISNUMBER(SEARCH("subscription",LOWER($A957&amp;" "&amp;$M957&amp;""))),ISNUMBER(SEARCH("membership",LOWER($A957&amp;" "&amp;$M957&amp;"")))),"Subscription",IF(LOWER($L957&amp;"")="yes","Disqualified",IF($P957&gt;$H957,"Profit","Draw"))))</f>
        <v/>
      </c>
      <c r="V957">
        <f>IF(OR($A957="",$B957="",$C957="",$U957="Subscription"),"",IFERROR(ROUNDUP((IF(ISNUMBER($C957),$C957,DATEVALUE($C957))-IF(ISNUMBER($B957),$B957,DATEVALUE($B957)))/7,0),""))</f>
        <v/>
      </c>
      <c r="W957" s="352">
        <f>IF($U957="Subscription","",$Q957-$S957)</f>
        <v/>
      </c>
      <c r="X957">
        <f>IF(OR($A957="",$U957="Subscription",$J957="",$I957="",$J957=0,$I957=0,$I957&gt;$J957),"",$J957-$I957)</f>
        <v/>
      </c>
      <c r="Y957">
        <f>IF(OR($A957="",$U957="Subscription",$J957="",$J957=0,$X957=""),"",$X957/$J957)</f>
        <v/>
      </c>
    </row>
    <row r="958">
      <c r="B958" s="354" t="n"/>
      <c r="C958" s="354" t="n"/>
      <c r="E958" s="350" t="n"/>
      <c r="F958" s="350" t="n"/>
      <c r="G958" s="350" t="n"/>
      <c r="H958" s="350" t="n"/>
      <c r="I958" s="350" t="n"/>
      <c r="J958" s="352" t="n"/>
      <c r="M958" s="350" t="n"/>
      <c r="N958" s="350">
        <f>IF($A958="","",IF(OR(LOWER($D958&amp;"")="n/a",ISNUMBER(SEARCH("subscription",LOWER($A958&amp;" "&amp;$M958&amp;""))),ISNUMBER(SEARCH("membership",LOWER($A958&amp;" "&amp;$M958&amp;"")))),"",IF($G958="","",IF(ISNUMBER(SEARCH("non",LOWER($E958&amp;""))),$G958*0.85,$G958))))</f>
        <v/>
      </c>
      <c r="O958">
        <f>IF($A958="","",IF(OR(LOWER($D958&amp;"")="n/a",ISNUMBER(SEARCH("subscription",LOWER($A958&amp;" "&amp;$M958&amp;""))),ISNUMBER(SEARCH("membership",LOWER($A958&amp;" "&amp;$M958&amp;"")))),"",IF(OR($N958="",$I958="",$I958=0),"",$N958/$I958)))</f>
        <v/>
      </c>
      <c r="P958">
        <f>IF($A958="","",IF(OR(LOWER($D958&amp;"")="n/a",ISNUMBER(SEARCH("subscription",LOWER($A958&amp;" "&amp;$M958&amp;""))),ISNUMBER(SEARCH("membership",LOWER($A958&amp;" "&amp;$M958&amp;"")))),"",IF(LOWER($L958&amp;"")="yes",0,IF($K958&lt;&gt;"",$K958,IF($O958&lt;&gt;"",$O958,"")))))</f>
        <v/>
      </c>
      <c r="Q958">
        <f>IF($A958="","",IF($U958="Subscription","",IF($U958="Profit",$P958-$H958,0)))</f>
        <v/>
      </c>
      <c r="R958">
        <f>IF($A958="","",IF($U958="Subscription","",IF($U958="Draw",$H958,0)))</f>
        <v/>
      </c>
      <c r="S958">
        <f>IF($A958="","",IF($U958="Subscription","",IF($U958="Disqualified",$H958,0)))</f>
        <v/>
      </c>
      <c r="T958">
        <f>IF($A958="","",IF($U958="Subscription","",IF($H958=0,IF($U958="Profit","N/A",0),IF($U958="Profit",$Q958/$H958,IF($U958="Disqualified",-1,0)))))</f>
        <v/>
      </c>
      <c r="U958" s="350">
        <f>IF($A958="","",IF(OR(LOWER($D958&amp;"")="n/a",ISNUMBER(SEARCH("subscription",LOWER($A958&amp;" "&amp;$M958&amp;""))),ISNUMBER(SEARCH("membership",LOWER($A958&amp;" "&amp;$M958&amp;"")))),"Subscription",IF(LOWER($L958&amp;"")="yes","Disqualified",IF($P958&gt;$H958,"Profit","Draw"))))</f>
        <v/>
      </c>
      <c r="V958">
        <f>IF(OR($A958="",$B958="",$C958="",$U958="Subscription"),"",IFERROR(ROUNDUP((IF(ISNUMBER($C958),$C958,DATEVALUE($C958))-IF(ISNUMBER($B958),$B958,DATEVALUE($B958)))/7,0),""))</f>
        <v/>
      </c>
      <c r="W958" s="352">
        <f>IF($U958="Subscription","",$Q958-$S958)</f>
        <v/>
      </c>
      <c r="X958">
        <f>IF(OR($A958="",$U958="Subscription",$J958="",$I958="",$J958=0,$I958=0,$I958&gt;$J958),"",$J958-$I958)</f>
        <v/>
      </c>
      <c r="Y958">
        <f>IF(OR($A958="",$U958="Subscription",$J958="",$J958=0,$X958=""),"",$X958/$J958)</f>
        <v/>
      </c>
    </row>
    <row r="959">
      <c r="B959" s="354" t="n"/>
      <c r="C959" s="354" t="n"/>
      <c r="E959" s="350" t="n"/>
      <c r="F959" s="350" t="n"/>
      <c r="G959" s="350" t="n"/>
      <c r="H959" s="350" t="n"/>
      <c r="I959" s="350" t="n"/>
      <c r="J959" s="352" t="n"/>
      <c r="M959" s="350" t="n"/>
      <c r="N959" s="350">
        <f>IF($A959="","",IF(OR(LOWER($D959&amp;"")="n/a",ISNUMBER(SEARCH("subscription",LOWER($A959&amp;" "&amp;$M959&amp;""))),ISNUMBER(SEARCH("membership",LOWER($A959&amp;" "&amp;$M959&amp;"")))),"",IF($G959="","",IF(ISNUMBER(SEARCH("non",LOWER($E959&amp;""))),$G959*0.85,$G959))))</f>
        <v/>
      </c>
      <c r="O959">
        <f>IF($A959="","",IF(OR(LOWER($D959&amp;"")="n/a",ISNUMBER(SEARCH("subscription",LOWER($A959&amp;" "&amp;$M959&amp;""))),ISNUMBER(SEARCH("membership",LOWER($A959&amp;" "&amp;$M959&amp;"")))),"",IF(OR($N959="",$I959="",$I959=0),"",$N959/$I959)))</f>
        <v/>
      </c>
      <c r="P959">
        <f>IF($A959="","",IF(OR(LOWER($D959&amp;"")="n/a",ISNUMBER(SEARCH("subscription",LOWER($A959&amp;" "&amp;$M959&amp;""))),ISNUMBER(SEARCH("membership",LOWER($A959&amp;" "&amp;$M959&amp;"")))),"",IF(LOWER($L959&amp;"")="yes",0,IF($K959&lt;&gt;"",$K959,IF($O959&lt;&gt;"",$O959,"")))))</f>
        <v/>
      </c>
      <c r="Q959">
        <f>IF($A959="","",IF($U959="Subscription","",IF($U959="Profit",$P959-$H959,0)))</f>
        <v/>
      </c>
      <c r="R959">
        <f>IF($A959="","",IF($U959="Subscription","",IF($U959="Draw",$H959,0)))</f>
        <v/>
      </c>
      <c r="S959">
        <f>IF($A959="","",IF($U959="Subscription","",IF($U959="Disqualified",$H959,0)))</f>
        <v/>
      </c>
      <c r="T959">
        <f>IF($A959="","",IF($U959="Subscription","",IF($H959=0,IF($U959="Profit","N/A",0),IF($U959="Profit",$Q959/$H959,IF($U959="Disqualified",-1,0)))))</f>
        <v/>
      </c>
      <c r="U959" s="350">
        <f>IF($A959="","",IF(OR(LOWER($D959&amp;"")="n/a",ISNUMBER(SEARCH("subscription",LOWER($A959&amp;" "&amp;$M959&amp;""))),ISNUMBER(SEARCH("membership",LOWER($A959&amp;" "&amp;$M959&amp;"")))),"Subscription",IF(LOWER($L959&amp;"")="yes","Disqualified",IF($P959&gt;$H959,"Profit","Draw"))))</f>
        <v/>
      </c>
      <c r="V959">
        <f>IF(OR($A959="",$B959="",$C959="",$U959="Subscription"),"",IFERROR(ROUNDUP((IF(ISNUMBER($C959),$C959,DATEVALUE($C959))-IF(ISNUMBER($B959),$B959,DATEVALUE($B959)))/7,0),""))</f>
        <v/>
      </c>
      <c r="W959" s="352">
        <f>IF($U959="Subscription","",$Q959-$S959)</f>
        <v/>
      </c>
      <c r="X959">
        <f>IF(OR($A959="",$U959="Subscription",$J959="",$I959="",$J959=0,$I959=0,$I959&gt;$J959),"",$J959-$I959)</f>
        <v/>
      </c>
      <c r="Y959">
        <f>IF(OR($A959="",$U959="Subscription",$J959="",$J959=0,$X959=""),"",$X959/$J959)</f>
        <v/>
      </c>
    </row>
    <row r="960">
      <c r="B960" s="354" t="n"/>
      <c r="C960" s="354" t="n"/>
      <c r="E960" s="350" t="n"/>
      <c r="F960" s="350" t="n"/>
      <c r="G960" s="350" t="n"/>
      <c r="H960" s="350" t="n"/>
      <c r="I960" s="350" t="n"/>
      <c r="J960" s="352" t="n"/>
      <c r="M960" s="350" t="n"/>
      <c r="N960" s="350">
        <f>IF($A960="","",IF(OR(LOWER($D960&amp;"")="n/a",ISNUMBER(SEARCH("subscription",LOWER($A960&amp;" "&amp;$M960&amp;""))),ISNUMBER(SEARCH("membership",LOWER($A960&amp;" "&amp;$M960&amp;"")))),"",IF($G960="","",IF(ISNUMBER(SEARCH("non",LOWER($E960&amp;""))),$G960*0.85,$G960))))</f>
        <v/>
      </c>
      <c r="O960">
        <f>IF($A960="","",IF(OR(LOWER($D960&amp;"")="n/a",ISNUMBER(SEARCH("subscription",LOWER($A960&amp;" "&amp;$M960&amp;""))),ISNUMBER(SEARCH("membership",LOWER($A960&amp;" "&amp;$M960&amp;"")))),"",IF(OR($N960="",$I960="",$I960=0),"",$N960/$I960)))</f>
        <v/>
      </c>
      <c r="P960">
        <f>IF($A960="","",IF(OR(LOWER($D960&amp;"")="n/a",ISNUMBER(SEARCH("subscription",LOWER($A960&amp;" "&amp;$M960&amp;""))),ISNUMBER(SEARCH("membership",LOWER($A960&amp;" "&amp;$M960&amp;"")))),"",IF(LOWER($L960&amp;"")="yes",0,IF($K960&lt;&gt;"",$K960,IF($O960&lt;&gt;"",$O960,"")))))</f>
        <v/>
      </c>
      <c r="Q960">
        <f>IF($A960="","",IF($U960="Subscription","",IF($U960="Profit",$P960-$H960,0)))</f>
        <v/>
      </c>
      <c r="R960">
        <f>IF($A960="","",IF($U960="Subscription","",IF($U960="Draw",$H960,0)))</f>
        <v/>
      </c>
      <c r="S960">
        <f>IF($A960="","",IF($U960="Subscription","",IF($U960="Disqualified",$H960,0)))</f>
        <v/>
      </c>
      <c r="T960">
        <f>IF($A960="","",IF($U960="Subscription","",IF($H960=0,IF($U960="Profit","N/A",0),IF($U960="Profit",$Q960/$H960,IF($U960="Disqualified",-1,0)))))</f>
        <v/>
      </c>
      <c r="U960" s="350">
        <f>IF($A960="","",IF(OR(LOWER($D960&amp;"")="n/a",ISNUMBER(SEARCH("subscription",LOWER($A960&amp;" "&amp;$M960&amp;""))),ISNUMBER(SEARCH("membership",LOWER($A960&amp;" "&amp;$M960&amp;"")))),"Subscription",IF(LOWER($L960&amp;"")="yes","Disqualified",IF($P960&gt;$H960,"Profit","Draw"))))</f>
        <v/>
      </c>
      <c r="V960">
        <f>IF(OR($A960="",$B960="",$C960="",$U960="Subscription"),"",IFERROR(ROUNDUP((IF(ISNUMBER($C960),$C960,DATEVALUE($C960))-IF(ISNUMBER($B960),$B960,DATEVALUE($B960)))/7,0),""))</f>
        <v/>
      </c>
      <c r="W960" s="352">
        <f>IF($U960="Subscription","",$Q960-$S960)</f>
        <v/>
      </c>
      <c r="X960">
        <f>IF(OR($A960="",$U960="Subscription",$J960="",$I960="",$J960=0,$I960=0,$I960&gt;$J960),"",$J960-$I960)</f>
        <v/>
      </c>
      <c r="Y960">
        <f>IF(OR($A960="",$U960="Subscription",$J960="",$J960=0,$X960=""),"",$X960/$J960)</f>
        <v/>
      </c>
    </row>
    <row r="961">
      <c r="B961" s="354" t="n"/>
      <c r="C961" s="354" t="n"/>
      <c r="E961" s="350" t="n"/>
      <c r="F961" s="350" t="n"/>
      <c r="G961" s="350" t="n"/>
      <c r="H961" s="350" t="n"/>
      <c r="I961" s="350" t="n"/>
      <c r="J961" s="352" t="n"/>
      <c r="M961" s="350" t="n"/>
      <c r="N961" s="350">
        <f>IF($A961="","",IF(OR(LOWER($D961&amp;"")="n/a",ISNUMBER(SEARCH("subscription",LOWER($A961&amp;" "&amp;$M961&amp;""))),ISNUMBER(SEARCH("membership",LOWER($A961&amp;" "&amp;$M961&amp;"")))),"",IF($G961="","",IF(ISNUMBER(SEARCH("non",LOWER($E961&amp;""))),$G961*0.85,$G961))))</f>
        <v/>
      </c>
      <c r="O961">
        <f>IF($A961="","",IF(OR(LOWER($D961&amp;"")="n/a",ISNUMBER(SEARCH("subscription",LOWER($A961&amp;" "&amp;$M961&amp;""))),ISNUMBER(SEARCH("membership",LOWER($A961&amp;" "&amp;$M961&amp;"")))),"",IF(OR($N961="",$I961="",$I961=0),"",$N961/$I961)))</f>
        <v/>
      </c>
      <c r="P961">
        <f>IF($A961="","",IF(OR(LOWER($D961&amp;"")="n/a",ISNUMBER(SEARCH("subscription",LOWER($A961&amp;" "&amp;$M961&amp;""))),ISNUMBER(SEARCH("membership",LOWER($A961&amp;" "&amp;$M961&amp;"")))),"",IF(LOWER($L961&amp;"")="yes",0,IF($K961&lt;&gt;"",$K961,IF($O961&lt;&gt;"",$O961,"")))))</f>
        <v/>
      </c>
      <c r="Q961">
        <f>IF($A961="","",IF($U961="Subscription","",IF($U961="Profit",$P961-$H961,0)))</f>
        <v/>
      </c>
      <c r="R961">
        <f>IF($A961="","",IF($U961="Subscription","",IF($U961="Draw",$H961,0)))</f>
        <v/>
      </c>
      <c r="S961">
        <f>IF($A961="","",IF($U961="Subscription","",IF($U961="Disqualified",$H961,0)))</f>
        <v/>
      </c>
      <c r="T961">
        <f>IF($A961="","",IF($U961="Subscription","",IF($H961=0,IF($U961="Profit","N/A",0),IF($U961="Profit",$Q961/$H961,IF($U961="Disqualified",-1,0)))))</f>
        <v/>
      </c>
      <c r="U961" s="350">
        <f>IF($A961="","",IF(OR(LOWER($D961&amp;"")="n/a",ISNUMBER(SEARCH("subscription",LOWER($A961&amp;" "&amp;$M961&amp;""))),ISNUMBER(SEARCH("membership",LOWER($A961&amp;" "&amp;$M961&amp;"")))),"Subscription",IF(LOWER($L961&amp;"")="yes","Disqualified",IF($P961&gt;$H961,"Profit","Draw"))))</f>
        <v/>
      </c>
      <c r="V961">
        <f>IF(OR($A961="",$B961="",$C961="",$U961="Subscription"),"",IFERROR(ROUNDUP((IF(ISNUMBER($C961),$C961,DATEVALUE($C961))-IF(ISNUMBER($B961),$B961,DATEVALUE($B961)))/7,0),""))</f>
        <v/>
      </c>
      <c r="W961" s="352">
        <f>IF($U961="Subscription","",$Q961-$S961)</f>
        <v/>
      </c>
      <c r="X961">
        <f>IF(OR($A961="",$U961="Subscription",$J961="",$I961="",$J961=0,$I961=0,$I961&gt;$J961),"",$J961-$I961)</f>
        <v/>
      </c>
      <c r="Y961">
        <f>IF(OR($A961="",$U961="Subscription",$J961="",$J961=0,$X961=""),"",$X961/$J961)</f>
        <v/>
      </c>
    </row>
    <row r="962">
      <c r="B962" s="354" t="n"/>
      <c r="C962" s="354" t="n"/>
      <c r="E962" s="350" t="n"/>
      <c r="F962" s="350" t="n"/>
      <c r="G962" s="350" t="n"/>
      <c r="H962" s="350" t="n"/>
      <c r="I962" s="350" t="n"/>
      <c r="J962" s="352" t="n"/>
      <c r="M962" s="350" t="n"/>
      <c r="N962" s="350">
        <f>IF($A962="","",IF(OR(LOWER($D962&amp;"")="n/a",ISNUMBER(SEARCH("subscription",LOWER($A962&amp;" "&amp;$M962&amp;""))),ISNUMBER(SEARCH("membership",LOWER($A962&amp;" "&amp;$M962&amp;"")))),"",IF($G962="","",IF(ISNUMBER(SEARCH("non",LOWER($E962&amp;""))),$G962*0.85,$G962))))</f>
        <v/>
      </c>
      <c r="O962">
        <f>IF($A962="","",IF(OR(LOWER($D962&amp;"")="n/a",ISNUMBER(SEARCH("subscription",LOWER($A962&amp;" "&amp;$M962&amp;""))),ISNUMBER(SEARCH("membership",LOWER($A962&amp;" "&amp;$M962&amp;"")))),"",IF(OR($N962="",$I962="",$I962=0),"",$N962/$I962)))</f>
        <v/>
      </c>
      <c r="P962">
        <f>IF($A962="","",IF(OR(LOWER($D962&amp;"")="n/a",ISNUMBER(SEARCH("subscription",LOWER($A962&amp;" "&amp;$M962&amp;""))),ISNUMBER(SEARCH("membership",LOWER($A962&amp;" "&amp;$M962&amp;"")))),"",IF(LOWER($L962&amp;"")="yes",0,IF($K962&lt;&gt;"",$K962,IF($O962&lt;&gt;"",$O962,"")))))</f>
        <v/>
      </c>
      <c r="Q962">
        <f>IF($A962="","",IF($U962="Subscription","",IF($U962="Profit",$P962-$H962,0)))</f>
        <v/>
      </c>
      <c r="R962">
        <f>IF($A962="","",IF($U962="Subscription","",IF($U962="Draw",$H962,0)))</f>
        <v/>
      </c>
      <c r="S962">
        <f>IF($A962="","",IF($U962="Subscription","",IF($U962="Disqualified",$H962,0)))</f>
        <v/>
      </c>
      <c r="T962">
        <f>IF($A962="","",IF($U962="Subscription","",IF($H962=0,IF($U962="Profit","N/A",0),IF($U962="Profit",$Q962/$H962,IF($U962="Disqualified",-1,0)))))</f>
        <v/>
      </c>
      <c r="U962" s="350">
        <f>IF($A962="","",IF(OR(LOWER($D962&amp;"")="n/a",ISNUMBER(SEARCH("subscription",LOWER($A962&amp;" "&amp;$M962&amp;""))),ISNUMBER(SEARCH("membership",LOWER($A962&amp;" "&amp;$M962&amp;"")))),"Subscription",IF(LOWER($L962&amp;"")="yes","Disqualified",IF($P962&gt;$H962,"Profit","Draw"))))</f>
        <v/>
      </c>
      <c r="V962">
        <f>IF(OR($A962="",$B962="",$C962="",$U962="Subscription"),"",IFERROR(ROUNDUP((IF(ISNUMBER($C962),$C962,DATEVALUE($C962))-IF(ISNUMBER($B962),$B962,DATEVALUE($B962)))/7,0),""))</f>
        <v/>
      </c>
      <c r="W962" s="352">
        <f>IF($U962="Subscription","",$Q962-$S962)</f>
        <v/>
      </c>
      <c r="X962">
        <f>IF(OR($A962="",$U962="Subscription",$J962="",$I962="",$J962=0,$I962=0,$I962&gt;$J962),"",$J962-$I962)</f>
        <v/>
      </c>
      <c r="Y962">
        <f>IF(OR($A962="",$U962="Subscription",$J962="",$J962=0,$X962=""),"",$X962/$J962)</f>
        <v/>
      </c>
    </row>
    <row r="963">
      <c r="B963" s="354" t="n"/>
      <c r="C963" s="354" t="n"/>
      <c r="E963" s="350" t="n"/>
      <c r="F963" s="350" t="n"/>
      <c r="G963" s="350" t="n"/>
      <c r="H963" s="350" t="n"/>
      <c r="I963" s="350" t="n"/>
      <c r="J963" s="352" t="n"/>
      <c r="M963" s="350" t="n"/>
      <c r="N963" s="350">
        <f>IF($A963="","",IF(OR(LOWER($D963&amp;"")="n/a",ISNUMBER(SEARCH("subscription",LOWER($A963&amp;" "&amp;$M963&amp;""))),ISNUMBER(SEARCH("membership",LOWER($A963&amp;" "&amp;$M963&amp;"")))),"",IF($G963="","",IF(ISNUMBER(SEARCH("non",LOWER($E963&amp;""))),$G963*0.85,$G963))))</f>
        <v/>
      </c>
      <c r="O963">
        <f>IF($A963="","",IF(OR(LOWER($D963&amp;"")="n/a",ISNUMBER(SEARCH("subscription",LOWER($A963&amp;" "&amp;$M963&amp;""))),ISNUMBER(SEARCH("membership",LOWER($A963&amp;" "&amp;$M963&amp;"")))),"",IF(OR($N963="",$I963="",$I963=0),"",$N963/$I963)))</f>
        <v/>
      </c>
      <c r="P963">
        <f>IF($A963="","",IF(OR(LOWER($D963&amp;"")="n/a",ISNUMBER(SEARCH("subscription",LOWER($A963&amp;" "&amp;$M963&amp;""))),ISNUMBER(SEARCH("membership",LOWER($A963&amp;" "&amp;$M963&amp;"")))),"",IF(LOWER($L963&amp;"")="yes",0,IF($K963&lt;&gt;"",$K963,IF($O963&lt;&gt;"",$O963,"")))))</f>
        <v/>
      </c>
      <c r="Q963">
        <f>IF($A963="","",IF($U963="Subscription","",IF($U963="Profit",$P963-$H963,0)))</f>
        <v/>
      </c>
      <c r="R963">
        <f>IF($A963="","",IF($U963="Subscription","",IF($U963="Draw",$H963,0)))</f>
        <v/>
      </c>
      <c r="S963">
        <f>IF($A963="","",IF($U963="Subscription","",IF($U963="Disqualified",$H963,0)))</f>
        <v/>
      </c>
      <c r="T963">
        <f>IF($A963="","",IF($U963="Subscription","",IF($H963=0,IF($U963="Profit","N/A",0),IF($U963="Profit",$Q963/$H963,IF($U963="Disqualified",-1,0)))))</f>
        <v/>
      </c>
      <c r="U963" s="350">
        <f>IF($A963="","",IF(OR(LOWER($D963&amp;"")="n/a",ISNUMBER(SEARCH("subscription",LOWER($A963&amp;" "&amp;$M963&amp;""))),ISNUMBER(SEARCH("membership",LOWER($A963&amp;" "&amp;$M963&amp;"")))),"Subscription",IF(LOWER($L963&amp;"")="yes","Disqualified",IF($P963&gt;$H963,"Profit","Draw"))))</f>
        <v/>
      </c>
      <c r="V963">
        <f>IF(OR($A963="",$B963="",$C963="",$U963="Subscription"),"",IFERROR(ROUNDUP((IF(ISNUMBER($C963),$C963,DATEVALUE($C963))-IF(ISNUMBER($B963),$B963,DATEVALUE($B963)))/7,0),""))</f>
        <v/>
      </c>
      <c r="W963" s="352">
        <f>IF($U963="Subscription","",$Q963-$S963)</f>
        <v/>
      </c>
      <c r="X963">
        <f>IF(OR($A963="",$U963="Subscription",$J963="",$I963="",$J963=0,$I963=0,$I963&gt;$J963),"",$J963-$I963)</f>
        <v/>
      </c>
      <c r="Y963">
        <f>IF(OR($A963="",$U963="Subscription",$J963="",$J963=0,$X963=""),"",$X963/$J963)</f>
        <v/>
      </c>
    </row>
    <row r="964">
      <c r="B964" s="354" t="n"/>
      <c r="C964" s="354" t="n"/>
      <c r="E964" s="350" t="n"/>
      <c r="F964" s="350" t="n"/>
      <c r="G964" s="350" t="n"/>
      <c r="H964" s="350" t="n"/>
      <c r="I964" s="350" t="n"/>
      <c r="J964" s="352" t="n"/>
      <c r="M964" s="350" t="n"/>
      <c r="N964" s="350">
        <f>IF($A964="","",IF(OR(LOWER($D964&amp;"")="n/a",ISNUMBER(SEARCH("subscription",LOWER($A964&amp;" "&amp;$M964&amp;""))),ISNUMBER(SEARCH("membership",LOWER($A964&amp;" "&amp;$M964&amp;"")))),"",IF($G964="","",IF(ISNUMBER(SEARCH("non",LOWER($E964&amp;""))),$G964*0.85,$G964))))</f>
        <v/>
      </c>
      <c r="O964">
        <f>IF($A964="","",IF(OR(LOWER($D964&amp;"")="n/a",ISNUMBER(SEARCH("subscription",LOWER($A964&amp;" "&amp;$M964&amp;""))),ISNUMBER(SEARCH("membership",LOWER($A964&amp;" "&amp;$M964&amp;"")))),"",IF(OR($N964="",$I964="",$I964=0),"",$N964/$I964)))</f>
        <v/>
      </c>
      <c r="P964">
        <f>IF($A964="","",IF(OR(LOWER($D964&amp;"")="n/a",ISNUMBER(SEARCH("subscription",LOWER($A964&amp;" "&amp;$M964&amp;""))),ISNUMBER(SEARCH("membership",LOWER($A964&amp;" "&amp;$M964&amp;"")))),"",IF(LOWER($L964&amp;"")="yes",0,IF($K964&lt;&gt;"",$K964,IF($O964&lt;&gt;"",$O964,"")))))</f>
        <v/>
      </c>
      <c r="Q964">
        <f>IF($A964="","",IF($U964="Subscription","",IF($U964="Profit",$P964-$H964,0)))</f>
        <v/>
      </c>
      <c r="R964">
        <f>IF($A964="","",IF($U964="Subscription","",IF($U964="Draw",$H964,0)))</f>
        <v/>
      </c>
      <c r="S964">
        <f>IF($A964="","",IF($U964="Subscription","",IF($U964="Disqualified",$H964,0)))</f>
        <v/>
      </c>
      <c r="T964">
        <f>IF($A964="","",IF($U964="Subscription","",IF($H964=0,IF($U964="Profit","N/A",0),IF($U964="Profit",$Q964/$H964,IF($U964="Disqualified",-1,0)))))</f>
        <v/>
      </c>
      <c r="U964" s="350">
        <f>IF($A964="","",IF(OR(LOWER($D964&amp;"")="n/a",ISNUMBER(SEARCH("subscription",LOWER($A964&amp;" "&amp;$M964&amp;""))),ISNUMBER(SEARCH("membership",LOWER($A964&amp;" "&amp;$M964&amp;"")))),"Subscription",IF(LOWER($L964&amp;"")="yes","Disqualified",IF($P964&gt;$H964,"Profit","Draw"))))</f>
        <v/>
      </c>
      <c r="V964">
        <f>IF(OR($A964="",$B964="",$C964="",$U964="Subscription"),"",IFERROR(ROUNDUP((IF(ISNUMBER($C964),$C964,DATEVALUE($C964))-IF(ISNUMBER($B964),$B964,DATEVALUE($B964)))/7,0),""))</f>
        <v/>
      </c>
      <c r="W964" s="352">
        <f>IF($U964="Subscription","",$Q964-$S964)</f>
        <v/>
      </c>
      <c r="X964">
        <f>IF(OR($A964="",$U964="Subscription",$J964="",$I964="",$J964=0,$I964=0,$I964&gt;$J964),"",$J964-$I964)</f>
        <v/>
      </c>
      <c r="Y964">
        <f>IF(OR($A964="",$U964="Subscription",$J964="",$J964=0,$X964=""),"",$X964/$J964)</f>
        <v/>
      </c>
    </row>
    <row r="965">
      <c r="B965" s="354" t="n"/>
      <c r="C965" s="354" t="n"/>
      <c r="E965" s="350" t="n"/>
      <c r="F965" s="350" t="n"/>
      <c r="G965" s="350" t="n"/>
      <c r="H965" s="350" t="n"/>
      <c r="I965" s="350" t="n"/>
      <c r="J965" s="352" t="n"/>
      <c r="M965" s="350" t="n"/>
      <c r="N965" s="350">
        <f>IF($A965="","",IF(OR(LOWER($D965&amp;"")="n/a",ISNUMBER(SEARCH("subscription",LOWER($A965&amp;" "&amp;$M965&amp;""))),ISNUMBER(SEARCH("membership",LOWER($A965&amp;" "&amp;$M965&amp;"")))),"",IF($G965="","",IF(ISNUMBER(SEARCH("non",LOWER($E965&amp;""))),$G965*0.85,$G965))))</f>
        <v/>
      </c>
      <c r="O965">
        <f>IF($A965="","",IF(OR(LOWER($D965&amp;"")="n/a",ISNUMBER(SEARCH("subscription",LOWER($A965&amp;" "&amp;$M965&amp;""))),ISNUMBER(SEARCH("membership",LOWER($A965&amp;" "&amp;$M965&amp;"")))),"",IF(OR($N965="",$I965="",$I965=0),"",$N965/$I965)))</f>
        <v/>
      </c>
      <c r="P965">
        <f>IF($A965="","",IF(OR(LOWER($D965&amp;"")="n/a",ISNUMBER(SEARCH("subscription",LOWER($A965&amp;" "&amp;$M965&amp;""))),ISNUMBER(SEARCH("membership",LOWER($A965&amp;" "&amp;$M965&amp;"")))),"",IF(LOWER($L965&amp;"")="yes",0,IF($K965&lt;&gt;"",$K965,IF($O965&lt;&gt;"",$O965,"")))))</f>
        <v/>
      </c>
      <c r="Q965">
        <f>IF($A965="","",IF($U965="Subscription","",IF($U965="Profit",$P965-$H965,0)))</f>
        <v/>
      </c>
      <c r="R965">
        <f>IF($A965="","",IF($U965="Subscription","",IF($U965="Draw",$H965,0)))</f>
        <v/>
      </c>
      <c r="S965">
        <f>IF($A965="","",IF($U965="Subscription","",IF($U965="Disqualified",$H965,0)))</f>
        <v/>
      </c>
      <c r="T965">
        <f>IF($A965="","",IF($U965="Subscription","",IF($H965=0,IF($U965="Profit","N/A",0),IF($U965="Profit",$Q965/$H965,IF($U965="Disqualified",-1,0)))))</f>
        <v/>
      </c>
      <c r="U965" s="350">
        <f>IF($A965="","",IF(OR(LOWER($D965&amp;"")="n/a",ISNUMBER(SEARCH("subscription",LOWER($A965&amp;" "&amp;$M965&amp;""))),ISNUMBER(SEARCH("membership",LOWER($A965&amp;" "&amp;$M965&amp;"")))),"Subscription",IF(LOWER($L965&amp;"")="yes","Disqualified",IF($P965&gt;$H965,"Profit","Draw"))))</f>
        <v/>
      </c>
      <c r="V965">
        <f>IF(OR($A965="",$B965="",$C965="",$U965="Subscription"),"",IFERROR(ROUNDUP((IF(ISNUMBER($C965),$C965,DATEVALUE($C965))-IF(ISNUMBER($B965),$B965,DATEVALUE($B965)))/7,0),""))</f>
        <v/>
      </c>
      <c r="W965" s="352">
        <f>IF($U965="Subscription","",$Q965-$S965)</f>
        <v/>
      </c>
      <c r="X965">
        <f>IF(OR($A965="",$U965="Subscription",$J965="",$I965="",$J965=0,$I965=0,$I965&gt;$J965),"",$J965-$I965)</f>
        <v/>
      </c>
      <c r="Y965">
        <f>IF(OR($A965="",$U965="Subscription",$J965="",$J965=0,$X965=""),"",$X965/$J965)</f>
        <v/>
      </c>
    </row>
    <row r="966">
      <c r="B966" s="354" t="n"/>
      <c r="C966" s="354" t="n"/>
      <c r="E966" s="350" t="n"/>
      <c r="F966" s="350" t="n"/>
      <c r="G966" s="350" t="n"/>
      <c r="H966" s="350" t="n"/>
      <c r="I966" s="350" t="n"/>
      <c r="J966" s="352" t="n"/>
      <c r="M966" s="350" t="n"/>
      <c r="N966" s="350">
        <f>IF($A966="","",IF(OR(LOWER($D966&amp;"")="n/a",ISNUMBER(SEARCH("subscription",LOWER($A966&amp;" "&amp;$M966&amp;""))),ISNUMBER(SEARCH("membership",LOWER($A966&amp;" "&amp;$M966&amp;"")))),"",IF($G966="","",IF(ISNUMBER(SEARCH("non",LOWER($E966&amp;""))),$G966*0.85,$G966))))</f>
        <v/>
      </c>
      <c r="O966">
        <f>IF($A966="","",IF(OR(LOWER($D966&amp;"")="n/a",ISNUMBER(SEARCH("subscription",LOWER($A966&amp;" "&amp;$M966&amp;""))),ISNUMBER(SEARCH("membership",LOWER($A966&amp;" "&amp;$M966&amp;"")))),"",IF(OR($N966="",$I966="",$I966=0),"",$N966/$I966)))</f>
        <v/>
      </c>
      <c r="P966">
        <f>IF($A966="","",IF(OR(LOWER($D966&amp;"")="n/a",ISNUMBER(SEARCH("subscription",LOWER($A966&amp;" "&amp;$M966&amp;""))),ISNUMBER(SEARCH("membership",LOWER($A966&amp;" "&amp;$M966&amp;"")))),"",IF(LOWER($L966&amp;"")="yes",0,IF($K966&lt;&gt;"",$K966,IF($O966&lt;&gt;"",$O966,"")))))</f>
        <v/>
      </c>
      <c r="Q966">
        <f>IF($A966="","",IF($U966="Subscription","",IF($U966="Profit",$P966-$H966,0)))</f>
        <v/>
      </c>
      <c r="R966">
        <f>IF($A966="","",IF($U966="Subscription","",IF($U966="Draw",$H966,0)))</f>
        <v/>
      </c>
      <c r="S966">
        <f>IF($A966="","",IF($U966="Subscription","",IF($U966="Disqualified",$H966,0)))</f>
        <v/>
      </c>
      <c r="T966">
        <f>IF($A966="","",IF($U966="Subscription","",IF($H966=0,IF($U966="Profit","N/A",0),IF($U966="Profit",$Q966/$H966,IF($U966="Disqualified",-1,0)))))</f>
        <v/>
      </c>
      <c r="U966" s="350">
        <f>IF($A966="","",IF(OR(LOWER($D966&amp;"")="n/a",ISNUMBER(SEARCH("subscription",LOWER($A966&amp;" "&amp;$M966&amp;""))),ISNUMBER(SEARCH("membership",LOWER($A966&amp;" "&amp;$M966&amp;"")))),"Subscription",IF(LOWER($L966&amp;"")="yes","Disqualified",IF($P966&gt;$H966,"Profit","Draw"))))</f>
        <v/>
      </c>
      <c r="V966">
        <f>IF(OR($A966="",$B966="",$C966="",$U966="Subscription"),"",IFERROR(ROUNDUP((IF(ISNUMBER($C966),$C966,DATEVALUE($C966))-IF(ISNUMBER($B966),$B966,DATEVALUE($B966)))/7,0),""))</f>
        <v/>
      </c>
      <c r="W966" s="352">
        <f>IF($U966="Subscription","",$Q966-$S966)</f>
        <v/>
      </c>
      <c r="X966">
        <f>IF(OR($A966="",$U966="Subscription",$J966="",$I966="",$J966=0,$I966=0,$I966&gt;$J966),"",$J966-$I966)</f>
        <v/>
      </c>
      <c r="Y966">
        <f>IF(OR($A966="",$U966="Subscription",$J966="",$J966=0,$X966=""),"",$X966/$J966)</f>
        <v/>
      </c>
    </row>
    <row r="967">
      <c r="B967" s="354" t="n"/>
      <c r="C967" s="354" t="n"/>
      <c r="E967" s="350" t="n"/>
      <c r="F967" s="350" t="n"/>
      <c r="G967" s="350" t="n"/>
      <c r="H967" s="350" t="n"/>
      <c r="I967" s="350" t="n"/>
      <c r="J967" s="352" t="n"/>
      <c r="M967" s="350" t="n"/>
      <c r="N967" s="350">
        <f>IF($A967="","",IF(OR(LOWER($D967&amp;"")="n/a",ISNUMBER(SEARCH("subscription",LOWER($A967&amp;" "&amp;$M967&amp;""))),ISNUMBER(SEARCH("membership",LOWER($A967&amp;" "&amp;$M967&amp;"")))),"",IF($G967="","",IF(ISNUMBER(SEARCH("non",LOWER($E967&amp;""))),$G967*0.85,$G967))))</f>
        <v/>
      </c>
      <c r="O967">
        <f>IF($A967="","",IF(OR(LOWER($D967&amp;"")="n/a",ISNUMBER(SEARCH("subscription",LOWER($A967&amp;" "&amp;$M967&amp;""))),ISNUMBER(SEARCH("membership",LOWER($A967&amp;" "&amp;$M967&amp;"")))),"",IF(OR($N967="",$I967="",$I967=0),"",$N967/$I967)))</f>
        <v/>
      </c>
      <c r="P967">
        <f>IF($A967="","",IF(OR(LOWER($D967&amp;"")="n/a",ISNUMBER(SEARCH("subscription",LOWER($A967&amp;" "&amp;$M967&amp;""))),ISNUMBER(SEARCH("membership",LOWER($A967&amp;" "&amp;$M967&amp;"")))),"",IF(LOWER($L967&amp;"")="yes",0,IF($K967&lt;&gt;"",$K967,IF($O967&lt;&gt;"",$O967,"")))))</f>
        <v/>
      </c>
      <c r="Q967">
        <f>IF($A967="","",IF($U967="Subscription","",IF($U967="Profit",$P967-$H967,0)))</f>
        <v/>
      </c>
      <c r="R967">
        <f>IF($A967="","",IF($U967="Subscription","",IF($U967="Draw",$H967,0)))</f>
        <v/>
      </c>
      <c r="S967">
        <f>IF($A967="","",IF($U967="Subscription","",IF($U967="Disqualified",$H967,0)))</f>
        <v/>
      </c>
      <c r="T967">
        <f>IF($A967="","",IF($U967="Subscription","",IF($H967=0,IF($U967="Profit","N/A",0),IF($U967="Profit",$Q967/$H967,IF($U967="Disqualified",-1,0)))))</f>
        <v/>
      </c>
      <c r="U967" s="350">
        <f>IF($A967="","",IF(OR(LOWER($D967&amp;"")="n/a",ISNUMBER(SEARCH("subscription",LOWER($A967&amp;" "&amp;$M967&amp;""))),ISNUMBER(SEARCH("membership",LOWER($A967&amp;" "&amp;$M967&amp;"")))),"Subscription",IF(LOWER($L967&amp;"")="yes","Disqualified",IF($P967&gt;$H967,"Profit","Draw"))))</f>
        <v/>
      </c>
      <c r="V967">
        <f>IF(OR($A967="",$B967="",$C967="",$U967="Subscription"),"",IFERROR(ROUNDUP((IF(ISNUMBER($C967),$C967,DATEVALUE($C967))-IF(ISNUMBER($B967),$B967,DATEVALUE($B967)))/7,0),""))</f>
        <v/>
      </c>
      <c r="W967" s="352">
        <f>IF($U967="Subscription","",$Q967-$S967)</f>
        <v/>
      </c>
      <c r="X967">
        <f>IF(OR($A967="",$U967="Subscription",$J967="",$I967="",$J967=0,$I967=0,$I967&gt;$J967),"",$J967-$I967)</f>
        <v/>
      </c>
      <c r="Y967">
        <f>IF(OR($A967="",$U967="Subscription",$J967="",$J967=0,$X967=""),"",$X967/$J967)</f>
        <v/>
      </c>
    </row>
    <row r="968">
      <c r="B968" s="354" t="n"/>
      <c r="C968" s="354" t="n"/>
      <c r="E968" s="350" t="n"/>
      <c r="F968" s="350" t="n"/>
      <c r="G968" s="350" t="n"/>
      <c r="H968" s="350" t="n"/>
      <c r="I968" s="350" t="n"/>
      <c r="J968" s="352" t="n"/>
      <c r="M968" s="350" t="n"/>
      <c r="N968" s="350">
        <f>IF($A968="","",IF(OR(LOWER($D968&amp;"")="n/a",ISNUMBER(SEARCH("subscription",LOWER($A968&amp;" "&amp;$M968&amp;""))),ISNUMBER(SEARCH("membership",LOWER($A968&amp;" "&amp;$M968&amp;"")))),"",IF($G968="","",IF(ISNUMBER(SEARCH("non",LOWER($E968&amp;""))),$G968*0.85,$G968))))</f>
        <v/>
      </c>
      <c r="O968">
        <f>IF($A968="","",IF(OR(LOWER($D968&amp;"")="n/a",ISNUMBER(SEARCH("subscription",LOWER($A968&amp;" "&amp;$M968&amp;""))),ISNUMBER(SEARCH("membership",LOWER($A968&amp;" "&amp;$M968&amp;"")))),"",IF(OR($N968="",$I968="",$I968=0),"",$N968/$I968)))</f>
        <v/>
      </c>
      <c r="P968">
        <f>IF($A968="","",IF(OR(LOWER($D968&amp;"")="n/a",ISNUMBER(SEARCH("subscription",LOWER($A968&amp;" "&amp;$M968&amp;""))),ISNUMBER(SEARCH("membership",LOWER($A968&amp;" "&amp;$M968&amp;"")))),"",IF(LOWER($L968&amp;"")="yes",0,IF($K968&lt;&gt;"",$K968,IF($O968&lt;&gt;"",$O968,"")))))</f>
        <v/>
      </c>
      <c r="Q968">
        <f>IF($A968="","",IF($U968="Subscription","",IF($U968="Profit",$P968-$H968,0)))</f>
        <v/>
      </c>
      <c r="R968">
        <f>IF($A968="","",IF($U968="Subscription","",IF($U968="Draw",$H968,0)))</f>
        <v/>
      </c>
      <c r="S968">
        <f>IF($A968="","",IF($U968="Subscription","",IF($U968="Disqualified",$H968,0)))</f>
        <v/>
      </c>
      <c r="T968">
        <f>IF($A968="","",IF($U968="Subscription","",IF($H968=0,IF($U968="Profit","N/A",0),IF($U968="Profit",$Q968/$H968,IF($U968="Disqualified",-1,0)))))</f>
        <v/>
      </c>
      <c r="U968" s="350">
        <f>IF($A968="","",IF(OR(LOWER($D968&amp;"")="n/a",ISNUMBER(SEARCH("subscription",LOWER($A968&amp;" "&amp;$M968&amp;""))),ISNUMBER(SEARCH("membership",LOWER($A968&amp;" "&amp;$M968&amp;"")))),"Subscription",IF(LOWER($L968&amp;"")="yes","Disqualified",IF($P968&gt;$H968,"Profit","Draw"))))</f>
        <v/>
      </c>
      <c r="V968">
        <f>IF(OR($A968="",$B968="",$C968="",$U968="Subscription"),"",IFERROR(ROUNDUP((IF(ISNUMBER($C968),$C968,DATEVALUE($C968))-IF(ISNUMBER($B968),$B968,DATEVALUE($B968)))/7,0),""))</f>
        <v/>
      </c>
      <c r="W968" s="352">
        <f>IF($U968="Subscription","",$Q968-$S968)</f>
        <v/>
      </c>
      <c r="X968">
        <f>IF(OR($A968="",$U968="Subscription",$J968="",$I968="",$J968=0,$I968=0,$I968&gt;$J968),"",$J968-$I968)</f>
        <v/>
      </c>
      <c r="Y968">
        <f>IF(OR($A968="",$U968="Subscription",$J968="",$J968=0,$X968=""),"",$X968/$J968)</f>
        <v/>
      </c>
    </row>
    <row r="969">
      <c r="B969" s="354" t="n"/>
      <c r="C969" s="354" t="n"/>
      <c r="E969" s="350" t="n"/>
      <c r="F969" s="350" t="n"/>
      <c r="G969" s="350" t="n"/>
      <c r="H969" s="350" t="n"/>
      <c r="I969" s="350" t="n"/>
      <c r="J969" s="352" t="n"/>
      <c r="M969" s="350" t="n"/>
      <c r="N969" s="350">
        <f>IF($A969="","",IF(OR(LOWER($D969&amp;"")="n/a",ISNUMBER(SEARCH("subscription",LOWER($A969&amp;" "&amp;$M969&amp;""))),ISNUMBER(SEARCH("membership",LOWER($A969&amp;" "&amp;$M969&amp;"")))),"",IF($G969="","",IF(ISNUMBER(SEARCH("non",LOWER($E969&amp;""))),$G969*0.85,$G969))))</f>
        <v/>
      </c>
      <c r="O969">
        <f>IF($A969="","",IF(OR(LOWER($D969&amp;"")="n/a",ISNUMBER(SEARCH("subscription",LOWER($A969&amp;" "&amp;$M969&amp;""))),ISNUMBER(SEARCH("membership",LOWER($A969&amp;" "&amp;$M969&amp;"")))),"",IF(OR($N969="",$I969="",$I969=0),"",$N969/$I969)))</f>
        <v/>
      </c>
      <c r="P969">
        <f>IF($A969="","",IF(OR(LOWER($D969&amp;"")="n/a",ISNUMBER(SEARCH("subscription",LOWER($A969&amp;" "&amp;$M969&amp;""))),ISNUMBER(SEARCH("membership",LOWER($A969&amp;" "&amp;$M969&amp;"")))),"",IF(LOWER($L969&amp;"")="yes",0,IF($K969&lt;&gt;"",$K969,IF($O969&lt;&gt;"",$O969,"")))))</f>
        <v/>
      </c>
      <c r="Q969">
        <f>IF($A969="","",IF($U969="Subscription","",IF($U969="Profit",$P969-$H969,0)))</f>
        <v/>
      </c>
      <c r="R969">
        <f>IF($A969="","",IF($U969="Subscription","",IF($U969="Draw",$H969,0)))</f>
        <v/>
      </c>
      <c r="S969">
        <f>IF($A969="","",IF($U969="Subscription","",IF($U969="Disqualified",$H969,0)))</f>
        <v/>
      </c>
      <c r="T969">
        <f>IF($A969="","",IF($U969="Subscription","",IF($H969=0,IF($U969="Profit","N/A",0),IF($U969="Profit",$Q969/$H969,IF($U969="Disqualified",-1,0)))))</f>
        <v/>
      </c>
      <c r="U969" s="350">
        <f>IF($A969="","",IF(OR(LOWER($D969&amp;"")="n/a",ISNUMBER(SEARCH("subscription",LOWER($A969&amp;" "&amp;$M969&amp;""))),ISNUMBER(SEARCH("membership",LOWER($A969&amp;" "&amp;$M969&amp;"")))),"Subscription",IF(LOWER($L969&amp;"")="yes","Disqualified",IF($P969&gt;$H969,"Profit","Draw"))))</f>
        <v/>
      </c>
      <c r="V969">
        <f>IF(OR($A969="",$B969="",$C969="",$U969="Subscription"),"",IFERROR(ROUNDUP((IF(ISNUMBER($C969),$C969,DATEVALUE($C969))-IF(ISNUMBER($B969),$B969,DATEVALUE($B969)))/7,0),""))</f>
        <v/>
      </c>
      <c r="W969" s="352">
        <f>IF($U969="Subscription","",$Q969-$S969)</f>
        <v/>
      </c>
      <c r="X969">
        <f>IF(OR($A969="",$U969="Subscription",$J969="",$I969="",$J969=0,$I969=0,$I969&gt;$J969),"",$J969-$I969)</f>
        <v/>
      </c>
      <c r="Y969">
        <f>IF(OR($A969="",$U969="Subscription",$J969="",$J969=0,$X969=""),"",$X969/$J969)</f>
        <v/>
      </c>
    </row>
    <row r="970">
      <c r="B970" s="354" t="n"/>
      <c r="C970" s="354" t="n"/>
      <c r="E970" s="350" t="n"/>
      <c r="F970" s="350" t="n"/>
      <c r="G970" s="350" t="n"/>
      <c r="H970" s="350" t="n"/>
      <c r="I970" s="350" t="n"/>
      <c r="J970" s="352" t="n"/>
      <c r="M970" s="350" t="n"/>
      <c r="N970" s="350">
        <f>IF($A970="","",IF(OR(LOWER($D970&amp;"")="n/a",ISNUMBER(SEARCH("subscription",LOWER($A970&amp;" "&amp;$M970&amp;""))),ISNUMBER(SEARCH("membership",LOWER($A970&amp;" "&amp;$M970&amp;"")))),"",IF($G970="","",IF(ISNUMBER(SEARCH("non",LOWER($E970&amp;""))),$G970*0.85,$G970))))</f>
        <v/>
      </c>
      <c r="O970">
        <f>IF($A970="","",IF(OR(LOWER($D970&amp;"")="n/a",ISNUMBER(SEARCH("subscription",LOWER($A970&amp;" "&amp;$M970&amp;""))),ISNUMBER(SEARCH("membership",LOWER($A970&amp;" "&amp;$M970&amp;"")))),"",IF(OR($N970="",$I970="",$I970=0),"",$N970/$I970)))</f>
        <v/>
      </c>
      <c r="P970">
        <f>IF($A970="","",IF(OR(LOWER($D970&amp;"")="n/a",ISNUMBER(SEARCH("subscription",LOWER($A970&amp;" "&amp;$M970&amp;""))),ISNUMBER(SEARCH("membership",LOWER($A970&amp;" "&amp;$M970&amp;"")))),"",IF(LOWER($L970&amp;"")="yes",0,IF($K970&lt;&gt;"",$K970,IF($O970&lt;&gt;"",$O970,"")))))</f>
        <v/>
      </c>
      <c r="Q970">
        <f>IF($A970="","",IF($U970="Subscription","",IF($U970="Profit",$P970-$H970,0)))</f>
        <v/>
      </c>
      <c r="R970">
        <f>IF($A970="","",IF($U970="Subscription","",IF($U970="Draw",$H970,0)))</f>
        <v/>
      </c>
      <c r="S970">
        <f>IF($A970="","",IF($U970="Subscription","",IF($U970="Disqualified",$H970,0)))</f>
        <v/>
      </c>
      <c r="T970">
        <f>IF($A970="","",IF($U970="Subscription","",IF($H970=0,IF($U970="Profit","N/A",0),IF($U970="Profit",$Q970/$H970,IF($U970="Disqualified",-1,0)))))</f>
        <v/>
      </c>
      <c r="U970" s="350">
        <f>IF($A970="","",IF(OR(LOWER($D970&amp;"")="n/a",ISNUMBER(SEARCH("subscription",LOWER($A970&amp;" "&amp;$M970&amp;""))),ISNUMBER(SEARCH("membership",LOWER($A970&amp;" "&amp;$M970&amp;"")))),"Subscription",IF(LOWER($L970&amp;"")="yes","Disqualified",IF($P970&gt;$H970,"Profit","Draw"))))</f>
        <v/>
      </c>
      <c r="V970">
        <f>IF(OR($A970="",$B970="",$C970="",$U970="Subscription"),"",IFERROR(ROUNDUP((IF(ISNUMBER($C970),$C970,DATEVALUE($C970))-IF(ISNUMBER($B970),$B970,DATEVALUE($B970)))/7,0),""))</f>
        <v/>
      </c>
      <c r="W970" s="352">
        <f>IF($U970="Subscription","",$Q970-$S970)</f>
        <v/>
      </c>
      <c r="X970">
        <f>IF(OR($A970="",$U970="Subscription",$J970="",$I970="",$J970=0,$I970=0,$I970&gt;$J970),"",$J970-$I970)</f>
        <v/>
      </c>
      <c r="Y970">
        <f>IF(OR($A970="",$U970="Subscription",$J970="",$J970=0,$X970=""),"",$X970/$J970)</f>
        <v/>
      </c>
    </row>
    <row r="971">
      <c r="B971" s="354" t="n"/>
      <c r="C971" s="354" t="n"/>
      <c r="E971" s="350" t="n"/>
      <c r="F971" s="350" t="n"/>
      <c r="G971" s="350" t="n"/>
      <c r="H971" s="350" t="n"/>
      <c r="I971" s="350" t="n"/>
      <c r="J971" s="352" t="n"/>
      <c r="M971" s="350" t="n"/>
      <c r="N971" s="350">
        <f>IF($A971="","",IF(OR(LOWER($D971&amp;"")="n/a",ISNUMBER(SEARCH("subscription",LOWER($A971&amp;" "&amp;$M971&amp;""))),ISNUMBER(SEARCH("membership",LOWER($A971&amp;" "&amp;$M971&amp;"")))),"",IF($G971="","",IF(ISNUMBER(SEARCH("non",LOWER($E971&amp;""))),$G971*0.85,$G971))))</f>
        <v/>
      </c>
      <c r="O971">
        <f>IF($A971="","",IF(OR(LOWER($D971&amp;"")="n/a",ISNUMBER(SEARCH("subscription",LOWER($A971&amp;" "&amp;$M971&amp;""))),ISNUMBER(SEARCH("membership",LOWER($A971&amp;" "&amp;$M971&amp;"")))),"",IF(OR($N971="",$I971="",$I971=0),"",$N971/$I971)))</f>
        <v/>
      </c>
      <c r="P971">
        <f>IF($A971="","",IF(OR(LOWER($D971&amp;"")="n/a",ISNUMBER(SEARCH("subscription",LOWER($A971&amp;" "&amp;$M971&amp;""))),ISNUMBER(SEARCH("membership",LOWER($A971&amp;" "&amp;$M971&amp;"")))),"",IF(LOWER($L971&amp;"")="yes",0,IF($K971&lt;&gt;"",$K971,IF($O971&lt;&gt;"",$O971,"")))))</f>
        <v/>
      </c>
      <c r="Q971">
        <f>IF($A971="","",IF($U971="Subscription","",IF($U971="Profit",$P971-$H971,0)))</f>
        <v/>
      </c>
      <c r="R971">
        <f>IF($A971="","",IF($U971="Subscription","",IF($U971="Draw",$H971,0)))</f>
        <v/>
      </c>
      <c r="S971">
        <f>IF($A971="","",IF($U971="Subscription","",IF($U971="Disqualified",$H971,0)))</f>
        <v/>
      </c>
      <c r="T971">
        <f>IF($A971="","",IF($U971="Subscription","",IF($H971=0,IF($U971="Profit","N/A",0),IF($U971="Profit",$Q971/$H971,IF($U971="Disqualified",-1,0)))))</f>
        <v/>
      </c>
      <c r="U971" s="350">
        <f>IF($A971="","",IF(OR(LOWER($D971&amp;"")="n/a",ISNUMBER(SEARCH("subscription",LOWER($A971&amp;" "&amp;$M971&amp;""))),ISNUMBER(SEARCH("membership",LOWER($A971&amp;" "&amp;$M971&amp;"")))),"Subscription",IF(LOWER($L971&amp;"")="yes","Disqualified",IF($P971&gt;$H971,"Profit","Draw"))))</f>
        <v/>
      </c>
      <c r="V971">
        <f>IF(OR($A971="",$B971="",$C971="",$U971="Subscription"),"",IFERROR(ROUNDUP((IF(ISNUMBER($C971),$C971,DATEVALUE($C971))-IF(ISNUMBER($B971),$B971,DATEVALUE($B971)))/7,0),""))</f>
        <v/>
      </c>
      <c r="W971" s="352">
        <f>IF($U971="Subscription","",$Q971-$S971)</f>
        <v/>
      </c>
      <c r="X971">
        <f>IF(OR($A971="",$U971="Subscription",$J971="",$I971="",$J971=0,$I971=0,$I971&gt;$J971),"",$J971-$I971)</f>
        <v/>
      </c>
      <c r="Y971">
        <f>IF(OR($A971="",$U971="Subscription",$J971="",$J971=0,$X971=""),"",$X971/$J971)</f>
        <v/>
      </c>
    </row>
    <row r="972">
      <c r="B972" s="354" t="n"/>
      <c r="C972" s="354" t="n"/>
      <c r="E972" s="350" t="n"/>
      <c r="F972" s="350" t="n"/>
      <c r="G972" s="350" t="n"/>
      <c r="H972" s="350" t="n"/>
      <c r="I972" s="350" t="n"/>
      <c r="J972" s="352" t="n"/>
      <c r="M972" s="350" t="n"/>
      <c r="N972" s="350">
        <f>IF($A972="","",IF(OR(LOWER($D972&amp;"")="n/a",ISNUMBER(SEARCH("subscription",LOWER($A972&amp;" "&amp;$M972&amp;""))),ISNUMBER(SEARCH("membership",LOWER($A972&amp;" "&amp;$M972&amp;"")))),"",IF($G972="","",IF(ISNUMBER(SEARCH("non",LOWER($E972&amp;""))),$G972*0.85,$G972))))</f>
        <v/>
      </c>
      <c r="O972">
        <f>IF($A972="","",IF(OR(LOWER($D972&amp;"")="n/a",ISNUMBER(SEARCH("subscription",LOWER($A972&amp;" "&amp;$M972&amp;""))),ISNUMBER(SEARCH("membership",LOWER($A972&amp;" "&amp;$M972&amp;"")))),"",IF(OR($N972="",$I972="",$I972=0),"",$N972/$I972)))</f>
        <v/>
      </c>
      <c r="P972">
        <f>IF($A972="","",IF(OR(LOWER($D972&amp;"")="n/a",ISNUMBER(SEARCH("subscription",LOWER($A972&amp;" "&amp;$M972&amp;""))),ISNUMBER(SEARCH("membership",LOWER($A972&amp;" "&amp;$M972&amp;"")))),"",IF(LOWER($L972&amp;"")="yes",0,IF($K972&lt;&gt;"",$K972,IF($O972&lt;&gt;"",$O972,"")))))</f>
        <v/>
      </c>
      <c r="Q972">
        <f>IF($A972="","",IF($U972="Subscription","",IF($U972="Profit",$P972-$H972,0)))</f>
        <v/>
      </c>
      <c r="R972">
        <f>IF($A972="","",IF($U972="Subscription","",IF($U972="Draw",$H972,0)))</f>
        <v/>
      </c>
      <c r="S972">
        <f>IF($A972="","",IF($U972="Subscription","",IF($U972="Disqualified",$H972,0)))</f>
        <v/>
      </c>
      <c r="T972">
        <f>IF($A972="","",IF($U972="Subscription","",IF($H972=0,IF($U972="Profit","N/A",0),IF($U972="Profit",$Q972/$H972,IF($U972="Disqualified",-1,0)))))</f>
        <v/>
      </c>
      <c r="U972" s="350">
        <f>IF($A972="","",IF(OR(LOWER($D972&amp;"")="n/a",ISNUMBER(SEARCH("subscription",LOWER($A972&amp;" "&amp;$M972&amp;""))),ISNUMBER(SEARCH("membership",LOWER($A972&amp;" "&amp;$M972&amp;"")))),"Subscription",IF(LOWER($L972&amp;"")="yes","Disqualified",IF($P972&gt;$H972,"Profit","Draw"))))</f>
        <v/>
      </c>
      <c r="V972">
        <f>IF(OR($A972="",$B972="",$C972="",$U972="Subscription"),"",IFERROR(ROUNDUP((IF(ISNUMBER($C972),$C972,DATEVALUE($C972))-IF(ISNUMBER($B972),$B972,DATEVALUE($B972)))/7,0),""))</f>
        <v/>
      </c>
      <c r="W972" s="352">
        <f>IF($U972="Subscription","",$Q972-$S972)</f>
        <v/>
      </c>
      <c r="X972">
        <f>IF(OR($A972="",$U972="Subscription",$J972="",$I972="",$J972=0,$I972=0,$I972&gt;$J972),"",$J972-$I972)</f>
        <v/>
      </c>
      <c r="Y972">
        <f>IF(OR($A972="",$U972="Subscription",$J972="",$J972=0,$X972=""),"",$X972/$J972)</f>
        <v/>
      </c>
    </row>
    <row r="973">
      <c r="B973" s="354" t="n"/>
      <c r="C973" s="354" t="n"/>
      <c r="E973" s="350" t="n"/>
      <c r="F973" s="350" t="n"/>
      <c r="G973" s="350" t="n"/>
      <c r="H973" s="350" t="n"/>
      <c r="I973" s="350" t="n"/>
      <c r="J973" s="352" t="n"/>
      <c r="M973" s="350" t="n"/>
      <c r="N973" s="350">
        <f>IF($A973="","",IF(OR(LOWER($D973&amp;"")="n/a",ISNUMBER(SEARCH("subscription",LOWER($A973&amp;" "&amp;$M973&amp;""))),ISNUMBER(SEARCH("membership",LOWER($A973&amp;" "&amp;$M973&amp;"")))),"",IF($G973="","",IF(ISNUMBER(SEARCH("non",LOWER($E973&amp;""))),$G973*0.85,$G973))))</f>
        <v/>
      </c>
      <c r="O973">
        <f>IF($A973="","",IF(OR(LOWER($D973&amp;"")="n/a",ISNUMBER(SEARCH("subscription",LOWER($A973&amp;" "&amp;$M973&amp;""))),ISNUMBER(SEARCH("membership",LOWER($A973&amp;" "&amp;$M973&amp;"")))),"",IF(OR($N973="",$I973="",$I973=0),"",$N973/$I973)))</f>
        <v/>
      </c>
      <c r="P973">
        <f>IF($A973="","",IF(OR(LOWER($D973&amp;"")="n/a",ISNUMBER(SEARCH("subscription",LOWER($A973&amp;" "&amp;$M973&amp;""))),ISNUMBER(SEARCH("membership",LOWER($A973&amp;" "&amp;$M973&amp;"")))),"",IF(LOWER($L973&amp;"")="yes",0,IF($K973&lt;&gt;"",$K973,IF($O973&lt;&gt;"",$O973,"")))))</f>
        <v/>
      </c>
      <c r="Q973">
        <f>IF($A973="","",IF($U973="Subscription","",IF($U973="Profit",$P973-$H973,0)))</f>
        <v/>
      </c>
      <c r="R973">
        <f>IF($A973="","",IF($U973="Subscription","",IF($U973="Draw",$H973,0)))</f>
        <v/>
      </c>
      <c r="S973">
        <f>IF($A973="","",IF($U973="Subscription","",IF($U973="Disqualified",$H973,0)))</f>
        <v/>
      </c>
      <c r="T973">
        <f>IF($A973="","",IF($U973="Subscription","",IF($H973=0,IF($U973="Profit","N/A",0),IF($U973="Profit",$Q973/$H973,IF($U973="Disqualified",-1,0)))))</f>
        <v/>
      </c>
      <c r="U973" s="350">
        <f>IF($A973="","",IF(OR(LOWER($D973&amp;"")="n/a",ISNUMBER(SEARCH("subscription",LOWER($A973&amp;" "&amp;$M973&amp;""))),ISNUMBER(SEARCH("membership",LOWER($A973&amp;" "&amp;$M973&amp;"")))),"Subscription",IF(LOWER($L973&amp;"")="yes","Disqualified",IF($P973&gt;$H973,"Profit","Draw"))))</f>
        <v/>
      </c>
      <c r="V973">
        <f>IF(OR($A973="",$B973="",$C973="",$U973="Subscription"),"",IFERROR(ROUNDUP((IF(ISNUMBER($C973),$C973,DATEVALUE($C973))-IF(ISNUMBER($B973),$B973,DATEVALUE($B973)))/7,0),""))</f>
        <v/>
      </c>
      <c r="W973" s="352">
        <f>IF($U973="Subscription","",$Q973-$S973)</f>
        <v/>
      </c>
      <c r="X973">
        <f>IF(OR($A973="",$U973="Subscription",$J973="",$I973="",$J973=0,$I973=0,$I973&gt;$J973),"",$J973-$I973)</f>
        <v/>
      </c>
      <c r="Y973">
        <f>IF(OR($A973="",$U973="Subscription",$J973="",$J973=0,$X973=""),"",$X973/$J973)</f>
        <v/>
      </c>
    </row>
    <row r="974">
      <c r="B974" s="354" t="n"/>
      <c r="C974" s="354" t="n"/>
      <c r="E974" s="350" t="n"/>
      <c r="F974" s="350" t="n"/>
      <c r="G974" s="350" t="n"/>
      <c r="H974" s="350" t="n"/>
      <c r="I974" s="350" t="n"/>
      <c r="J974" s="352" t="n"/>
      <c r="M974" s="350" t="n"/>
      <c r="N974" s="350">
        <f>IF($A974="","",IF(OR(LOWER($D974&amp;"")="n/a",ISNUMBER(SEARCH("subscription",LOWER($A974&amp;" "&amp;$M974&amp;""))),ISNUMBER(SEARCH("membership",LOWER($A974&amp;" "&amp;$M974&amp;"")))),"",IF($G974="","",IF(ISNUMBER(SEARCH("non",LOWER($E974&amp;""))),$G974*0.85,$G974))))</f>
        <v/>
      </c>
      <c r="O974">
        <f>IF($A974="","",IF(OR(LOWER($D974&amp;"")="n/a",ISNUMBER(SEARCH("subscription",LOWER($A974&amp;" "&amp;$M974&amp;""))),ISNUMBER(SEARCH("membership",LOWER($A974&amp;" "&amp;$M974&amp;"")))),"",IF(OR($N974="",$I974="",$I974=0),"",$N974/$I974)))</f>
        <v/>
      </c>
      <c r="P974">
        <f>IF($A974="","",IF(OR(LOWER($D974&amp;"")="n/a",ISNUMBER(SEARCH("subscription",LOWER($A974&amp;" "&amp;$M974&amp;""))),ISNUMBER(SEARCH("membership",LOWER($A974&amp;" "&amp;$M974&amp;"")))),"",IF(LOWER($L974&amp;"")="yes",0,IF($K974&lt;&gt;"",$K974,IF($O974&lt;&gt;"",$O974,"")))))</f>
        <v/>
      </c>
      <c r="Q974">
        <f>IF($A974="","",IF($U974="Subscription","",IF($U974="Profit",$P974-$H974,0)))</f>
        <v/>
      </c>
      <c r="R974">
        <f>IF($A974="","",IF($U974="Subscription","",IF($U974="Draw",$H974,0)))</f>
        <v/>
      </c>
      <c r="S974">
        <f>IF($A974="","",IF($U974="Subscription","",IF($U974="Disqualified",$H974,0)))</f>
        <v/>
      </c>
      <c r="T974">
        <f>IF($A974="","",IF($U974="Subscription","",IF($H974=0,IF($U974="Profit","N/A",0),IF($U974="Profit",$Q974/$H974,IF($U974="Disqualified",-1,0)))))</f>
        <v/>
      </c>
      <c r="U974" s="350">
        <f>IF($A974="","",IF(OR(LOWER($D974&amp;"")="n/a",ISNUMBER(SEARCH("subscription",LOWER($A974&amp;" "&amp;$M974&amp;""))),ISNUMBER(SEARCH("membership",LOWER($A974&amp;" "&amp;$M974&amp;"")))),"Subscription",IF(LOWER($L974&amp;"")="yes","Disqualified",IF($P974&gt;$H974,"Profit","Draw"))))</f>
        <v/>
      </c>
      <c r="V974">
        <f>IF(OR($A974="",$B974="",$C974="",$U974="Subscription"),"",IFERROR(ROUNDUP((IF(ISNUMBER($C974),$C974,DATEVALUE($C974))-IF(ISNUMBER($B974),$B974,DATEVALUE($B974)))/7,0),""))</f>
        <v/>
      </c>
      <c r="W974" s="352">
        <f>IF($U974="Subscription","",$Q974-$S974)</f>
        <v/>
      </c>
      <c r="X974">
        <f>IF(OR($A974="",$U974="Subscription",$J974="",$I974="",$J974=0,$I974=0,$I974&gt;$J974),"",$J974-$I974)</f>
        <v/>
      </c>
      <c r="Y974">
        <f>IF(OR($A974="",$U974="Subscription",$J974="",$J974=0,$X974=""),"",$X974/$J974)</f>
        <v/>
      </c>
    </row>
    <row r="975">
      <c r="B975" s="354" t="n"/>
      <c r="C975" s="354" t="n"/>
      <c r="E975" s="350" t="n"/>
      <c r="F975" s="350" t="n"/>
      <c r="G975" s="350" t="n"/>
      <c r="H975" s="350" t="n"/>
      <c r="I975" s="350" t="n"/>
      <c r="J975" s="352" t="n"/>
      <c r="M975" s="350" t="n"/>
      <c r="N975" s="350">
        <f>IF($A975="","",IF(OR(LOWER($D975&amp;"")="n/a",ISNUMBER(SEARCH("subscription",LOWER($A975&amp;" "&amp;$M975&amp;""))),ISNUMBER(SEARCH("membership",LOWER($A975&amp;" "&amp;$M975&amp;"")))),"",IF($G975="","",IF(ISNUMBER(SEARCH("non",LOWER($E975&amp;""))),$G975*0.85,$G975))))</f>
        <v/>
      </c>
      <c r="O975">
        <f>IF($A975="","",IF(OR(LOWER($D975&amp;"")="n/a",ISNUMBER(SEARCH("subscription",LOWER($A975&amp;" "&amp;$M975&amp;""))),ISNUMBER(SEARCH("membership",LOWER($A975&amp;" "&amp;$M975&amp;"")))),"",IF(OR($N975="",$I975="",$I975=0),"",$N975/$I975)))</f>
        <v/>
      </c>
      <c r="P975">
        <f>IF($A975="","",IF(OR(LOWER($D975&amp;"")="n/a",ISNUMBER(SEARCH("subscription",LOWER($A975&amp;" "&amp;$M975&amp;""))),ISNUMBER(SEARCH("membership",LOWER($A975&amp;" "&amp;$M975&amp;"")))),"",IF(LOWER($L975&amp;"")="yes",0,IF($K975&lt;&gt;"",$K975,IF($O975&lt;&gt;"",$O975,"")))))</f>
        <v/>
      </c>
      <c r="Q975">
        <f>IF($A975="","",IF($U975="Subscription","",IF($U975="Profit",$P975-$H975,0)))</f>
        <v/>
      </c>
      <c r="R975">
        <f>IF($A975="","",IF($U975="Subscription","",IF($U975="Draw",$H975,0)))</f>
        <v/>
      </c>
      <c r="S975">
        <f>IF($A975="","",IF($U975="Subscription","",IF($U975="Disqualified",$H975,0)))</f>
        <v/>
      </c>
      <c r="T975">
        <f>IF($A975="","",IF($U975="Subscription","",IF($H975=0,IF($U975="Profit","N/A",0),IF($U975="Profit",$Q975/$H975,IF($U975="Disqualified",-1,0)))))</f>
        <v/>
      </c>
      <c r="U975" s="350">
        <f>IF($A975="","",IF(OR(LOWER($D975&amp;"")="n/a",ISNUMBER(SEARCH("subscription",LOWER($A975&amp;" "&amp;$M975&amp;""))),ISNUMBER(SEARCH("membership",LOWER($A975&amp;" "&amp;$M975&amp;"")))),"Subscription",IF(LOWER($L975&amp;"")="yes","Disqualified",IF($P975&gt;$H975,"Profit","Draw"))))</f>
        <v/>
      </c>
      <c r="V975">
        <f>IF(OR($A975="",$B975="",$C975="",$U975="Subscription"),"",IFERROR(ROUNDUP((IF(ISNUMBER($C975),$C975,DATEVALUE($C975))-IF(ISNUMBER($B975),$B975,DATEVALUE($B975)))/7,0),""))</f>
        <v/>
      </c>
      <c r="W975" s="352">
        <f>IF($U975="Subscription","",$Q975-$S975)</f>
        <v/>
      </c>
      <c r="X975">
        <f>IF(OR($A975="",$U975="Subscription",$J975="",$I975="",$J975=0,$I975=0,$I975&gt;$J975),"",$J975-$I975)</f>
        <v/>
      </c>
      <c r="Y975">
        <f>IF(OR($A975="",$U975="Subscription",$J975="",$J975=0,$X975=""),"",$X975/$J975)</f>
        <v/>
      </c>
    </row>
    <row r="976">
      <c r="B976" s="354" t="n"/>
      <c r="C976" s="354" t="n"/>
      <c r="E976" s="350" t="n"/>
      <c r="F976" s="350" t="n"/>
      <c r="G976" s="350" t="n"/>
      <c r="H976" s="350" t="n"/>
      <c r="I976" s="350" t="n"/>
      <c r="J976" s="352" t="n"/>
      <c r="M976" s="350" t="n"/>
      <c r="N976" s="350">
        <f>IF($A976="","",IF(OR(LOWER($D976&amp;"")="n/a",ISNUMBER(SEARCH("subscription",LOWER($A976&amp;" "&amp;$M976&amp;""))),ISNUMBER(SEARCH("membership",LOWER($A976&amp;" "&amp;$M976&amp;"")))),"",IF($G976="","",IF(ISNUMBER(SEARCH("non",LOWER($E976&amp;""))),$G976*0.85,$G976))))</f>
        <v/>
      </c>
      <c r="O976">
        <f>IF($A976="","",IF(OR(LOWER($D976&amp;"")="n/a",ISNUMBER(SEARCH("subscription",LOWER($A976&amp;" "&amp;$M976&amp;""))),ISNUMBER(SEARCH("membership",LOWER($A976&amp;" "&amp;$M976&amp;"")))),"",IF(OR($N976="",$I976="",$I976=0),"",$N976/$I976)))</f>
        <v/>
      </c>
      <c r="P976">
        <f>IF($A976="","",IF(OR(LOWER($D976&amp;"")="n/a",ISNUMBER(SEARCH("subscription",LOWER($A976&amp;" "&amp;$M976&amp;""))),ISNUMBER(SEARCH("membership",LOWER($A976&amp;" "&amp;$M976&amp;"")))),"",IF(LOWER($L976&amp;"")="yes",0,IF($K976&lt;&gt;"",$K976,IF($O976&lt;&gt;"",$O976,"")))))</f>
        <v/>
      </c>
      <c r="Q976">
        <f>IF($A976="","",IF($U976="Subscription","",IF($U976="Profit",$P976-$H976,0)))</f>
        <v/>
      </c>
      <c r="R976">
        <f>IF($A976="","",IF($U976="Subscription","",IF($U976="Draw",$H976,0)))</f>
        <v/>
      </c>
      <c r="S976">
        <f>IF($A976="","",IF($U976="Subscription","",IF($U976="Disqualified",$H976,0)))</f>
        <v/>
      </c>
      <c r="T976">
        <f>IF($A976="","",IF($U976="Subscription","",IF($H976=0,IF($U976="Profit","N/A",0),IF($U976="Profit",$Q976/$H976,IF($U976="Disqualified",-1,0)))))</f>
        <v/>
      </c>
      <c r="U976" s="350">
        <f>IF($A976="","",IF(OR(LOWER($D976&amp;"")="n/a",ISNUMBER(SEARCH("subscription",LOWER($A976&amp;" "&amp;$M976&amp;""))),ISNUMBER(SEARCH("membership",LOWER($A976&amp;" "&amp;$M976&amp;"")))),"Subscription",IF(LOWER($L976&amp;"")="yes","Disqualified",IF($P976&gt;$H976,"Profit","Draw"))))</f>
        <v/>
      </c>
      <c r="V976">
        <f>IF(OR($A976="",$B976="",$C976="",$U976="Subscription"),"",IFERROR(ROUNDUP((IF(ISNUMBER($C976),$C976,DATEVALUE($C976))-IF(ISNUMBER($B976),$B976,DATEVALUE($B976)))/7,0),""))</f>
        <v/>
      </c>
      <c r="W976" s="352">
        <f>IF($U976="Subscription","",$Q976-$S976)</f>
        <v/>
      </c>
      <c r="X976">
        <f>IF(OR($A976="",$U976="Subscription",$J976="",$I976="",$J976=0,$I976=0,$I976&gt;$J976),"",$J976-$I976)</f>
        <v/>
      </c>
      <c r="Y976">
        <f>IF(OR($A976="",$U976="Subscription",$J976="",$J976=0,$X976=""),"",$X976/$J976)</f>
        <v/>
      </c>
    </row>
    <row r="977">
      <c r="B977" s="354" t="n"/>
      <c r="C977" s="354" t="n"/>
      <c r="E977" s="350" t="n"/>
      <c r="F977" s="350" t="n"/>
      <c r="G977" s="350" t="n"/>
      <c r="H977" s="350" t="n"/>
      <c r="I977" s="350" t="n"/>
      <c r="J977" s="352" t="n"/>
      <c r="M977" s="350" t="n"/>
      <c r="N977" s="350">
        <f>IF($A977="","",IF(OR(LOWER($D977&amp;"")="n/a",ISNUMBER(SEARCH("subscription",LOWER($A977&amp;" "&amp;$M977&amp;""))),ISNUMBER(SEARCH("membership",LOWER($A977&amp;" "&amp;$M977&amp;"")))),"",IF($G977="","",IF(ISNUMBER(SEARCH("non",LOWER($E977&amp;""))),$G977*0.85,$G977))))</f>
        <v/>
      </c>
      <c r="O977">
        <f>IF($A977="","",IF(OR(LOWER($D977&amp;"")="n/a",ISNUMBER(SEARCH("subscription",LOWER($A977&amp;" "&amp;$M977&amp;""))),ISNUMBER(SEARCH("membership",LOWER($A977&amp;" "&amp;$M977&amp;"")))),"",IF(OR($N977="",$I977="",$I977=0),"",$N977/$I977)))</f>
        <v/>
      </c>
      <c r="P977">
        <f>IF($A977="","",IF(OR(LOWER($D977&amp;"")="n/a",ISNUMBER(SEARCH("subscription",LOWER($A977&amp;" "&amp;$M977&amp;""))),ISNUMBER(SEARCH("membership",LOWER($A977&amp;" "&amp;$M977&amp;"")))),"",IF(LOWER($L977&amp;"")="yes",0,IF($K977&lt;&gt;"",$K977,IF($O977&lt;&gt;"",$O977,"")))))</f>
        <v/>
      </c>
      <c r="Q977">
        <f>IF($A977="","",IF($U977="Subscription","",IF($U977="Profit",$P977-$H977,0)))</f>
        <v/>
      </c>
      <c r="R977">
        <f>IF($A977="","",IF($U977="Subscription","",IF($U977="Draw",$H977,0)))</f>
        <v/>
      </c>
      <c r="S977">
        <f>IF($A977="","",IF($U977="Subscription","",IF($U977="Disqualified",$H977,0)))</f>
        <v/>
      </c>
      <c r="T977">
        <f>IF($A977="","",IF($U977="Subscription","",IF($H977=0,IF($U977="Profit","N/A",0),IF($U977="Profit",$Q977/$H977,IF($U977="Disqualified",-1,0)))))</f>
        <v/>
      </c>
      <c r="U977" s="350">
        <f>IF($A977="","",IF(OR(LOWER($D977&amp;"")="n/a",ISNUMBER(SEARCH("subscription",LOWER($A977&amp;" "&amp;$M977&amp;""))),ISNUMBER(SEARCH("membership",LOWER($A977&amp;" "&amp;$M977&amp;"")))),"Subscription",IF(LOWER($L977&amp;"")="yes","Disqualified",IF($P977&gt;$H977,"Profit","Draw"))))</f>
        <v/>
      </c>
      <c r="V977">
        <f>IF(OR($A977="",$B977="",$C977="",$U977="Subscription"),"",IFERROR(ROUNDUP((IF(ISNUMBER($C977),$C977,DATEVALUE($C977))-IF(ISNUMBER($B977),$B977,DATEVALUE($B977)))/7,0),""))</f>
        <v/>
      </c>
      <c r="W977" s="352">
        <f>IF($U977="Subscription","",$Q977-$S977)</f>
        <v/>
      </c>
      <c r="X977">
        <f>IF(OR($A977="",$U977="Subscription",$J977="",$I977="",$J977=0,$I977=0,$I977&gt;$J977),"",$J977-$I977)</f>
        <v/>
      </c>
      <c r="Y977">
        <f>IF(OR($A977="",$U977="Subscription",$J977="",$J977=0,$X977=""),"",$X977/$J977)</f>
        <v/>
      </c>
    </row>
    <row r="978">
      <c r="B978" s="354" t="n"/>
      <c r="C978" s="354" t="n"/>
      <c r="E978" s="350" t="n"/>
      <c r="F978" s="350" t="n"/>
      <c r="G978" s="350" t="n"/>
      <c r="H978" s="350" t="n"/>
      <c r="I978" s="350" t="n"/>
      <c r="J978" s="352" t="n"/>
      <c r="M978" s="350" t="n"/>
      <c r="N978" s="350">
        <f>IF($A978="","",IF(OR(LOWER($D978&amp;"")="n/a",ISNUMBER(SEARCH("subscription",LOWER($A978&amp;" "&amp;$M978&amp;""))),ISNUMBER(SEARCH("membership",LOWER($A978&amp;" "&amp;$M978&amp;"")))),"",IF($G978="","",IF(ISNUMBER(SEARCH("non",LOWER($E978&amp;""))),$G978*0.85,$G978))))</f>
        <v/>
      </c>
      <c r="O978">
        <f>IF($A978="","",IF(OR(LOWER($D978&amp;"")="n/a",ISNUMBER(SEARCH("subscription",LOWER($A978&amp;" "&amp;$M978&amp;""))),ISNUMBER(SEARCH("membership",LOWER($A978&amp;" "&amp;$M978&amp;"")))),"",IF(OR($N978="",$I978="",$I978=0),"",$N978/$I978)))</f>
        <v/>
      </c>
      <c r="P978">
        <f>IF($A978="","",IF(OR(LOWER($D978&amp;"")="n/a",ISNUMBER(SEARCH("subscription",LOWER($A978&amp;" "&amp;$M978&amp;""))),ISNUMBER(SEARCH("membership",LOWER($A978&amp;" "&amp;$M978&amp;"")))),"",IF(LOWER($L978&amp;"")="yes",0,IF($K978&lt;&gt;"",$K978,IF($O978&lt;&gt;"",$O978,"")))))</f>
        <v/>
      </c>
      <c r="Q978">
        <f>IF($A978="","",IF($U978="Subscription","",IF($U978="Profit",$P978-$H978,0)))</f>
        <v/>
      </c>
      <c r="R978">
        <f>IF($A978="","",IF($U978="Subscription","",IF($U978="Draw",$H978,0)))</f>
        <v/>
      </c>
      <c r="S978">
        <f>IF($A978="","",IF($U978="Subscription","",IF($U978="Disqualified",$H978,0)))</f>
        <v/>
      </c>
      <c r="T978">
        <f>IF($A978="","",IF($U978="Subscription","",IF($H978=0,IF($U978="Profit","N/A",0),IF($U978="Profit",$Q978/$H978,IF($U978="Disqualified",-1,0)))))</f>
        <v/>
      </c>
      <c r="U978" s="350">
        <f>IF($A978="","",IF(OR(LOWER($D978&amp;"")="n/a",ISNUMBER(SEARCH("subscription",LOWER($A978&amp;" "&amp;$M978&amp;""))),ISNUMBER(SEARCH("membership",LOWER($A978&amp;" "&amp;$M978&amp;"")))),"Subscription",IF(LOWER($L978&amp;"")="yes","Disqualified",IF($P978&gt;$H978,"Profit","Draw"))))</f>
        <v/>
      </c>
      <c r="V978">
        <f>IF(OR($A978="",$B978="",$C978="",$U978="Subscription"),"",IFERROR(ROUNDUP((IF(ISNUMBER($C978),$C978,DATEVALUE($C978))-IF(ISNUMBER($B978),$B978,DATEVALUE($B978)))/7,0),""))</f>
        <v/>
      </c>
      <c r="W978" s="352">
        <f>IF($U978="Subscription","",$Q978-$S978)</f>
        <v/>
      </c>
      <c r="X978">
        <f>IF(OR($A978="",$U978="Subscription",$J978="",$I978="",$J978=0,$I978=0,$I978&gt;$J978),"",$J978-$I978)</f>
        <v/>
      </c>
      <c r="Y978">
        <f>IF(OR($A978="",$U978="Subscription",$J978="",$J978=0,$X978=""),"",$X978/$J978)</f>
        <v/>
      </c>
    </row>
    <row r="979">
      <c r="B979" s="354" t="n"/>
      <c r="C979" s="354" t="n"/>
      <c r="E979" s="350" t="n"/>
      <c r="F979" s="350" t="n"/>
      <c r="G979" s="350" t="n"/>
      <c r="H979" s="350" t="n"/>
      <c r="I979" s="350" t="n"/>
      <c r="J979" s="352" t="n"/>
      <c r="M979" s="350" t="n"/>
      <c r="N979" s="350">
        <f>IF($A979="","",IF(OR(LOWER($D979&amp;"")="n/a",ISNUMBER(SEARCH("subscription",LOWER($A979&amp;" "&amp;$M979&amp;""))),ISNUMBER(SEARCH("membership",LOWER($A979&amp;" "&amp;$M979&amp;"")))),"",IF($G979="","",IF(ISNUMBER(SEARCH("non",LOWER($E979&amp;""))),$G979*0.85,$G979))))</f>
        <v/>
      </c>
      <c r="O979">
        <f>IF($A979="","",IF(OR(LOWER($D979&amp;"")="n/a",ISNUMBER(SEARCH("subscription",LOWER($A979&amp;" "&amp;$M979&amp;""))),ISNUMBER(SEARCH("membership",LOWER($A979&amp;" "&amp;$M979&amp;"")))),"",IF(OR($N979="",$I979="",$I979=0),"",$N979/$I979)))</f>
        <v/>
      </c>
      <c r="P979">
        <f>IF($A979="","",IF(OR(LOWER($D979&amp;"")="n/a",ISNUMBER(SEARCH("subscription",LOWER($A979&amp;" "&amp;$M979&amp;""))),ISNUMBER(SEARCH("membership",LOWER($A979&amp;" "&amp;$M979&amp;"")))),"",IF(LOWER($L979&amp;"")="yes",0,IF($K979&lt;&gt;"",$K979,IF($O979&lt;&gt;"",$O979,"")))))</f>
        <v/>
      </c>
      <c r="Q979">
        <f>IF($A979="","",IF($U979="Subscription","",IF($U979="Profit",$P979-$H979,0)))</f>
        <v/>
      </c>
      <c r="R979">
        <f>IF($A979="","",IF($U979="Subscription","",IF($U979="Draw",$H979,0)))</f>
        <v/>
      </c>
      <c r="S979">
        <f>IF($A979="","",IF($U979="Subscription","",IF($U979="Disqualified",$H979,0)))</f>
        <v/>
      </c>
      <c r="T979">
        <f>IF($A979="","",IF($U979="Subscription","",IF($H979=0,IF($U979="Profit","N/A",0),IF($U979="Profit",$Q979/$H979,IF($U979="Disqualified",-1,0)))))</f>
        <v/>
      </c>
      <c r="U979" s="350">
        <f>IF($A979="","",IF(OR(LOWER($D979&amp;"")="n/a",ISNUMBER(SEARCH("subscription",LOWER($A979&amp;" "&amp;$M979&amp;""))),ISNUMBER(SEARCH("membership",LOWER($A979&amp;" "&amp;$M979&amp;"")))),"Subscription",IF(LOWER($L979&amp;"")="yes","Disqualified",IF($P979&gt;$H979,"Profit","Draw"))))</f>
        <v/>
      </c>
      <c r="V979">
        <f>IF(OR($A979="",$B979="",$C979="",$U979="Subscription"),"",IFERROR(ROUNDUP((IF(ISNUMBER($C979),$C979,DATEVALUE($C979))-IF(ISNUMBER($B979),$B979,DATEVALUE($B979)))/7,0),""))</f>
        <v/>
      </c>
      <c r="W979" s="352">
        <f>IF($U979="Subscription","",$Q979-$S979)</f>
        <v/>
      </c>
      <c r="X979">
        <f>IF(OR($A979="",$U979="Subscription",$J979="",$I979="",$J979=0,$I979=0,$I979&gt;$J979),"",$J979-$I979)</f>
        <v/>
      </c>
      <c r="Y979">
        <f>IF(OR($A979="",$U979="Subscription",$J979="",$J979=0,$X979=""),"",$X979/$J979)</f>
        <v/>
      </c>
    </row>
    <row r="980">
      <c r="B980" s="354" t="n"/>
      <c r="C980" s="354" t="n"/>
      <c r="E980" s="350" t="n"/>
      <c r="F980" s="350" t="n"/>
      <c r="G980" s="350" t="n"/>
      <c r="H980" s="350" t="n"/>
      <c r="I980" s="350" t="n"/>
      <c r="J980" s="352" t="n"/>
      <c r="M980" s="350" t="n"/>
      <c r="N980" s="350">
        <f>IF($A980="","",IF(OR(LOWER($D980&amp;"")="n/a",ISNUMBER(SEARCH("subscription",LOWER($A980&amp;" "&amp;$M980&amp;""))),ISNUMBER(SEARCH("membership",LOWER($A980&amp;" "&amp;$M980&amp;"")))),"",IF($G980="","",IF(ISNUMBER(SEARCH("non",LOWER($E980&amp;""))),$G980*0.85,$G980))))</f>
        <v/>
      </c>
      <c r="O980">
        <f>IF($A980="","",IF(OR(LOWER($D980&amp;"")="n/a",ISNUMBER(SEARCH("subscription",LOWER($A980&amp;" "&amp;$M980&amp;""))),ISNUMBER(SEARCH("membership",LOWER($A980&amp;" "&amp;$M980&amp;"")))),"",IF(OR($N980="",$I980="",$I980=0),"",$N980/$I980)))</f>
        <v/>
      </c>
      <c r="P980">
        <f>IF($A980="","",IF(OR(LOWER($D980&amp;"")="n/a",ISNUMBER(SEARCH("subscription",LOWER($A980&amp;" "&amp;$M980&amp;""))),ISNUMBER(SEARCH("membership",LOWER($A980&amp;" "&amp;$M980&amp;"")))),"",IF(LOWER($L980&amp;"")="yes",0,IF($K980&lt;&gt;"",$K980,IF($O980&lt;&gt;"",$O980,"")))))</f>
        <v/>
      </c>
      <c r="Q980">
        <f>IF($A980="","",IF($U980="Subscription","",IF($U980="Profit",$P980-$H980,0)))</f>
        <v/>
      </c>
      <c r="R980">
        <f>IF($A980="","",IF($U980="Subscription","",IF($U980="Draw",$H980,0)))</f>
        <v/>
      </c>
      <c r="S980">
        <f>IF($A980="","",IF($U980="Subscription","",IF($U980="Disqualified",$H980,0)))</f>
        <v/>
      </c>
      <c r="T980">
        <f>IF($A980="","",IF($U980="Subscription","",IF($H980=0,IF($U980="Profit","N/A",0),IF($U980="Profit",$Q980/$H980,IF($U980="Disqualified",-1,0)))))</f>
        <v/>
      </c>
      <c r="U980" s="350">
        <f>IF($A980="","",IF(OR(LOWER($D980&amp;"")="n/a",ISNUMBER(SEARCH("subscription",LOWER($A980&amp;" "&amp;$M980&amp;""))),ISNUMBER(SEARCH("membership",LOWER($A980&amp;" "&amp;$M980&amp;"")))),"Subscription",IF(LOWER($L980&amp;"")="yes","Disqualified",IF($P980&gt;$H980,"Profit","Draw"))))</f>
        <v/>
      </c>
      <c r="V980">
        <f>IF(OR($A980="",$B980="",$C980="",$U980="Subscription"),"",IFERROR(ROUNDUP((IF(ISNUMBER($C980),$C980,DATEVALUE($C980))-IF(ISNUMBER($B980),$B980,DATEVALUE($B980)))/7,0),""))</f>
        <v/>
      </c>
      <c r="W980" s="352">
        <f>IF($U980="Subscription","",$Q980-$S980)</f>
        <v/>
      </c>
      <c r="X980">
        <f>IF(OR($A980="",$U980="Subscription",$J980="",$I980="",$J980=0,$I980=0,$I980&gt;$J980),"",$J980-$I980)</f>
        <v/>
      </c>
      <c r="Y980">
        <f>IF(OR($A980="",$U980="Subscription",$J980="",$J980=0,$X980=""),"",$X980/$J980)</f>
        <v/>
      </c>
    </row>
    <row r="981">
      <c r="B981" s="354" t="n"/>
      <c r="C981" s="354" t="n"/>
      <c r="E981" s="350" t="n"/>
      <c r="F981" s="350" t="n"/>
      <c r="G981" s="350" t="n"/>
      <c r="H981" s="350" t="n"/>
      <c r="I981" s="350" t="n"/>
      <c r="J981" s="352" t="n"/>
      <c r="M981" s="350" t="n"/>
      <c r="N981" s="350">
        <f>IF($A981="","",IF(OR(LOWER($D981&amp;"")="n/a",ISNUMBER(SEARCH("subscription",LOWER($A981&amp;" "&amp;$M981&amp;""))),ISNUMBER(SEARCH("membership",LOWER($A981&amp;" "&amp;$M981&amp;"")))),"",IF($G981="","",IF(ISNUMBER(SEARCH("non",LOWER($E981&amp;""))),$G981*0.85,$G981))))</f>
        <v/>
      </c>
      <c r="O981">
        <f>IF($A981="","",IF(OR(LOWER($D981&amp;"")="n/a",ISNUMBER(SEARCH("subscription",LOWER($A981&amp;" "&amp;$M981&amp;""))),ISNUMBER(SEARCH("membership",LOWER($A981&amp;" "&amp;$M981&amp;"")))),"",IF(OR($N981="",$I981="",$I981=0),"",$N981/$I981)))</f>
        <v/>
      </c>
      <c r="P981">
        <f>IF($A981="","",IF(OR(LOWER($D981&amp;"")="n/a",ISNUMBER(SEARCH("subscription",LOWER($A981&amp;" "&amp;$M981&amp;""))),ISNUMBER(SEARCH("membership",LOWER($A981&amp;" "&amp;$M981&amp;"")))),"",IF(LOWER($L981&amp;"")="yes",0,IF($K981&lt;&gt;"",$K981,IF($O981&lt;&gt;"",$O981,"")))))</f>
        <v/>
      </c>
      <c r="Q981">
        <f>IF($A981="","",IF($U981="Subscription","",IF($U981="Profit",$P981-$H981,0)))</f>
        <v/>
      </c>
      <c r="R981">
        <f>IF($A981="","",IF($U981="Subscription","",IF($U981="Draw",$H981,0)))</f>
        <v/>
      </c>
      <c r="S981">
        <f>IF($A981="","",IF($U981="Subscription","",IF($U981="Disqualified",$H981,0)))</f>
        <v/>
      </c>
      <c r="T981">
        <f>IF($A981="","",IF($U981="Subscription","",IF($H981=0,IF($U981="Profit","N/A",0),IF($U981="Profit",$Q981/$H981,IF($U981="Disqualified",-1,0)))))</f>
        <v/>
      </c>
      <c r="U981" s="350">
        <f>IF($A981="","",IF(OR(LOWER($D981&amp;"")="n/a",ISNUMBER(SEARCH("subscription",LOWER($A981&amp;" "&amp;$M981&amp;""))),ISNUMBER(SEARCH("membership",LOWER($A981&amp;" "&amp;$M981&amp;"")))),"Subscription",IF(LOWER($L981&amp;"")="yes","Disqualified",IF($P981&gt;$H981,"Profit","Draw"))))</f>
        <v/>
      </c>
      <c r="V981">
        <f>IF(OR($A981="",$B981="",$C981="",$U981="Subscription"),"",IFERROR(ROUNDUP((IF(ISNUMBER($C981),$C981,DATEVALUE($C981))-IF(ISNUMBER($B981),$B981,DATEVALUE($B981)))/7,0),""))</f>
        <v/>
      </c>
      <c r="W981" s="352">
        <f>IF($U981="Subscription","",$Q981-$S981)</f>
        <v/>
      </c>
      <c r="X981">
        <f>IF(OR($A981="",$U981="Subscription",$J981="",$I981="",$J981=0,$I981=0,$I981&gt;$J981),"",$J981-$I981)</f>
        <v/>
      </c>
      <c r="Y981">
        <f>IF(OR($A981="",$U981="Subscription",$J981="",$J981=0,$X981=""),"",$X981/$J981)</f>
        <v/>
      </c>
    </row>
    <row r="982">
      <c r="B982" s="354" t="n"/>
      <c r="C982" s="354" t="n"/>
      <c r="E982" s="350" t="n"/>
      <c r="F982" s="350" t="n"/>
      <c r="G982" s="350" t="n"/>
      <c r="H982" s="350" t="n"/>
      <c r="I982" s="350" t="n"/>
      <c r="J982" s="352" t="n"/>
      <c r="M982" s="350" t="n"/>
      <c r="N982" s="350">
        <f>IF($A982="","",IF(OR(LOWER($D982&amp;"")="n/a",ISNUMBER(SEARCH("subscription",LOWER($A982&amp;" "&amp;$M982&amp;""))),ISNUMBER(SEARCH("membership",LOWER($A982&amp;" "&amp;$M982&amp;"")))),"",IF($G982="","",IF(ISNUMBER(SEARCH("non",LOWER($E982&amp;""))),$G982*0.85,$G982))))</f>
        <v/>
      </c>
      <c r="O982">
        <f>IF($A982="","",IF(OR(LOWER($D982&amp;"")="n/a",ISNUMBER(SEARCH("subscription",LOWER($A982&amp;" "&amp;$M982&amp;""))),ISNUMBER(SEARCH("membership",LOWER($A982&amp;" "&amp;$M982&amp;"")))),"",IF(OR($N982="",$I982="",$I982=0),"",$N982/$I982)))</f>
        <v/>
      </c>
      <c r="P982">
        <f>IF($A982="","",IF(OR(LOWER($D982&amp;"")="n/a",ISNUMBER(SEARCH("subscription",LOWER($A982&amp;" "&amp;$M982&amp;""))),ISNUMBER(SEARCH("membership",LOWER($A982&amp;" "&amp;$M982&amp;"")))),"",IF(LOWER($L982&amp;"")="yes",0,IF($K982&lt;&gt;"",$K982,IF($O982&lt;&gt;"",$O982,"")))))</f>
        <v/>
      </c>
      <c r="Q982">
        <f>IF($A982="","",IF($U982="Subscription","",IF($U982="Profit",$P982-$H982,0)))</f>
        <v/>
      </c>
      <c r="R982">
        <f>IF($A982="","",IF($U982="Subscription","",IF($U982="Draw",$H982,0)))</f>
        <v/>
      </c>
      <c r="S982">
        <f>IF($A982="","",IF($U982="Subscription","",IF($U982="Disqualified",$H982,0)))</f>
        <v/>
      </c>
      <c r="T982">
        <f>IF($A982="","",IF($U982="Subscription","",IF($H982=0,IF($U982="Profit","N/A",0),IF($U982="Profit",$Q982/$H982,IF($U982="Disqualified",-1,0)))))</f>
        <v/>
      </c>
      <c r="U982" s="350">
        <f>IF($A982="","",IF(OR(LOWER($D982&amp;"")="n/a",ISNUMBER(SEARCH("subscription",LOWER($A982&amp;" "&amp;$M982&amp;""))),ISNUMBER(SEARCH("membership",LOWER($A982&amp;" "&amp;$M982&amp;"")))),"Subscription",IF(LOWER($L982&amp;"")="yes","Disqualified",IF($P982&gt;$H982,"Profit","Draw"))))</f>
        <v/>
      </c>
      <c r="V982">
        <f>IF(OR($A982="",$B982="",$C982="",$U982="Subscription"),"",IFERROR(ROUNDUP((IF(ISNUMBER($C982),$C982,DATEVALUE($C982))-IF(ISNUMBER($B982),$B982,DATEVALUE($B982)))/7,0),""))</f>
        <v/>
      </c>
      <c r="W982" s="352">
        <f>IF($U982="Subscription","",$Q982-$S982)</f>
        <v/>
      </c>
      <c r="X982">
        <f>IF(OR($A982="",$U982="Subscription",$J982="",$I982="",$J982=0,$I982=0,$I982&gt;$J982),"",$J982-$I982)</f>
        <v/>
      </c>
      <c r="Y982">
        <f>IF(OR($A982="",$U982="Subscription",$J982="",$J982=0,$X982=""),"",$X982/$J982)</f>
        <v/>
      </c>
    </row>
    <row r="983">
      <c r="B983" s="354" t="n"/>
      <c r="C983" s="354" t="n"/>
      <c r="E983" s="350" t="n"/>
      <c r="F983" s="350" t="n"/>
      <c r="G983" s="350" t="n"/>
      <c r="H983" s="350" t="n"/>
      <c r="I983" s="350" t="n"/>
      <c r="J983" s="352" t="n"/>
      <c r="M983" s="350" t="n"/>
      <c r="N983" s="350">
        <f>IF($A983="","",IF(OR(LOWER($D983&amp;"")="n/a",ISNUMBER(SEARCH("subscription",LOWER($A983&amp;" "&amp;$M983&amp;""))),ISNUMBER(SEARCH("membership",LOWER($A983&amp;" "&amp;$M983&amp;"")))),"",IF($G983="","",IF(ISNUMBER(SEARCH("non",LOWER($E983&amp;""))),$G983*0.85,$G983))))</f>
        <v/>
      </c>
      <c r="O983">
        <f>IF($A983="","",IF(OR(LOWER($D983&amp;"")="n/a",ISNUMBER(SEARCH("subscription",LOWER($A983&amp;" "&amp;$M983&amp;""))),ISNUMBER(SEARCH("membership",LOWER($A983&amp;" "&amp;$M983&amp;"")))),"",IF(OR($N983="",$I983="",$I983=0),"",$N983/$I983)))</f>
        <v/>
      </c>
      <c r="P983">
        <f>IF($A983="","",IF(OR(LOWER($D983&amp;"")="n/a",ISNUMBER(SEARCH("subscription",LOWER($A983&amp;" "&amp;$M983&amp;""))),ISNUMBER(SEARCH("membership",LOWER($A983&amp;" "&amp;$M983&amp;"")))),"",IF(LOWER($L983&amp;"")="yes",0,IF($K983&lt;&gt;"",$K983,IF($O983&lt;&gt;"",$O983,"")))))</f>
        <v/>
      </c>
      <c r="Q983">
        <f>IF($A983="","",IF($U983="Subscription","",IF($U983="Profit",$P983-$H983,0)))</f>
        <v/>
      </c>
      <c r="R983">
        <f>IF($A983="","",IF($U983="Subscription","",IF($U983="Draw",$H983,0)))</f>
        <v/>
      </c>
      <c r="S983">
        <f>IF($A983="","",IF($U983="Subscription","",IF($U983="Disqualified",$H983,0)))</f>
        <v/>
      </c>
      <c r="T983">
        <f>IF($A983="","",IF($U983="Subscription","",IF($H983=0,IF($U983="Profit","N/A",0),IF($U983="Profit",$Q983/$H983,IF($U983="Disqualified",-1,0)))))</f>
        <v/>
      </c>
      <c r="U983" s="350">
        <f>IF($A983="","",IF(OR(LOWER($D983&amp;"")="n/a",ISNUMBER(SEARCH("subscription",LOWER($A983&amp;" "&amp;$M983&amp;""))),ISNUMBER(SEARCH("membership",LOWER($A983&amp;" "&amp;$M983&amp;"")))),"Subscription",IF(LOWER($L983&amp;"")="yes","Disqualified",IF($P983&gt;$H983,"Profit","Draw"))))</f>
        <v/>
      </c>
      <c r="V983">
        <f>IF(OR($A983="",$B983="",$C983="",$U983="Subscription"),"",IFERROR(ROUNDUP((IF(ISNUMBER($C983),$C983,DATEVALUE($C983))-IF(ISNUMBER($B983),$B983,DATEVALUE($B983)))/7,0),""))</f>
        <v/>
      </c>
      <c r="W983" s="352">
        <f>IF($U983="Subscription","",$Q983-$S983)</f>
        <v/>
      </c>
      <c r="X983">
        <f>IF(OR($A983="",$U983="Subscription",$J983="",$I983="",$J983=0,$I983=0,$I983&gt;$J983),"",$J983-$I983)</f>
        <v/>
      </c>
      <c r="Y983">
        <f>IF(OR($A983="",$U983="Subscription",$J983="",$J983=0,$X983=""),"",$X983/$J983)</f>
        <v/>
      </c>
    </row>
    <row r="984">
      <c r="B984" s="354" t="n"/>
      <c r="C984" s="354" t="n"/>
      <c r="E984" s="350" t="n"/>
      <c r="F984" s="350" t="n"/>
      <c r="G984" s="350" t="n"/>
      <c r="H984" s="350" t="n"/>
      <c r="I984" s="350" t="n"/>
      <c r="J984" s="352" t="n"/>
      <c r="M984" s="350" t="n"/>
      <c r="N984" s="350">
        <f>IF($A984="","",IF(OR(LOWER($D984&amp;"")="n/a",ISNUMBER(SEARCH("subscription",LOWER($A984&amp;" "&amp;$M984&amp;""))),ISNUMBER(SEARCH("membership",LOWER($A984&amp;" "&amp;$M984&amp;"")))),"",IF($G984="","",IF(ISNUMBER(SEARCH("non",LOWER($E984&amp;""))),$G984*0.85,$G984))))</f>
        <v/>
      </c>
      <c r="O984">
        <f>IF($A984="","",IF(OR(LOWER($D984&amp;"")="n/a",ISNUMBER(SEARCH("subscription",LOWER($A984&amp;" "&amp;$M984&amp;""))),ISNUMBER(SEARCH("membership",LOWER($A984&amp;" "&amp;$M984&amp;"")))),"",IF(OR($N984="",$I984="",$I984=0),"",$N984/$I984)))</f>
        <v/>
      </c>
      <c r="P984">
        <f>IF($A984="","",IF(OR(LOWER($D984&amp;"")="n/a",ISNUMBER(SEARCH("subscription",LOWER($A984&amp;" "&amp;$M984&amp;""))),ISNUMBER(SEARCH("membership",LOWER($A984&amp;" "&amp;$M984&amp;"")))),"",IF(LOWER($L984&amp;"")="yes",0,IF($K984&lt;&gt;"",$K984,IF($O984&lt;&gt;"",$O984,"")))))</f>
        <v/>
      </c>
      <c r="Q984">
        <f>IF($A984="","",IF($U984="Subscription","",IF($U984="Profit",$P984-$H984,0)))</f>
        <v/>
      </c>
      <c r="R984">
        <f>IF($A984="","",IF($U984="Subscription","",IF($U984="Draw",$H984,0)))</f>
        <v/>
      </c>
      <c r="S984">
        <f>IF($A984="","",IF($U984="Subscription","",IF($U984="Disqualified",$H984,0)))</f>
        <v/>
      </c>
      <c r="T984">
        <f>IF($A984="","",IF($U984="Subscription","",IF($H984=0,IF($U984="Profit","N/A",0),IF($U984="Profit",$Q984/$H984,IF($U984="Disqualified",-1,0)))))</f>
        <v/>
      </c>
      <c r="U984" s="350">
        <f>IF($A984="","",IF(OR(LOWER($D984&amp;"")="n/a",ISNUMBER(SEARCH("subscription",LOWER($A984&amp;" "&amp;$M984&amp;""))),ISNUMBER(SEARCH("membership",LOWER($A984&amp;" "&amp;$M984&amp;"")))),"Subscription",IF(LOWER($L984&amp;"")="yes","Disqualified",IF($P984&gt;$H984,"Profit","Draw"))))</f>
        <v/>
      </c>
      <c r="V984">
        <f>IF(OR($A984="",$B984="",$C984="",$U984="Subscription"),"",IFERROR(ROUNDUP((IF(ISNUMBER($C984),$C984,DATEVALUE($C984))-IF(ISNUMBER($B984),$B984,DATEVALUE($B984)))/7,0),""))</f>
        <v/>
      </c>
      <c r="W984" s="352">
        <f>IF($U984="Subscription","",$Q984-$S984)</f>
        <v/>
      </c>
      <c r="X984">
        <f>IF(OR($A984="",$U984="Subscription",$J984="",$I984="",$J984=0,$I984=0,$I984&gt;$J984),"",$J984-$I984)</f>
        <v/>
      </c>
      <c r="Y984">
        <f>IF(OR($A984="",$U984="Subscription",$J984="",$J984=0,$X984=""),"",$X984/$J984)</f>
        <v/>
      </c>
    </row>
    <row r="985">
      <c r="B985" s="354" t="n"/>
      <c r="C985" s="354" t="n"/>
      <c r="E985" s="350" t="n"/>
      <c r="F985" s="350" t="n"/>
      <c r="G985" s="350" t="n"/>
      <c r="H985" s="350" t="n"/>
      <c r="I985" s="350" t="n"/>
      <c r="J985" s="352" t="n"/>
      <c r="M985" s="350" t="n"/>
      <c r="N985" s="350">
        <f>IF($A985="","",IF(OR(LOWER($D985&amp;"")="n/a",ISNUMBER(SEARCH("subscription",LOWER($A985&amp;" "&amp;$M985&amp;""))),ISNUMBER(SEARCH("membership",LOWER($A985&amp;" "&amp;$M985&amp;"")))),"",IF($G985="","",IF(ISNUMBER(SEARCH("non",LOWER($E985&amp;""))),$G985*0.85,$G985))))</f>
        <v/>
      </c>
      <c r="O985">
        <f>IF($A985="","",IF(OR(LOWER($D985&amp;"")="n/a",ISNUMBER(SEARCH("subscription",LOWER($A985&amp;" "&amp;$M985&amp;""))),ISNUMBER(SEARCH("membership",LOWER($A985&amp;" "&amp;$M985&amp;"")))),"",IF(OR($N985="",$I985="",$I985=0),"",$N985/$I985)))</f>
        <v/>
      </c>
      <c r="P985">
        <f>IF($A985="","",IF(OR(LOWER($D985&amp;"")="n/a",ISNUMBER(SEARCH("subscription",LOWER($A985&amp;" "&amp;$M985&amp;""))),ISNUMBER(SEARCH("membership",LOWER($A985&amp;" "&amp;$M985&amp;"")))),"",IF(LOWER($L985&amp;"")="yes",0,IF($K985&lt;&gt;"",$K985,IF($O985&lt;&gt;"",$O985,"")))))</f>
        <v/>
      </c>
      <c r="Q985">
        <f>IF($A985="","",IF($U985="Subscription","",IF($U985="Profit",$P985-$H985,0)))</f>
        <v/>
      </c>
      <c r="R985">
        <f>IF($A985="","",IF($U985="Subscription","",IF($U985="Draw",$H985,0)))</f>
        <v/>
      </c>
      <c r="S985">
        <f>IF($A985="","",IF($U985="Subscription","",IF($U985="Disqualified",$H985,0)))</f>
        <v/>
      </c>
      <c r="T985">
        <f>IF($A985="","",IF($U985="Subscription","",IF($H985=0,IF($U985="Profit","N/A",0),IF($U985="Profit",$Q985/$H985,IF($U985="Disqualified",-1,0)))))</f>
        <v/>
      </c>
      <c r="U985" s="350">
        <f>IF($A985="","",IF(OR(LOWER($D985&amp;"")="n/a",ISNUMBER(SEARCH("subscription",LOWER($A985&amp;" "&amp;$M985&amp;""))),ISNUMBER(SEARCH("membership",LOWER($A985&amp;" "&amp;$M985&amp;"")))),"Subscription",IF(LOWER($L985&amp;"")="yes","Disqualified",IF($P985&gt;$H985,"Profit","Draw"))))</f>
        <v/>
      </c>
      <c r="V985">
        <f>IF(OR($A985="",$B985="",$C985="",$U985="Subscription"),"",IFERROR(ROUNDUP((IF(ISNUMBER($C985),$C985,DATEVALUE($C985))-IF(ISNUMBER($B985),$B985,DATEVALUE($B985)))/7,0),""))</f>
        <v/>
      </c>
      <c r="W985" s="352">
        <f>IF($U985="Subscription","",$Q985-$S985)</f>
        <v/>
      </c>
      <c r="X985">
        <f>IF(OR($A985="",$U985="Subscription",$J985="",$I985="",$J985=0,$I985=0,$I985&gt;$J985),"",$J985-$I985)</f>
        <v/>
      </c>
      <c r="Y985">
        <f>IF(OR($A985="",$U985="Subscription",$J985="",$J985=0,$X985=""),"",$X985/$J985)</f>
        <v/>
      </c>
    </row>
    <row r="986">
      <c r="B986" s="354" t="n"/>
      <c r="C986" s="354" t="n"/>
      <c r="E986" s="350" t="n"/>
      <c r="F986" s="350" t="n"/>
      <c r="G986" s="350" t="n"/>
      <c r="H986" s="350" t="n"/>
      <c r="I986" s="350" t="n"/>
      <c r="J986" s="352" t="n"/>
      <c r="M986" s="350" t="n"/>
      <c r="N986" s="350">
        <f>IF($A986="","",IF(OR(LOWER($D986&amp;"")="n/a",ISNUMBER(SEARCH("subscription",LOWER($A986&amp;" "&amp;$M986&amp;""))),ISNUMBER(SEARCH("membership",LOWER($A986&amp;" "&amp;$M986&amp;"")))),"",IF($G986="","",IF(ISNUMBER(SEARCH("non",LOWER($E986&amp;""))),$G986*0.85,$G986))))</f>
        <v/>
      </c>
      <c r="O986">
        <f>IF($A986="","",IF(OR(LOWER($D986&amp;"")="n/a",ISNUMBER(SEARCH("subscription",LOWER($A986&amp;" "&amp;$M986&amp;""))),ISNUMBER(SEARCH("membership",LOWER($A986&amp;" "&amp;$M986&amp;"")))),"",IF(OR($N986="",$I986="",$I986=0),"",$N986/$I986)))</f>
        <v/>
      </c>
      <c r="P986">
        <f>IF($A986="","",IF(OR(LOWER($D986&amp;"")="n/a",ISNUMBER(SEARCH("subscription",LOWER($A986&amp;" "&amp;$M986&amp;""))),ISNUMBER(SEARCH("membership",LOWER($A986&amp;" "&amp;$M986&amp;"")))),"",IF(LOWER($L986&amp;"")="yes",0,IF($K986&lt;&gt;"",$K986,IF($O986&lt;&gt;"",$O986,"")))))</f>
        <v/>
      </c>
      <c r="Q986">
        <f>IF($A986="","",IF($U986="Subscription","",IF($U986="Profit",$P986-$H986,0)))</f>
        <v/>
      </c>
      <c r="R986">
        <f>IF($A986="","",IF($U986="Subscription","",IF($U986="Draw",$H986,0)))</f>
        <v/>
      </c>
      <c r="S986">
        <f>IF($A986="","",IF($U986="Subscription","",IF($U986="Disqualified",$H986,0)))</f>
        <v/>
      </c>
      <c r="T986">
        <f>IF($A986="","",IF($U986="Subscription","",IF($H986=0,IF($U986="Profit","N/A",0),IF($U986="Profit",$Q986/$H986,IF($U986="Disqualified",-1,0)))))</f>
        <v/>
      </c>
      <c r="U986" s="350">
        <f>IF($A986="","",IF(OR(LOWER($D986&amp;"")="n/a",ISNUMBER(SEARCH("subscription",LOWER($A986&amp;" "&amp;$M986&amp;""))),ISNUMBER(SEARCH("membership",LOWER($A986&amp;" "&amp;$M986&amp;"")))),"Subscription",IF(LOWER($L986&amp;"")="yes","Disqualified",IF($P986&gt;$H986,"Profit","Draw"))))</f>
        <v/>
      </c>
      <c r="V986">
        <f>IF(OR($A986="",$B986="",$C986="",$U986="Subscription"),"",IFERROR(ROUNDUP((IF(ISNUMBER($C986),$C986,DATEVALUE($C986))-IF(ISNUMBER($B986),$B986,DATEVALUE($B986)))/7,0),""))</f>
        <v/>
      </c>
      <c r="W986" s="352">
        <f>IF($U986="Subscription","",$Q986-$S986)</f>
        <v/>
      </c>
      <c r="X986">
        <f>IF(OR($A986="",$U986="Subscription",$J986="",$I986="",$J986=0,$I986=0,$I986&gt;$J986),"",$J986-$I986)</f>
        <v/>
      </c>
      <c r="Y986">
        <f>IF(OR($A986="",$U986="Subscription",$J986="",$J986=0,$X986=""),"",$X986/$J986)</f>
        <v/>
      </c>
    </row>
    <row r="987">
      <c r="B987" s="354" t="n"/>
      <c r="C987" s="354" t="n"/>
      <c r="E987" s="350" t="n"/>
      <c r="F987" s="350" t="n"/>
      <c r="G987" s="350" t="n"/>
      <c r="H987" s="350" t="n"/>
      <c r="I987" s="350" t="n"/>
      <c r="J987" s="352" t="n"/>
      <c r="M987" s="350" t="n"/>
      <c r="N987" s="350">
        <f>IF($A987="","",IF(OR(LOWER($D987&amp;"")="n/a",ISNUMBER(SEARCH("subscription",LOWER($A987&amp;" "&amp;$M987&amp;""))),ISNUMBER(SEARCH("membership",LOWER($A987&amp;" "&amp;$M987&amp;"")))),"",IF($G987="","",IF(ISNUMBER(SEARCH("non",LOWER($E987&amp;""))),$G987*0.85,$G987))))</f>
        <v/>
      </c>
      <c r="O987">
        <f>IF($A987="","",IF(OR(LOWER($D987&amp;"")="n/a",ISNUMBER(SEARCH("subscription",LOWER($A987&amp;" "&amp;$M987&amp;""))),ISNUMBER(SEARCH("membership",LOWER($A987&amp;" "&amp;$M987&amp;"")))),"",IF(OR($N987="",$I987="",$I987=0),"",$N987/$I987)))</f>
        <v/>
      </c>
      <c r="P987">
        <f>IF($A987="","",IF(OR(LOWER($D987&amp;"")="n/a",ISNUMBER(SEARCH("subscription",LOWER($A987&amp;" "&amp;$M987&amp;""))),ISNUMBER(SEARCH("membership",LOWER($A987&amp;" "&amp;$M987&amp;"")))),"",IF(LOWER($L987&amp;"")="yes",0,IF($K987&lt;&gt;"",$K987,IF($O987&lt;&gt;"",$O987,"")))))</f>
        <v/>
      </c>
      <c r="Q987">
        <f>IF($A987="","",IF($U987="Subscription","",IF($U987="Profit",$P987-$H987,0)))</f>
        <v/>
      </c>
      <c r="R987">
        <f>IF($A987="","",IF($U987="Subscription","",IF($U987="Draw",$H987,0)))</f>
        <v/>
      </c>
      <c r="S987">
        <f>IF($A987="","",IF($U987="Subscription","",IF($U987="Disqualified",$H987,0)))</f>
        <v/>
      </c>
      <c r="T987">
        <f>IF($A987="","",IF($U987="Subscription","",IF($H987=0,IF($U987="Profit","N/A",0),IF($U987="Profit",$Q987/$H987,IF($U987="Disqualified",-1,0)))))</f>
        <v/>
      </c>
      <c r="U987" s="350">
        <f>IF($A987="","",IF(OR(LOWER($D987&amp;"")="n/a",ISNUMBER(SEARCH("subscription",LOWER($A987&amp;" "&amp;$M987&amp;""))),ISNUMBER(SEARCH("membership",LOWER($A987&amp;" "&amp;$M987&amp;"")))),"Subscription",IF(LOWER($L987&amp;"")="yes","Disqualified",IF($P987&gt;$H987,"Profit","Draw"))))</f>
        <v/>
      </c>
      <c r="V987">
        <f>IF(OR($A987="",$B987="",$C987="",$U987="Subscription"),"",IFERROR(ROUNDUP((IF(ISNUMBER($C987),$C987,DATEVALUE($C987))-IF(ISNUMBER($B987),$B987,DATEVALUE($B987)))/7,0),""))</f>
        <v/>
      </c>
      <c r="W987" s="352">
        <f>IF($U987="Subscription","",$Q987-$S987)</f>
        <v/>
      </c>
      <c r="X987">
        <f>IF(OR($A987="",$U987="Subscription",$J987="",$I987="",$J987=0,$I987=0,$I987&gt;$J987),"",$J987-$I987)</f>
        <v/>
      </c>
      <c r="Y987">
        <f>IF(OR($A987="",$U987="Subscription",$J987="",$J987=0,$X987=""),"",$X987/$J987)</f>
        <v/>
      </c>
    </row>
    <row r="988">
      <c r="B988" s="354" t="n"/>
      <c r="C988" s="354" t="n"/>
      <c r="E988" s="350" t="n"/>
      <c r="F988" s="350" t="n"/>
      <c r="G988" s="350" t="n"/>
      <c r="H988" s="350" t="n"/>
      <c r="I988" s="350" t="n"/>
      <c r="J988" s="352" t="n"/>
      <c r="M988" s="350" t="n"/>
      <c r="N988" s="350">
        <f>IF($A988="","",IF(OR(LOWER($D988&amp;"")="n/a",ISNUMBER(SEARCH("subscription",LOWER($A988&amp;" "&amp;$M988&amp;""))),ISNUMBER(SEARCH("membership",LOWER($A988&amp;" "&amp;$M988&amp;"")))),"",IF($G988="","",IF(ISNUMBER(SEARCH("non",LOWER($E988&amp;""))),$G988*0.85,$G988))))</f>
        <v/>
      </c>
      <c r="O988">
        <f>IF($A988="","",IF(OR(LOWER($D988&amp;"")="n/a",ISNUMBER(SEARCH("subscription",LOWER($A988&amp;" "&amp;$M988&amp;""))),ISNUMBER(SEARCH("membership",LOWER($A988&amp;" "&amp;$M988&amp;"")))),"",IF(OR($N988="",$I988="",$I988=0),"",$N988/$I988)))</f>
        <v/>
      </c>
      <c r="P988">
        <f>IF($A988="","",IF(OR(LOWER($D988&amp;"")="n/a",ISNUMBER(SEARCH("subscription",LOWER($A988&amp;" "&amp;$M988&amp;""))),ISNUMBER(SEARCH("membership",LOWER($A988&amp;" "&amp;$M988&amp;"")))),"",IF(LOWER($L988&amp;"")="yes",0,IF($K988&lt;&gt;"",$K988,IF($O988&lt;&gt;"",$O988,"")))))</f>
        <v/>
      </c>
      <c r="Q988">
        <f>IF($A988="","",IF($U988="Subscription","",IF($U988="Profit",$P988-$H988,0)))</f>
        <v/>
      </c>
      <c r="R988">
        <f>IF($A988="","",IF($U988="Subscription","",IF($U988="Draw",$H988,0)))</f>
        <v/>
      </c>
      <c r="S988">
        <f>IF($A988="","",IF($U988="Subscription","",IF($U988="Disqualified",$H988,0)))</f>
        <v/>
      </c>
      <c r="T988">
        <f>IF($A988="","",IF($U988="Subscription","",IF($H988=0,IF($U988="Profit","N/A",0),IF($U988="Profit",$Q988/$H988,IF($U988="Disqualified",-1,0)))))</f>
        <v/>
      </c>
      <c r="U988" s="350">
        <f>IF($A988="","",IF(OR(LOWER($D988&amp;"")="n/a",ISNUMBER(SEARCH("subscription",LOWER($A988&amp;" "&amp;$M988&amp;""))),ISNUMBER(SEARCH("membership",LOWER($A988&amp;" "&amp;$M988&amp;"")))),"Subscription",IF(LOWER($L988&amp;"")="yes","Disqualified",IF($P988&gt;$H988,"Profit","Draw"))))</f>
        <v/>
      </c>
      <c r="V988">
        <f>IF(OR($A988="",$B988="",$C988="",$U988="Subscription"),"",IFERROR(ROUNDUP((IF(ISNUMBER($C988),$C988,DATEVALUE($C988))-IF(ISNUMBER($B988),$B988,DATEVALUE($B988)))/7,0),""))</f>
        <v/>
      </c>
      <c r="W988" s="352">
        <f>IF($U988="Subscription","",$Q988-$S988)</f>
        <v/>
      </c>
      <c r="X988">
        <f>IF(OR($A988="",$U988="Subscription",$J988="",$I988="",$J988=0,$I988=0,$I988&gt;$J988),"",$J988-$I988)</f>
        <v/>
      </c>
      <c r="Y988">
        <f>IF(OR($A988="",$U988="Subscription",$J988="",$J988=0,$X988=""),"",$X988/$J988)</f>
        <v/>
      </c>
    </row>
    <row r="989">
      <c r="B989" s="354" t="n"/>
      <c r="C989" s="354" t="n"/>
      <c r="E989" s="350" t="n"/>
      <c r="F989" s="350" t="n"/>
      <c r="G989" s="350" t="n"/>
      <c r="H989" s="350" t="n"/>
      <c r="I989" s="350" t="n"/>
      <c r="J989" s="352" t="n"/>
      <c r="M989" s="350" t="n"/>
      <c r="N989" s="350">
        <f>IF($A989="","",IF(OR(LOWER($D989&amp;"")="n/a",ISNUMBER(SEARCH("subscription",LOWER($A989&amp;" "&amp;$M989&amp;""))),ISNUMBER(SEARCH("membership",LOWER($A989&amp;" "&amp;$M989&amp;"")))),"",IF($G989="","",IF(ISNUMBER(SEARCH("non",LOWER($E989&amp;""))),$G989*0.85,$G989))))</f>
        <v/>
      </c>
      <c r="O989">
        <f>IF($A989="","",IF(OR(LOWER($D989&amp;"")="n/a",ISNUMBER(SEARCH("subscription",LOWER($A989&amp;" "&amp;$M989&amp;""))),ISNUMBER(SEARCH("membership",LOWER($A989&amp;" "&amp;$M989&amp;"")))),"",IF(OR($N989="",$I989="",$I989=0),"",$N989/$I989)))</f>
        <v/>
      </c>
      <c r="P989">
        <f>IF($A989="","",IF(OR(LOWER($D989&amp;"")="n/a",ISNUMBER(SEARCH("subscription",LOWER($A989&amp;" "&amp;$M989&amp;""))),ISNUMBER(SEARCH("membership",LOWER($A989&amp;" "&amp;$M989&amp;"")))),"",IF(LOWER($L989&amp;"")="yes",0,IF($K989&lt;&gt;"",$K989,IF($O989&lt;&gt;"",$O989,"")))))</f>
        <v/>
      </c>
      <c r="Q989">
        <f>IF($A989="","",IF($U989="Subscription","",IF($U989="Profit",$P989-$H989,0)))</f>
        <v/>
      </c>
      <c r="R989">
        <f>IF($A989="","",IF($U989="Subscription","",IF($U989="Draw",$H989,0)))</f>
        <v/>
      </c>
      <c r="S989">
        <f>IF($A989="","",IF($U989="Subscription","",IF($U989="Disqualified",$H989,0)))</f>
        <v/>
      </c>
      <c r="T989">
        <f>IF($A989="","",IF($U989="Subscription","",IF($H989=0,IF($U989="Profit","N/A",0),IF($U989="Profit",$Q989/$H989,IF($U989="Disqualified",-1,0)))))</f>
        <v/>
      </c>
      <c r="U989" s="350">
        <f>IF($A989="","",IF(OR(LOWER($D989&amp;"")="n/a",ISNUMBER(SEARCH("subscription",LOWER($A989&amp;" "&amp;$M989&amp;""))),ISNUMBER(SEARCH("membership",LOWER($A989&amp;" "&amp;$M989&amp;"")))),"Subscription",IF(LOWER($L989&amp;"")="yes","Disqualified",IF($P989&gt;$H989,"Profit","Draw"))))</f>
        <v/>
      </c>
      <c r="V989">
        <f>IF(OR($A989="",$B989="",$C989="",$U989="Subscription"),"",IFERROR(ROUNDUP((IF(ISNUMBER($C989),$C989,DATEVALUE($C989))-IF(ISNUMBER($B989),$B989,DATEVALUE($B989)))/7,0),""))</f>
        <v/>
      </c>
      <c r="W989" s="352">
        <f>IF($U989="Subscription","",$Q989-$S989)</f>
        <v/>
      </c>
      <c r="X989">
        <f>IF(OR($A989="",$U989="Subscription",$J989="",$I989="",$J989=0,$I989=0,$I989&gt;$J989),"",$J989-$I989)</f>
        <v/>
      </c>
      <c r="Y989">
        <f>IF(OR($A989="",$U989="Subscription",$J989="",$J989=0,$X989=""),"",$X989/$J989)</f>
        <v/>
      </c>
    </row>
    <row r="990">
      <c r="B990" s="354" t="n"/>
      <c r="C990" s="354" t="n"/>
      <c r="E990" s="350" t="n"/>
      <c r="F990" s="350" t="n"/>
      <c r="G990" s="350" t="n"/>
      <c r="H990" s="350" t="n"/>
      <c r="I990" s="350" t="n"/>
      <c r="J990" s="352" t="n"/>
      <c r="M990" s="350" t="n"/>
      <c r="N990" s="350">
        <f>IF($A990="","",IF(OR(LOWER($D990&amp;"")="n/a",ISNUMBER(SEARCH("subscription",LOWER($A990&amp;" "&amp;$M990&amp;""))),ISNUMBER(SEARCH("membership",LOWER($A990&amp;" "&amp;$M990&amp;"")))),"",IF($G990="","",IF(ISNUMBER(SEARCH("non",LOWER($E990&amp;""))),$G990*0.85,$G990))))</f>
        <v/>
      </c>
      <c r="O990">
        <f>IF($A990="","",IF(OR(LOWER($D990&amp;"")="n/a",ISNUMBER(SEARCH("subscription",LOWER($A990&amp;" "&amp;$M990&amp;""))),ISNUMBER(SEARCH("membership",LOWER($A990&amp;" "&amp;$M990&amp;"")))),"",IF(OR($N990="",$I990="",$I990=0),"",$N990/$I990)))</f>
        <v/>
      </c>
      <c r="P990">
        <f>IF($A990="","",IF(OR(LOWER($D990&amp;"")="n/a",ISNUMBER(SEARCH("subscription",LOWER($A990&amp;" "&amp;$M990&amp;""))),ISNUMBER(SEARCH("membership",LOWER($A990&amp;" "&amp;$M990&amp;"")))),"",IF(LOWER($L990&amp;"")="yes",0,IF($K990&lt;&gt;"",$K990,IF($O990&lt;&gt;"",$O990,"")))))</f>
        <v/>
      </c>
      <c r="Q990">
        <f>IF($A990="","",IF($U990="Subscription","",IF($U990="Profit",$P990-$H990,0)))</f>
        <v/>
      </c>
      <c r="R990">
        <f>IF($A990="","",IF($U990="Subscription","",IF($U990="Draw",$H990,0)))</f>
        <v/>
      </c>
      <c r="S990">
        <f>IF($A990="","",IF($U990="Subscription","",IF($U990="Disqualified",$H990,0)))</f>
        <v/>
      </c>
      <c r="T990">
        <f>IF($A990="","",IF($U990="Subscription","",IF($H990=0,IF($U990="Profit","N/A",0),IF($U990="Profit",$Q990/$H990,IF($U990="Disqualified",-1,0)))))</f>
        <v/>
      </c>
      <c r="U990" s="350">
        <f>IF($A990="","",IF(OR(LOWER($D990&amp;"")="n/a",ISNUMBER(SEARCH("subscription",LOWER($A990&amp;" "&amp;$M990&amp;""))),ISNUMBER(SEARCH("membership",LOWER($A990&amp;" "&amp;$M990&amp;"")))),"Subscription",IF(LOWER($L990&amp;"")="yes","Disqualified",IF($P990&gt;$H990,"Profit","Draw"))))</f>
        <v/>
      </c>
      <c r="V990">
        <f>IF(OR($A990="",$B990="",$C990="",$U990="Subscription"),"",IFERROR(ROUNDUP((IF(ISNUMBER($C990),$C990,DATEVALUE($C990))-IF(ISNUMBER($B990),$B990,DATEVALUE($B990)))/7,0),""))</f>
        <v/>
      </c>
      <c r="W990" s="352">
        <f>IF($U990="Subscription","",$Q990-$S990)</f>
        <v/>
      </c>
      <c r="X990">
        <f>IF(OR($A990="",$U990="Subscription",$J990="",$I990="",$J990=0,$I990=0,$I990&gt;$J990),"",$J990-$I990)</f>
        <v/>
      </c>
      <c r="Y990">
        <f>IF(OR($A990="",$U990="Subscription",$J990="",$J990=0,$X990=""),"",$X990/$J990)</f>
        <v/>
      </c>
    </row>
    <row r="991">
      <c r="B991" s="354" t="n"/>
      <c r="C991" s="354" t="n"/>
      <c r="E991" s="350" t="n"/>
      <c r="F991" s="350" t="n"/>
      <c r="G991" s="350" t="n"/>
      <c r="H991" s="350" t="n"/>
      <c r="I991" s="350" t="n"/>
      <c r="J991" s="352" t="n"/>
      <c r="M991" s="350" t="n"/>
      <c r="N991" s="350">
        <f>IF($A991="","",IF(OR(LOWER($D991&amp;"")="n/a",ISNUMBER(SEARCH("subscription",LOWER($A991&amp;" "&amp;$M991&amp;""))),ISNUMBER(SEARCH("membership",LOWER($A991&amp;" "&amp;$M991&amp;"")))),"",IF($G991="","",IF(ISNUMBER(SEARCH("non",LOWER($E991&amp;""))),$G991*0.85,$G991))))</f>
        <v/>
      </c>
      <c r="O991">
        <f>IF($A991="","",IF(OR(LOWER($D991&amp;"")="n/a",ISNUMBER(SEARCH("subscription",LOWER($A991&amp;" "&amp;$M991&amp;""))),ISNUMBER(SEARCH("membership",LOWER($A991&amp;" "&amp;$M991&amp;"")))),"",IF(OR($N991="",$I991="",$I991=0),"",$N991/$I991)))</f>
        <v/>
      </c>
      <c r="P991">
        <f>IF($A991="","",IF(OR(LOWER($D991&amp;"")="n/a",ISNUMBER(SEARCH("subscription",LOWER($A991&amp;" "&amp;$M991&amp;""))),ISNUMBER(SEARCH("membership",LOWER($A991&amp;" "&amp;$M991&amp;"")))),"",IF(LOWER($L991&amp;"")="yes",0,IF($K991&lt;&gt;"",$K991,IF($O991&lt;&gt;"",$O991,"")))))</f>
        <v/>
      </c>
      <c r="Q991">
        <f>IF($A991="","",IF($U991="Subscription","",IF($U991="Profit",$P991-$H991,0)))</f>
        <v/>
      </c>
      <c r="R991">
        <f>IF($A991="","",IF($U991="Subscription","",IF($U991="Draw",$H991,0)))</f>
        <v/>
      </c>
      <c r="S991">
        <f>IF($A991="","",IF($U991="Subscription","",IF($U991="Disqualified",$H991,0)))</f>
        <v/>
      </c>
      <c r="T991">
        <f>IF($A991="","",IF($U991="Subscription","",IF($H991=0,IF($U991="Profit","N/A",0),IF($U991="Profit",$Q991/$H991,IF($U991="Disqualified",-1,0)))))</f>
        <v/>
      </c>
      <c r="U991" s="350">
        <f>IF($A991="","",IF(OR(LOWER($D991&amp;"")="n/a",ISNUMBER(SEARCH("subscription",LOWER($A991&amp;" "&amp;$M991&amp;""))),ISNUMBER(SEARCH("membership",LOWER($A991&amp;" "&amp;$M991&amp;"")))),"Subscription",IF(LOWER($L991&amp;"")="yes","Disqualified",IF($P991&gt;$H991,"Profit","Draw"))))</f>
        <v/>
      </c>
      <c r="V991">
        <f>IF(OR($A991="",$B991="",$C991="",$U991="Subscription"),"",IFERROR(ROUNDUP((IF(ISNUMBER($C991),$C991,DATEVALUE($C991))-IF(ISNUMBER($B991),$B991,DATEVALUE($B991)))/7,0),""))</f>
        <v/>
      </c>
      <c r="W991" s="352">
        <f>IF($U991="Subscription","",$Q991-$S991)</f>
        <v/>
      </c>
      <c r="X991">
        <f>IF(OR($A991="",$U991="Subscription",$J991="",$I991="",$J991=0,$I991=0,$I991&gt;$J991),"",$J991-$I991)</f>
        <v/>
      </c>
      <c r="Y991">
        <f>IF(OR($A991="",$U991="Subscription",$J991="",$J991=0,$X991=""),"",$X991/$J991)</f>
        <v/>
      </c>
    </row>
    <row r="992">
      <c r="B992" s="354" t="n"/>
      <c r="C992" s="354" t="n"/>
      <c r="E992" s="350" t="n"/>
      <c r="F992" s="350" t="n"/>
      <c r="G992" s="350" t="n"/>
      <c r="H992" s="350" t="n"/>
      <c r="I992" s="350" t="n"/>
      <c r="J992" s="352" t="n"/>
      <c r="M992" s="350" t="n"/>
      <c r="N992" s="350">
        <f>IF($A992="","",IF(OR(LOWER($D992&amp;"")="n/a",ISNUMBER(SEARCH("subscription",LOWER($A992&amp;" "&amp;$M992&amp;""))),ISNUMBER(SEARCH("membership",LOWER($A992&amp;" "&amp;$M992&amp;"")))),"",IF($G992="","",IF(ISNUMBER(SEARCH("non",LOWER($E992&amp;""))),$G992*0.85,$G992))))</f>
        <v/>
      </c>
      <c r="O992">
        <f>IF($A992="","",IF(OR(LOWER($D992&amp;"")="n/a",ISNUMBER(SEARCH("subscription",LOWER($A992&amp;" "&amp;$M992&amp;""))),ISNUMBER(SEARCH("membership",LOWER($A992&amp;" "&amp;$M992&amp;"")))),"",IF(OR($N992="",$I992="",$I992=0),"",$N992/$I992)))</f>
        <v/>
      </c>
      <c r="P992">
        <f>IF($A992="","",IF(OR(LOWER($D992&amp;"")="n/a",ISNUMBER(SEARCH("subscription",LOWER($A992&amp;" "&amp;$M992&amp;""))),ISNUMBER(SEARCH("membership",LOWER($A992&amp;" "&amp;$M992&amp;"")))),"",IF(LOWER($L992&amp;"")="yes",0,IF($K992&lt;&gt;"",$K992,IF($O992&lt;&gt;"",$O992,"")))))</f>
        <v/>
      </c>
      <c r="Q992">
        <f>IF($A992="","",IF($U992="Subscription","",IF($U992="Profit",$P992-$H992,0)))</f>
        <v/>
      </c>
      <c r="R992">
        <f>IF($A992="","",IF($U992="Subscription","",IF($U992="Draw",$H992,0)))</f>
        <v/>
      </c>
      <c r="S992">
        <f>IF($A992="","",IF($U992="Subscription","",IF($U992="Disqualified",$H992,0)))</f>
        <v/>
      </c>
      <c r="T992">
        <f>IF($A992="","",IF($U992="Subscription","",IF($H992=0,IF($U992="Profit","N/A",0),IF($U992="Profit",$Q992/$H992,IF($U992="Disqualified",-1,0)))))</f>
        <v/>
      </c>
      <c r="U992" s="350">
        <f>IF($A992="","",IF(OR(LOWER($D992&amp;"")="n/a",ISNUMBER(SEARCH("subscription",LOWER($A992&amp;" "&amp;$M992&amp;""))),ISNUMBER(SEARCH("membership",LOWER($A992&amp;" "&amp;$M992&amp;"")))),"Subscription",IF(LOWER($L992&amp;"")="yes","Disqualified",IF($P992&gt;$H992,"Profit","Draw"))))</f>
        <v/>
      </c>
      <c r="V992">
        <f>IF(OR($A992="",$B992="",$C992="",$U992="Subscription"),"",IFERROR(ROUNDUP((IF(ISNUMBER($C992),$C992,DATEVALUE($C992))-IF(ISNUMBER($B992),$B992,DATEVALUE($B992)))/7,0),""))</f>
        <v/>
      </c>
      <c r="W992" s="352">
        <f>IF($U992="Subscription","",$Q992-$S992)</f>
        <v/>
      </c>
      <c r="X992">
        <f>IF(OR($A992="",$U992="Subscription",$J992="",$I992="",$J992=0,$I992=0,$I992&gt;$J992),"",$J992-$I992)</f>
        <v/>
      </c>
      <c r="Y992">
        <f>IF(OR($A992="",$U992="Subscription",$J992="",$J992=0,$X992=""),"",$X992/$J992)</f>
        <v/>
      </c>
    </row>
    <row r="993">
      <c r="B993" s="354" t="n"/>
      <c r="C993" s="354" t="n"/>
      <c r="E993" s="350" t="n"/>
      <c r="F993" s="350" t="n"/>
      <c r="G993" s="350" t="n"/>
      <c r="H993" s="350" t="n"/>
      <c r="I993" s="350" t="n"/>
      <c r="J993" s="352" t="n"/>
      <c r="M993" s="350" t="n"/>
      <c r="N993" s="350">
        <f>IF($A993="","",IF(OR(LOWER($D993&amp;"")="n/a",ISNUMBER(SEARCH("subscription",LOWER($A993&amp;" "&amp;$M993&amp;""))),ISNUMBER(SEARCH("membership",LOWER($A993&amp;" "&amp;$M993&amp;"")))),"",IF($G993="","",IF(ISNUMBER(SEARCH("non",LOWER($E993&amp;""))),$G993*0.85,$G993))))</f>
        <v/>
      </c>
      <c r="O993">
        <f>IF($A993="","",IF(OR(LOWER($D993&amp;"")="n/a",ISNUMBER(SEARCH("subscription",LOWER($A993&amp;" "&amp;$M993&amp;""))),ISNUMBER(SEARCH("membership",LOWER($A993&amp;" "&amp;$M993&amp;"")))),"",IF(OR($N993="",$I993="",$I993=0),"",$N993/$I993)))</f>
        <v/>
      </c>
      <c r="P993">
        <f>IF($A993="","",IF(OR(LOWER($D993&amp;"")="n/a",ISNUMBER(SEARCH("subscription",LOWER($A993&amp;" "&amp;$M993&amp;""))),ISNUMBER(SEARCH("membership",LOWER($A993&amp;" "&amp;$M993&amp;"")))),"",IF(LOWER($L993&amp;"")="yes",0,IF($K993&lt;&gt;"",$K993,IF($O993&lt;&gt;"",$O993,"")))))</f>
        <v/>
      </c>
      <c r="Q993">
        <f>IF($A993="","",IF($U993="Subscription","",IF($U993="Profit",$P993-$H993,0)))</f>
        <v/>
      </c>
      <c r="R993">
        <f>IF($A993="","",IF($U993="Subscription","",IF($U993="Draw",$H993,0)))</f>
        <v/>
      </c>
      <c r="S993">
        <f>IF($A993="","",IF($U993="Subscription","",IF($U993="Disqualified",$H993,0)))</f>
        <v/>
      </c>
      <c r="T993">
        <f>IF($A993="","",IF($U993="Subscription","",IF($H993=0,IF($U993="Profit","N/A",0),IF($U993="Profit",$Q993/$H993,IF($U993="Disqualified",-1,0)))))</f>
        <v/>
      </c>
      <c r="U993" s="350">
        <f>IF($A993="","",IF(OR(LOWER($D993&amp;"")="n/a",ISNUMBER(SEARCH("subscription",LOWER($A993&amp;" "&amp;$M993&amp;""))),ISNUMBER(SEARCH("membership",LOWER($A993&amp;" "&amp;$M993&amp;"")))),"Subscription",IF(LOWER($L993&amp;"")="yes","Disqualified",IF($P993&gt;$H993,"Profit","Draw"))))</f>
        <v/>
      </c>
      <c r="V993">
        <f>IF(OR($A993="",$B993="",$C993="",$U993="Subscription"),"",IFERROR(ROUNDUP((IF(ISNUMBER($C993),$C993,DATEVALUE($C993))-IF(ISNUMBER($B993),$B993,DATEVALUE($B993)))/7,0),""))</f>
        <v/>
      </c>
      <c r="W993" s="352">
        <f>IF($U993="Subscription","",$Q993-$S993)</f>
        <v/>
      </c>
      <c r="X993">
        <f>IF(OR($A993="",$U993="Subscription",$J993="",$I993="",$J993=0,$I993=0,$I993&gt;$J993),"",$J993-$I993)</f>
        <v/>
      </c>
      <c r="Y993">
        <f>IF(OR($A993="",$U993="Subscription",$J993="",$J993=0,$X993=""),"",$X993/$J993)</f>
        <v/>
      </c>
    </row>
    <row r="994">
      <c r="B994" s="354" t="n"/>
      <c r="C994" s="354" t="n"/>
      <c r="E994" s="350" t="n"/>
      <c r="F994" s="350" t="n"/>
      <c r="G994" s="350" t="n"/>
      <c r="H994" s="350" t="n"/>
      <c r="I994" s="350" t="n"/>
      <c r="J994" s="352" t="n"/>
      <c r="M994" s="350" t="n"/>
      <c r="N994" s="350">
        <f>IF($A994="","",IF(OR(LOWER($D994&amp;"")="n/a",ISNUMBER(SEARCH("subscription",LOWER($A994&amp;" "&amp;$M994&amp;""))),ISNUMBER(SEARCH("membership",LOWER($A994&amp;" "&amp;$M994&amp;"")))),"",IF($G994="","",IF(ISNUMBER(SEARCH("non",LOWER($E994&amp;""))),$G994*0.85,$G994))))</f>
        <v/>
      </c>
      <c r="O994">
        <f>IF($A994="","",IF(OR(LOWER($D994&amp;"")="n/a",ISNUMBER(SEARCH("subscription",LOWER($A994&amp;" "&amp;$M994&amp;""))),ISNUMBER(SEARCH("membership",LOWER($A994&amp;" "&amp;$M994&amp;"")))),"",IF(OR($N994="",$I994="",$I994=0),"",$N994/$I994)))</f>
        <v/>
      </c>
      <c r="P994">
        <f>IF($A994="","",IF(OR(LOWER($D994&amp;"")="n/a",ISNUMBER(SEARCH("subscription",LOWER($A994&amp;" "&amp;$M994&amp;""))),ISNUMBER(SEARCH("membership",LOWER($A994&amp;" "&amp;$M994&amp;"")))),"",IF(LOWER($L994&amp;"")="yes",0,IF($K994&lt;&gt;"",$K994,IF($O994&lt;&gt;"",$O994,"")))))</f>
        <v/>
      </c>
      <c r="Q994">
        <f>IF($A994="","",IF($U994="Subscription","",IF($U994="Profit",$P994-$H994,0)))</f>
        <v/>
      </c>
      <c r="R994">
        <f>IF($A994="","",IF($U994="Subscription","",IF($U994="Draw",$H994,0)))</f>
        <v/>
      </c>
      <c r="S994">
        <f>IF($A994="","",IF($U994="Subscription","",IF($U994="Disqualified",$H994,0)))</f>
        <v/>
      </c>
      <c r="T994">
        <f>IF($A994="","",IF($U994="Subscription","",IF($H994=0,IF($U994="Profit","N/A",0),IF($U994="Profit",$Q994/$H994,IF($U994="Disqualified",-1,0)))))</f>
        <v/>
      </c>
      <c r="U994" s="350">
        <f>IF($A994="","",IF(OR(LOWER($D994&amp;"")="n/a",ISNUMBER(SEARCH("subscription",LOWER($A994&amp;" "&amp;$M994&amp;""))),ISNUMBER(SEARCH("membership",LOWER($A994&amp;" "&amp;$M994&amp;"")))),"Subscription",IF(LOWER($L994&amp;"")="yes","Disqualified",IF($P994&gt;$H994,"Profit","Draw"))))</f>
        <v/>
      </c>
      <c r="V994">
        <f>IF(OR($A994="",$B994="",$C994="",$U994="Subscription"),"",IFERROR(ROUNDUP((IF(ISNUMBER($C994),$C994,DATEVALUE($C994))-IF(ISNUMBER($B994),$B994,DATEVALUE($B994)))/7,0),""))</f>
        <v/>
      </c>
      <c r="W994" s="352">
        <f>IF($U994="Subscription","",$Q994-$S994)</f>
        <v/>
      </c>
      <c r="X994">
        <f>IF(OR($A994="",$U994="Subscription",$J994="",$I994="",$J994=0,$I994=0,$I994&gt;$J994),"",$J994-$I994)</f>
        <v/>
      </c>
      <c r="Y994">
        <f>IF(OR($A994="",$U994="Subscription",$J994="",$J994=0,$X994=""),"",$X994/$J994)</f>
        <v/>
      </c>
    </row>
    <row r="995">
      <c r="B995" s="354" t="n"/>
      <c r="C995" s="354" t="n"/>
      <c r="E995" s="350" t="n"/>
      <c r="F995" s="350" t="n"/>
      <c r="G995" s="350" t="n"/>
      <c r="H995" s="350" t="n"/>
      <c r="I995" s="350" t="n"/>
      <c r="J995" s="352" t="n"/>
      <c r="M995" s="350" t="n"/>
      <c r="N995" s="350">
        <f>IF($A995="","",IF(OR(LOWER($D995&amp;"")="n/a",ISNUMBER(SEARCH("subscription",LOWER($A995&amp;" "&amp;$M995&amp;""))),ISNUMBER(SEARCH("membership",LOWER($A995&amp;" "&amp;$M995&amp;"")))),"",IF($G995="","",IF(ISNUMBER(SEARCH("non",LOWER($E995&amp;""))),$G995*0.85,$G995))))</f>
        <v/>
      </c>
      <c r="O995">
        <f>IF($A995="","",IF(OR(LOWER($D995&amp;"")="n/a",ISNUMBER(SEARCH("subscription",LOWER($A995&amp;" "&amp;$M995&amp;""))),ISNUMBER(SEARCH("membership",LOWER($A995&amp;" "&amp;$M995&amp;"")))),"",IF(OR($N995="",$I995="",$I995=0),"",$N995/$I995)))</f>
        <v/>
      </c>
      <c r="P995">
        <f>IF($A995="","",IF(OR(LOWER($D995&amp;"")="n/a",ISNUMBER(SEARCH("subscription",LOWER($A995&amp;" "&amp;$M995&amp;""))),ISNUMBER(SEARCH("membership",LOWER($A995&amp;" "&amp;$M995&amp;"")))),"",IF(LOWER($L995&amp;"")="yes",0,IF($K995&lt;&gt;"",$K995,IF($O995&lt;&gt;"",$O995,"")))))</f>
        <v/>
      </c>
      <c r="Q995">
        <f>IF($A995="","",IF($U995="Subscription","",IF($U995="Profit",$P995-$H995,0)))</f>
        <v/>
      </c>
      <c r="R995">
        <f>IF($A995="","",IF($U995="Subscription","",IF($U995="Draw",$H995,0)))</f>
        <v/>
      </c>
      <c r="S995">
        <f>IF($A995="","",IF($U995="Subscription","",IF($U995="Disqualified",$H995,0)))</f>
        <v/>
      </c>
      <c r="T995">
        <f>IF($A995="","",IF($U995="Subscription","",IF($H995=0,IF($U995="Profit","N/A",0),IF($U995="Profit",$Q995/$H995,IF($U995="Disqualified",-1,0)))))</f>
        <v/>
      </c>
      <c r="U995" s="350">
        <f>IF($A995="","",IF(OR(LOWER($D995&amp;"")="n/a",ISNUMBER(SEARCH("subscription",LOWER($A995&amp;" "&amp;$M995&amp;""))),ISNUMBER(SEARCH("membership",LOWER($A995&amp;" "&amp;$M995&amp;"")))),"Subscription",IF(LOWER($L995&amp;"")="yes","Disqualified",IF($P995&gt;$H995,"Profit","Draw"))))</f>
        <v/>
      </c>
      <c r="V995">
        <f>IF(OR($A995="",$B995="",$C995="",$U995="Subscription"),"",IFERROR(ROUNDUP((IF(ISNUMBER($C995),$C995,DATEVALUE($C995))-IF(ISNUMBER($B995),$B995,DATEVALUE($B995)))/7,0),""))</f>
        <v/>
      </c>
      <c r="W995" s="352">
        <f>IF($U995="Subscription","",$Q995-$S995)</f>
        <v/>
      </c>
      <c r="X995">
        <f>IF(OR($A995="",$U995="Subscription",$J995="",$I995="",$J995=0,$I995=0,$I995&gt;$J995),"",$J995-$I995)</f>
        <v/>
      </c>
      <c r="Y995">
        <f>IF(OR($A995="",$U995="Subscription",$J995="",$J995=0,$X995=""),"",$X995/$J995)</f>
        <v/>
      </c>
    </row>
    <row r="996">
      <c r="B996" s="354" t="n"/>
      <c r="C996" s="354" t="n"/>
      <c r="E996" s="350" t="n"/>
      <c r="F996" s="350" t="n"/>
      <c r="G996" s="350" t="n"/>
      <c r="H996" s="350" t="n"/>
      <c r="I996" s="350" t="n"/>
      <c r="J996" s="352" t="n"/>
      <c r="M996" s="350" t="n"/>
      <c r="N996" s="350">
        <f>IF($A996="","",IF(OR(LOWER($D996&amp;"")="n/a",ISNUMBER(SEARCH("subscription",LOWER($A996&amp;" "&amp;$M996&amp;""))),ISNUMBER(SEARCH("membership",LOWER($A996&amp;" "&amp;$M996&amp;"")))),"",IF($G996="","",IF(ISNUMBER(SEARCH("non",LOWER($E996&amp;""))),$G996*0.85,$G996))))</f>
        <v/>
      </c>
      <c r="O996">
        <f>IF($A996="","",IF(OR(LOWER($D996&amp;"")="n/a",ISNUMBER(SEARCH("subscription",LOWER($A996&amp;" "&amp;$M996&amp;""))),ISNUMBER(SEARCH("membership",LOWER($A996&amp;" "&amp;$M996&amp;"")))),"",IF(OR($N996="",$I996="",$I996=0),"",$N996/$I996)))</f>
        <v/>
      </c>
      <c r="P996">
        <f>IF($A996="","",IF(OR(LOWER($D996&amp;"")="n/a",ISNUMBER(SEARCH("subscription",LOWER($A996&amp;" "&amp;$M996&amp;""))),ISNUMBER(SEARCH("membership",LOWER($A996&amp;" "&amp;$M996&amp;"")))),"",IF(LOWER($L996&amp;"")="yes",0,IF($K996&lt;&gt;"",$K996,IF($O996&lt;&gt;"",$O996,"")))))</f>
        <v/>
      </c>
      <c r="Q996">
        <f>IF($A996="","",IF($U996="Subscription","",IF($U996="Profit",$P996-$H996,0)))</f>
        <v/>
      </c>
      <c r="R996">
        <f>IF($A996="","",IF($U996="Subscription","",IF($U996="Draw",$H996,0)))</f>
        <v/>
      </c>
      <c r="S996">
        <f>IF($A996="","",IF($U996="Subscription","",IF($U996="Disqualified",$H996,0)))</f>
        <v/>
      </c>
      <c r="T996">
        <f>IF($A996="","",IF($U996="Subscription","",IF($H996=0,IF($U996="Profit","N/A",0),IF($U996="Profit",$Q996/$H996,IF($U996="Disqualified",-1,0)))))</f>
        <v/>
      </c>
      <c r="U996" s="350">
        <f>IF($A996="","",IF(OR(LOWER($D996&amp;"")="n/a",ISNUMBER(SEARCH("subscription",LOWER($A996&amp;" "&amp;$M996&amp;""))),ISNUMBER(SEARCH("membership",LOWER($A996&amp;" "&amp;$M996&amp;"")))),"Subscription",IF(LOWER($L996&amp;"")="yes","Disqualified",IF($P996&gt;$H996,"Profit","Draw"))))</f>
        <v/>
      </c>
      <c r="V996">
        <f>IF(OR($A996="",$B996="",$C996="",$U996="Subscription"),"",IFERROR(ROUNDUP((IF(ISNUMBER($C996),$C996,DATEVALUE($C996))-IF(ISNUMBER($B996),$B996,DATEVALUE($B996)))/7,0),""))</f>
        <v/>
      </c>
      <c r="W996" s="352">
        <f>IF($U996="Subscription","",$Q996-$S996)</f>
        <v/>
      </c>
      <c r="X996">
        <f>IF(OR($A996="",$U996="Subscription",$J996="",$I996="",$J996=0,$I996=0,$I996&gt;$J996),"",$J996-$I996)</f>
        <v/>
      </c>
      <c r="Y996">
        <f>IF(OR($A996="",$U996="Subscription",$J996="",$J996=0,$X996=""),"",$X996/$J996)</f>
        <v/>
      </c>
    </row>
    <row r="997">
      <c r="B997" s="354" t="n"/>
      <c r="C997" s="354" t="n"/>
      <c r="E997" s="350" t="n"/>
      <c r="F997" s="350" t="n"/>
      <c r="G997" s="350" t="n"/>
      <c r="H997" s="350" t="n"/>
      <c r="I997" s="350" t="n"/>
      <c r="J997" s="352" t="n"/>
      <c r="M997" s="350" t="n"/>
      <c r="N997" s="350">
        <f>IF($A997="","",IF(OR(LOWER($D997&amp;"")="n/a",ISNUMBER(SEARCH("subscription",LOWER($A997&amp;" "&amp;$M997&amp;""))),ISNUMBER(SEARCH("membership",LOWER($A997&amp;" "&amp;$M997&amp;"")))),"",IF($G997="","",IF(ISNUMBER(SEARCH("non",LOWER($E997&amp;""))),$G997*0.85,$G997))))</f>
        <v/>
      </c>
      <c r="O997">
        <f>IF($A997="","",IF(OR(LOWER($D997&amp;"")="n/a",ISNUMBER(SEARCH("subscription",LOWER($A997&amp;" "&amp;$M997&amp;""))),ISNUMBER(SEARCH("membership",LOWER($A997&amp;" "&amp;$M997&amp;"")))),"",IF(OR($N997="",$I997="",$I997=0),"",$N997/$I997)))</f>
        <v/>
      </c>
      <c r="P997">
        <f>IF($A997="","",IF(OR(LOWER($D997&amp;"")="n/a",ISNUMBER(SEARCH("subscription",LOWER($A997&amp;" "&amp;$M997&amp;""))),ISNUMBER(SEARCH("membership",LOWER($A997&amp;" "&amp;$M997&amp;"")))),"",IF(LOWER($L997&amp;"")="yes",0,IF($K997&lt;&gt;"",$K997,IF($O997&lt;&gt;"",$O997,"")))))</f>
        <v/>
      </c>
      <c r="Q997">
        <f>IF($A997="","",IF($U997="Subscription","",IF($U997="Profit",$P997-$H997,0)))</f>
        <v/>
      </c>
      <c r="R997">
        <f>IF($A997="","",IF($U997="Subscription","",IF($U997="Draw",$H997,0)))</f>
        <v/>
      </c>
      <c r="S997">
        <f>IF($A997="","",IF($U997="Subscription","",IF($U997="Disqualified",$H997,0)))</f>
        <v/>
      </c>
      <c r="T997">
        <f>IF($A997="","",IF($U997="Subscription","",IF($H997=0,IF($U997="Profit","N/A",0),IF($U997="Profit",$Q997/$H997,IF($U997="Disqualified",-1,0)))))</f>
        <v/>
      </c>
      <c r="U997" s="350">
        <f>IF($A997="","",IF(OR(LOWER($D997&amp;"")="n/a",ISNUMBER(SEARCH("subscription",LOWER($A997&amp;" "&amp;$M997&amp;""))),ISNUMBER(SEARCH("membership",LOWER($A997&amp;" "&amp;$M997&amp;"")))),"Subscription",IF(LOWER($L997&amp;"")="yes","Disqualified",IF($P997&gt;$H997,"Profit","Draw"))))</f>
        <v/>
      </c>
      <c r="V997">
        <f>IF(OR($A997="",$B997="",$C997="",$U997="Subscription"),"",IFERROR(ROUNDUP((IF(ISNUMBER($C997),$C997,DATEVALUE($C997))-IF(ISNUMBER($B997),$B997,DATEVALUE($B997)))/7,0),""))</f>
        <v/>
      </c>
      <c r="W997" s="352">
        <f>IF($U997="Subscription","",$Q997-$S997)</f>
        <v/>
      </c>
      <c r="X997">
        <f>IF(OR($A997="",$U997="Subscription",$J997="",$I997="",$J997=0,$I997=0,$I997&gt;$J997),"",$J997-$I997)</f>
        <v/>
      </c>
      <c r="Y997">
        <f>IF(OR($A997="",$U997="Subscription",$J997="",$J997=0,$X997=""),"",$X997/$J997)</f>
        <v/>
      </c>
    </row>
    <row r="998">
      <c r="B998" s="354" t="n"/>
      <c r="C998" s="354" t="n"/>
      <c r="E998" s="350" t="n"/>
      <c r="F998" s="350" t="n"/>
      <c r="G998" s="350" t="n"/>
      <c r="H998" s="350" t="n"/>
      <c r="I998" s="350" t="n"/>
      <c r="J998" s="352" t="n"/>
      <c r="M998" s="350" t="n"/>
      <c r="N998" s="350">
        <f>IF($A998="","",IF(OR(LOWER($D998&amp;"")="n/a",ISNUMBER(SEARCH("subscription",LOWER($A998&amp;" "&amp;$M998&amp;""))),ISNUMBER(SEARCH("membership",LOWER($A998&amp;" "&amp;$M998&amp;"")))),"",IF($G998="","",IF(ISNUMBER(SEARCH("non",LOWER($E998&amp;""))),$G998*0.85,$G998))))</f>
        <v/>
      </c>
      <c r="O998">
        <f>IF($A998="","",IF(OR(LOWER($D998&amp;"")="n/a",ISNUMBER(SEARCH("subscription",LOWER($A998&amp;" "&amp;$M998&amp;""))),ISNUMBER(SEARCH("membership",LOWER($A998&amp;" "&amp;$M998&amp;"")))),"",IF(OR($N998="",$I998="",$I998=0),"",$N998/$I998)))</f>
        <v/>
      </c>
      <c r="P998">
        <f>IF($A998="","",IF(OR(LOWER($D998&amp;"")="n/a",ISNUMBER(SEARCH("subscription",LOWER($A998&amp;" "&amp;$M998&amp;""))),ISNUMBER(SEARCH("membership",LOWER($A998&amp;" "&amp;$M998&amp;"")))),"",IF(LOWER($L998&amp;"")="yes",0,IF($K998&lt;&gt;"",$K998,IF($O998&lt;&gt;"",$O998,"")))))</f>
        <v/>
      </c>
      <c r="Q998">
        <f>IF($A998="","",IF($U998="Subscription","",IF($U998="Profit",$P998-$H998,0)))</f>
        <v/>
      </c>
      <c r="R998">
        <f>IF($A998="","",IF($U998="Subscription","",IF($U998="Draw",$H998,0)))</f>
        <v/>
      </c>
      <c r="S998">
        <f>IF($A998="","",IF($U998="Subscription","",IF($U998="Disqualified",$H998,0)))</f>
        <v/>
      </c>
      <c r="T998">
        <f>IF($A998="","",IF($U998="Subscription","",IF($H998=0,IF($U998="Profit","N/A",0),IF($U998="Profit",$Q998/$H998,IF($U998="Disqualified",-1,0)))))</f>
        <v/>
      </c>
      <c r="U998" s="350">
        <f>IF($A998="","",IF(OR(LOWER($D998&amp;"")="n/a",ISNUMBER(SEARCH("subscription",LOWER($A998&amp;" "&amp;$M998&amp;""))),ISNUMBER(SEARCH("membership",LOWER($A998&amp;" "&amp;$M998&amp;"")))),"Subscription",IF(LOWER($L998&amp;"")="yes","Disqualified",IF($P998&gt;$H998,"Profit","Draw"))))</f>
        <v/>
      </c>
      <c r="V998">
        <f>IF(OR($A998="",$B998="",$C998="",$U998="Subscription"),"",IFERROR(ROUNDUP((IF(ISNUMBER($C998),$C998,DATEVALUE($C998))-IF(ISNUMBER($B998),$B998,DATEVALUE($B998)))/7,0),""))</f>
        <v/>
      </c>
      <c r="W998" s="352">
        <f>IF($U998="Subscription","",$Q998-$S998)</f>
        <v/>
      </c>
      <c r="X998">
        <f>IF(OR($A998="",$U998="Subscription",$J998="",$I998="",$J998=0,$I998=0,$I998&gt;$J998),"",$J998-$I998)</f>
        <v/>
      </c>
      <c r="Y998">
        <f>IF(OR($A998="",$U998="Subscription",$J998="",$J998=0,$X998=""),"",$X998/$J998)</f>
        <v/>
      </c>
    </row>
    <row r="999">
      <c r="B999" s="354" t="n"/>
      <c r="C999" s="354" t="n"/>
      <c r="E999" s="350" t="n"/>
      <c r="F999" s="350" t="n"/>
      <c r="G999" s="350" t="n"/>
      <c r="H999" s="350" t="n"/>
      <c r="I999" s="350" t="n"/>
      <c r="J999" s="352" t="n"/>
      <c r="M999" s="350" t="n"/>
      <c r="N999" s="350">
        <f>IF($A999="","",IF(OR(LOWER($D999&amp;"")="n/a",ISNUMBER(SEARCH("subscription",LOWER($A999&amp;" "&amp;$M999&amp;""))),ISNUMBER(SEARCH("membership",LOWER($A999&amp;" "&amp;$M999&amp;"")))),"",IF($G999="","",IF(ISNUMBER(SEARCH("non",LOWER($E999&amp;""))),$G999*0.85,$G999))))</f>
        <v/>
      </c>
      <c r="O999">
        <f>IF($A999="","",IF(OR(LOWER($D999&amp;"")="n/a",ISNUMBER(SEARCH("subscription",LOWER($A999&amp;" "&amp;$M999&amp;""))),ISNUMBER(SEARCH("membership",LOWER($A999&amp;" "&amp;$M999&amp;"")))),"",IF(OR($N999="",$I999="",$I999=0),"",$N999/$I999)))</f>
        <v/>
      </c>
      <c r="P999">
        <f>IF($A999="","",IF(OR(LOWER($D999&amp;"")="n/a",ISNUMBER(SEARCH("subscription",LOWER($A999&amp;" "&amp;$M999&amp;""))),ISNUMBER(SEARCH("membership",LOWER($A999&amp;" "&amp;$M999&amp;"")))),"",IF(LOWER($L999&amp;"")="yes",0,IF($K999&lt;&gt;"",$K999,IF($O999&lt;&gt;"",$O999,"")))))</f>
        <v/>
      </c>
      <c r="Q999">
        <f>IF($A999="","",IF($U999="Subscription","",IF($U999="Profit",$P999-$H999,0)))</f>
        <v/>
      </c>
      <c r="R999">
        <f>IF($A999="","",IF($U999="Subscription","",IF($U999="Draw",$H999,0)))</f>
        <v/>
      </c>
      <c r="S999">
        <f>IF($A999="","",IF($U999="Subscription","",IF($U999="Disqualified",$H999,0)))</f>
        <v/>
      </c>
      <c r="T999">
        <f>IF($A999="","",IF($U999="Subscription","",IF($H999=0,IF($U999="Profit","N/A",0),IF($U999="Profit",$Q999/$H999,IF($U999="Disqualified",-1,0)))))</f>
        <v/>
      </c>
      <c r="U999" s="350">
        <f>IF($A999="","",IF(OR(LOWER($D999&amp;"")="n/a",ISNUMBER(SEARCH("subscription",LOWER($A999&amp;" "&amp;$M999&amp;""))),ISNUMBER(SEARCH("membership",LOWER($A999&amp;" "&amp;$M999&amp;"")))),"Subscription",IF(LOWER($L999&amp;"")="yes","Disqualified",IF($P999&gt;$H999,"Profit","Draw"))))</f>
        <v/>
      </c>
      <c r="V999">
        <f>IF(OR($A999="",$B999="",$C999="",$U999="Subscription"),"",IFERROR(ROUNDUP((IF(ISNUMBER($C999),$C999,DATEVALUE($C999))-IF(ISNUMBER($B999),$B999,DATEVALUE($B999)))/7,0),""))</f>
        <v/>
      </c>
      <c r="W999" s="352">
        <f>IF($U999="Subscription","",$Q999-$S999)</f>
        <v/>
      </c>
      <c r="X999">
        <f>IF(OR($A999="",$U999="Subscription",$J999="",$I999="",$J999=0,$I999=0,$I999&gt;$J999),"",$J999-$I999)</f>
        <v/>
      </c>
      <c r="Y999">
        <f>IF(OR($A999="",$U999="Subscription",$J999="",$J999=0,$X999=""),"",$X999/$J999)</f>
        <v/>
      </c>
    </row>
    <row r="1000">
      <c r="B1000" s="354" t="n"/>
      <c r="C1000" s="354" t="n"/>
      <c r="E1000" s="350" t="n"/>
      <c r="F1000" s="350" t="n"/>
      <c r="G1000" s="350" t="n"/>
      <c r="H1000" s="350" t="n"/>
      <c r="I1000" s="350" t="n"/>
      <c r="J1000" s="352" t="n"/>
      <c r="M1000" s="350" t="n"/>
      <c r="N1000" s="350">
        <f>IF($A1000="","",IF(OR(LOWER($D1000&amp;"")="n/a",ISNUMBER(SEARCH("subscription",LOWER($A1000&amp;" "&amp;$M1000&amp;""))),ISNUMBER(SEARCH("membership",LOWER($A1000&amp;" "&amp;$M1000&amp;"")))),"",IF($G1000="","",IF(ISNUMBER(SEARCH("non",LOWER($E1000&amp;""))),$G1000*0.85,$G1000))))</f>
        <v/>
      </c>
      <c r="O1000">
        <f>IF($A1000="","",IF(OR(LOWER($D1000&amp;"")="n/a",ISNUMBER(SEARCH("subscription",LOWER($A1000&amp;" "&amp;$M1000&amp;""))),ISNUMBER(SEARCH("membership",LOWER($A1000&amp;" "&amp;$M1000&amp;"")))),"",IF(OR($N1000="",$I1000="",$I1000=0),"",$N1000/$I1000)))</f>
        <v/>
      </c>
      <c r="P1000">
        <f>IF($A1000="","",IF(OR(LOWER($D1000&amp;"")="n/a",ISNUMBER(SEARCH("subscription",LOWER($A1000&amp;" "&amp;$M1000&amp;""))),ISNUMBER(SEARCH("membership",LOWER($A1000&amp;" "&amp;$M1000&amp;"")))),"",IF(LOWER($L1000&amp;"")="yes",0,IF($K1000&lt;&gt;"",$K1000,IF($O1000&lt;&gt;"",$O1000,"")))))</f>
        <v/>
      </c>
      <c r="Q1000">
        <f>IF($A1000="","",IF($U1000="Subscription","",IF($U1000="Profit",$P1000-$H1000,0)))</f>
        <v/>
      </c>
      <c r="R1000">
        <f>IF($A1000="","",IF($U1000="Subscription","",IF($U1000="Draw",$H1000,0)))</f>
        <v/>
      </c>
      <c r="S1000">
        <f>IF($A1000="","",IF($U1000="Subscription","",IF($U1000="Disqualified",$H1000,0)))</f>
        <v/>
      </c>
      <c r="T1000">
        <f>IF($A1000="","",IF($U1000="Subscription","",IF($H1000=0,IF($U1000="Profit","N/A",0),IF($U1000="Profit",$Q1000/$H1000,IF($U1000="Disqualified",-1,0)))))</f>
        <v/>
      </c>
      <c r="U1000" s="350">
        <f>IF($A1000="","",IF(OR(LOWER($D1000&amp;"")="n/a",ISNUMBER(SEARCH("subscription",LOWER($A1000&amp;" "&amp;$M1000&amp;""))),ISNUMBER(SEARCH("membership",LOWER($A1000&amp;" "&amp;$M1000&amp;"")))),"Subscription",IF(LOWER($L1000&amp;"")="yes","Disqualified",IF($P1000&gt;$H1000,"Profit","Draw"))))</f>
        <v/>
      </c>
      <c r="V1000">
        <f>IF(OR($A1000="",$B1000="",$C1000="",$U1000="Subscription"),"",IFERROR(ROUNDUP((IF(ISNUMBER($C1000),$C1000,DATEVALUE($C1000))-IF(ISNUMBER($B1000),$B1000,DATEVALUE($B1000)))/7,0),""))</f>
        <v/>
      </c>
      <c r="W1000" s="352">
        <f>IF($U1000="Subscription","",$Q1000-$S1000)</f>
        <v/>
      </c>
      <c r="X1000">
        <f>IF(OR($A1000="",$U1000="Subscription",$J1000="",$I1000="",$J1000=0,$I1000=0,$I1000&gt;$J1000),"",$J1000-$I1000)</f>
        <v/>
      </c>
      <c r="Y1000">
        <f>IF(OR($A1000="",$U1000="Subscription",$J1000="",$J1000=0,$X1000=""),"",$X1000/$J1000)</f>
        <v/>
      </c>
    </row>
  </sheetData>
  <mergeCells count="4">
    <mergeCell ref="A2:W2"/>
    <mergeCell ref="A3:M3"/>
    <mergeCell ref="A1:W1"/>
    <mergeCell ref="N3:Y3"/>
  </mergeCells>
  <conditionalFormatting sqref="K5:K504">
    <cfRule type="expression" priority="2" dxfId="0">
      <formula>K5="Profit"</formula>
    </cfRule>
    <cfRule type="expression" priority="3" dxfId="1">
      <formula>K5="Draw"</formula>
    </cfRule>
    <cfRule type="expression" priority="4" dxfId="2">
      <formula>K5="Disqualified"</formula>
    </cfRule>
    <cfRule type="expression" priority="5" dxfId="2">
      <formula>K5="Loss"</formula>
    </cfRule>
    <cfRule type="expression" priority="6" dxfId="4">
      <formula>K5="Subscription"</formula>
    </cfRule>
  </conditionalFormatting>
  <conditionalFormatting sqref="U5:U500">
    <cfRule type="expression" priority="7" dxfId="5">
      <formula>$U5="Profit"</formula>
    </cfRule>
    <cfRule type="expression" priority="8" dxfId="6">
      <formula>$U5="Draw"</formula>
    </cfRule>
    <cfRule type="expression" priority="9" dxfId="7">
      <formula>$U5="Disqualified"</formula>
    </cfRule>
  </conditionalFormatting>
  <conditionalFormatting sqref="U5:U1000">
    <cfRule type="expression" priority="10" dxfId="11">
      <formula>$U5="Profit"</formula>
    </cfRule>
    <cfRule type="expression" priority="11" dxfId="12">
      <formula>$U5="Draw"</formula>
    </cfRule>
    <cfRule type="expression" priority="12" dxfId="13">
      <formula>$U5="Disqualified"</formula>
    </cfRule>
  </conditionalFormatting>
  <conditionalFormatting sqref="W5:W1000">
    <cfRule type="expression" priority="13" dxfId="11">
      <formula>$U5="Profit"</formula>
    </cfRule>
    <cfRule type="expression" priority="14" dxfId="12">
      <formula>$U5="Draw"</formula>
    </cfRule>
    <cfRule type="expression" priority="15" dxfId="13">
      <formula>$U5="Disqualified"</formula>
    </cfRule>
  </conditionalFormatting>
  <dataValidations count="14">
    <dataValidation sqref="K5:K504" showDropDown="0" showInputMessage="0" showErrorMessage="0" allowBlank="0" type="list">
      <formula1>"Profit,Draw,Disqualified,Loss,Subscription"</formula1>
    </dataValidation>
    <dataValidation sqref="L5:L504" showDropDown="0" showInputMessage="0" showErrorMessage="0" allowBlank="0" type="list">
      <formula1>"Yes,No,"</formula1>
    </dataValidation>
    <dataValidation sqref="R5:R504" showDropDown="0" showInputMessage="0" showErrorMessage="0" allowBlank="0" type="list">
      <formula1>"Reported,Estimated,Partly Estimated"</formula1>
    </dataValidation>
    <dataValidation sqref="S5:S504" showDropDown="0" showInputMessage="0" showErrorMessage="0" allowBlank="0" type="list">
      <formula1>"High,Medium,Low"</formula1>
    </dataValidation>
    <dataValidation sqref="D5:D504" showDropDown="0" showInputMessage="0" showErrorMessage="0" allowBlank="0" type="list">
      <formula1>"Estimate,Finalized"</formula1>
    </dataValidation>
    <dataValidation sqref="E5:E504" showDropDown="0" showInputMessage="0" showErrorMessage="0" allowBlank="0" type="list">
      <formula1>"Member,Non-Member"</formula1>
    </dataValidation>
    <dataValidation sqref="U5:U504" showDropDown="0" showInputMessage="0" showErrorMessage="0" allowBlank="0" type="list">
      <formula1>"Profit,Draw,Disqualified,Subscription"</formula1>
    </dataValidation>
    <dataValidation sqref="K5:K500" showDropDown="1" showInputMessage="0" showErrorMessage="0" allowBlank="1" type="decimal" operator="greaterThanOrEqual">
      <formula1>0</formula1>
    </dataValidation>
    <dataValidation sqref="D5:D500" showDropDown="0" showInputMessage="0" showErrorMessage="0" allowBlank="1" type="list">
      <formula1>"Estimate,Finalized"</formula1>
    </dataValidation>
    <dataValidation sqref="E5:E500" showDropDown="0" showInputMessage="0" showErrorMessage="0" allowBlank="1" type="list">
      <formula1>"Member,Non-Member"</formula1>
    </dataValidation>
    <dataValidation sqref="L5:L500" showDropDown="0" showInputMessage="0" showErrorMessage="0" allowBlank="1" type="list">
      <formula1>"No,Yes"</formula1>
    </dataValidation>
    <dataValidation sqref="D5:D1000" showDropDown="0" showInputMessage="0" showErrorMessage="0" allowBlank="1" type="list">
      <formula1>"Estimate,Finalized,N/A"</formula1>
    </dataValidation>
    <dataValidation sqref="E5:E1000" showDropDown="0" showInputMessage="0" showErrorMessage="0" allowBlank="1" type="list">
      <formula1>"Member,Non-Member,N/A"</formula1>
    </dataValidation>
    <dataValidation sqref="L5:L1000" showDropDown="0" showInputMessage="0" showErrorMessage="0" allowBlank="1" type="list">
      <formula1>"No,Yes,N/A"</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Z25"/>
  <sheetViews>
    <sheetView workbookViewId="0">
      <selection activeCell="A1" sqref="A1"/>
    </sheetView>
  </sheetViews>
  <sheetFormatPr baseColWidth="8" defaultRowHeight="15"/>
  <cols>
    <col width="14" customWidth="1" style="270" min="1" max="1"/>
    <col width="14" customWidth="1" style="270" min="2" max="2"/>
    <col width="14" customWidth="1" style="270" min="3" max="3"/>
    <col width="14" customWidth="1" style="270" min="4" max="4"/>
    <col width="14" customWidth="1" style="270" min="5" max="5"/>
    <col width="14" customWidth="1" style="270" min="6" max="6"/>
    <col width="14" customWidth="1" style="270" min="7" max="7"/>
    <col width="14" customWidth="1" style="270" min="8" max="8"/>
  </cols>
  <sheetData>
    <row r="1">
      <c r="A1" s="246" t="inlineStr">
        <is>
          <t>Summary</t>
        </is>
      </c>
      <c r="B1" s="1" t="n"/>
      <c r="C1" s="1" t="n"/>
      <c r="D1" s="1" t="n"/>
      <c r="E1" s="1" t="n"/>
      <c r="F1" s="1" t="n"/>
      <c r="G1" s="1" t="n"/>
      <c r="H1" s="1" t="n"/>
      <c r="I1" s="367" t="n"/>
      <c r="J1" s="367" t="n"/>
      <c r="K1" s="367" t="n"/>
      <c r="L1" s="367" t="n"/>
      <c r="M1" s="367" t="n"/>
      <c r="N1" s="367" t="n"/>
      <c r="O1" s="367" t="n"/>
      <c r="P1" s="367" t="n"/>
      <c r="Q1" s="367" t="n"/>
      <c r="R1" s="367" t="n"/>
      <c r="S1" s="367" t="n"/>
      <c r="T1" s="367" t="n"/>
      <c r="U1" s="367" t="n"/>
      <c r="V1" s="367" t="n"/>
      <c r="W1" s="367" t="n"/>
      <c r="X1" s="367" t="n"/>
      <c r="Y1" s="367" t="n"/>
      <c r="Z1" s="367" t="n"/>
    </row>
    <row r="2">
      <c r="A2" s="37" t="inlineStr">
        <is>
          <t>Updates automatically after rows are pasted or edited in Game Records.</t>
        </is>
      </c>
      <c r="B2" s="1" t="n"/>
      <c r="C2" s="1" t="n"/>
      <c r="D2" s="1" t="n"/>
      <c r="E2" s="1" t="n"/>
      <c r="F2" s="1" t="n"/>
      <c r="G2" s="1" t="n"/>
      <c r="H2" s="1" t="n"/>
    </row>
    <row r="4">
      <c r="A4" s="77" t="inlineStr">
        <is>
          <t>Total Games</t>
        </is>
      </c>
      <c r="B4" s="1" t="n"/>
      <c r="C4" s="77" t="inlineStr">
        <is>
          <t>Total Profit</t>
        </is>
      </c>
      <c r="D4" s="1" t="n"/>
      <c r="E4" s="77" t="inlineStr">
        <is>
          <t>Net Profit After Losses</t>
        </is>
      </c>
      <c r="F4" s="1" t="n"/>
      <c r="G4" s="77" t="inlineStr">
        <is>
          <t>Average Profit per Game</t>
        </is>
      </c>
      <c r="H4" s="1" t="n"/>
    </row>
    <row r="5">
      <c r="A5" s="261">
        <f>COUNTIFS('Game Records'!$A$5:$A$504,"&lt;&gt;",'Game Records'!$U$5:$U$504,"&lt;&gt;Subscription")</f>
        <v/>
      </c>
      <c r="B5" s="1" t="n"/>
      <c r="C5" s="262">
        <f>SUMIFS('Game Records'!$Q$5:$Q$504,'Game Records'!$A$5:$A$504,"&lt;&gt;")</f>
        <v/>
      </c>
      <c r="D5" s="1" t="n"/>
      <c r="E5" s="262">
        <f>SUMIFS('Game Records'!$W$5:$W$504,'Game Records'!$A$5:$A$504,"&lt;&gt;")</f>
        <v/>
      </c>
      <c r="F5" s="1" t="n"/>
      <c r="G5" s="262">
        <f>IF(A5=0,"",E5/A5)</f>
        <v/>
      </c>
      <c r="H5" s="1" t="n"/>
    </row>
    <row r="6">
      <c r="A6" s="1" t="n"/>
      <c r="B6" s="1" t="n"/>
      <c r="C6" s="1" t="n"/>
      <c r="D6" s="1" t="n"/>
      <c r="E6" s="1" t="n"/>
      <c r="F6" s="1" t="n"/>
      <c r="G6" s="1" t="n"/>
      <c r="H6" s="1" t="n"/>
    </row>
    <row r="8">
      <c r="A8" s="77" t="inlineStr">
        <is>
          <t>Average ROI</t>
        </is>
      </c>
      <c r="B8" s="1" t="n"/>
      <c r="C8" s="77" t="inlineStr">
        <is>
          <t>Profit Rate</t>
        </is>
      </c>
      <c r="D8" s="1" t="n"/>
      <c r="E8" s="77" t="inlineStr">
        <is>
          <t>Draw Rate</t>
        </is>
      </c>
      <c r="F8" s="1" t="n"/>
      <c r="G8" s="77" t="inlineStr">
        <is>
          <t>Loss Rate</t>
        </is>
      </c>
      <c r="H8" s="1" t="n"/>
    </row>
    <row r="9">
      <c r="A9" s="263">
        <f>IF(COUNTIFS('Game Records'!$A$5:$A$504,"&lt;&gt;",'Game Records'!$T$5:$T$504,"&lt;&gt;")=0,"",SUMIFS('Game Records'!$T$5:$T$504,'Game Records'!$A$5:$A$504,"&lt;&gt;")/COUNTIFS('Game Records'!$A$5:$A$504,"&lt;&gt;",'Game Records'!$T$5:$T$504,"&lt;&gt;"))</f>
        <v/>
      </c>
      <c r="B9" s="1" t="n"/>
      <c r="C9" s="263">
        <f>IF(A5=0,"",COUNTIFS('Game Records'!$A$5:$A$504,"&lt;&gt;",'Game Records'!$U$5:$U$504,"Profit")/A5)</f>
        <v/>
      </c>
      <c r="D9" s="1" t="n"/>
      <c r="E9" s="263">
        <f>IF(A5=0,"",COUNTIFS('Game Records'!$A$5:$A$504,"&lt;&gt;",'Game Records'!$U$5:$U$504,"Draw")/A5)</f>
        <v/>
      </c>
      <c r="F9" s="1" t="n"/>
      <c r="G9" s="263">
        <f>IF(A5=0,"",COUNTIFS('Game Records'!$A$5:$A$504,"&lt;&gt;",'Game Records'!$U$5:$U$504,"Disqualified")/A5)</f>
        <v/>
      </c>
      <c r="H9" s="1" t="n"/>
    </row>
    <row r="10">
      <c r="A10" s="1" t="n"/>
      <c r="B10" s="1" t="n"/>
      <c r="C10" s="1" t="n"/>
      <c r="D10" s="1" t="n"/>
      <c r="E10" s="1" t="n"/>
      <c r="F10" s="1" t="n"/>
      <c r="G10" s="1" t="n"/>
      <c r="H10" s="1" t="n"/>
    </row>
    <row r="13">
      <c r="A13" s="27" t="inlineStr">
        <is>
          <t>Result Breakdown</t>
        </is>
      </c>
      <c r="B13" s="1" t="n"/>
    </row>
    <row r="14">
      <c r="A14" s="293" t="inlineStr">
        <is>
          <t>Result</t>
        </is>
      </c>
      <c r="B14" s="293" t="inlineStr">
        <is>
          <t>Games</t>
        </is>
      </c>
    </row>
    <row r="15">
      <c r="A15" s="296" t="inlineStr">
        <is>
          <t>Profit</t>
        </is>
      </c>
      <c r="B15" s="382">
        <f>COUNTIFS('Game Records'!$U$5:$U$504,A15)</f>
        <v/>
      </c>
    </row>
    <row r="16">
      <c r="A16" s="296" t="inlineStr">
        <is>
          <t>Draw</t>
        </is>
      </c>
      <c r="B16" s="382">
        <f>COUNTIFS('Game Records'!$U$5:$U$504,A16)</f>
        <v/>
      </c>
    </row>
    <row r="17">
      <c r="A17" s="296" t="inlineStr">
        <is>
          <t>Disqualified / Loss</t>
        </is>
      </c>
      <c r="B17" s="382">
        <f>COUNTIFS('Game Records'!$U$5:$U$504,"Disqualified")</f>
        <v/>
      </c>
    </row>
    <row r="18">
      <c r="A18" s="296" t="inlineStr">
        <is>
          <t>Subscription</t>
        </is>
      </c>
      <c r="B18" s="382">
        <f>COUNTIFS('Game Records'!$U$5:$U$504,A18)</f>
        <v/>
      </c>
    </row>
    <row r="21">
      <c r="A21" s="27" t="inlineStr">
        <is>
          <t>How to read this sheet</t>
        </is>
      </c>
      <c r="B21" s="1" t="n"/>
      <c r="C21" s="1" t="n"/>
      <c r="D21" s="1" t="n"/>
      <c r="E21" s="1" t="n"/>
      <c r="F21" s="1" t="n"/>
      <c r="G21" s="1" t="n"/>
      <c r="H21" s="1" t="n"/>
    </row>
    <row r="22" ht="26" customHeight="1" s="270">
      <c r="A22" s="37" t="inlineStr">
        <is>
          <t>Total Profit adds positive Profit amounts. Net Profit subtracts Entry Fees only for Disqualified entries. Draw includes eligible entries at or below Entry Fee. Formula columns in Game Records update from columns A through M.</t>
        </is>
      </c>
      <c r="B22" s="1" t="n"/>
      <c r="C22" s="1" t="n"/>
      <c r="D22" s="1" t="n"/>
      <c r="E22" s="1" t="n"/>
      <c r="F22" s="1" t="n"/>
      <c r="G22" s="1" t="n"/>
      <c r="H22" s="1" t="n"/>
    </row>
    <row r="23" ht="26" customHeight="1" s="270">
      <c r="A23" s="1" t="n"/>
      <c r="H23" s="1" t="n"/>
    </row>
    <row r="24" ht="26" customHeight="1" s="270">
      <c r="A24" s="1" t="n"/>
      <c r="H24" s="1" t="n"/>
    </row>
    <row r="25" ht="26" customHeight="1" s="270">
      <c r="A25" s="1" t="n"/>
      <c r="B25" s="1" t="n"/>
      <c r="C25" s="1" t="n"/>
      <c r="D25" s="1" t="n"/>
      <c r="E25" s="1" t="n"/>
      <c r="F25" s="1" t="n"/>
      <c r="G25" s="1" t="n"/>
      <c r="H25" s="1" t="n"/>
    </row>
    <row r="27" ht="12" customHeight="1" s="270"/>
  </sheetData>
  <mergeCells count="21">
    <mergeCell ref="A5:B6"/>
    <mergeCell ref="G5:H6"/>
    <mergeCell ref="A1:H1"/>
    <mergeCell ref="G8:H8"/>
    <mergeCell ref="E8:F8"/>
    <mergeCell ref="C4:D4"/>
    <mergeCell ref="E4:F4"/>
    <mergeCell ref="A22:H25"/>
    <mergeCell ref="A9:B10"/>
    <mergeCell ref="G9:H10"/>
    <mergeCell ref="A21:H21"/>
    <mergeCell ref="A2:H2"/>
    <mergeCell ref="C5:D6"/>
    <mergeCell ref="E5:F6"/>
    <mergeCell ref="A8:B8"/>
    <mergeCell ref="C8:D8"/>
    <mergeCell ref="A4:B4"/>
    <mergeCell ref="G4:H4"/>
    <mergeCell ref="A13:B13"/>
    <mergeCell ref="C9:D10"/>
    <mergeCell ref="E9:F10"/>
  </mergeCells>
  <pageMargins left="0.7" right="0.7" top="0.75" bottom="0.75" header="0.3" footer="0.3"/>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Z53"/>
  <sheetViews>
    <sheetView workbookViewId="0">
      <selection activeCell="A1" sqref="A1"/>
    </sheetView>
  </sheetViews>
  <sheetFormatPr baseColWidth="8" defaultRowHeight="15"/>
  <cols>
    <col width="22" customWidth="1" style="270" min="1" max="1"/>
    <col width="9" customWidth="1" style="270" min="2" max="2"/>
    <col width="15" customWidth="1" style="270" min="3" max="3"/>
    <col width="17" customWidth="1" style="270" min="4" max="4"/>
    <col width="11" customWidth="1" style="270" min="5" max="5"/>
    <col width="11" customWidth="1" style="270" min="6" max="6"/>
    <col width="11" customWidth="1" style="270" min="7" max="7"/>
    <col width="11" customWidth="1" style="270" min="8" max="8"/>
  </cols>
  <sheetData>
    <row r="1">
      <c r="A1" s="246" t="inlineStr">
        <is>
          <t>Game Comparisons</t>
        </is>
      </c>
      <c r="B1" s="1" t="n"/>
      <c r="C1" s="1" t="n"/>
      <c r="D1" s="1" t="n"/>
      <c r="E1" s="1" t="n"/>
      <c r="F1" s="1" t="n"/>
      <c r="G1" s="1" t="n"/>
      <c r="H1" s="1" t="n"/>
      <c r="I1" s="367" t="n"/>
      <c r="J1" s="367" t="n"/>
      <c r="K1" s="367" t="n"/>
      <c r="L1" s="367" t="n"/>
      <c r="M1" s="367" t="n"/>
      <c r="N1" s="367" t="n"/>
      <c r="O1" s="367" t="n"/>
      <c r="P1" s="367" t="n"/>
      <c r="Q1" s="367" t="n"/>
      <c r="R1" s="367" t="n"/>
      <c r="S1" s="367" t="n"/>
      <c r="T1" s="367" t="n"/>
      <c r="U1" s="367" t="n"/>
      <c r="V1" s="367" t="n"/>
      <c r="W1" s="367" t="n"/>
      <c r="X1" s="367" t="n"/>
      <c r="Y1" s="367" t="n"/>
      <c r="Z1" s="367" t="n"/>
    </row>
    <row r="2">
      <c r="A2" s="37" t="inlineStr">
        <is>
          <t>Compares completed games by category. Blank categories stay empty until matching records are added.</t>
        </is>
      </c>
      <c r="B2" s="1" t="n"/>
      <c r="C2" s="1" t="n"/>
      <c r="D2" s="1" t="n"/>
      <c r="E2" s="1" t="n"/>
      <c r="F2" s="1" t="n"/>
      <c r="G2" s="1" t="n"/>
      <c r="H2" s="1" t="n"/>
    </row>
    <row r="4">
      <c r="A4" s="27" t="inlineStr">
        <is>
          <t>Game Type</t>
        </is>
      </c>
      <c r="B4" s="1" t="n"/>
      <c r="C4" s="1" t="n"/>
      <c r="D4" s="1" t="n"/>
      <c r="E4" s="1" t="n"/>
      <c r="F4" s="1" t="n"/>
      <c r="G4" s="1" t="n"/>
      <c r="H4" s="1" t="n"/>
    </row>
    <row r="5">
      <c r="A5" s="318" t="inlineStr">
        <is>
          <t>Category</t>
        </is>
      </c>
      <c r="B5" s="293" t="inlineStr">
        <is>
          <t>Games</t>
        </is>
      </c>
      <c r="C5" s="319" t="inlineStr">
        <is>
          <t>Total Net Profit</t>
        </is>
      </c>
      <c r="D5" s="319" t="inlineStr">
        <is>
          <t>Average Net Profit</t>
        </is>
      </c>
      <c r="E5" s="321" t="inlineStr">
        <is>
          <t>Average ROI</t>
        </is>
      </c>
      <c r="F5" s="321" t="inlineStr">
        <is>
          <t>Profit Rate</t>
        </is>
      </c>
      <c r="G5" s="321" t="inlineStr">
        <is>
          <t>Draw Rate</t>
        </is>
      </c>
      <c r="H5" s="321" t="inlineStr">
        <is>
          <t>Loss Rate</t>
        </is>
      </c>
    </row>
    <row r="6">
      <c r="A6" s="297" t="inlineStr">
        <is>
          <t>Member</t>
        </is>
      </c>
      <c r="B6" s="382">
        <f>COUNTIFS('Game Records'!$A$5:$A$504,"&lt;&gt;",'Game Records'!$U$5:$U$504,"&lt;&gt;Subscription",'Game Records'!$E$5:$E$504,"Member")</f>
        <v/>
      </c>
      <c r="C6" s="349">
        <f>SUMIFS('Game Records'!$W$5:$W$504,'Game Records'!$A$5:$A$504,"&lt;&gt;",'Game Records'!$U$5:$U$504,"&lt;&gt;Subscription",'Game Records'!$E$5:$E$504,"Member")</f>
        <v/>
      </c>
      <c r="D6" s="349">
        <f>IF(B6=0,"",C6/B6)</f>
        <v/>
      </c>
      <c r="E6" s="300">
        <f>IF(COUNTIFS('Game Records'!$A$5:$A$504,"&lt;&gt;",'Game Records'!$U$5:$U$504,"&lt;&gt;Subscription",'Game Records'!$E$5:$E$504,"Member",'Game Records'!$T$5:$T$504,"&lt;&gt;")=0,"",SUMIFS('Game Records'!$T$5:$T$504,'Game Records'!$A$5:$A$504,"&lt;&gt;",'Game Records'!$U$5:$U$504,"&lt;&gt;Subscription",'Game Records'!$E$5:$E$504,"Member",'Game Records'!$T$5:$T$504,"&lt;&gt;")/COUNTIFS('Game Records'!$A$5:$A$504,"&lt;&gt;",'Game Records'!$U$5:$U$504,"&lt;&gt;Subscription",'Game Records'!$E$5:$E$504,"Member",'Game Records'!$T$5:$T$504,"&lt;&gt;"))</f>
        <v/>
      </c>
      <c r="F6" s="300">
        <f>IF(B6=0,"",COUNTIFS('Game Records'!$A$5:$A$504,"&lt;&gt;",'Game Records'!$U$5:$U$504,"&lt;&gt;Subscription",'Game Records'!$E$5:$E$504,"Member",'Game Records'!$U$5:$U$504,"Profit")/B6)</f>
        <v/>
      </c>
      <c r="G6" s="300">
        <f>IF(B6=0,"",COUNTIFS('Game Records'!$A$5:$A$504,"&lt;&gt;",'Game Records'!$U$5:$U$504,"&lt;&gt;Subscription",'Game Records'!$E$5:$E$504,"Member",'Game Records'!$U$5:$U$504,"Draw")/B6)</f>
        <v/>
      </c>
      <c r="H6" s="300">
        <f>IF(B6=0,"",COUNTIFS('Game Records'!$A$5:$A$504,"&lt;&gt;",'Game Records'!$U$5:$U$504,"&lt;&gt;Subscription",'Game Records'!$E$5:$E$504,"Member",'Game Records'!$U$5:$U$504,"Disqualified")/B6)</f>
        <v/>
      </c>
    </row>
    <row r="7">
      <c r="A7" s="297" t="inlineStr">
        <is>
          <t>Non-Member</t>
        </is>
      </c>
      <c r="B7" s="382">
        <f>COUNTIFS('Game Records'!$A$5:$A$504,"&lt;&gt;",'Game Records'!$U$5:$U$504,"&lt;&gt;Subscription",'Game Records'!$E$5:$E$504,"Non-Member")</f>
        <v/>
      </c>
      <c r="C7" s="349">
        <f>SUMIFS('Game Records'!$W$5:$W$504,'Game Records'!$A$5:$A$504,"&lt;&gt;",'Game Records'!$U$5:$U$504,"&lt;&gt;Subscription",'Game Records'!$E$5:$E$504,"Non-Member")</f>
        <v/>
      </c>
      <c r="D7" s="349">
        <f>IF(B7=0,"",C7/B7)</f>
        <v/>
      </c>
      <c r="E7" s="300">
        <f>IF(COUNTIFS('Game Records'!$A$5:$A$504,"&lt;&gt;",'Game Records'!$U$5:$U$504,"&lt;&gt;Subscription",'Game Records'!$E$5:$E$504,"Non-Member",'Game Records'!$T$5:$T$504,"&lt;&gt;")=0,"",SUMIFS('Game Records'!$T$5:$T$504,'Game Records'!$A$5:$A$504,"&lt;&gt;",'Game Records'!$U$5:$U$504,"&lt;&gt;Subscription",'Game Records'!$E$5:$E$504,"Non-Member",'Game Records'!$T$5:$T$504,"&lt;&gt;")/COUNTIFS('Game Records'!$A$5:$A$504,"&lt;&gt;",'Game Records'!$U$5:$U$504,"&lt;&gt;Subscription",'Game Records'!$E$5:$E$504,"Non-Member",'Game Records'!$T$5:$T$504,"&lt;&gt;"))</f>
        <v/>
      </c>
      <c r="F7" s="300">
        <f>IF(B7=0,"",COUNTIFS('Game Records'!$A$5:$A$504,"&lt;&gt;",'Game Records'!$U$5:$U$504,"&lt;&gt;Subscription",'Game Records'!$E$5:$E$504,"Non-Member",'Game Records'!$U$5:$U$504,"Profit")/B7)</f>
        <v/>
      </c>
      <c r="G7" s="300">
        <f>IF(B7=0,"",COUNTIFS('Game Records'!$A$5:$A$504,"&lt;&gt;",'Game Records'!$U$5:$U$504,"&lt;&gt;Subscription",'Game Records'!$E$5:$E$504,"Non-Member",'Game Records'!$U$5:$U$504,"Draw")/B7)</f>
        <v/>
      </c>
      <c r="H7" s="300">
        <f>IF(B7=0,"",COUNTIFS('Game Records'!$A$5:$A$504,"&lt;&gt;",'Game Records'!$U$5:$U$504,"&lt;&gt;Subscription",'Game Records'!$E$5:$E$504,"Non-Member",'Game Records'!$U$5:$U$504,"Disqualified")/B7)</f>
        <v/>
      </c>
    </row>
    <row r="8">
      <c r="A8" s="297" t="n"/>
      <c r="B8" s="382" t="n"/>
      <c r="C8" s="349" t="n"/>
      <c r="D8" s="349" t="n"/>
      <c r="E8" s="300" t="n"/>
      <c r="F8" s="300" t="n"/>
      <c r="G8" s="300" t="n"/>
      <c r="H8" s="300" t="n"/>
    </row>
    <row r="9">
      <c r="A9" s="297" t="n"/>
      <c r="B9" s="382" t="n"/>
      <c r="C9" s="349" t="n"/>
      <c r="D9" s="349" t="n"/>
      <c r="E9" s="300" t="n"/>
      <c r="F9" s="300" t="n"/>
      <c r="G9" s="300" t="n"/>
      <c r="H9" s="300" t="n"/>
    </row>
    <row r="10">
      <c r="A10" s="94" t="inlineStr">
        <is>
          <t>Challenge Length</t>
        </is>
      </c>
      <c r="B10" s="1" t="n"/>
      <c r="C10" s="1" t="n"/>
      <c r="D10" s="1" t="n"/>
      <c r="E10" s="1" t="n"/>
      <c r="F10" s="1" t="n"/>
      <c r="G10" s="1" t="n"/>
      <c r="H10" s="1" t="n"/>
    </row>
    <row r="11">
      <c r="A11" s="318" t="inlineStr">
        <is>
          <t>Category</t>
        </is>
      </c>
      <c r="B11" s="389" t="inlineStr">
        <is>
          <t>Games</t>
        </is>
      </c>
      <c r="C11" s="391" t="inlineStr">
        <is>
          <t>Total Net Profit</t>
        </is>
      </c>
      <c r="D11" s="391" t="inlineStr">
        <is>
          <t>Average Net Profit</t>
        </is>
      </c>
      <c r="E11" s="321" t="inlineStr">
        <is>
          <t>Average ROI</t>
        </is>
      </c>
      <c r="F11" s="321" t="inlineStr">
        <is>
          <t>Profit Rate</t>
        </is>
      </c>
      <c r="G11" s="321" t="inlineStr">
        <is>
          <t>Draw Rate</t>
        </is>
      </c>
      <c r="H11" s="321" t="inlineStr">
        <is>
          <t>Loss Rate</t>
        </is>
      </c>
    </row>
    <row r="12">
      <c r="A12" s="297" t="inlineStr">
        <is>
          <t>1 Week</t>
        </is>
      </c>
      <c r="B12" s="382">
        <f>COUNTIFS('Game Records'!$A$5:$A$504,"&lt;&gt;",'Game Records'!$U$5:$U$504,"&lt;&gt;Subscription",'Game Records'!$V$5:$V$504,1)</f>
        <v/>
      </c>
      <c r="C12" s="349">
        <f>SUMIFS('Game Records'!$W$5:$W$504,'Game Records'!$A$5:$A$504,"&lt;&gt;",'Game Records'!$U$5:$U$504,"&lt;&gt;Subscription",'Game Records'!$V$5:$V$504,1)</f>
        <v/>
      </c>
      <c r="D12" s="349">
        <f>IF(B12=0,"",C12/B12)</f>
        <v/>
      </c>
      <c r="E12" s="300">
        <f>IF(COUNTIFS('Game Records'!$A$5:$A$504,"&lt;&gt;",'Game Records'!$U$5:$U$504,"&lt;&gt;Subscription",'Game Records'!$V$5:$V$504,1,'Game Records'!$T$5:$T$504,"&lt;&gt;")=0,"",SUMIFS('Game Records'!$T$5:$T$504,'Game Records'!$A$5:$A$504,"&lt;&gt;",'Game Records'!$U$5:$U$504,"&lt;&gt;Subscription",'Game Records'!$V$5:$V$504,1,'Game Records'!$T$5:$T$504,"&lt;&gt;")/COUNTIFS('Game Records'!$A$5:$A$504,"&lt;&gt;",'Game Records'!$U$5:$U$504,"&lt;&gt;Subscription",'Game Records'!$V$5:$V$504,1,'Game Records'!$T$5:$T$504,"&lt;&gt;"))</f>
        <v/>
      </c>
      <c r="F12" s="300">
        <f>IF(B12=0,"",COUNTIFS('Game Records'!$A$5:$A$504,"&lt;&gt;",'Game Records'!$U$5:$U$504,"&lt;&gt;Subscription",'Game Records'!$V$5:$V$504,1,'Game Records'!$U$5:$U$504,"Profit")/B12)</f>
        <v/>
      </c>
      <c r="G12" s="300">
        <f>IF(B12=0,"",COUNTIFS('Game Records'!$A$5:$A$504,"&lt;&gt;",'Game Records'!$U$5:$U$504,"&lt;&gt;Subscription",'Game Records'!$V$5:$V$504,1,'Game Records'!$U$5:$U$504,"Draw")/B12)</f>
        <v/>
      </c>
      <c r="H12" s="300">
        <f>IF(B12=0,"",COUNTIFS('Game Records'!$A$5:$A$504,"&lt;&gt;",'Game Records'!$U$5:$U$504,"&lt;&gt;Subscription",'Game Records'!$V$5:$V$504,1,'Game Records'!$U$5:$U$504,"Disqualified")/B12)</f>
        <v/>
      </c>
    </row>
    <row r="13">
      <c r="A13" s="297" t="inlineStr">
        <is>
          <t>2 Weeks</t>
        </is>
      </c>
      <c r="B13" s="382">
        <f>COUNTIFS('Game Records'!$A$5:$A$504,"&lt;&gt;",'Game Records'!$U$5:$U$504,"&lt;&gt;Subscription",'Game Records'!$V$5:$V$504,2)</f>
        <v/>
      </c>
      <c r="C13" s="349">
        <f>SUMIFS('Game Records'!$W$5:$W$504,'Game Records'!$A$5:$A$504,"&lt;&gt;",'Game Records'!$U$5:$U$504,"&lt;&gt;Subscription",'Game Records'!$V$5:$V$504,2)</f>
        <v/>
      </c>
      <c r="D13" s="349">
        <f>IF(B13=0,"",C13/B13)</f>
        <v/>
      </c>
      <c r="E13" s="300">
        <f>IF(COUNTIFS('Game Records'!$A$5:$A$504,"&lt;&gt;",'Game Records'!$U$5:$U$504,"&lt;&gt;Subscription",'Game Records'!$V$5:$V$504,2,'Game Records'!$T$5:$T$504,"&lt;&gt;")=0,"",SUMIFS('Game Records'!$T$5:$T$504,'Game Records'!$A$5:$A$504,"&lt;&gt;",'Game Records'!$U$5:$U$504,"&lt;&gt;Subscription",'Game Records'!$V$5:$V$504,2,'Game Records'!$T$5:$T$504,"&lt;&gt;")/COUNTIFS('Game Records'!$A$5:$A$504,"&lt;&gt;",'Game Records'!$U$5:$U$504,"&lt;&gt;Subscription",'Game Records'!$V$5:$V$504,2,'Game Records'!$T$5:$T$504,"&lt;&gt;"))</f>
        <v/>
      </c>
      <c r="F13" s="300">
        <f>IF(B13=0,"",COUNTIFS('Game Records'!$A$5:$A$504,"&lt;&gt;",'Game Records'!$U$5:$U$504,"&lt;&gt;Subscription",'Game Records'!$V$5:$V$504,2,'Game Records'!$U$5:$U$504,"Profit")/B13)</f>
        <v/>
      </c>
      <c r="G13" s="300">
        <f>IF(B13=0,"",COUNTIFS('Game Records'!$A$5:$A$504,"&lt;&gt;",'Game Records'!$U$5:$U$504,"&lt;&gt;Subscription",'Game Records'!$V$5:$V$504,2,'Game Records'!$U$5:$U$504,"Draw")/B13)</f>
        <v/>
      </c>
      <c r="H13" s="300">
        <f>IF(B13=0,"",COUNTIFS('Game Records'!$A$5:$A$504,"&lt;&gt;",'Game Records'!$U$5:$U$504,"&lt;&gt;Subscription",'Game Records'!$V$5:$V$504,2,'Game Records'!$U$5:$U$504,"Disqualified")/B13)</f>
        <v/>
      </c>
    </row>
    <row r="14">
      <c r="A14" s="297" t="inlineStr">
        <is>
          <t>3 Weeks</t>
        </is>
      </c>
      <c r="B14" s="382">
        <f>COUNTIFS('Game Records'!$A$5:$A$504,"&lt;&gt;",'Game Records'!$U$5:$U$504,"&lt;&gt;Subscription",'Game Records'!$V$5:$V$504,3)</f>
        <v/>
      </c>
      <c r="C14" s="349">
        <f>SUMIFS('Game Records'!$W$5:$W$504,'Game Records'!$A$5:$A$504,"&lt;&gt;",'Game Records'!$U$5:$U$504,"&lt;&gt;Subscription",'Game Records'!$V$5:$V$504,3)</f>
        <v/>
      </c>
      <c r="D14" s="349">
        <f>IF(B14=0,"",C14/B14)</f>
        <v/>
      </c>
      <c r="E14" s="300">
        <f>IF(COUNTIFS('Game Records'!$A$5:$A$504,"&lt;&gt;",'Game Records'!$U$5:$U$504,"&lt;&gt;Subscription",'Game Records'!$V$5:$V$504,3,'Game Records'!$T$5:$T$504,"&lt;&gt;")=0,"",SUMIFS('Game Records'!$T$5:$T$504,'Game Records'!$A$5:$A$504,"&lt;&gt;",'Game Records'!$U$5:$U$504,"&lt;&gt;Subscription",'Game Records'!$V$5:$V$504,3,'Game Records'!$T$5:$T$504,"&lt;&gt;")/COUNTIFS('Game Records'!$A$5:$A$504,"&lt;&gt;",'Game Records'!$U$5:$U$504,"&lt;&gt;Subscription",'Game Records'!$V$5:$V$504,3,'Game Records'!$T$5:$T$504,"&lt;&gt;"))</f>
        <v/>
      </c>
      <c r="F14" s="300">
        <f>IF(B14=0,"",COUNTIFS('Game Records'!$A$5:$A$504,"&lt;&gt;",'Game Records'!$U$5:$U$504,"&lt;&gt;Subscription",'Game Records'!$V$5:$V$504,3,'Game Records'!$U$5:$U$504,"Profit")/B14)</f>
        <v/>
      </c>
      <c r="G14" s="300">
        <f>IF(B14=0,"",COUNTIFS('Game Records'!$A$5:$A$504,"&lt;&gt;",'Game Records'!$U$5:$U$504,"&lt;&gt;Subscription",'Game Records'!$V$5:$V$504,3,'Game Records'!$U$5:$U$504,"Draw")/B14)</f>
        <v/>
      </c>
      <c r="H14" s="300">
        <f>IF(B14=0,"",COUNTIFS('Game Records'!$A$5:$A$504,"&lt;&gt;",'Game Records'!$U$5:$U$504,"&lt;&gt;Subscription",'Game Records'!$V$5:$V$504,3,'Game Records'!$U$5:$U$504,"Disqualified")/B14)</f>
        <v/>
      </c>
    </row>
    <row r="15">
      <c r="A15" s="297" t="inlineStr">
        <is>
          <t>4 Weeks</t>
        </is>
      </c>
      <c r="B15" s="382">
        <f>COUNTIFS('Game Records'!$A$5:$A$504,"&lt;&gt;",'Game Records'!$U$5:$U$504,"&lt;&gt;Subscription",'Game Records'!$V$5:$V$504,4)</f>
        <v/>
      </c>
      <c r="C15" s="349">
        <f>SUMIFS('Game Records'!$W$5:$W$504,'Game Records'!$A$5:$A$504,"&lt;&gt;",'Game Records'!$U$5:$U$504,"&lt;&gt;Subscription",'Game Records'!$V$5:$V$504,4)</f>
        <v/>
      </c>
      <c r="D15" s="349">
        <f>IF(B15=0,"",C15/B15)</f>
        <v/>
      </c>
      <c r="E15" s="300">
        <f>IF(COUNTIFS('Game Records'!$A$5:$A$504,"&lt;&gt;",'Game Records'!$U$5:$U$504,"&lt;&gt;Subscription",'Game Records'!$V$5:$V$504,4,'Game Records'!$T$5:$T$504,"&lt;&gt;")=0,"",SUMIFS('Game Records'!$T$5:$T$504,'Game Records'!$A$5:$A$504,"&lt;&gt;",'Game Records'!$U$5:$U$504,"&lt;&gt;Subscription",'Game Records'!$V$5:$V$504,4,'Game Records'!$T$5:$T$504,"&lt;&gt;")/COUNTIFS('Game Records'!$A$5:$A$504,"&lt;&gt;",'Game Records'!$U$5:$U$504,"&lt;&gt;Subscription",'Game Records'!$V$5:$V$504,4,'Game Records'!$T$5:$T$504,"&lt;&gt;"))</f>
        <v/>
      </c>
      <c r="F15" s="300">
        <f>IF(B15=0,"",COUNTIFS('Game Records'!$A$5:$A$504,"&lt;&gt;",'Game Records'!$U$5:$U$504,"&lt;&gt;Subscription",'Game Records'!$V$5:$V$504,4,'Game Records'!$U$5:$U$504,"Profit")/B15)</f>
        <v/>
      </c>
      <c r="G15" s="300">
        <f>IF(B15=0,"",COUNTIFS('Game Records'!$A$5:$A$504,"&lt;&gt;",'Game Records'!$U$5:$U$504,"&lt;&gt;Subscription",'Game Records'!$V$5:$V$504,4,'Game Records'!$U$5:$U$504,"Draw")/B15)</f>
        <v/>
      </c>
      <c r="H15" s="300">
        <f>IF(B15=0,"",COUNTIFS('Game Records'!$A$5:$A$504,"&lt;&gt;",'Game Records'!$U$5:$U$504,"&lt;&gt;Subscription",'Game Records'!$V$5:$V$504,4,'Game Records'!$U$5:$U$504,"Disqualified")/B15)</f>
        <v/>
      </c>
    </row>
    <row r="16">
      <c r="A16" s="297" t="inlineStr">
        <is>
          <t>5 Weeks</t>
        </is>
      </c>
      <c r="B16" s="382">
        <f>COUNTIFS('Game Records'!$A$5:$A$504,"&lt;&gt;",'Game Records'!$U$5:$U$504,"&lt;&gt;Subscription",'Game Records'!$V$5:$V$504,5)</f>
        <v/>
      </c>
      <c r="C16" s="349">
        <f>SUMIFS('Game Records'!$W$5:$W$504,'Game Records'!$A$5:$A$504,"&lt;&gt;",'Game Records'!$U$5:$U$504,"&lt;&gt;Subscription",'Game Records'!$V$5:$V$504,5)</f>
        <v/>
      </c>
      <c r="D16" s="349">
        <f>IF(B16=0,"",C16/B16)</f>
        <v/>
      </c>
      <c r="E16" s="300">
        <f>IF(COUNTIFS('Game Records'!$A$5:$A$504,"&lt;&gt;",'Game Records'!$U$5:$U$504,"&lt;&gt;Subscription",'Game Records'!$V$5:$V$504,5,'Game Records'!$T$5:$T$504,"&lt;&gt;")=0,"",SUMIFS('Game Records'!$T$5:$T$504,'Game Records'!$A$5:$A$504,"&lt;&gt;",'Game Records'!$U$5:$U$504,"&lt;&gt;Subscription",'Game Records'!$V$5:$V$504,5,'Game Records'!$T$5:$T$504,"&lt;&gt;")/COUNTIFS('Game Records'!$A$5:$A$504,"&lt;&gt;",'Game Records'!$U$5:$U$504,"&lt;&gt;Subscription",'Game Records'!$V$5:$V$504,5,'Game Records'!$T$5:$T$504,"&lt;&gt;"))</f>
        <v/>
      </c>
      <c r="F16" s="300">
        <f>IF(B16=0,"",COUNTIFS('Game Records'!$A$5:$A$504,"&lt;&gt;",'Game Records'!$U$5:$U$504,"&lt;&gt;Subscription",'Game Records'!$V$5:$V$504,5,'Game Records'!$U$5:$U$504,"Profit")/B16)</f>
        <v/>
      </c>
      <c r="G16" s="300">
        <f>IF(B16=0,"",COUNTIFS('Game Records'!$A$5:$A$504,"&lt;&gt;",'Game Records'!$U$5:$U$504,"&lt;&gt;Subscription",'Game Records'!$V$5:$V$504,5,'Game Records'!$U$5:$U$504,"Draw")/B16)</f>
        <v/>
      </c>
      <c r="H16" s="300">
        <f>IF(B16=0,"",COUNTIFS('Game Records'!$A$5:$A$504,"&lt;&gt;",'Game Records'!$U$5:$U$504,"&lt;&gt;Subscription",'Game Records'!$V$5:$V$504,5,'Game Records'!$U$5:$U$504,"Disqualified")/B16)</f>
        <v/>
      </c>
    </row>
    <row r="17">
      <c r="A17" s="297" t="inlineStr">
        <is>
          <t>6 Weeks</t>
        </is>
      </c>
      <c r="B17" s="382">
        <f>COUNTIFS('Game Records'!$A$5:$A$504,"&lt;&gt;",'Game Records'!$U$5:$U$504,"&lt;&gt;Subscription",'Game Records'!$V$5:$V$504,6)</f>
        <v/>
      </c>
      <c r="C17" s="349">
        <f>SUMIFS('Game Records'!$W$5:$W$504,'Game Records'!$A$5:$A$504,"&lt;&gt;",'Game Records'!$U$5:$U$504,"&lt;&gt;Subscription",'Game Records'!$V$5:$V$504,6)</f>
        <v/>
      </c>
      <c r="D17" s="349">
        <f>IF(B17=0,"",C17/B17)</f>
        <v/>
      </c>
      <c r="E17" s="300">
        <f>IF(COUNTIFS('Game Records'!$A$5:$A$504,"&lt;&gt;",'Game Records'!$U$5:$U$504,"&lt;&gt;Subscription",'Game Records'!$V$5:$V$504,6,'Game Records'!$T$5:$T$504,"&lt;&gt;")=0,"",SUMIFS('Game Records'!$T$5:$T$504,'Game Records'!$A$5:$A$504,"&lt;&gt;",'Game Records'!$U$5:$U$504,"&lt;&gt;Subscription",'Game Records'!$V$5:$V$504,6,'Game Records'!$T$5:$T$504,"&lt;&gt;")/COUNTIFS('Game Records'!$A$5:$A$504,"&lt;&gt;",'Game Records'!$U$5:$U$504,"&lt;&gt;Subscription",'Game Records'!$V$5:$V$504,6,'Game Records'!$T$5:$T$504,"&lt;&gt;"))</f>
        <v/>
      </c>
      <c r="F17" s="300">
        <f>IF(B17=0,"",COUNTIFS('Game Records'!$A$5:$A$504,"&lt;&gt;",'Game Records'!$U$5:$U$504,"&lt;&gt;Subscription",'Game Records'!$V$5:$V$504,6,'Game Records'!$U$5:$U$504,"Profit")/B17)</f>
        <v/>
      </c>
      <c r="G17" s="300">
        <f>IF(B17=0,"",COUNTIFS('Game Records'!$A$5:$A$504,"&lt;&gt;",'Game Records'!$U$5:$U$504,"&lt;&gt;Subscription",'Game Records'!$V$5:$V$504,6,'Game Records'!$U$5:$U$504,"Draw")/B17)</f>
        <v/>
      </c>
      <c r="H17" s="300">
        <f>IF(B17=0,"",COUNTIFS('Game Records'!$A$5:$A$504,"&lt;&gt;",'Game Records'!$U$5:$U$504,"&lt;&gt;Subscription",'Game Records'!$V$5:$V$504,6,'Game Records'!$U$5:$U$504,"Disqualified")/B17)</f>
        <v/>
      </c>
    </row>
    <row r="18">
      <c r="A18" s="297" t="inlineStr">
        <is>
          <t>7 Weeks</t>
        </is>
      </c>
      <c r="B18" s="382">
        <f>COUNTIFS('Game Records'!$A$5:$A$504,"&lt;&gt;",'Game Records'!$U$5:$U$504,"&lt;&gt;Subscription",'Game Records'!$V$5:$V$504,7)</f>
        <v/>
      </c>
      <c r="C18" s="349">
        <f>SUMIFS('Game Records'!$W$5:$W$504,'Game Records'!$A$5:$A$504,"&lt;&gt;",'Game Records'!$U$5:$U$504,"&lt;&gt;Subscription",'Game Records'!$V$5:$V$504,7)</f>
        <v/>
      </c>
      <c r="D18" s="349">
        <f>IF(B18=0,"",C18/B18)</f>
        <v/>
      </c>
      <c r="E18" s="300">
        <f>IF(COUNTIFS('Game Records'!$A$5:$A$504,"&lt;&gt;",'Game Records'!$U$5:$U$504,"&lt;&gt;Subscription",'Game Records'!$V$5:$V$504,7,'Game Records'!$T$5:$T$504,"&lt;&gt;")=0,"",SUMIFS('Game Records'!$T$5:$T$504,'Game Records'!$A$5:$A$504,"&lt;&gt;",'Game Records'!$U$5:$U$504,"&lt;&gt;Subscription",'Game Records'!$V$5:$V$504,7,'Game Records'!$T$5:$T$504,"&lt;&gt;")/COUNTIFS('Game Records'!$A$5:$A$504,"&lt;&gt;",'Game Records'!$U$5:$U$504,"&lt;&gt;Subscription",'Game Records'!$V$5:$V$504,7,'Game Records'!$T$5:$T$504,"&lt;&gt;"))</f>
        <v/>
      </c>
      <c r="F18" s="300">
        <f>IF(B18=0,"",COUNTIFS('Game Records'!$A$5:$A$504,"&lt;&gt;",'Game Records'!$U$5:$U$504,"&lt;&gt;Subscription",'Game Records'!$V$5:$V$504,7,'Game Records'!$U$5:$U$504,"Profit")/B18)</f>
        <v/>
      </c>
      <c r="G18" s="300">
        <f>IF(B18=0,"",COUNTIFS('Game Records'!$A$5:$A$504,"&lt;&gt;",'Game Records'!$U$5:$U$504,"&lt;&gt;Subscription",'Game Records'!$V$5:$V$504,7,'Game Records'!$U$5:$U$504,"Draw")/B18)</f>
        <v/>
      </c>
      <c r="H18" s="300">
        <f>IF(B18=0,"",COUNTIFS('Game Records'!$A$5:$A$504,"&lt;&gt;",'Game Records'!$U$5:$U$504,"&lt;&gt;Subscription",'Game Records'!$V$5:$V$504,7,'Game Records'!$U$5:$U$504,"Disqualified")/B18)</f>
        <v/>
      </c>
    </row>
    <row r="19">
      <c r="A19" s="297" t="inlineStr">
        <is>
          <t>8+ Weeks</t>
        </is>
      </c>
      <c r="B19" s="382">
        <f>COUNTIFS('Game Records'!$A$5:$A$504,"&lt;&gt;",'Game Records'!$U$5:$U$504,"&lt;&gt;Subscription",'Game Records'!$V$5:$V$504,"&gt;=8")</f>
        <v/>
      </c>
      <c r="C19" s="349">
        <f>SUMIFS('Game Records'!$W$5:$W$504,'Game Records'!$A$5:$A$504,"&lt;&gt;",'Game Records'!$U$5:$U$504,"&lt;&gt;Subscription",'Game Records'!$V$5:$V$504,"&gt;=8")</f>
        <v/>
      </c>
      <c r="D19" s="349">
        <f>IF(B19=0,"",C19/B19)</f>
        <v/>
      </c>
      <c r="E19" s="300">
        <f>IF(COUNTIFS('Game Records'!$A$5:$A$504,"&lt;&gt;",'Game Records'!$U$5:$U$504,"&lt;&gt;Subscription",'Game Records'!$V$5:$V$504,"&gt;=8",'Game Records'!$T$5:$T$504,"&lt;&gt;")=0,"",SUMIFS('Game Records'!$T$5:$T$504,'Game Records'!$A$5:$A$504,"&lt;&gt;",'Game Records'!$U$5:$U$504,"&lt;&gt;Subscription",'Game Records'!$V$5:$V$504,"&gt;=8",'Game Records'!$T$5:$T$504,"&lt;&gt;")/COUNTIFS('Game Records'!$A$5:$A$504,"&lt;&gt;",'Game Records'!$U$5:$U$504,"&lt;&gt;Subscription",'Game Records'!$V$5:$V$504,"&gt;=8",'Game Records'!$T$5:$T$504,"&lt;&gt;"))</f>
        <v/>
      </c>
      <c r="F19" s="300">
        <f>IF(B19=0,"",COUNTIFS('Game Records'!$A$5:$A$504,"&lt;&gt;",'Game Records'!$U$5:$U$504,"&lt;&gt;Subscription",'Game Records'!$V$5:$V$504,"&gt;=8",'Game Records'!$U$5:$U$504,"Profit")/B19)</f>
        <v/>
      </c>
      <c r="G19" s="300">
        <f>IF(B19=0,"",COUNTIFS('Game Records'!$A$5:$A$504,"&lt;&gt;",'Game Records'!$U$5:$U$504,"&lt;&gt;Subscription",'Game Records'!$V$5:$V$504,"&gt;=8",'Game Records'!$U$5:$U$504,"Draw")/B19)</f>
        <v/>
      </c>
      <c r="H19" s="300">
        <f>IF(B19=0,"",COUNTIFS('Game Records'!$A$5:$A$504,"&lt;&gt;",'Game Records'!$U$5:$U$504,"&lt;&gt;Subscription",'Game Records'!$V$5:$V$504,"&gt;=8",'Game Records'!$U$5:$U$504,"Disqualified")/B19)</f>
        <v/>
      </c>
    </row>
    <row r="20">
      <c r="A20" s="297" t="n"/>
      <c r="B20" s="382" t="n"/>
      <c r="C20" s="349" t="n"/>
      <c r="D20" s="349" t="n"/>
      <c r="E20" s="300" t="n"/>
      <c r="F20" s="300" t="n"/>
      <c r="G20" s="300" t="n"/>
      <c r="H20" s="300" t="n"/>
    </row>
    <row r="21">
      <c r="A21" s="297" t="n"/>
      <c r="B21" s="382" t="n"/>
      <c r="C21" s="349" t="n"/>
      <c r="D21" s="349" t="n"/>
      <c r="E21" s="300" t="n"/>
      <c r="F21" s="300" t="n"/>
      <c r="G21" s="300" t="n"/>
      <c r="H21" s="300" t="n"/>
    </row>
    <row r="22">
      <c r="A22" s="94" t="inlineStr">
        <is>
          <t>Entry Fee</t>
        </is>
      </c>
      <c r="B22" s="1" t="n"/>
      <c r="C22" s="1" t="n"/>
      <c r="D22" s="1" t="n"/>
      <c r="E22" s="1" t="n"/>
      <c r="F22" s="1" t="n"/>
      <c r="G22" s="1" t="n"/>
      <c r="H22" s="1" t="n"/>
    </row>
    <row r="23">
      <c r="A23" s="318" t="inlineStr">
        <is>
          <t>Category</t>
        </is>
      </c>
      <c r="B23" s="389" t="inlineStr">
        <is>
          <t>Games</t>
        </is>
      </c>
      <c r="C23" s="391" t="inlineStr">
        <is>
          <t>Total Net Profit</t>
        </is>
      </c>
      <c r="D23" s="391" t="inlineStr">
        <is>
          <t>Average Net Profit</t>
        </is>
      </c>
      <c r="E23" s="321" t="inlineStr">
        <is>
          <t>Average ROI</t>
        </is>
      </c>
      <c r="F23" s="321" t="inlineStr">
        <is>
          <t>Profit Rate</t>
        </is>
      </c>
      <c r="G23" s="321" t="inlineStr">
        <is>
          <t>Draw Rate</t>
        </is>
      </c>
      <c r="H23" s="321" t="inlineStr">
        <is>
          <t>Loss Rate</t>
        </is>
      </c>
    </row>
    <row r="24">
      <c r="A24" s="297" t="inlineStr">
        <is>
          <t>Free</t>
        </is>
      </c>
      <c r="B24" s="382">
        <f>COUNTIFS('Game Records'!$A$5:$A$504,"&lt;&gt;",'Game Records'!$U$5:$U$504,"&lt;&gt;Subscription",'Game Records'!$H$5:$H$504,0)</f>
        <v/>
      </c>
      <c r="C24" s="349">
        <f>SUMIFS('Game Records'!$W$5:$W$504,'Game Records'!$A$5:$A$504,"&lt;&gt;",'Game Records'!$U$5:$U$504,"&lt;&gt;Subscription",'Game Records'!$H$5:$H$504,0)</f>
        <v/>
      </c>
      <c r="D24" s="349">
        <f>IF(B24=0,"",C24/B24)</f>
        <v/>
      </c>
      <c r="E24" s="300">
        <f>IF(COUNTIFS('Game Records'!$A$5:$A$504,"&lt;&gt;",'Game Records'!$U$5:$U$504,"&lt;&gt;Subscription",'Game Records'!$H$5:$H$504,0,'Game Records'!$T$5:$T$504,"&lt;&gt;")=0,"",SUMIFS('Game Records'!$T$5:$T$504,'Game Records'!$A$5:$A$504,"&lt;&gt;",'Game Records'!$U$5:$U$504,"&lt;&gt;Subscription",'Game Records'!$H$5:$H$504,0,'Game Records'!$T$5:$T$504,"&lt;&gt;")/COUNTIFS('Game Records'!$A$5:$A$504,"&lt;&gt;",'Game Records'!$U$5:$U$504,"&lt;&gt;Subscription",'Game Records'!$H$5:$H$504,0,'Game Records'!$T$5:$T$504,"&lt;&gt;"))</f>
        <v/>
      </c>
      <c r="F24" s="300">
        <f>IF(B24=0,"",COUNTIFS('Game Records'!$A$5:$A$504,"&lt;&gt;",'Game Records'!$U$5:$U$504,"&lt;&gt;Subscription",'Game Records'!$H$5:$H$504,0,'Game Records'!$U$5:$U$504,"Profit")/B24)</f>
        <v/>
      </c>
      <c r="G24" s="300">
        <f>IF(B24=0,"",COUNTIFS('Game Records'!$A$5:$A$504,"&lt;&gt;",'Game Records'!$U$5:$U$504,"&lt;&gt;Subscription",'Game Records'!$H$5:$H$504,0,'Game Records'!$U$5:$U$504,"Draw")/B24)</f>
        <v/>
      </c>
      <c r="H24" s="300">
        <f>IF(B24=0,"",COUNTIFS('Game Records'!$A$5:$A$504,"&lt;&gt;",'Game Records'!$U$5:$U$504,"&lt;&gt;Subscription",'Game Records'!$H$5:$H$504,0,'Game Records'!$U$5:$U$504,"Disqualified")/B24)</f>
        <v/>
      </c>
    </row>
    <row r="25">
      <c r="A25" s="297" t="inlineStr">
        <is>
          <t>$20–$30</t>
        </is>
      </c>
      <c r="B25" s="382">
        <f>COUNTIFS('Game Records'!$A$5:$A$504,"&lt;&gt;",'Game Records'!$U$5:$U$504,"&lt;&gt;Subscription",'Game Records'!$H$5:$H$504,"&gt;=20",'Game Records'!$H$5:$H$504,"&lt;=30")</f>
        <v/>
      </c>
      <c r="C25" s="349">
        <f>SUMIFS('Game Records'!$W$5:$W$504,'Game Records'!$A$5:$A$504,"&lt;&gt;",'Game Records'!$U$5:$U$504,"&lt;&gt;Subscription",'Game Records'!$H$5:$H$504,"&gt;=20",'Game Records'!$H$5:$H$504,"&lt;=30")</f>
        <v/>
      </c>
      <c r="D25" s="349">
        <f>IF(B25=0,"",C25/B25)</f>
        <v/>
      </c>
      <c r="E25" s="300">
        <f>IF(COUNTIFS('Game Records'!$A$5:$A$504,"&lt;&gt;",'Game Records'!$U$5:$U$504,"&lt;&gt;Subscription",'Game Records'!$H$5:$H$504,"&gt;=20",'Game Records'!$H$5:$H$504,"&lt;=30",'Game Records'!$T$5:$T$504,"&lt;&gt;")=0,"",SUMIFS('Game Records'!$T$5:$T$504,'Game Records'!$A$5:$A$504,"&lt;&gt;",'Game Records'!$U$5:$U$504,"&lt;&gt;Subscription",'Game Records'!$H$5:$H$504,"&gt;=20",'Game Records'!$H$5:$H$504,"&lt;=30",'Game Records'!$T$5:$T$504,"&lt;&gt;")/COUNTIFS('Game Records'!$A$5:$A$504,"&lt;&gt;",'Game Records'!$U$5:$U$504,"&lt;&gt;Subscription",'Game Records'!$H$5:$H$504,"&gt;=20",'Game Records'!$H$5:$H$504,"&lt;=30",'Game Records'!$T$5:$T$504,"&lt;&gt;"))</f>
        <v/>
      </c>
      <c r="F25" s="300">
        <f>IF(B25=0,"",COUNTIFS('Game Records'!$A$5:$A$504,"&lt;&gt;",'Game Records'!$U$5:$U$504,"&lt;&gt;Subscription",'Game Records'!$H$5:$H$504,"&gt;=20",'Game Records'!$H$5:$H$504,"&lt;=30",'Game Records'!$U$5:$U$504,"Profit")/B25)</f>
        <v/>
      </c>
      <c r="G25" s="300">
        <f>IF(B25=0,"",COUNTIFS('Game Records'!$A$5:$A$504,"&lt;&gt;",'Game Records'!$U$5:$U$504,"&lt;&gt;Subscription",'Game Records'!$H$5:$H$504,"&gt;=20",'Game Records'!$H$5:$H$504,"&lt;=30",'Game Records'!$U$5:$U$504,"Draw")/B25)</f>
        <v/>
      </c>
      <c r="H25" s="300">
        <f>IF(B25=0,"",COUNTIFS('Game Records'!$A$5:$A$504,"&lt;&gt;",'Game Records'!$U$5:$U$504,"&lt;&gt;Subscription",'Game Records'!$H$5:$H$504,"&gt;=20",'Game Records'!$H$5:$H$504,"&lt;=30",'Game Records'!$U$5:$U$504,"Disqualified")/B25)</f>
        <v/>
      </c>
    </row>
    <row r="26">
      <c r="A26" s="297" t="inlineStr">
        <is>
          <t>$40–$50</t>
        </is>
      </c>
      <c r="B26" s="382">
        <f>COUNTIFS('Game Records'!$A$5:$A$504,"&lt;&gt;",'Game Records'!$U$5:$U$504,"&lt;&gt;Subscription",'Game Records'!$H$5:$H$504,"&gt;=40",'Game Records'!$H$5:$H$504,"&lt;=50")</f>
        <v/>
      </c>
      <c r="C26" s="349">
        <f>SUMIFS('Game Records'!$W$5:$W$504,'Game Records'!$A$5:$A$504,"&lt;&gt;",'Game Records'!$U$5:$U$504,"&lt;&gt;Subscription",'Game Records'!$H$5:$H$504,"&gt;=40",'Game Records'!$H$5:$H$504,"&lt;=50")</f>
        <v/>
      </c>
      <c r="D26" s="349">
        <f>IF(B26=0,"",C26/B26)</f>
        <v/>
      </c>
      <c r="E26" s="300">
        <f>IF(COUNTIFS('Game Records'!$A$5:$A$504,"&lt;&gt;",'Game Records'!$U$5:$U$504,"&lt;&gt;Subscription",'Game Records'!$H$5:$H$504,"&gt;=40",'Game Records'!$H$5:$H$504,"&lt;=50",'Game Records'!$T$5:$T$504,"&lt;&gt;")=0,"",SUMIFS('Game Records'!$T$5:$T$504,'Game Records'!$A$5:$A$504,"&lt;&gt;",'Game Records'!$U$5:$U$504,"&lt;&gt;Subscription",'Game Records'!$H$5:$H$504,"&gt;=40",'Game Records'!$H$5:$H$504,"&lt;=50",'Game Records'!$T$5:$T$504,"&lt;&gt;")/COUNTIFS('Game Records'!$A$5:$A$504,"&lt;&gt;",'Game Records'!$U$5:$U$504,"&lt;&gt;Subscription",'Game Records'!$H$5:$H$504,"&gt;=40",'Game Records'!$H$5:$H$504,"&lt;=50",'Game Records'!$T$5:$T$504,"&lt;&gt;"))</f>
        <v/>
      </c>
      <c r="F26" s="300">
        <f>IF(B26=0,"",COUNTIFS('Game Records'!$A$5:$A$504,"&lt;&gt;",'Game Records'!$U$5:$U$504,"&lt;&gt;Subscription",'Game Records'!$H$5:$H$504,"&gt;=40",'Game Records'!$H$5:$H$504,"&lt;=50",'Game Records'!$U$5:$U$504,"Profit")/B26)</f>
        <v/>
      </c>
      <c r="G26" s="300">
        <f>IF(B26=0,"",COUNTIFS('Game Records'!$A$5:$A$504,"&lt;&gt;",'Game Records'!$U$5:$U$504,"&lt;&gt;Subscription",'Game Records'!$H$5:$H$504,"&gt;=40",'Game Records'!$H$5:$H$504,"&lt;=50",'Game Records'!$U$5:$U$504,"Draw")/B26)</f>
        <v/>
      </c>
      <c r="H26" s="300">
        <f>IF(B26=0,"",COUNTIFS('Game Records'!$A$5:$A$504,"&lt;&gt;",'Game Records'!$U$5:$U$504,"&lt;&gt;Subscription",'Game Records'!$H$5:$H$504,"&gt;=40",'Game Records'!$H$5:$H$504,"&lt;=50",'Game Records'!$U$5:$U$504,"Disqualified")/B26)</f>
        <v/>
      </c>
    </row>
    <row r="27">
      <c r="A27" s="297" t="inlineStr">
        <is>
          <t>$60</t>
        </is>
      </c>
      <c r="B27" s="382">
        <f>COUNTIFS('Game Records'!$A$5:$A$504,"&lt;&gt;",'Game Records'!$U$5:$U$504,"&lt;&gt;Subscription",'Game Records'!$H$5:$H$504,60)</f>
        <v/>
      </c>
      <c r="C27" s="349">
        <f>SUMIFS('Game Records'!$W$5:$W$504,'Game Records'!$A$5:$A$504,"&lt;&gt;",'Game Records'!$U$5:$U$504,"&lt;&gt;Subscription",'Game Records'!$H$5:$H$504,60)</f>
        <v/>
      </c>
      <c r="D27" s="349">
        <f>IF(B27=0,"",C27/B27)</f>
        <v/>
      </c>
      <c r="E27" s="300">
        <f>IF(COUNTIFS('Game Records'!$A$5:$A$504,"&lt;&gt;",'Game Records'!$U$5:$U$504,"&lt;&gt;Subscription",'Game Records'!$H$5:$H$504,60,'Game Records'!$T$5:$T$504,"&lt;&gt;")=0,"",SUMIFS('Game Records'!$T$5:$T$504,'Game Records'!$A$5:$A$504,"&lt;&gt;",'Game Records'!$U$5:$U$504,"&lt;&gt;Subscription",'Game Records'!$H$5:$H$504,60,'Game Records'!$T$5:$T$504,"&lt;&gt;")/COUNTIFS('Game Records'!$A$5:$A$504,"&lt;&gt;",'Game Records'!$U$5:$U$504,"&lt;&gt;Subscription",'Game Records'!$H$5:$H$504,60,'Game Records'!$T$5:$T$504,"&lt;&gt;"))</f>
        <v/>
      </c>
      <c r="F27" s="300">
        <f>IF(B27=0,"",COUNTIFS('Game Records'!$A$5:$A$504,"&lt;&gt;",'Game Records'!$U$5:$U$504,"&lt;&gt;Subscription",'Game Records'!$H$5:$H$504,60,'Game Records'!$U$5:$U$504,"Profit")/B27)</f>
        <v/>
      </c>
      <c r="G27" s="300">
        <f>IF(B27=0,"",COUNTIFS('Game Records'!$A$5:$A$504,"&lt;&gt;",'Game Records'!$U$5:$U$504,"&lt;&gt;Subscription",'Game Records'!$H$5:$H$504,60,'Game Records'!$U$5:$U$504,"Draw")/B27)</f>
        <v/>
      </c>
      <c r="H27" s="300">
        <f>IF(B27=0,"",COUNTIFS('Game Records'!$A$5:$A$504,"&lt;&gt;",'Game Records'!$U$5:$U$504,"&lt;&gt;Subscription",'Game Records'!$H$5:$H$504,60,'Game Records'!$U$5:$U$504,"Disqualified")/B27)</f>
        <v/>
      </c>
    </row>
    <row r="28">
      <c r="A28" s="297" t="inlineStr">
        <is>
          <t>$100+</t>
        </is>
      </c>
      <c r="B28" s="382">
        <f>COUNTIFS('Game Records'!$A$5:$A$504,"&lt;&gt;",'Game Records'!$U$5:$U$504,"&lt;&gt;Subscription",'Game Records'!$H$5:$H$504,"&gt;=100")</f>
        <v/>
      </c>
      <c r="C28" s="349">
        <f>SUMIFS('Game Records'!$W$5:$W$504,'Game Records'!$A$5:$A$504,"&lt;&gt;",'Game Records'!$U$5:$U$504,"&lt;&gt;Subscription",'Game Records'!$H$5:$H$504,"&gt;=100")</f>
        <v/>
      </c>
      <c r="D28" s="349">
        <f>IF(B28=0,"",C28/B28)</f>
        <v/>
      </c>
      <c r="E28" s="300">
        <f>IF(COUNTIFS('Game Records'!$A$5:$A$504,"&lt;&gt;",'Game Records'!$U$5:$U$504,"&lt;&gt;Subscription",'Game Records'!$H$5:$H$504,"&gt;=100",'Game Records'!$T$5:$T$504,"&lt;&gt;")=0,"",SUMIFS('Game Records'!$T$5:$T$504,'Game Records'!$A$5:$A$504,"&lt;&gt;",'Game Records'!$U$5:$U$504,"&lt;&gt;Subscription",'Game Records'!$H$5:$H$504,"&gt;=100",'Game Records'!$T$5:$T$504,"&lt;&gt;")/COUNTIFS('Game Records'!$A$5:$A$504,"&lt;&gt;",'Game Records'!$U$5:$U$504,"&lt;&gt;Subscription",'Game Records'!$H$5:$H$504,"&gt;=100",'Game Records'!$T$5:$T$504,"&lt;&gt;"))</f>
        <v/>
      </c>
      <c r="F28" s="300">
        <f>IF(B28=0,"",COUNTIFS('Game Records'!$A$5:$A$504,"&lt;&gt;",'Game Records'!$U$5:$U$504,"&lt;&gt;Subscription",'Game Records'!$H$5:$H$504,"&gt;=100",'Game Records'!$U$5:$U$504,"Profit")/B28)</f>
        <v/>
      </c>
      <c r="G28" s="300">
        <f>IF(B28=0,"",COUNTIFS('Game Records'!$A$5:$A$504,"&lt;&gt;",'Game Records'!$U$5:$U$504,"&lt;&gt;Subscription",'Game Records'!$H$5:$H$504,"&gt;=100",'Game Records'!$U$5:$U$504,"Draw")/B28)</f>
        <v/>
      </c>
      <c r="H28" s="300">
        <f>IF(B28=0,"",COUNTIFS('Game Records'!$A$5:$A$504,"&lt;&gt;",'Game Records'!$U$5:$U$504,"&lt;&gt;Subscription",'Game Records'!$H$5:$H$504,"&gt;=100",'Game Records'!$U$5:$U$504,"Disqualified")/B28)</f>
        <v/>
      </c>
    </row>
    <row r="29">
      <c r="A29" s="297" t="n"/>
      <c r="B29" s="382" t="n"/>
      <c r="C29" s="349" t="n"/>
      <c r="D29" s="349" t="n"/>
      <c r="E29" s="300" t="n"/>
      <c r="F29" s="300" t="n"/>
      <c r="G29" s="300" t="n"/>
      <c r="H29" s="300" t="n"/>
    </row>
    <row r="30">
      <c r="A30" s="297" t="n"/>
      <c r="B30" s="382" t="n"/>
      <c r="C30" s="349" t="n"/>
      <c r="D30" s="349" t="n"/>
      <c r="E30" s="300" t="n"/>
      <c r="F30" s="300" t="n"/>
      <c r="G30" s="300" t="n"/>
      <c r="H30" s="300" t="n"/>
    </row>
    <row r="31">
      <c r="A31" s="94" t="inlineStr">
        <is>
          <t>Payment Type</t>
        </is>
      </c>
      <c r="B31" s="1" t="n"/>
      <c r="C31" s="1" t="n"/>
      <c r="D31" s="1" t="n"/>
      <c r="E31" s="1" t="n"/>
      <c r="F31" s="1" t="n"/>
      <c r="G31" s="1" t="n"/>
      <c r="H31" s="1" t="n"/>
    </row>
    <row r="32">
      <c r="A32" s="318" t="inlineStr">
        <is>
          <t>Category</t>
        </is>
      </c>
      <c r="B32" s="389" t="inlineStr">
        <is>
          <t>Games</t>
        </is>
      </c>
      <c r="C32" s="391" t="inlineStr">
        <is>
          <t>Total Net Profit</t>
        </is>
      </c>
      <c r="D32" s="391" t="inlineStr">
        <is>
          <t>Average Net Profit</t>
        </is>
      </c>
      <c r="E32" s="321" t="inlineStr">
        <is>
          <t>Average ROI</t>
        </is>
      </c>
      <c r="F32" s="321" t="inlineStr">
        <is>
          <t>Profit Rate</t>
        </is>
      </c>
      <c r="G32" s="321" t="inlineStr">
        <is>
          <t>Draw Rate</t>
        </is>
      </c>
      <c r="H32" s="321" t="inlineStr">
        <is>
          <t>Loss Rate</t>
        </is>
      </c>
    </row>
    <row r="33">
      <c r="A33" s="297" t="inlineStr">
        <is>
          <t>Cash</t>
        </is>
      </c>
      <c r="B33" s="382">
        <f>COUNTIFS('Game Records'!$A$5:$A$504,"&lt;&gt;",'Game Records'!$U$5:$U$504,"&lt;&gt;Subscription",'Game Records'!$F$5:$F$504,"Cash")</f>
        <v/>
      </c>
      <c r="C33" s="349">
        <f>SUMIFS('Game Records'!$W$5:$W$504,'Game Records'!$A$5:$A$504,"&lt;&gt;",'Game Records'!$U$5:$U$504,"&lt;&gt;Subscription",'Game Records'!$F$5:$F$504,"Cash")</f>
        <v/>
      </c>
      <c r="D33" s="349">
        <f>IF(B33=0,"",C33/B33)</f>
        <v/>
      </c>
      <c r="E33" s="300">
        <f>IF(COUNTIFS('Game Records'!$A$5:$A$504,"&lt;&gt;",'Game Records'!$U$5:$U$504,"&lt;&gt;Subscription",'Game Records'!$F$5:$F$504,"Cash",'Game Records'!$T$5:$T$504,"&lt;&gt;")=0,"",SUMIFS('Game Records'!$T$5:$T$504,'Game Records'!$A$5:$A$504,"&lt;&gt;",'Game Records'!$U$5:$U$504,"&lt;&gt;Subscription",'Game Records'!$F$5:$F$504,"Cash",'Game Records'!$T$5:$T$504,"&lt;&gt;")/COUNTIFS('Game Records'!$A$5:$A$504,"&lt;&gt;",'Game Records'!$U$5:$U$504,"&lt;&gt;Subscription",'Game Records'!$F$5:$F$504,"Cash",'Game Records'!$T$5:$T$504,"&lt;&gt;"))</f>
        <v/>
      </c>
      <c r="F33" s="300">
        <f>IF(B33=0,"",COUNTIFS('Game Records'!$A$5:$A$504,"&lt;&gt;",'Game Records'!$U$5:$U$504,"&lt;&gt;Subscription",'Game Records'!$F$5:$F$504,"Cash",'Game Records'!$U$5:$U$504,"Profit")/B33)</f>
        <v/>
      </c>
      <c r="G33" s="300">
        <f>IF(B33=0,"",COUNTIFS('Game Records'!$A$5:$A$504,"&lt;&gt;",'Game Records'!$U$5:$U$504,"&lt;&gt;Subscription",'Game Records'!$F$5:$F$504,"Cash",'Game Records'!$U$5:$U$504,"Draw")/B33)</f>
        <v/>
      </c>
      <c r="H33" s="300">
        <f>IF(B33=0,"",COUNTIFS('Game Records'!$A$5:$A$504,"&lt;&gt;",'Game Records'!$U$5:$U$504,"&lt;&gt;Subscription",'Game Records'!$F$5:$F$504,"Cash",'Game Records'!$U$5:$U$504,"Disqualified")/B33)</f>
        <v/>
      </c>
    </row>
    <row r="34">
      <c r="A34" s="297" t="inlineStr">
        <is>
          <t>Points</t>
        </is>
      </c>
      <c r="B34" s="382">
        <f>COUNTIFS('Game Records'!$A$5:$A$504,"&lt;&gt;",'Game Records'!$U$5:$U$504,"&lt;&gt;Subscription",'Game Records'!$F$5:$F$504,"Points")</f>
        <v/>
      </c>
      <c r="C34" s="349">
        <f>SUMIFS('Game Records'!$W$5:$W$504,'Game Records'!$A$5:$A$504,"&lt;&gt;",'Game Records'!$U$5:$U$504,"&lt;&gt;Subscription",'Game Records'!$F$5:$F$504,"Points")</f>
        <v/>
      </c>
      <c r="D34" s="349">
        <f>IF(B34=0,"",C34/B34)</f>
        <v/>
      </c>
      <c r="E34" s="300">
        <f>IF(COUNTIFS('Game Records'!$A$5:$A$504,"&lt;&gt;",'Game Records'!$U$5:$U$504,"&lt;&gt;Subscription",'Game Records'!$F$5:$F$504,"Points",'Game Records'!$T$5:$T$504,"&lt;&gt;")=0,"",SUMIFS('Game Records'!$T$5:$T$504,'Game Records'!$A$5:$A$504,"&lt;&gt;",'Game Records'!$U$5:$U$504,"&lt;&gt;Subscription",'Game Records'!$F$5:$F$504,"Points",'Game Records'!$T$5:$T$504,"&lt;&gt;")/COUNTIFS('Game Records'!$A$5:$A$504,"&lt;&gt;",'Game Records'!$U$5:$U$504,"&lt;&gt;Subscription",'Game Records'!$F$5:$F$504,"Points",'Game Records'!$T$5:$T$504,"&lt;&gt;"))</f>
        <v/>
      </c>
      <c r="F34" s="300">
        <f>IF(B34=0,"",COUNTIFS('Game Records'!$A$5:$A$504,"&lt;&gt;",'Game Records'!$U$5:$U$504,"&lt;&gt;Subscription",'Game Records'!$F$5:$F$504,"Points",'Game Records'!$U$5:$U$504,"Profit")/B34)</f>
        <v/>
      </c>
      <c r="G34" s="300">
        <f>IF(B34=0,"",COUNTIFS('Game Records'!$A$5:$A$504,"&lt;&gt;",'Game Records'!$U$5:$U$504,"&lt;&gt;Subscription",'Game Records'!$F$5:$F$504,"Points",'Game Records'!$U$5:$U$504,"Draw")/B34)</f>
        <v/>
      </c>
      <c r="H34" s="300">
        <f>IF(B34=0,"",COUNTIFS('Game Records'!$A$5:$A$504,"&lt;&gt;",'Game Records'!$U$5:$U$504,"&lt;&gt;Subscription",'Game Records'!$F$5:$F$504,"Points",'Game Records'!$U$5:$U$504,"Disqualified")/B34)</f>
        <v/>
      </c>
    </row>
    <row r="35">
      <c r="A35" s="297" t="inlineStr">
        <is>
          <t>Hybrid</t>
        </is>
      </c>
      <c r="B35" s="382">
        <f>COUNTIFS('Game Records'!$A$5:$A$504,"&lt;&gt;",'Game Records'!$U$5:$U$504,"&lt;&gt;Subscription",'Game Records'!$F$5:$F$504,"Hybrid")</f>
        <v/>
      </c>
      <c r="C35" s="349">
        <f>SUMIFS('Game Records'!$W$5:$W$504,'Game Records'!$A$5:$A$504,"&lt;&gt;",'Game Records'!$U$5:$U$504,"&lt;&gt;Subscription",'Game Records'!$F$5:$F$504,"Hybrid")</f>
        <v/>
      </c>
      <c r="D35" s="349">
        <f>IF(B35=0,"",C35/B35)</f>
        <v/>
      </c>
      <c r="E35" s="300">
        <f>IF(COUNTIFS('Game Records'!$A$5:$A$504,"&lt;&gt;",'Game Records'!$U$5:$U$504,"&lt;&gt;Subscription",'Game Records'!$F$5:$F$504,"Hybrid",'Game Records'!$T$5:$T$504,"&lt;&gt;")=0,"",SUMIFS('Game Records'!$T$5:$T$504,'Game Records'!$A$5:$A$504,"&lt;&gt;",'Game Records'!$U$5:$U$504,"&lt;&gt;Subscription",'Game Records'!$F$5:$F$504,"Hybrid",'Game Records'!$T$5:$T$504,"&lt;&gt;")/COUNTIFS('Game Records'!$A$5:$A$504,"&lt;&gt;",'Game Records'!$U$5:$U$504,"&lt;&gt;Subscription",'Game Records'!$F$5:$F$504,"Hybrid",'Game Records'!$T$5:$T$504,"&lt;&gt;"))</f>
        <v/>
      </c>
      <c r="F35" s="300">
        <f>IF(B35=0,"",COUNTIFS('Game Records'!$A$5:$A$504,"&lt;&gt;",'Game Records'!$U$5:$U$504,"&lt;&gt;Subscription",'Game Records'!$F$5:$F$504,"Hybrid",'Game Records'!$U$5:$U$504,"Profit")/B35)</f>
        <v/>
      </c>
      <c r="G35" s="300">
        <f>IF(B35=0,"",COUNTIFS('Game Records'!$A$5:$A$504,"&lt;&gt;",'Game Records'!$U$5:$U$504,"&lt;&gt;Subscription",'Game Records'!$F$5:$F$504,"Hybrid",'Game Records'!$U$5:$U$504,"Draw")/B35)</f>
        <v/>
      </c>
      <c r="H35" s="300">
        <f>IF(B35=0,"",COUNTIFS('Game Records'!$A$5:$A$504,"&lt;&gt;",'Game Records'!$U$5:$U$504,"&lt;&gt;Subscription",'Game Records'!$F$5:$F$504,"Hybrid",'Game Records'!$U$5:$U$504,"Disqualified")/B35)</f>
        <v/>
      </c>
    </row>
    <row r="36">
      <c r="A36" s="297" t="inlineStr">
        <is>
          <t>Free Game</t>
        </is>
      </c>
      <c r="B36" s="382">
        <f>COUNTIFS('Game Records'!$A$5:$A$504,"&lt;&gt;",'Game Records'!$U$5:$U$504,"&lt;&gt;Subscription",'Game Records'!$F$5:$F$504,"Free Game")</f>
        <v/>
      </c>
      <c r="C36" s="349">
        <f>SUMIFS('Game Records'!$W$5:$W$504,'Game Records'!$A$5:$A$504,"&lt;&gt;",'Game Records'!$U$5:$U$504,"&lt;&gt;Subscription",'Game Records'!$F$5:$F$504,"Free Game")</f>
        <v/>
      </c>
      <c r="D36" s="349">
        <f>IF(B36=0,"",C36/B36)</f>
        <v/>
      </c>
      <c r="E36" s="300">
        <f>IF(COUNTIFS('Game Records'!$A$5:$A$504,"&lt;&gt;",'Game Records'!$U$5:$U$504,"&lt;&gt;Subscription",'Game Records'!$F$5:$F$504,"Free Game",'Game Records'!$T$5:$T$504,"&lt;&gt;")=0,"",SUMIFS('Game Records'!$T$5:$T$504,'Game Records'!$A$5:$A$504,"&lt;&gt;",'Game Records'!$U$5:$U$504,"&lt;&gt;Subscription",'Game Records'!$F$5:$F$504,"Free Game",'Game Records'!$T$5:$T$504,"&lt;&gt;")/COUNTIFS('Game Records'!$A$5:$A$504,"&lt;&gt;",'Game Records'!$U$5:$U$504,"&lt;&gt;Subscription",'Game Records'!$F$5:$F$504,"Free Game",'Game Records'!$T$5:$T$504,"&lt;&gt;"))</f>
        <v/>
      </c>
      <c r="F36" s="300">
        <f>IF(B36=0,"",COUNTIFS('Game Records'!$A$5:$A$504,"&lt;&gt;",'Game Records'!$U$5:$U$504,"&lt;&gt;Subscription",'Game Records'!$F$5:$F$504,"Free Game",'Game Records'!$U$5:$U$504,"Profit")/B36)</f>
        <v/>
      </c>
      <c r="G36" s="300">
        <f>IF(B36=0,"",COUNTIFS('Game Records'!$A$5:$A$504,"&lt;&gt;",'Game Records'!$U$5:$U$504,"&lt;&gt;Subscription",'Game Records'!$F$5:$F$504,"Free Game",'Game Records'!$U$5:$U$504,"Draw")/B36)</f>
        <v/>
      </c>
      <c r="H36" s="300">
        <f>IF(B36=0,"",COUNTIFS('Game Records'!$A$5:$A$504,"&lt;&gt;",'Game Records'!$U$5:$U$504,"&lt;&gt;Subscription",'Game Records'!$F$5:$F$504,"Free Game",'Game Records'!$U$5:$U$504,"Disqualified")/B36)</f>
        <v/>
      </c>
    </row>
    <row r="37">
      <c r="A37" s="297" t="n"/>
      <c r="B37" s="382" t="n"/>
      <c r="C37" s="349" t="n"/>
      <c r="D37" s="349" t="n"/>
      <c r="E37" s="300" t="n"/>
      <c r="F37" s="300" t="n"/>
      <c r="G37" s="300" t="n"/>
      <c r="H37" s="300" t="n"/>
    </row>
    <row r="38">
      <c r="A38" s="297" t="n"/>
      <c r="B38" s="382" t="n"/>
      <c r="C38" s="349" t="n"/>
      <c r="D38" s="349" t="n"/>
      <c r="E38" s="300" t="n"/>
      <c r="F38" s="300" t="n"/>
      <c r="G38" s="300" t="n"/>
      <c r="H38" s="300" t="n"/>
    </row>
    <row r="39">
      <c r="A39" s="94" t="inlineStr">
        <is>
          <t>Eligible Player Range</t>
        </is>
      </c>
      <c r="B39" s="1" t="n"/>
      <c r="C39" s="1" t="n"/>
      <c r="D39" s="1" t="n"/>
      <c r="E39" s="1" t="n"/>
      <c r="F39" s="1" t="n"/>
      <c r="G39" s="1" t="n"/>
      <c r="H39" s="1" t="n"/>
    </row>
    <row r="40">
      <c r="A40" s="318" t="inlineStr">
        <is>
          <t>Category</t>
        </is>
      </c>
      <c r="B40" s="389" t="inlineStr">
        <is>
          <t>Games</t>
        </is>
      </c>
      <c r="C40" s="391" t="inlineStr">
        <is>
          <t>Total Net Profit</t>
        </is>
      </c>
      <c r="D40" s="391" t="inlineStr">
        <is>
          <t>Average Net Profit</t>
        </is>
      </c>
      <c r="E40" s="321" t="inlineStr">
        <is>
          <t>Average ROI</t>
        </is>
      </c>
      <c r="F40" s="321" t="inlineStr">
        <is>
          <t>Profit Rate</t>
        </is>
      </c>
      <c r="G40" s="321" t="inlineStr">
        <is>
          <t>Draw Rate</t>
        </is>
      </c>
      <c r="H40" s="321" t="inlineStr">
        <is>
          <t>Loss Rate</t>
        </is>
      </c>
    </row>
    <row r="41">
      <c r="A41" s="297" t="inlineStr">
        <is>
          <t>Under 200</t>
        </is>
      </c>
      <c r="B41" s="382">
        <f>COUNTIFS('Game Records'!$A$5:$A$504,"&lt;&gt;",'Game Records'!$U$5:$U$504,"&lt;&gt;Subscription",'Game Records'!$I$5:$I$504,"&lt;200")</f>
        <v/>
      </c>
      <c r="C41" s="349">
        <f>SUMIFS('Game Records'!$W$5:$W$504,'Game Records'!$A$5:$A$504,"&lt;&gt;",'Game Records'!$U$5:$U$504,"&lt;&gt;Subscription",'Game Records'!$I$5:$I$504,"&lt;200")</f>
        <v/>
      </c>
      <c r="D41" s="349">
        <f>IF(B41=0,"",C41/B41)</f>
        <v/>
      </c>
      <c r="E41" s="300">
        <f>IF(COUNTIFS('Game Records'!$A$5:$A$504,"&lt;&gt;",'Game Records'!$U$5:$U$504,"&lt;&gt;Subscription",'Game Records'!$I$5:$I$504,"&lt;200",'Game Records'!$T$5:$T$504,"&lt;&gt;")=0,"",SUMIFS('Game Records'!$T$5:$T$504,'Game Records'!$A$5:$A$504,"&lt;&gt;",'Game Records'!$U$5:$U$504,"&lt;&gt;Subscription",'Game Records'!$I$5:$I$504,"&lt;200",'Game Records'!$T$5:$T$504,"&lt;&gt;")/COUNTIFS('Game Records'!$A$5:$A$504,"&lt;&gt;",'Game Records'!$U$5:$U$504,"&lt;&gt;Subscription",'Game Records'!$I$5:$I$504,"&lt;200",'Game Records'!$T$5:$T$504,"&lt;&gt;"))</f>
        <v/>
      </c>
      <c r="F41" s="300">
        <f>IF(B41=0,"",COUNTIFS('Game Records'!$A$5:$A$504,"&lt;&gt;",'Game Records'!$U$5:$U$504,"&lt;&gt;Subscription",'Game Records'!$I$5:$I$504,"&lt;200",'Game Records'!$U$5:$U$504,"Profit")/B41)</f>
        <v/>
      </c>
      <c r="G41" s="300">
        <f>IF(B41=0,"",COUNTIFS('Game Records'!$A$5:$A$504,"&lt;&gt;",'Game Records'!$U$5:$U$504,"&lt;&gt;Subscription",'Game Records'!$I$5:$I$504,"&lt;200",'Game Records'!$U$5:$U$504,"Draw")/B41)</f>
        <v/>
      </c>
      <c r="H41" s="300">
        <f>IF(B41=0,"",COUNTIFS('Game Records'!$A$5:$A$504,"&lt;&gt;",'Game Records'!$U$5:$U$504,"&lt;&gt;Subscription",'Game Records'!$I$5:$I$504,"&lt;200",'Game Records'!$U$5:$U$504,"Disqualified")/B41)</f>
        <v/>
      </c>
    </row>
    <row r="42">
      <c r="A42" s="297" t="inlineStr">
        <is>
          <t>200–499</t>
        </is>
      </c>
      <c r="B42" s="382">
        <f>COUNTIFS('Game Records'!$A$5:$A$504,"&lt;&gt;",'Game Records'!$U$5:$U$504,"&lt;&gt;Subscription",'Game Records'!$I$5:$I$504,"&gt;=200",'Game Records'!$I$5:$I$504,"&lt;=499")</f>
        <v/>
      </c>
      <c r="C42" s="349">
        <f>SUMIFS('Game Records'!$W$5:$W$504,'Game Records'!$A$5:$A$504,"&lt;&gt;",'Game Records'!$U$5:$U$504,"&lt;&gt;Subscription",'Game Records'!$I$5:$I$504,"&gt;=200",'Game Records'!$I$5:$I$504,"&lt;=499")</f>
        <v/>
      </c>
      <c r="D42" s="349">
        <f>IF(B42=0,"",C42/B42)</f>
        <v/>
      </c>
      <c r="E42" s="300">
        <f>IF(COUNTIFS('Game Records'!$A$5:$A$504,"&lt;&gt;",'Game Records'!$U$5:$U$504,"&lt;&gt;Subscription",'Game Records'!$I$5:$I$504,"&gt;=200",'Game Records'!$I$5:$I$504,"&lt;=499",'Game Records'!$T$5:$T$504,"&lt;&gt;")=0,"",SUMIFS('Game Records'!$T$5:$T$504,'Game Records'!$A$5:$A$504,"&lt;&gt;",'Game Records'!$U$5:$U$504,"&lt;&gt;Subscription",'Game Records'!$I$5:$I$504,"&gt;=200",'Game Records'!$I$5:$I$504,"&lt;=499",'Game Records'!$T$5:$T$504,"&lt;&gt;")/COUNTIFS('Game Records'!$A$5:$A$504,"&lt;&gt;",'Game Records'!$U$5:$U$504,"&lt;&gt;Subscription",'Game Records'!$I$5:$I$504,"&gt;=200",'Game Records'!$I$5:$I$504,"&lt;=499",'Game Records'!$T$5:$T$504,"&lt;&gt;"))</f>
        <v/>
      </c>
      <c r="F42" s="300">
        <f>IF(B42=0,"",COUNTIFS('Game Records'!$A$5:$A$504,"&lt;&gt;",'Game Records'!$U$5:$U$504,"&lt;&gt;Subscription",'Game Records'!$I$5:$I$504,"&gt;=200",'Game Records'!$I$5:$I$504,"&lt;=499",'Game Records'!$U$5:$U$504,"Profit")/B42)</f>
        <v/>
      </c>
      <c r="G42" s="300">
        <f>IF(B42=0,"",COUNTIFS('Game Records'!$A$5:$A$504,"&lt;&gt;",'Game Records'!$U$5:$U$504,"&lt;&gt;Subscription",'Game Records'!$I$5:$I$504,"&gt;=200",'Game Records'!$I$5:$I$504,"&lt;=499",'Game Records'!$U$5:$U$504,"Draw")/B42)</f>
        <v/>
      </c>
      <c r="H42" s="300">
        <f>IF(B42=0,"",COUNTIFS('Game Records'!$A$5:$A$504,"&lt;&gt;",'Game Records'!$U$5:$U$504,"&lt;&gt;Subscription",'Game Records'!$I$5:$I$504,"&gt;=200",'Game Records'!$I$5:$I$504,"&lt;=499",'Game Records'!$U$5:$U$504,"Disqualified")/B42)</f>
        <v/>
      </c>
    </row>
    <row r="43">
      <c r="A43" s="297" t="inlineStr">
        <is>
          <t>500–999</t>
        </is>
      </c>
      <c r="B43" s="382">
        <f>COUNTIFS('Game Records'!$A$5:$A$504,"&lt;&gt;",'Game Records'!$U$5:$U$504,"&lt;&gt;Subscription",'Game Records'!$I$5:$I$504,"&gt;=500",'Game Records'!$I$5:$I$504,"&lt;=999")</f>
        <v/>
      </c>
      <c r="C43" s="349">
        <f>SUMIFS('Game Records'!$W$5:$W$504,'Game Records'!$A$5:$A$504,"&lt;&gt;",'Game Records'!$U$5:$U$504,"&lt;&gt;Subscription",'Game Records'!$I$5:$I$504,"&gt;=500",'Game Records'!$I$5:$I$504,"&lt;=999")</f>
        <v/>
      </c>
      <c r="D43" s="349">
        <f>IF(B43=0,"",C43/B43)</f>
        <v/>
      </c>
      <c r="E43" s="300">
        <f>IF(COUNTIFS('Game Records'!$A$5:$A$504,"&lt;&gt;",'Game Records'!$U$5:$U$504,"&lt;&gt;Subscription",'Game Records'!$I$5:$I$504,"&gt;=500",'Game Records'!$I$5:$I$504,"&lt;=999",'Game Records'!$T$5:$T$504,"&lt;&gt;")=0,"",SUMIFS('Game Records'!$T$5:$T$504,'Game Records'!$A$5:$A$504,"&lt;&gt;",'Game Records'!$U$5:$U$504,"&lt;&gt;Subscription",'Game Records'!$I$5:$I$504,"&gt;=500",'Game Records'!$I$5:$I$504,"&lt;=999",'Game Records'!$T$5:$T$504,"&lt;&gt;")/COUNTIFS('Game Records'!$A$5:$A$504,"&lt;&gt;",'Game Records'!$U$5:$U$504,"&lt;&gt;Subscription",'Game Records'!$I$5:$I$504,"&gt;=500",'Game Records'!$I$5:$I$504,"&lt;=999",'Game Records'!$T$5:$T$504,"&lt;&gt;"))</f>
        <v/>
      </c>
      <c r="F43" s="300">
        <f>IF(B43=0,"",COUNTIFS('Game Records'!$A$5:$A$504,"&lt;&gt;",'Game Records'!$U$5:$U$504,"&lt;&gt;Subscription",'Game Records'!$I$5:$I$504,"&gt;=500",'Game Records'!$I$5:$I$504,"&lt;=999",'Game Records'!$U$5:$U$504,"Profit")/B43)</f>
        <v/>
      </c>
      <c r="G43" s="300">
        <f>IF(B43=0,"",COUNTIFS('Game Records'!$A$5:$A$504,"&lt;&gt;",'Game Records'!$U$5:$U$504,"&lt;&gt;Subscription",'Game Records'!$I$5:$I$504,"&gt;=500",'Game Records'!$I$5:$I$504,"&lt;=999",'Game Records'!$U$5:$U$504,"Draw")/B43)</f>
        <v/>
      </c>
      <c r="H43" s="300">
        <f>IF(B43=0,"",COUNTIFS('Game Records'!$A$5:$A$504,"&lt;&gt;",'Game Records'!$U$5:$U$504,"&lt;&gt;Subscription",'Game Records'!$I$5:$I$504,"&gt;=500",'Game Records'!$I$5:$I$504,"&lt;=999",'Game Records'!$U$5:$U$504,"Disqualified")/B43)</f>
        <v/>
      </c>
    </row>
    <row r="44">
      <c r="A44" s="297" t="inlineStr">
        <is>
          <t>1,000–2,999</t>
        </is>
      </c>
      <c r="B44" s="382">
        <f>COUNTIFS('Game Records'!$A$5:$A$504,"&lt;&gt;",'Game Records'!$U$5:$U$504,"&lt;&gt;Subscription",'Game Records'!$I$5:$I$504,"&gt;=1000",'Game Records'!$I$5:$I$504,"&lt;=2999")</f>
        <v/>
      </c>
      <c r="C44" s="349">
        <f>SUMIFS('Game Records'!$W$5:$W$504,'Game Records'!$A$5:$A$504,"&lt;&gt;",'Game Records'!$U$5:$U$504,"&lt;&gt;Subscription",'Game Records'!$I$5:$I$504,"&gt;=1000",'Game Records'!$I$5:$I$504,"&lt;=2999")</f>
        <v/>
      </c>
      <c r="D44" s="349">
        <f>IF(B44=0,"",C44/B44)</f>
        <v/>
      </c>
      <c r="E44" s="300">
        <f>IF(COUNTIFS('Game Records'!$A$5:$A$504,"&lt;&gt;",'Game Records'!$U$5:$U$504,"&lt;&gt;Subscription",'Game Records'!$I$5:$I$504,"&gt;=1000",'Game Records'!$I$5:$I$504,"&lt;=2999",'Game Records'!$T$5:$T$504,"&lt;&gt;")=0,"",SUMIFS('Game Records'!$T$5:$T$504,'Game Records'!$A$5:$A$504,"&lt;&gt;",'Game Records'!$U$5:$U$504,"&lt;&gt;Subscription",'Game Records'!$I$5:$I$504,"&gt;=1000",'Game Records'!$I$5:$I$504,"&lt;=2999",'Game Records'!$T$5:$T$504,"&lt;&gt;")/COUNTIFS('Game Records'!$A$5:$A$504,"&lt;&gt;",'Game Records'!$U$5:$U$504,"&lt;&gt;Subscription",'Game Records'!$I$5:$I$504,"&gt;=1000",'Game Records'!$I$5:$I$504,"&lt;=2999",'Game Records'!$T$5:$T$504,"&lt;&gt;"))</f>
        <v/>
      </c>
      <c r="F44" s="300">
        <f>IF(B44=0,"",COUNTIFS('Game Records'!$A$5:$A$504,"&lt;&gt;",'Game Records'!$U$5:$U$504,"&lt;&gt;Subscription",'Game Records'!$I$5:$I$504,"&gt;=1000",'Game Records'!$I$5:$I$504,"&lt;=2999",'Game Records'!$U$5:$U$504,"Profit")/B44)</f>
        <v/>
      </c>
      <c r="G44" s="300">
        <f>IF(B44=0,"",COUNTIFS('Game Records'!$A$5:$A$504,"&lt;&gt;",'Game Records'!$U$5:$U$504,"&lt;&gt;Subscription",'Game Records'!$I$5:$I$504,"&gt;=1000",'Game Records'!$I$5:$I$504,"&lt;=2999",'Game Records'!$U$5:$U$504,"Draw")/B44)</f>
        <v/>
      </c>
      <c r="H44" s="300">
        <f>IF(B44=0,"",COUNTIFS('Game Records'!$A$5:$A$504,"&lt;&gt;",'Game Records'!$U$5:$U$504,"&lt;&gt;Subscription",'Game Records'!$I$5:$I$504,"&gt;=1000",'Game Records'!$I$5:$I$504,"&lt;=2999",'Game Records'!$U$5:$U$504,"Disqualified")/B44)</f>
        <v/>
      </c>
    </row>
    <row r="45">
      <c r="A45" s="297" t="inlineStr">
        <is>
          <t>3,000+</t>
        </is>
      </c>
      <c r="B45" s="382">
        <f>COUNTIFS('Game Records'!$A$5:$A$504,"&lt;&gt;",'Game Records'!$U$5:$U$504,"&lt;&gt;Subscription",'Game Records'!$I$5:$I$504,"&gt;=3000")</f>
        <v/>
      </c>
      <c r="C45" s="349">
        <f>SUMIFS('Game Records'!$W$5:$W$504,'Game Records'!$A$5:$A$504,"&lt;&gt;",'Game Records'!$U$5:$U$504,"&lt;&gt;Subscription",'Game Records'!$I$5:$I$504,"&gt;=3000")</f>
        <v/>
      </c>
      <c r="D45" s="349">
        <f>IF(B45=0,"",C45/B45)</f>
        <v/>
      </c>
      <c r="E45" s="300">
        <f>IF(COUNTIFS('Game Records'!$A$5:$A$504,"&lt;&gt;",'Game Records'!$U$5:$U$504,"&lt;&gt;Subscription",'Game Records'!$I$5:$I$504,"&gt;=3000",'Game Records'!$T$5:$T$504,"&lt;&gt;")=0,"",SUMIFS('Game Records'!$T$5:$T$504,'Game Records'!$A$5:$A$504,"&lt;&gt;",'Game Records'!$U$5:$U$504,"&lt;&gt;Subscription",'Game Records'!$I$5:$I$504,"&gt;=3000",'Game Records'!$T$5:$T$504,"&lt;&gt;")/COUNTIFS('Game Records'!$A$5:$A$504,"&lt;&gt;",'Game Records'!$U$5:$U$504,"&lt;&gt;Subscription",'Game Records'!$I$5:$I$504,"&gt;=3000",'Game Records'!$T$5:$T$504,"&lt;&gt;"))</f>
        <v/>
      </c>
      <c r="F45" s="300">
        <f>IF(B45=0,"",COUNTIFS('Game Records'!$A$5:$A$504,"&lt;&gt;",'Game Records'!$U$5:$U$504,"&lt;&gt;Subscription",'Game Records'!$I$5:$I$504,"&gt;=3000",'Game Records'!$U$5:$U$504,"Profit")/B45)</f>
        <v/>
      </c>
      <c r="G45" s="300">
        <f>IF(B45=0,"",COUNTIFS('Game Records'!$A$5:$A$504,"&lt;&gt;",'Game Records'!$U$5:$U$504,"&lt;&gt;Subscription",'Game Records'!$I$5:$I$504,"&gt;=3000",'Game Records'!$U$5:$U$504,"Draw")/B45)</f>
        <v/>
      </c>
      <c r="H45" s="300">
        <f>IF(B45=0,"",COUNTIFS('Game Records'!$A$5:$A$504,"&lt;&gt;",'Game Records'!$U$5:$U$504,"&lt;&gt;Subscription",'Game Records'!$I$5:$I$504,"&gt;=3000",'Game Records'!$U$5:$U$504,"Disqualified")/B45)</f>
        <v/>
      </c>
    </row>
    <row r="46">
      <c r="A46" s="297" t="n"/>
      <c r="B46" s="382" t="n"/>
      <c r="C46" s="349" t="n"/>
      <c r="D46" s="349" t="n"/>
      <c r="E46" s="300" t="n"/>
      <c r="F46" s="300" t="n"/>
      <c r="G46" s="300" t="n"/>
      <c r="H46" s="300" t="n"/>
    </row>
    <row r="47">
      <c r="A47" s="297" t="n"/>
      <c r="B47" s="382" t="n"/>
      <c r="C47" s="349" t="n"/>
      <c r="D47" s="349" t="n"/>
      <c r="E47" s="300" t="n"/>
      <c r="F47" s="300" t="n"/>
      <c r="G47" s="300" t="n"/>
      <c r="H47" s="300" t="n"/>
    </row>
    <row r="48">
      <c r="A48" s="94" t="inlineStr">
        <is>
          <t>Elimination Rate</t>
        </is>
      </c>
      <c r="B48" s="1" t="n"/>
      <c r="C48" s="1" t="n"/>
      <c r="D48" s="1" t="n"/>
      <c r="E48" s="1" t="n"/>
      <c r="F48" s="1" t="n"/>
      <c r="G48" s="1" t="n"/>
      <c r="H48" s="1" t="n"/>
    </row>
    <row r="49">
      <c r="A49" s="318" t="inlineStr">
        <is>
          <t>Category</t>
        </is>
      </c>
      <c r="B49" s="389" t="inlineStr">
        <is>
          <t>Games</t>
        </is>
      </c>
      <c r="C49" s="391" t="inlineStr">
        <is>
          <t>Total Net Profit</t>
        </is>
      </c>
      <c r="D49" s="391" t="inlineStr">
        <is>
          <t>Average Net Profit</t>
        </is>
      </c>
      <c r="E49" s="321" t="inlineStr">
        <is>
          <t>Average ROI</t>
        </is>
      </c>
      <c r="F49" s="321" t="inlineStr">
        <is>
          <t>Profit Rate</t>
        </is>
      </c>
      <c r="G49" s="321" t="inlineStr">
        <is>
          <t>Draw Rate</t>
        </is>
      </c>
      <c r="H49" s="321" t="inlineStr">
        <is>
          <t>Loss Rate</t>
        </is>
      </c>
    </row>
    <row r="50">
      <c r="A50" s="297" t="inlineStr">
        <is>
          <t>Under 10%</t>
        </is>
      </c>
      <c r="B50" s="382">
        <f>COUNTIFS('Game Records'!$A$5:$A$504,"&lt;&gt;",'Game Records'!$U$5:$U$504,"&lt;&gt;Subscription",'Game Records'!$Y$5:$Y$504,"&lt;0.1")</f>
        <v/>
      </c>
      <c r="C50" s="349">
        <f>SUMIFS('Game Records'!$W$5:$W$504,'Game Records'!$A$5:$A$504,"&lt;&gt;",'Game Records'!$U$5:$U$504,"&lt;&gt;Subscription",'Game Records'!$Y$5:$Y$504,"&lt;0.1")</f>
        <v/>
      </c>
      <c r="D50" s="349">
        <f>IF(B50=0,"",C50/B50)</f>
        <v/>
      </c>
      <c r="E50" s="300">
        <f>IF(COUNTIFS('Game Records'!$A$5:$A$504,"&lt;&gt;",'Game Records'!$U$5:$U$504,"&lt;&gt;Subscription",'Game Records'!$Y$5:$Y$504,"&lt;0.1",'Game Records'!$T$5:$T$504,"&lt;&gt;")=0,"",SUMIFS('Game Records'!$T$5:$T$504,'Game Records'!$A$5:$A$504,"&lt;&gt;",'Game Records'!$U$5:$U$504,"&lt;&gt;Subscription",'Game Records'!$Y$5:$Y$504,"&lt;0.1",'Game Records'!$T$5:$T$504,"&lt;&gt;")/COUNTIFS('Game Records'!$A$5:$A$504,"&lt;&gt;",'Game Records'!$U$5:$U$504,"&lt;&gt;Subscription",'Game Records'!$Y$5:$Y$504,"&lt;0.1",'Game Records'!$T$5:$T$504,"&lt;&gt;"))</f>
        <v/>
      </c>
      <c r="F50" s="300">
        <f>IF(B50=0,"",COUNTIFS('Game Records'!$A$5:$A$504,"&lt;&gt;",'Game Records'!$U$5:$U$504,"&lt;&gt;Subscription",'Game Records'!$Y$5:$Y$504,"&lt;0.1",'Game Records'!$U$5:$U$504,"Profit")/B50)</f>
        <v/>
      </c>
      <c r="G50" s="300">
        <f>IF(B50=0,"",COUNTIFS('Game Records'!$A$5:$A$504,"&lt;&gt;",'Game Records'!$U$5:$U$504,"&lt;&gt;Subscription",'Game Records'!$Y$5:$Y$504,"&lt;0.1",'Game Records'!$U$5:$U$504,"Draw")/B50)</f>
        <v/>
      </c>
      <c r="H50" s="300">
        <f>IF(B50=0,"",COUNTIFS('Game Records'!$A$5:$A$504,"&lt;&gt;",'Game Records'!$U$5:$U$504,"&lt;&gt;Subscription",'Game Records'!$Y$5:$Y$504,"&lt;0.1",'Game Records'!$U$5:$U$504,"Disqualified")/B50)</f>
        <v/>
      </c>
    </row>
    <row r="51">
      <c r="A51" s="297" t="inlineStr">
        <is>
          <t>10–19.9%</t>
        </is>
      </c>
      <c r="B51" s="382">
        <f>COUNTIFS('Game Records'!$A$5:$A$504,"&lt;&gt;",'Game Records'!$U$5:$U$504,"&lt;&gt;Subscription",'Game Records'!$Y$5:$Y$504,"&gt;=0.1",'Game Records'!$Y$5:$Y$504,"&lt;0.2")</f>
        <v/>
      </c>
      <c r="C51" s="349">
        <f>SUMIFS('Game Records'!$W$5:$W$504,'Game Records'!$A$5:$A$504,"&lt;&gt;",'Game Records'!$U$5:$U$504,"&lt;&gt;Subscription",'Game Records'!$Y$5:$Y$504,"&gt;=0.1",'Game Records'!$Y$5:$Y$504,"&lt;0.2")</f>
        <v/>
      </c>
      <c r="D51" s="349">
        <f>IF(B51=0,"",C51/B51)</f>
        <v/>
      </c>
      <c r="E51" s="300">
        <f>IF(COUNTIFS('Game Records'!$A$5:$A$504,"&lt;&gt;",'Game Records'!$U$5:$U$504,"&lt;&gt;Subscription",'Game Records'!$Y$5:$Y$504,"&gt;=0.1",'Game Records'!$Y$5:$Y$504,"&lt;0.2",'Game Records'!$T$5:$T$504,"&lt;&gt;")=0,"",SUMIFS('Game Records'!$T$5:$T$504,'Game Records'!$A$5:$A$504,"&lt;&gt;",'Game Records'!$U$5:$U$504,"&lt;&gt;Subscription",'Game Records'!$Y$5:$Y$504,"&gt;=0.1",'Game Records'!$Y$5:$Y$504,"&lt;0.2",'Game Records'!$T$5:$T$504,"&lt;&gt;")/COUNTIFS('Game Records'!$A$5:$A$504,"&lt;&gt;",'Game Records'!$U$5:$U$504,"&lt;&gt;Subscription",'Game Records'!$Y$5:$Y$504,"&gt;=0.1",'Game Records'!$Y$5:$Y$504,"&lt;0.2",'Game Records'!$T$5:$T$504,"&lt;&gt;"))</f>
        <v/>
      </c>
      <c r="F51" s="300">
        <f>IF(B51=0,"",COUNTIFS('Game Records'!$A$5:$A$504,"&lt;&gt;",'Game Records'!$U$5:$U$504,"&lt;&gt;Subscription",'Game Records'!$Y$5:$Y$504,"&gt;=0.1",'Game Records'!$Y$5:$Y$504,"&lt;0.2",'Game Records'!$U$5:$U$504,"Profit")/B51)</f>
        <v/>
      </c>
      <c r="G51" s="300">
        <f>IF(B51=0,"",COUNTIFS('Game Records'!$A$5:$A$504,"&lt;&gt;",'Game Records'!$U$5:$U$504,"&lt;&gt;Subscription",'Game Records'!$Y$5:$Y$504,"&gt;=0.1",'Game Records'!$Y$5:$Y$504,"&lt;0.2",'Game Records'!$U$5:$U$504,"Draw")/B51)</f>
        <v/>
      </c>
      <c r="H51" s="300">
        <f>IF(B51=0,"",COUNTIFS('Game Records'!$A$5:$A$504,"&lt;&gt;",'Game Records'!$U$5:$U$504,"&lt;&gt;Subscription",'Game Records'!$Y$5:$Y$504,"&gt;=0.1",'Game Records'!$Y$5:$Y$504,"&lt;0.2",'Game Records'!$U$5:$U$504,"Disqualified")/B51)</f>
        <v/>
      </c>
    </row>
    <row r="52">
      <c r="A52" s="297" t="inlineStr">
        <is>
          <t>20–29.9%</t>
        </is>
      </c>
      <c r="B52" s="382">
        <f>COUNTIFS('Game Records'!$A$5:$A$504,"&lt;&gt;",'Game Records'!$U$5:$U$504,"&lt;&gt;Subscription",'Game Records'!$Y$5:$Y$504,"&gt;=0.2",'Game Records'!$Y$5:$Y$504,"&lt;0.3")</f>
        <v/>
      </c>
      <c r="C52" s="349">
        <f>SUMIFS('Game Records'!$W$5:$W$504,'Game Records'!$A$5:$A$504,"&lt;&gt;",'Game Records'!$U$5:$U$504,"&lt;&gt;Subscription",'Game Records'!$Y$5:$Y$504,"&gt;=0.2",'Game Records'!$Y$5:$Y$504,"&lt;0.3")</f>
        <v/>
      </c>
      <c r="D52" s="349">
        <f>IF(B52=0,"",C52/B52)</f>
        <v/>
      </c>
      <c r="E52" s="300">
        <f>IF(COUNTIFS('Game Records'!$A$5:$A$504,"&lt;&gt;",'Game Records'!$U$5:$U$504,"&lt;&gt;Subscription",'Game Records'!$Y$5:$Y$504,"&gt;=0.2",'Game Records'!$Y$5:$Y$504,"&lt;0.3",'Game Records'!$T$5:$T$504,"&lt;&gt;")=0,"",SUMIFS('Game Records'!$T$5:$T$504,'Game Records'!$A$5:$A$504,"&lt;&gt;",'Game Records'!$U$5:$U$504,"&lt;&gt;Subscription",'Game Records'!$Y$5:$Y$504,"&gt;=0.2",'Game Records'!$Y$5:$Y$504,"&lt;0.3",'Game Records'!$T$5:$T$504,"&lt;&gt;")/COUNTIFS('Game Records'!$A$5:$A$504,"&lt;&gt;",'Game Records'!$U$5:$U$504,"&lt;&gt;Subscription",'Game Records'!$Y$5:$Y$504,"&gt;=0.2",'Game Records'!$Y$5:$Y$504,"&lt;0.3",'Game Records'!$T$5:$T$504,"&lt;&gt;"))</f>
        <v/>
      </c>
      <c r="F52" s="300">
        <f>IF(B52=0,"",COUNTIFS('Game Records'!$A$5:$A$504,"&lt;&gt;",'Game Records'!$U$5:$U$504,"&lt;&gt;Subscription",'Game Records'!$Y$5:$Y$504,"&gt;=0.2",'Game Records'!$Y$5:$Y$504,"&lt;0.3",'Game Records'!$U$5:$U$504,"Profit")/B52)</f>
        <v/>
      </c>
      <c r="G52" s="300">
        <f>IF(B52=0,"",COUNTIFS('Game Records'!$A$5:$A$504,"&lt;&gt;",'Game Records'!$U$5:$U$504,"&lt;&gt;Subscription",'Game Records'!$Y$5:$Y$504,"&gt;=0.2",'Game Records'!$Y$5:$Y$504,"&lt;0.3",'Game Records'!$U$5:$U$504,"Draw")/B52)</f>
        <v/>
      </c>
      <c r="H52" s="300">
        <f>IF(B52=0,"",COUNTIFS('Game Records'!$A$5:$A$504,"&lt;&gt;",'Game Records'!$U$5:$U$504,"&lt;&gt;Subscription",'Game Records'!$Y$5:$Y$504,"&gt;=0.2",'Game Records'!$Y$5:$Y$504,"&lt;0.3",'Game Records'!$U$5:$U$504,"Disqualified")/B52)</f>
        <v/>
      </c>
    </row>
    <row r="53">
      <c r="A53" s="297" t="inlineStr">
        <is>
          <t>30%+</t>
        </is>
      </c>
      <c r="B53" s="382">
        <f>COUNTIFS('Game Records'!$A$5:$A$504,"&lt;&gt;",'Game Records'!$U$5:$U$504,"&lt;&gt;Subscription",'Game Records'!$Y$5:$Y$504,"&gt;=0.3")</f>
        <v/>
      </c>
      <c r="C53" s="349">
        <f>SUMIFS('Game Records'!$W$5:$W$504,'Game Records'!$A$5:$A$504,"&lt;&gt;",'Game Records'!$U$5:$U$504,"&lt;&gt;Subscription",'Game Records'!$Y$5:$Y$504,"&gt;=0.3")</f>
        <v/>
      </c>
      <c r="D53" s="349">
        <f>IF(B53=0,"",C53/B53)</f>
        <v/>
      </c>
      <c r="E53" s="300">
        <f>IF(COUNTIFS('Game Records'!$A$5:$A$504,"&lt;&gt;",'Game Records'!$U$5:$U$504,"&lt;&gt;Subscription",'Game Records'!$Y$5:$Y$504,"&gt;=0.3",'Game Records'!$T$5:$T$504,"&lt;&gt;")=0,"",SUMIFS('Game Records'!$T$5:$T$504,'Game Records'!$A$5:$A$504,"&lt;&gt;",'Game Records'!$U$5:$U$504,"&lt;&gt;Subscription",'Game Records'!$Y$5:$Y$504,"&gt;=0.3",'Game Records'!$T$5:$T$504,"&lt;&gt;")/COUNTIFS('Game Records'!$A$5:$A$504,"&lt;&gt;",'Game Records'!$U$5:$U$504,"&lt;&gt;Subscription",'Game Records'!$Y$5:$Y$504,"&gt;=0.3",'Game Records'!$T$5:$T$504,"&lt;&gt;"))</f>
        <v/>
      </c>
      <c r="F53" s="300">
        <f>IF(B53=0,"",COUNTIFS('Game Records'!$A$5:$A$504,"&lt;&gt;",'Game Records'!$U$5:$U$504,"&lt;&gt;Subscription",'Game Records'!$Y$5:$Y$504,"&gt;=0.3",'Game Records'!$U$5:$U$504,"Profit")/B53)</f>
        <v/>
      </c>
      <c r="G53" s="300">
        <f>IF(B53=0,"",COUNTIFS('Game Records'!$A$5:$A$504,"&lt;&gt;",'Game Records'!$U$5:$U$504,"&lt;&gt;Subscription",'Game Records'!$Y$5:$Y$504,"&gt;=0.3",'Game Records'!$U$5:$U$504,"Draw")/B53)</f>
        <v/>
      </c>
      <c r="H53" s="300">
        <f>IF(B53=0,"",COUNTIFS('Game Records'!$A$5:$A$504,"&lt;&gt;",'Game Records'!$U$5:$U$504,"&lt;&gt;Subscription",'Game Records'!$Y$5:$Y$504,"&gt;=0.3",'Game Records'!$U$5:$U$504,"Disqualified")/B53)</f>
        <v/>
      </c>
    </row>
  </sheetData>
  <mergeCells count="8">
    <mergeCell ref="A4:H4"/>
    <mergeCell ref="A48:H48"/>
    <mergeCell ref="A39:H39"/>
    <mergeCell ref="A2:H2"/>
    <mergeCell ref="A10:H10"/>
    <mergeCell ref="A1:H1"/>
    <mergeCell ref="A31:H31"/>
    <mergeCell ref="A22:H22"/>
  </mergeCells>
  <pageMargins left="0.7" right="0.7" top="0.75" bottom="0.75" header="0.3" footer="0.3"/>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Z29"/>
  <sheetViews>
    <sheetView workbookViewId="0">
      <selection activeCell="A1" sqref="A1"/>
    </sheetView>
  </sheetViews>
  <sheetFormatPr baseColWidth="8" defaultRowHeight="15"/>
  <cols>
    <col width="8" customWidth="1" style="270" min="1" max="1"/>
    <col width="30" customWidth="1" style="270" min="2" max="2"/>
    <col width="14" customWidth="1" style="270" min="3" max="3"/>
    <col width="9" customWidth="1" style="270" min="4" max="4"/>
    <col width="11" customWidth="1" style="270" min="5" max="5"/>
    <col width="12" customWidth="1" style="270" min="6" max="6"/>
    <col width="10" customWidth="1" style="270" min="7" max="7"/>
    <col width="15" customWidth="1" style="270" min="8" max="8"/>
  </cols>
  <sheetData>
    <row r="1">
      <c r="A1" s="246" t="inlineStr">
        <is>
          <t>Best Results</t>
        </is>
      </c>
      <c r="B1" s="1" t="n"/>
      <c r="C1" s="1" t="n"/>
      <c r="D1" s="1" t="n"/>
      <c r="E1" s="1" t="n"/>
      <c r="F1" s="1" t="n"/>
      <c r="G1" s="1" t="n"/>
      <c r="H1" s="1" t="n"/>
      <c r="I1" s="367" t="n"/>
      <c r="J1" s="367" t="n"/>
      <c r="K1" s="367" t="n"/>
      <c r="L1" s="367" t="n"/>
      <c r="M1" s="367" t="n"/>
      <c r="N1" s="367" t="n"/>
      <c r="O1" s="367" t="n"/>
      <c r="P1" s="367" t="n"/>
      <c r="Q1" s="367" t="n"/>
      <c r="R1" s="367" t="n"/>
      <c r="S1" s="367" t="n"/>
      <c r="T1" s="367" t="n"/>
      <c r="U1" s="367" t="n"/>
      <c r="V1" s="367" t="n"/>
      <c r="W1" s="367" t="n"/>
      <c r="X1" s="367" t="n"/>
      <c r="Y1" s="367" t="n"/>
      <c r="Z1" s="367" t="n"/>
    </row>
    <row r="2">
      <c r="A2" s="37" t="inlineStr">
        <is>
          <t>Lists the highest completed-game Net Profit and ROI values. Tied values may show the first matching game.</t>
        </is>
      </c>
      <c r="B2" s="1" t="n"/>
      <c r="C2" s="1" t="n"/>
      <c r="D2" s="1" t="n"/>
      <c r="E2" s="1" t="n"/>
      <c r="F2" s="1" t="n"/>
      <c r="G2" s="1" t="n"/>
      <c r="H2" s="1" t="n"/>
    </row>
    <row r="4">
      <c r="A4" s="27" t="inlineStr">
        <is>
          <t>Top 10 by Net Profit</t>
        </is>
      </c>
      <c r="B4" s="1" t="n"/>
      <c r="C4" s="1" t="n"/>
      <c r="D4" s="1" t="n"/>
      <c r="E4" s="1" t="n"/>
      <c r="F4" s="1" t="n"/>
      <c r="G4" s="1" t="n"/>
      <c r="H4" s="1" t="n"/>
    </row>
    <row r="5">
      <c r="A5" s="293" t="inlineStr">
        <is>
          <t>Rank</t>
        </is>
      </c>
      <c r="B5" s="318" t="inlineStr">
        <is>
          <t>Game Name</t>
        </is>
      </c>
      <c r="C5" s="293" t="inlineStr">
        <is>
          <t>Game Type</t>
        </is>
      </c>
      <c r="D5" s="293" t="inlineStr">
        <is>
          <t>Weeks</t>
        </is>
      </c>
      <c r="E5" s="319" t="inlineStr">
        <is>
          <t>Entry Fee</t>
        </is>
      </c>
      <c r="F5" s="319" t="inlineStr">
        <is>
          <t>Net Profit</t>
        </is>
      </c>
      <c r="G5" s="321" t="inlineStr">
        <is>
          <t>ROI</t>
        </is>
      </c>
      <c r="H5" s="293" t="inlineStr">
        <is>
          <t>Result</t>
        </is>
      </c>
    </row>
    <row r="6">
      <c r="A6" s="296" t="n">
        <v>1</v>
      </c>
      <c r="B6" s="297">
        <f>IFERROR(INDEX('Game Records'!$A$5:$A$504,MATCH(F6,'Game Records'!$W$5:$W$504,0)),"")</f>
        <v/>
      </c>
      <c r="C6" s="296">
        <f>IFERROR(INDEX('Game Records'!$E$5:$E$504,MATCH(F6,'Game Records'!$W$5:$W$504,0)),"")</f>
        <v/>
      </c>
      <c r="D6" s="296">
        <f>IFERROR(INDEX('Game Records'!$V$5:$V$504,MATCH(F6,'Game Records'!$W$5:$W$504,0)),"")</f>
        <v/>
      </c>
      <c r="E6" s="349">
        <f>IFERROR(INDEX('Game Records'!$H$5:$H$504,MATCH(F6,'Game Records'!$W$5:$W$504,0)),"")</f>
        <v/>
      </c>
      <c r="F6" s="349">
        <f>IFERROR(LARGE('Game Records'!$W$5:$W$504,A6),"")</f>
        <v/>
      </c>
      <c r="G6" s="300">
        <f>IFERROR(INDEX('Game Records'!$T$5:$T$504,MATCH(F6,'Game Records'!$W$5:$W$504,0)),"")</f>
        <v/>
      </c>
      <c r="H6" s="296">
        <f>IFERROR(INDEX('Game Records'!$U$5:$U$504,MATCH(F6,'Game Records'!$W$5:$W$504,0)),"")</f>
        <v/>
      </c>
    </row>
    <row r="7">
      <c r="A7" s="296" t="n">
        <v>2</v>
      </c>
      <c r="B7" s="297">
        <f>IFERROR(INDEX('Game Records'!$A$5:$A$504,MATCH(F7,'Game Records'!$W$5:$W$504,0)),"")</f>
        <v/>
      </c>
      <c r="C7" s="296">
        <f>IFERROR(INDEX('Game Records'!$E$5:$E$504,MATCH(F7,'Game Records'!$W$5:$W$504,0)),"")</f>
        <v/>
      </c>
      <c r="D7" s="296">
        <f>IFERROR(INDEX('Game Records'!$V$5:$V$504,MATCH(F7,'Game Records'!$W$5:$W$504,0)),"")</f>
        <v/>
      </c>
      <c r="E7" s="349">
        <f>IFERROR(INDEX('Game Records'!$H$5:$H$504,MATCH(F7,'Game Records'!$W$5:$W$504,0)),"")</f>
        <v/>
      </c>
      <c r="F7" s="349">
        <f>IFERROR(LARGE('Game Records'!$W$5:$W$504,A7),"")</f>
        <v/>
      </c>
      <c r="G7" s="300">
        <f>IFERROR(INDEX('Game Records'!$T$5:$T$504,MATCH(F7,'Game Records'!$W$5:$W$504,0)),"")</f>
        <v/>
      </c>
      <c r="H7" s="296">
        <f>IFERROR(INDEX('Game Records'!$U$5:$U$504,MATCH(F7,'Game Records'!$W$5:$W$504,0)),"")</f>
        <v/>
      </c>
    </row>
    <row r="8">
      <c r="A8" s="296" t="n">
        <v>3</v>
      </c>
      <c r="B8" s="297">
        <f>IFERROR(INDEX('Game Records'!$A$5:$A$504,MATCH(F8,'Game Records'!$W$5:$W$504,0)),"")</f>
        <v/>
      </c>
      <c r="C8" s="296">
        <f>IFERROR(INDEX('Game Records'!$E$5:$E$504,MATCH(F8,'Game Records'!$W$5:$W$504,0)),"")</f>
        <v/>
      </c>
      <c r="D8" s="296">
        <f>IFERROR(INDEX('Game Records'!$V$5:$V$504,MATCH(F8,'Game Records'!$W$5:$W$504,0)),"")</f>
        <v/>
      </c>
      <c r="E8" s="349">
        <f>IFERROR(INDEX('Game Records'!$H$5:$H$504,MATCH(F8,'Game Records'!$W$5:$W$504,0)),"")</f>
        <v/>
      </c>
      <c r="F8" s="349">
        <f>IFERROR(LARGE('Game Records'!$W$5:$W$504,A8),"")</f>
        <v/>
      </c>
      <c r="G8" s="300">
        <f>IFERROR(INDEX('Game Records'!$T$5:$T$504,MATCH(F8,'Game Records'!$W$5:$W$504,0)),"")</f>
        <v/>
      </c>
      <c r="H8" s="296">
        <f>IFERROR(INDEX('Game Records'!$U$5:$U$504,MATCH(F8,'Game Records'!$W$5:$W$504,0)),"")</f>
        <v/>
      </c>
    </row>
    <row r="9">
      <c r="A9" s="296" t="n">
        <v>4</v>
      </c>
      <c r="B9" s="297">
        <f>IFERROR(INDEX('Game Records'!$A$5:$A$504,MATCH(F9,'Game Records'!$W$5:$W$504,0)),"")</f>
        <v/>
      </c>
      <c r="C9" s="296">
        <f>IFERROR(INDEX('Game Records'!$E$5:$E$504,MATCH(F9,'Game Records'!$W$5:$W$504,0)),"")</f>
        <v/>
      </c>
      <c r="D9" s="296">
        <f>IFERROR(INDEX('Game Records'!$V$5:$V$504,MATCH(F9,'Game Records'!$W$5:$W$504,0)),"")</f>
        <v/>
      </c>
      <c r="E9" s="349">
        <f>IFERROR(INDEX('Game Records'!$H$5:$H$504,MATCH(F9,'Game Records'!$W$5:$W$504,0)),"")</f>
        <v/>
      </c>
      <c r="F9" s="349">
        <f>IFERROR(LARGE('Game Records'!$W$5:$W$504,A9),"")</f>
        <v/>
      </c>
      <c r="G9" s="300">
        <f>IFERROR(INDEX('Game Records'!$T$5:$T$504,MATCH(F9,'Game Records'!$W$5:$W$504,0)),"")</f>
        <v/>
      </c>
      <c r="H9" s="296">
        <f>IFERROR(INDEX('Game Records'!$U$5:$U$504,MATCH(F9,'Game Records'!$W$5:$W$504,0)),"")</f>
        <v/>
      </c>
    </row>
    <row r="10">
      <c r="A10" s="296" t="n">
        <v>5</v>
      </c>
      <c r="B10" s="297">
        <f>IFERROR(INDEX('Game Records'!$A$5:$A$504,MATCH(F10,'Game Records'!$W$5:$W$504,0)),"")</f>
        <v/>
      </c>
      <c r="C10" s="296">
        <f>IFERROR(INDEX('Game Records'!$E$5:$E$504,MATCH(F10,'Game Records'!$W$5:$W$504,0)),"")</f>
        <v/>
      </c>
      <c r="D10" s="296">
        <f>IFERROR(INDEX('Game Records'!$V$5:$V$504,MATCH(F10,'Game Records'!$W$5:$W$504,0)),"")</f>
        <v/>
      </c>
      <c r="E10" s="349">
        <f>IFERROR(INDEX('Game Records'!$H$5:$H$504,MATCH(F10,'Game Records'!$W$5:$W$504,0)),"")</f>
        <v/>
      </c>
      <c r="F10" s="349">
        <f>IFERROR(LARGE('Game Records'!$W$5:$W$504,A10),"")</f>
        <v/>
      </c>
      <c r="G10" s="300">
        <f>IFERROR(INDEX('Game Records'!$T$5:$T$504,MATCH(F10,'Game Records'!$W$5:$W$504,0)),"")</f>
        <v/>
      </c>
      <c r="H10" s="296">
        <f>IFERROR(INDEX('Game Records'!$U$5:$U$504,MATCH(F10,'Game Records'!$W$5:$W$504,0)),"")</f>
        <v/>
      </c>
    </row>
    <row r="11">
      <c r="A11" s="296" t="n">
        <v>6</v>
      </c>
      <c r="B11" s="297">
        <f>IFERROR(INDEX('Game Records'!$A$5:$A$504,MATCH(F11,'Game Records'!$W$5:$W$504,0)),"")</f>
        <v/>
      </c>
      <c r="C11" s="296">
        <f>IFERROR(INDEX('Game Records'!$E$5:$E$504,MATCH(F11,'Game Records'!$W$5:$W$504,0)),"")</f>
        <v/>
      </c>
      <c r="D11" s="296">
        <f>IFERROR(INDEX('Game Records'!$V$5:$V$504,MATCH(F11,'Game Records'!$W$5:$W$504,0)),"")</f>
        <v/>
      </c>
      <c r="E11" s="349">
        <f>IFERROR(INDEX('Game Records'!$H$5:$H$504,MATCH(F11,'Game Records'!$W$5:$W$504,0)),"")</f>
        <v/>
      </c>
      <c r="F11" s="349">
        <f>IFERROR(LARGE('Game Records'!$W$5:$W$504,A11),"")</f>
        <v/>
      </c>
      <c r="G11" s="300">
        <f>IFERROR(INDEX('Game Records'!$T$5:$T$504,MATCH(F11,'Game Records'!$W$5:$W$504,0)),"")</f>
        <v/>
      </c>
      <c r="H11" s="296">
        <f>IFERROR(INDEX('Game Records'!$U$5:$U$504,MATCH(F11,'Game Records'!$W$5:$W$504,0)),"")</f>
        <v/>
      </c>
    </row>
    <row r="12">
      <c r="A12" s="296" t="n">
        <v>7</v>
      </c>
      <c r="B12" s="297">
        <f>IFERROR(INDEX('Game Records'!$A$5:$A$504,MATCH(F12,'Game Records'!$W$5:$W$504,0)),"")</f>
        <v/>
      </c>
      <c r="C12" s="296">
        <f>IFERROR(INDEX('Game Records'!$E$5:$E$504,MATCH(F12,'Game Records'!$W$5:$W$504,0)),"")</f>
        <v/>
      </c>
      <c r="D12" s="296">
        <f>IFERROR(INDEX('Game Records'!$V$5:$V$504,MATCH(F12,'Game Records'!$W$5:$W$504,0)),"")</f>
        <v/>
      </c>
      <c r="E12" s="349">
        <f>IFERROR(INDEX('Game Records'!$H$5:$H$504,MATCH(F12,'Game Records'!$W$5:$W$504,0)),"")</f>
        <v/>
      </c>
      <c r="F12" s="349">
        <f>IFERROR(LARGE('Game Records'!$W$5:$W$504,A12),"")</f>
        <v/>
      </c>
      <c r="G12" s="300">
        <f>IFERROR(INDEX('Game Records'!$T$5:$T$504,MATCH(F12,'Game Records'!$W$5:$W$504,0)),"")</f>
        <v/>
      </c>
      <c r="H12" s="296">
        <f>IFERROR(INDEX('Game Records'!$U$5:$U$504,MATCH(F12,'Game Records'!$W$5:$W$504,0)),"")</f>
        <v/>
      </c>
    </row>
    <row r="13">
      <c r="A13" s="296" t="n">
        <v>8</v>
      </c>
      <c r="B13" s="297">
        <f>IFERROR(INDEX('Game Records'!$A$5:$A$504,MATCH(F13,'Game Records'!$W$5:$W$504,0)),"")</f>
        <v/>
      </c>
      <c r="C13" s="296">
        <f>IFERROR(INDEX('Game Records'!$E$5:$E$504,MATCH(F13,'Game Records'!$W$5:$W$504,0)),"")</f>
        <v/>
      </c>
      <c r="D13" s="296">
        <f>IFERROR(INDEX('Game Records'!$V$5:$V$504,MATCH(F13,'Game Records'!$W$5:$W$504,0)),"")</f>
        <v/>
      </c>
      <c r="E13" s="349">
        <f>IFERROR(INDEX('Game Records'!$H$5:$H$504,MATCH(F13,'Game Records'!$W$5:$W$504,0)),"")</f>
        <v/>
      </c>
      <c r="F13" s="349">
        <f>IFERROR(LARGE('Game Records'!$W$5:$W$504,A13),"")</f>
        <v/>
      </c>
      <c r="G13" s="300">
        <f>IFERROR(INDEX('Game Records'!$T$5:$T$504,MATCH(F13,'Game Records'!$W$5:$W$504,0)),"")</f>
        <v/>
      </c>
      <c r="H13" s="296">
        <f>IFERROR(INDEX('Game Records'!$U$5:$U$504,MATCH(F13,'Game Records'!$W$5:$W$504,0)),"")</f>
        <v/>
      </c>
    </row>
    <row r="14">
      <c r="A14" s="296" t="n">
        <v>9</v>
      </c>
      <c r="B14" s="297">
        <f>IFERROR(INDEX('Game Records'!$A$5:$A$504,MATCH(F14,'Game Records'!$W$5:$W$504,0)),"")</f>
        <v/>
      </c>
      <c r="C14" s="296">
        <f>IFERROR(INDEX('Game Records'!$E$5:$E$504,MATCH(F14,'Game Records'!$W$5:$W$504,0)),"")</f>
        <v/>
      </c>
      <c r="D14" s="296">
        <f>IFERROR(INDEX('Game Records'!$V$5:$V$504,MATCH(F14,'Game Records'!$W$5:$W$504,0)),"")</f>
        <v/>
      </c>
      <c r="E14" s="349">
        <f>IFERROR(INDEX('Game Records'!$H$5:$H$504,MATCH(F14,'Game Records'!$W$5:$W$504,0)),"")</f>
        <v/>
      </c>
      <c r="F14" s="349">
        <f>IFERROR(LARGE('Game Records'!$W$5:$W$504,A14),"")</f>
        <v/>
      </c>
      <c r="G14" s="300">
        <f>IFERROR(INDEX('Game Records'!$T$5:$T$504,MATCH(F14,'Game Records'!$W$5:$W$504,0)),"")</f>
        <v/>
      </c>
      <c r="H14" s="296">
        <f>IFERROR(INDEX('Game Records'!$U$5:$U$504,MATCH(F14,'Game Records'!$W$5:$W$504,0)),"")</f>
        <v/>
      </c>
    </row>
    <row r="15">
      <c r="A15" s="296" t="n">
        <v>10</v>
      </c>
      <c r="B15" s="297">
        <f>IFERROR(INDEX('Game Records'!$A$5:$A$504,MATCH(F15,'Game Records'!$W$5:$W$504,0)),"")</f>
        <v/>
      </c>
      <c r="C15" s="296">
        <f>IFERROR(INDEX('Game Records'!$E$5:$E$504,MATCH(F15,'Game Records'!$W$5:$W$504,0)),"")</f>
        <v/>
      </c>
      <c r="D15" s="296">
        <f>IFERROR(INDEX('Game Records'!$V$5:$V$504,MATCH(F15,'Game Records'!$W$5:$W$504,0)),"")</f>
        <v/>
      </c>
      <c r="E15" s="349">
        <f>IFERROR(INDEX('Game Records'!$H$5:$H$504,MATCH(F15,'Game Records'!$W$5:$W$504,0)),"")</f>
        <v/>
      </c>
      <c r="F15" s="349">
        <f>IFERROR(LARGE('Game Records'!$W$5:$W$504,A15),"")</f>
        <v/>
      </c>
      <c r="G15" s="300">
        <f>IFERROR(INDEX('Game Records'!$T$5:$T$504,MATCH(F15,'Game Records'!$W$5:$W$504,0)),"")</f>
        <v/>
      </c>
      <c r="H15" s="296">
        <f>IFERROR(INDEX('Game Records'!$U$5:$U$504,MATCH(F15,'Game Records'!$W$5:$W$504,0)),"")</f>
        <v/>
      </c>
    </row>
    <row r="16">
      <c r="A16" s="296" t="n"/>
      <c r="B16" s="297" t="n"/>
      <c r="C16" s="296" t="n"/>
      <c r="D16" s="296" t="n"/>
      <c r="E16" s="299" t="n"/>
      <c r="F16" s="299" t="n"/>
      <c r="G16" s="300" t="n"/>
      <c r="H16" s="296" t="n"/>
    </row>
    <row r="17">
      <c r="A17" s="296" t="n"/>
      <c r="B17" s="297" t="n"/>
      <c r="C17" s="296" t="n"/>
      <c r="D17" s="296" t="n"/>
      <c r="E17" s="299" t="n"/>
      <c r="F17" s="299" t="n"/>
      <c r="G17" s="300" t="n"/>
      <c r="H17" s="296" t="n"/>
    </row>
    <row r="18">
      <c r="A18" s="95" t="inlineStr">
        <is>
          <t>Top 10 by ROI</t>
        </is>
      </c>
      <c r="B18" s="1" t="n"/>
      <c r="C18" s="1" t="n"/>
      <c r="D18" s="1" t="n"/>
      <c r="E18" s="1" t="n"/>
      <c r="F18" s="1" t="n"/>
      <c r="G18" s="1" t="n"/>
      <c r="H18" s="1" t="n"/>
    </row>
    <row r="19">
      <c r="A19" s="293" t="inlineStr">
        <is>
          <t>Rank</t>
        </is>
      </c>
      <c r="B19" s="318" t="inlineStr">
        <is>
          <t>Game Name</t>
        </is>
      </c>
      <c r="C19" s="293" t="inlineStr">
        <is>
          <t>Game Type</t>
        </is>
      </c>
      <c r="D19" s="293" t="inlineStr">
        <is>
          <t>Weeks</t>
        </is>
      </c>
      <c r="E19" s="319" t="inlineStr">
        <is>
          <t>Entry Fee</t>
        </is>
      </c>
      <c r="F19" s="319" t="inlineStr">
        <is>
          <t>Net Profit</t>
        </is>
      </c>
      <c r="G19" s="321" t="inlineStr">
        <is>
          <t>ROI</t>
        </is>
      </c>
      <c r="H19" s="293" t="inlineStr">
        <is>
          <t>Result</t>
        </is>
      </c>
    </row>
    <row r="20">
      <c r="A20" s="296" t="n">
        <v>1</v>
      </c>
      <c r="B20" s="297">
        <f>IFERROR(INDEX('Game Records'!$A$5:$A$504,MATCH(G20,'Game Records'!$T$5:$T$504,0)),"")</f>
        <v/>
      </c>
      <c r="C20" s="296">
        <f>IFERROR(INDEX('Game Records'!$E$5:$E$504,MATCH(G20,'Game Records'!$T$5:$T$504,0)),"")</f>
        <v/>
      </c>
      <c r="D20" s="296">
        <f>IFERROR(INDEX('Game Records'!$V$5:$V$504,MATCH(G20,'Game Records'!$T$5:$T$504,0)),"")</f>
        <v/>
      </c>
      <c r="E20" s="349">
        <f>IFERROR(INDEX('Game Records'!$H$5:$H$504,MATCH(G20,'Game Records'!$T$5:$T$504,0)),"")</f>
        <v/>
      </c>
      <c r="F20" s="349">
        <f>IFERROR(INDEX('Game Records'!$W$5:$W$504,MATCH(G20,'Game Records'!$T$5:$T$504,0)),"")</f>
        <v/>
      </c>
      <c r="G20" s="300">
        <f>IFERROR(LARGE('Game Records'!$T$5:$T$504,A20),"")</f>
        <v/>
      </c>
      <c r="H20" s="296">
        <f>IFERROR(INDEX('Game Records'!$U$5:$U$504,MATCH(G20,'Game Records'!$T$5:$T$504,0)),"")</f>
        <v/>
      </c>
    </row>
    <row r="21">
      <c r="A21" s="296" t="n">
        <v>2</v>
      </c>
      <c r="B21" s="297">
        <f>IFERROR(INDEX('Game Records'!$A$5:$A$504,MATCH(G21,'Game Records'!$T$5:$T$504,0)),"")</f>
        <v/>
      </c>
      <c r="C21" s="296">
        <f>IFERROR(INDEX('Game Records'!$E$5:$E$504,MATCH(G21,'Game Records'!$T$5:$T$504,0)),"")</f>
        <v/>
      </c>
      <c r="D21" s="296">
        <f>IFERROR(INDEX('Game Records'!$V$5:$V$504,MATCH(G21,'Game Records'!$T$5:$T$504,0)),"")</f>
        <v/>
      </c>
      <c r="E21" s="349">
        <f>IFERROR(INDEX('Game Records'!$H$5:$H$504,MATCH(G21,'Game Records'!$T$5:$T$504,0)),"")</f>
        <v/>
      </c>
      <c r="F21" s="349">
        <f>IFERROR(INDEX('Game Records'!$W$5:$W$504,MATCH(G21,'Game Records'!$T$5:$T$504,0)),"")</f>
        <v/>
      </c>
      <c r="G21" s="300">
        <f>IFERROR(LARGE('Game Records'!$T$5:$T$504,A21),"")</f>
        <v/>
      </c>
      <c r="H21" s="296">
        <f>IFERROR(INDEX('Game Records'!$U$5:$U$504,MATCH(G21,'Game Records'!$T$5:$T$504,0)),"")</f>
        <v/>
      </c>
    </row>
    <row r="22">
      <c r="A22" s="296" t="n">
        <v>3</v>
      </c>
      <c r="B22" s="297">
        <f>IFERROR(INDEX('Game Records'!$A$5:$A$504,MATCH(G22,'Game Records'!$T$5:$T$504,0)),"")</f>
        <v/>
      </c>
      <c r="C22" s="296">
        <f>IFERROR(INDEX('Game Records'!$E$5:$E$504,MATCH(G22,'Game Records'!$T$5:$T$504,0)),"")</f>
        <v/>
      </c>
      <c r="D22" s="296">
        <f>IFERROR(INDEX('Game Records'!$V$5:$V$504,MATCH(G22,'Game Records'!$T$5:$T$504,0)),"")</f>
        <v/>
      </c>
      <c r="E22" s="349">
        <f>IFERROR(INDEX('Game Records'!$H$5:$H$504,MATCH(G22,'Game Records'!$T$5:$T$504,0)),"")</f>
        <v/>
      </c>
      <c r="F22" s="349">
        <f>IFERROR(INDEX('Game Records'!$W$5:$W$504,MATCH(G22,'Game Records'!$T$5:$T$504,0)),"")</f>
        <v/>
      </c>
      <c r="G22" s="300">
        <f>IFERROR(LARGE('Game Records'!$T$5:$T$504,A22),"")</f>
        <v/>
      </c>
      <c r="H22" s="296">
        <f>IFERROR(INDEX('Game Records'!$U$5:$U$504,MATCH(G22,'Game Records'!$T$5:$T$504,0)),"")</f>
        <v/>
      </c>
    </row>
    <row r="23">
      <c r="A23" s="296" t="n">
        <v>4</v>
      </c>
      <c r="B23" s="297">
        <f>IFERROR(INDEX('Game Records'!$A$5:$A$504,MATCH(G23,'Game Records'!$T$5:$T$504,0)),"")</f>
        <v/>
      </c>
      <c r="C23" s="296">
        <f>IFERROR(INDEX('Game Records'!$E$5:$E$504,MATCH(G23,'Game Records'!$T$5:$T$504,0)),"")</f>
        <v/>
      </c>
      <c r="D23" s="296">
        <f>IFERROR(INDEX('Game Records'!$V$5:$V$504,MATCH(G23,'Game Records'!$T$5:$T$504,0)),"")</f>
        <v/>
      </c>
      <c r="E23" s="349">
        <f>IFERROR(INDEX('Game Records'!$H$5:$H$504,MATCH(G23,'Game Records'!$T$5:$T$504,0)),"")</f>
        <v/>
      </c>
      <c r="F23" s="349">
        <f>IFERROR(INDEX('Game Records'!$W$5:$W$504,MATCH(G23,'Game Records'!$T$5:$T$504,0)),"")</f>
        <v/>
      </c>
      <c r="G23" s="300">
        <f>IFERROR(LARGE('Game Records'!$T$5:$T$504,A23),"")</f>
        <v/>
      </c>
      <c r="H23" s="296">
        <f>IFERROR(INDEX('Game Records'!$U$5:$U$504,MATCH(G23,'Game Records'!$T$5:$T$504,0)),"")</f>
        <v/>
      </c>
    </row>
    <row r="24">
      <c r="A24" s="296" t="n">
        <v>5</v>
      </c>
      <c r="B24" s="297">
        <f>IFERROR(INDEX('Game Records'!$A$5:$A$504,MATCH(G24,'Game Records'!$T$5:$T$504,0)),"")</f>
        <v/>
      </c>
      <c r="C24" s="296">
        <f>IFERROR(INDEX('Game Records'!$E$5:$E$504,MATCH(G24,'Game Records'!$T$5:$T$504,0)),"")</f>
        <v/>
      </c>
      <c r="D24" s="296">
        <f>IFERROR(INDEX('Game Records'!$V$5:$V$504,MATCH(G24,'Game Records'!$T$5:$T$504,0)),"")</f>
        <v/>
      </c>
      <c r="E24" s="349">
        <f>IFERROR(INDEX('Game Records'!$H$5:$H$504,MATCH(G24,'Game Records'!$T$5:$T$504,0)),"")</f>
        <v/>
      </c>
      <c r="F24" s="349">
        <f>IFERROR(INDEX('Game Records'!$W$5:$W$504,MATCH(G24,'Game Records'!$T$5:$T$504,0)),"")</f>
        <v/>
      </c>
      <c r="G24" s="300">
        <f>IFERROR(LARGE('Game Records'!$T$5:$T$504,A24),"")</f>
        <v/>
      </c>
      <c r="H24" s="296">
        <f>IFERROR(INDEX('Game Records'!$U$5:$U$504,MATCH(G24,'Game Records'!$T$5:$T$504,0)),"")</f>
        <v/>
      </c>
    </row>
    <row r="25">
      <c r="A25" s="296" t="n">
        <v>6</v>
      </c>
      <c r="B25" s="297">
        <f>IFERROR(INDEX('Game Records'!$A$5:$A$504,MATCH(G25,'Game Records'!$T$5:$T$504,0)),"")</f>
        <v/>
      </c>
      <c r="C25" s="296">
        <f>IFERROR(INDEX('Game Records'!$E$5:$E$504,MATCH(G25,'Game Records'!$T$5:$T$504,0)),"")</f>
        <v/>
      </c>
      <c r="D25" s="296">
        <f>IFERROR(INDEX('Game Records'!$V$5:$V$504,MATCH(G25,'Game Records'!$T$5:$T$504,0)),"")</f>
        <v/>
      </c>
      <c r="E25" s="349">
        <f>IFERROR(INDEX('Game Records'!$H$5:$H$504,MATCH(G25,'Game Records'!$T$5:$T$504,0)),"")</f>
        <v/>
      </c>
      <c r="F25" s="349">
        <f>IFERROR(INDEX('Game Records'!$W$5:$W$504,MATCH(G25,'Game Records'!$T$5:$T$504,0)),"")</f>
        <v/>
      </c>
      <c r="G25" s="300">
        <f>IFERROR(LARGE('Game Records'!$T$5:$T$504,A25),"")</f>
        <v/>
      </c>
      <c r="H25" s="296">
        <f>IFERROR(INDEX('Game Records'!$U$5:$U$504,MATCH(G25,'Game Records'!$T$5:$T$504,0)),"")</f>
        <v/>
      </c>
    </row>
    <row r="26">
      <c r="A26" s="296" t="n">
        <v>7</v>
      </c>
      <c r="B26" s="297">
        <f>IFERROR(INDEX('Game Records'!$A$5:$A$504,MATCH(G26,'Game Records'!$T$5:$T$504,0)),"")</f>
        <v/>
      </c>
      <c r="C26" s="296">
        <f>IFERROR(INDEX('Game Records'!$E$5:$E$504,MATCH(G26,'Game Records'!$T$5:$T$504,0)),"")</f>
        <v/>
      </c>
      <c r="D26" s="296">
        <f>IFERROR(INDEX('Game Records'!$V$5:$V$504,MATCH(G26,'Game Records'!$T$5:$T$504,0)),"")</f>
        <v/>
      </c>
      <c r="E26" s="349">
        <f>IFERROR(INDEX('Game Records'!$H$5:$H$504,MATCH(G26,'Game Records'!$T$5:$T$504,0)),"")</f>
        <v/>
      </c>
      <c r="F26" s="349">
        <f>IFERROR(INDEX('Game Records'!$W$5:$W$504,MATCH(G26,'Game Records'!$T$5:$T$504,0)),"")</f>
        <v/>
      </c>
      <c r="G26" s="300">
        <f>IFERROR(LARGE('Game Records'!$T$5:$T$504,A26),"")</f>
        <v/>
      </c>
      <c r="H26" s="296">
        <f>IFERROR(INDEX('Game Records'!$U$5:$U$504,MATCH(G26,'Game Records'!$T$5:$T$504,0)),"")</f>
        <v/>
      </c>
    </row>
    <row r="27">
      <c r="A27" s="296" t="n">
        <v>8</v>
      </c>
      <c r="B27" s="297">
        <f>IFERROR(INDEX('Game Records'!$A$5:$A$504,MATCH(G27,'Game Records'!$T$5:$T$504,0)),"")</f>
        <v/>
      </c>
      <c r="C27" s="296">
        <f>IFERROR(INDEX('Game Records'!$E$5:$E$504,MATCH(G27,'Game Records'!$T$5:$T$504,0)),"")</f>
        <v/>
      </c>
      <c r="D27" s="296">
        <f>IFERROR(INDEX('Game Records'!$V$5:$V$504,MATCH(G27,'Game Records'!$T$5:$T$504,0)),"")</f>
        <v/>
      </c>
      <c r="E27" s="349">
        <f>IFERROR(INDEX('Game Records'!$H$5:$H$504,MATCH(G27,'Game Records'!$T$5:$T$504,0)),"")</f>
        <v/>
      </c>
      <c r="F27" s="349">
        <f>IFERROR(INDEX('Game Records'!$W$5:$W$504,MATCH(G27,'Game Records'!$T$5:$T$504,0)),"")</f>
        <v/>
      </c>
      <c r="G27" s="300">
        <f>IFERROR(LARGE('Game Records'!$T$5:$T$504,A27),"")</f>
        <v/>
      </c>
      <c r="H27" s="296">
        <f>IFERROR(INDEX('Game Records'!$U$5:$U$504,MATCH(G27,'Game Records'!$T$5:$T$504,0)),"")</f>
        <v/>
      </c>
    </row>
    <row r="28">
      <c r="A28" s="296" t="n">
        <v>9</v>
      </c>
      <c r="B28" s="297">
        <f>IFERROR(INDEX('Game Records'!$A$5:$A$504,MATCH(G28,'Game Records'!$T$5:$T$504,0)),"")</f>
        <v/>
      </c>
      <c r="C28" s="296">
        <f>IFERROR(INDEX('Game Records'!$E$5:$E$504,MATCH(G28,'Game Records'!$T$5:$T$504,0)),"")</f>
        <v/>
      </c>
      <c r="D28" s="296">
        <f>IFERROR(INDEX('Game Records'!$V$5:$V$504,MATCH(G28,'Game Records'!$T$5:$T$504,0)),"")</f>
        <v/>
      </c>
      <c r="E28" s="349">
        <f>IFERROR(INDEX('Game Records'!$H$5:$H$504,MATCH(G28,'Game Records'!$T$5:$T$504,0)),"")</f>
        <v/>
      </c>
      <c r="F28" s="349">
        <f>IFERROR(INDEX('Game Records'!$W$5:$W$504,MATCH(G28,'Game Records'!$T$5:$T$504,0)),"")</f>
        <v/>
      </c>
      <c r="G28" s="300">
        <f>IFERROR(LARGE('Game Records'!$T$5:$T$504,A28),"")</f>
        <v/>
      </c>
      <c r="H28" s="296">
        <f>IFERROR(INDEX('Game Records'!$U$5:$U$504,MATCH(G28,'Game Records'!$T$5:$T$504,0)),"")</f>
        <v/>
      </c>
    </row>
    <row r="29">
      <c r="A29" s="296" t="n">
        <v>10</v>
      </c>
      <c r="B29" s="297">
        <f>IFERROR(INDEX('Game Records'!$A$5:$A$504,MATCH(G29,'Game Records'!$T$5:$T$504,0)),"")</f>
        <v/>
      </c>
      <c r="C29" s="296">
        <f>IFERROR(INDEX('Game Records'!$E$5:$E$504,MATCH(G29,'Game Records'!$T$5:$T$504,0)),"")</f>
        <v/>
      </c>
      <c r="D29" s="296">
        <f>IFERROR(INDEX('Game Records'!$V$5:$V$504,MATCH(G29,'Game Records'!$T$5:$T$504,0)),"")</f>
        <v/>
      </c>
      <c r="E29" s="349">
        <f>IFERROR(INDEX('Game Records'!$H$5:$H$504,MATCH(G29,'Game Records'!$T$5:$T$504,0)),"")</f>
        <v/>
      </c>
      <c r="F29" s="349">
        <f>IFERROR(INDEX('Game Records'!$W$5:$W$504,MATCH(G29,'Game Records'!$T$5:$T$504,0)),"")</f>
        <v/>
      </c>
      <c r="G29" s="300">
        <f>IFERROR(LARGE('Game Records'!$T$5:$T$504,A29),"")</f>
        <v/>
      </c>
      <c r="H29" s="296">
        <f>IFERROR(INDEX('Game Records'!$U$5:$U$504,MATCH(G29,'Game Records'!$T$5:$T$504,0)),"")</f>
        <v/>
      </c>
    </row>
  </sheetData>
  <mergeCells count="4">
    <mergeCell ref="A18:H18"/>
    <mergeCell ref="A4:H4"/>
    <mergeCell ref="A2:H2"/>
    <mergeCell ref="A1:H1"/>
  </mergeCells>
  <conditionalFormatting sqref="F5:F29">
    <cfRule type="colorScale" priority="1">
      <colorScale>
        <cfvo type="min"/>
        <cfvo type="percentile" val="50"/>
        <cfvo type="max"/>
        <color rgb="FFF4CCCC"/>
        <color rgb="FFFFF2CC"/>
        <color rgb="FFD9EAD3"/>
      </colorScale>
    </cfRule>
  </conditionalFormatting>
  <conditionalFormatting sqref="G5:G29">
    <cfRule type="colorScale" priority="2">
      <colorScale>
        <cfvo type="min"/>
        <cfvo type="percentile" val="50"/>
        <cfvo type="max"/>
        <color rgb="FFF4CCCC"/>
        <color rgb="FFFFF2CC"/>
        <color rgb="FFD9EAD3"/>
      </colorScale>
    </cfRule>
  </conditionalFormatting>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2026-07-05T07:38:57Z</dcterms:created>
  <dcterms:modified xmlns:dcterms="http://purl.org/dc/terms/" xmlns:xsi="http://www.w3.org/2001/XMLSchema-instance" xsi:type="dcterms:W3CDTF">2026-07-05T07:38:57Z</dcterms:modified>
</cp:coreProperties>
</file>