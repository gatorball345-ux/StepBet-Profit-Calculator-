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Game Records" sheetId="2" r:id="rId6"/>
    <sheet state="visible" name="Record Review" sheetId="3" r:id="rId7"/>
    <sheet state="visible" name="Summary" sheetId="4" r:id="rId8"/>
    <sheet state="visible" name="Game Comparisons" sheetId="5" r:id="rId9"/>
    <sheet state="visible" name="Best Results"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Choose Member or Non-Member. Use N/A only when membership status is genuinely unavailable, usually for an imported historical record.</t>
      </text>
    </comment>
    <comment authorId="0" ref="K4">
      <text>
        <t xml:space="preserve">Enter the total amount returned by the platform, including the original entry fee. Example: a $40 entry with $3.36 profit should be entered as $43.36.</t>
      </text>
    </comment>
    <comment authorId="0" ref="L4">
      <text>
        <t xml:space="preserve">Choose Yes only when the participant was disqualified or lost the entry fee. Choose No for completed, estimated, free-game, and subscription records. Do not enter N/A.</t>
      </text>
    </comment>
    <comment authorId="0" ref="A4">
      <text>
        <t xml:space="preserve">Editable record inputs are A:M only. Correct values in place, or insert/delete whole worksheet rows. Desktop: paste A:M values only. Mobile: use StepCat Copy Sheet Row or copy only A:M. Never edit or paste into N:Z.</t>
      </text>
    </comment>
    <comment authorId="0" ref="B4">
      <text>
        <t xml:space="preserve">You may type a date as 8/5/2026 or 08/05/2026. It displays consistently as 08/05/2026.</t>
      </text>
    </comment>
    <comment authorId="0" ref="C4">
      <text>
        <t xml:space="preserve">You may type a date as 8/11/2026 or 08/11/2026. It displays consistently with two-digit month and day.</t>
      </text>
    </comment>
  </commentList>
</comments>
</file>

<file path=xl/sharedStrings.xml><?xml version="1.0" encoding="utf-8"?>
<sst xmlns="http://schemas.openxmlformats.org/spreadsheetml/2006/main" count="13174" uniqueCount="217">
  <si>
    <t>StepCat Workbook Instructions — v253.0</t>
  </si>
  <si>
    <t>StepCat Live Summary Dashboard — v253.0</t>
  </si>
  <si>
    <t>Record Review — Game Index and Field Review — v253.0</t>
  </si>
  <si>
    <t>Google Sheets working version with insertion-safe expanding formulas and migration guidance.</t>
  </si>
  <si>
    <t>Start here</t>
  </si>
  <si>
    <t>Create one Google Sheets copy for everyday use. Enter or paste records in Game Records A:M beginning at row 5. N:Z calculate automatically and must not be edited.</t>
  </si>
  <si>
    <t>Lists each non-subscription game and fields that may deserve review. N:Z now use expanding formulas anchored above the record area.</t>
  </si>
  <si>
    <t>Game Result</t>
  </si>
  <si>
    <t>Cross-device use</t>
  </si>
  <si>
    <t>The Google Sheet is the permanent cross-device record and can be maintained directly without StepCat. Open the same Sheet on any device signed into the same Google account, enter or paste A:M, and leave N:Z untouched so the workbook calculates automatically. StepCat's unfinished fields, settings, and Saved History remain in the current browser/device and do not transfer automatically.</t>
  </si>
  <si>
    <t>Game Count</t>
  </si>
  <si>
    <t>Share of Paid Games</t>
  </si>
  <si>
    <t>Cash / Credit Total</t>
  </si>
  <si>
    <t>Editable columns</t>
  </si>
  <si>
    <t>Amount</t>
  </si>
  <si>
    <t>Use A:M for record information. N:Z are generated by protected expanding formulas anchored above the record area. Inserting a whole row above or below an existing record does not require copying formulas.</t>
  </si>
  <si>
    <t>What It Represents</t>
  </si>
  <si>
    <t>Profit Games</t>
  </si>
  <si>
    <t>Correcting an existing record</t>
  </si>
  <si>
    <t>Edit only the incorrect A:M input cells on the existing Game Records row. N:Z recalculate automatically. Do not replace, clear, or edit the calculated cells.</t>
  </si>
  <si>
    <t>Desktop transfer or relocation</t>
  </si>
  <si>
    <t>On a computer, copy only populated A:M values. Insert a whole destination row, select its column-A cell, and use Paste special -&gt; Values only. Confirm N:Z, Record Review, and totals before deleting the original row.</t>
  </si>
  <si>
    <t>Google Sheets working version v253.0. Enter or paste in A:M only. N:Z are generated by protected expanding formulas anchored above the record area, so inserted whole rows calculate automatically.</t>
  </si>
  <si>
    <t>Mobile transfer or relocation</t>
  </si>
  <si>
    <t>The Google Sheets mobile app may not offer Paste special. Recalculate in StepCat and use Copy Sheet Row when possible, or copy only A:M from the source row and use ordinary Paste into the destination column-A cell. Never copy an entire row because it includes N:Z.</t>
  </si>
  <si>
    <t>Game #</t>
  </si>
  <si>
    <t>Profit rule</t>
  </si>
  <si>
    <t>Game Records ID</t>
  </si>
  <si>
    <t>A:M — Inputs only</t>
  </si>
  <si>
    <t>Game Name</t>
  </si>
  <si>
    <t>Enter the total payout returned by the platform in Final Payout / Chips, not profit alone. Example: a $40 entry with $3.36 profit is entered as $43.36. Profit means Result Earned is above Entry Fee.</t>
  </si>
  <si>
    <t>Calculated Result</t>
  </si>
  <si>
    <t>Review Status</t>
  </si>
  <si>
    <t>Blank Fields to Review</t>
  </si>
  <si>
    <t>Draw rule</t>
  </si>
  <si>
    <t>Notes from Game Records</t>
  </si>
  <si>
    <t>A normal completed paid game earning the Entry Fee or less is treated as a Draw with $0.00 net profit. The exact raw estimate remains visible in Estimated Earned.</t>
  </si>
  <si>
    <t>Loss rule</t>
  </si>
  <si>
    <t>A monetary loss occurs only when Disqualified / Lost Entry Fee is Yes on a paid entry; the full Entry Fee is counted as lost.</t>
  </si>
  <si>
    <t>Subscriptions</t>
  </si>
  <si>
    <t>For the annual platform membership, select “Subscription — membership charge only,” enter the annual cost in Entry Fee, and set Disqualified / Lost Entry Fee to No. Gross Pot, Eligible Players, Total Players, and Final Payout may be entered as N/A because this is a non-game expense. Subscription rows do not change Running Net Game Profit; Summary subtracts membership/subscription costs separately when calculating Actual Running Net Profit.</t>
  </si>
  <si>
    <t>Free games</t>
  </si>
  <si>
    <t>Select “Free Game — completed challenge/chips” for a completed free-entry challenge or a record that awards chips/game credit. Enter chips in Final Payout / Chips when known. Choose No in Disqualified / Lost Entry Fee for a completed free game and Yes only if it was disqualified. Game Type may be N/A only when historical membership status is unavailable.</t>
  </si>
  <si>
    <t>Summary</t>
  </si>
  <si>
    <t>Summary uses exact counts and cash totals. Free Games are shown separately from paid-game Profit, Draw, and Disqualified counts, and their chips are reported in a separate non-cash total.</t>
  </si>
  <si>
    <t>Game Comparisons</t>
  </si>
  <si>
    <t>The paid table compares Member, Non-Member, Unclassified, and All Paid Games. A separate Free Game Chip Performance section shows completed, disqualified, chips-earned, eliminated-player, and elimination-rate statistics. Subscription rows are excluded.</t>
  </si>
  <si>
    <t>Gross Profit Earned</t>
  </si>
  <si>
    <t>The sum of positive paid-game cash profit before subtracting lost entry fees or membership fees. Free Game chips are excluded.</t>
  </si>
  <si>
    <t>Net Game Profit</t>
  </si>
  <si>
    <t>Gross paid-game cash profit minus total lost entry fees. Free Game chips are excluded from cash net profit.</t>
  </si>
  <si>
    <t>Actual Running Net Profit</t>
  </si>
  <si>
    <t>Running Net Game Profit minus current and carryover annual subscription or membership costs. Free Game chips remain separate.</t>
  </si>
  <si>
    <t>Column Z colors</t>
  </si>
  <si>
    <t>Column Z shows cumulative net game profit. Its color describes the current row's result or record type, not whether the cumulative total is positive or negative. Draw and Subscription rows may repeat the preceding total.</t>
  </si>
  <si>
    <t>Light green</t>
  </si>
  <si>
    <t>Profit</t>
  </si>
  <si>
    <t>Light gray</t>
  </si>
  <si>
    <t>Draw</t>
  </si>
  <si>
    <t>Running Net Game Profit</t>
  </si>
  <si>
    <t>Pale yellow / cream</t>
  </si>
  <si>
    <t>Free Game / chips</t>
  </si>
  <si>
    <t>Light blue</t>
  </si>
  <si>
    <t>Subscription</t>
  </si>
  <si>
    <t>Light red</t>
  </si>
  <si>
    <t>Disqualified / Lost Entry Fee</t>
  </si>
  <si>
    <t>Gross profit minus lost entry fees</t>
  </si>
  <si>
    <t>Draw Games</t>
  </si>
  <si>
    <t>Mobile copy and paste</t>
  </si>
  <si>
    <t>On mobile, ordinary Paste is acceptable only when the copied selection contains A:M values and no calculated columns. A StepCat Copy Sheet Row paste is preferred because it contains record values only. Confirm that the destination row's N:Z results appear automatically.</t>
  </si>
  <si>
    <t>Starting Midyear</t>
  </si>
  <si>
    <t>Choose one continuation method: transfer prior A:M records to preserve full detail, or use Carryover Setup for totals only when you are not transferring those rows.</t>
  </si>
  <si>
    <t>Workbook capacity</t>
  </si>
  <si>
    <t>The Google Sheets version provides 500 active input rows (rows 5–504). The boundary at row 505 separates active records from the archive area beginning at row 506. Insert whole rows above the boundary when additional active rows are needed.</t>
  </si>
  <si>
    <t>Editing, inserting, and deleting</t>
  </si>
  <si>
    <t>A:M are editable; N:Z are calculated. To add or move a record, insert a whole row and enter or paste A:M. To remove a record that should not exist, delete its entire worksheet row. Do not use Delete cells and shift left or up.</t>
  </si>
  <si>
    <t>Carryover alternative</t>
  </si>
  <si>
    <t>Use only when starting a fresh record list without transferring prior Game Records rows. Enter prior totals once, then continue with new records.</t>
  </si>
  <si>
    <t>Prior Net Game Profit</t>
  </si>
  <si>
    <t>Positive paid-game cash profit only, before lost fees or membership costs</t>
  </si>
  <si>
    <t>Disqualified Games</t>
  </si>
  <si>
    <t>Prior Subscription Costs</t>
  </si>
  <si>
    <t>Prior Game Count</t>
  </si>
  <si>
    <t>Total Lost Entry Fees</t>
  </si>
  <si>
    <t>Step 1 — Note prior totals</t>
  </si>
  <si>
    <t>If you are not transferring the prior A:M records, open the completed or archived workbook and note its ending Net Game Profit, subscription costs already paid, and completed-game count.</t>
  </si>
  <si>
    <t>Full entry fees lost from disqualification</t>
  </si>
  <si>
    <t>Current Workbook Paid Games</t>
  </si>
  <si>
    <t>Step 2 — Enter once</t>
  </si>
  <si>
    <t>Enter those three figures once in B30:B32. Do not also copy the prior Game Records rows; using both methods would count the same activity twice.</t>
  </si>
  <si>
    <t>Membership Fees</t>
  </si>
  <si>
    <t>Step 3 — Continue records</t>
  </si>
  <si>
    <t>Begin new records on Game Records row 5. Enter only activity that occurred after the previous workbook ended.</t>
  </si>
  <si>
    <t>Step 4 — Check totals</t>
  </si>
  <si>
    <t>Running totals and Summary should begin with the carryover figures and then add only the new workbook's records.</t>
  </si>
  <si>
    <t>Annual membership cost, tracked as a separate non-game expense</t>
  </si>
  <si>
    <t>Important</t>
  </si>
  <si>
    <t>Prior Completed Games (reference)</t>
  </si>
  <si>
    <t>Carryover is an alternative to transferring prior rows. If you copy populated A5:M records into this workbook, leave B30:B32 at 0. Prior Game Count includes completed games only; exclude Subscription rows and unfinished Estimate rows.</t>
  </si>
  <si>
    <t>Calculations</t>
  </si>
  <si>
    <t>Reference for how the workbook determines results and totals.</t>
  </si>
  <si>
    <t>Member games</t>
  </si>
  <si>
    <t>Adjusted Pot uses 100% of Gross Pot.</t>
  </si>
  <si>
    <t>Release date</t>
  </si>
  <si>
    <t>August 5, 2026</t>
  </si>
  <si>
    <t>What's new as of August 5, 2026</t>
  </si>
  <si>
    <t>The live v253.0 Google Sheets workbooks now clarify total-payout entry, valid Subscription and Free Game inputs, two-digit date display, wrapped text, Net Profit colors, and safe desktop/mobile correction, relocation, and deletion procedures. The expanding calculation formulas remain unchanged.</t>
  </si>
  <si>
    <t>Result Earned above Entry Fee; Net Profit is Result Earned minus Entry Fee.</t>
  </si>
  <si>
    <t>A normal completed paid game earning the Entry Fee or less records $0.00 Net Profit while preserving the exact Estimated Earned or Final Payout amount.</t>
  </si>
  <si>
    <t>Running cash net game profit minus current and carried-over membership costs</t>
  </si>
  <si>
    <t>Disqualified</t>
  </si>
  <si>
    <t>Paid entry: Final Payout / Chips and Result Earned / Chips should show $0.00, and the full Entry Fee is recorded as lost. Free Game: the disqualification status is preserved, 0.00 chips are earned, and no monetary Entry Fee loss is recorded.</t>
  </si>
  <si>
    <t>Completed Free Games (separate credit)</t>
  </si>
  <si>
    <t>ROI</t>
  </si>
  <si>
    <t>Net Profit divided by Entry Fee. When Entry Fee is $0, ROI displays N/A because division by zero is undefined.</t>
  </si>
  <si>
    <t>Running Net Profit</t>
  </si>
  <si>
    <t>Prior Net Game Profit plus current-workbook cash Net Profit, accumulated row by row. Free Game chips do not change the total; Draw and Subscription rows may repeat the preceding total.</t>
  </si>
  <si>
    <t>Subscription effect</t>
  </si>
  <si>
    <t>A Subscription row is excluded from game counts and game results. Its cost does not change Running Net Game Profit and is subtracted separately when calculating Actual Running Net Profit.</t>
  </si>
  <si>
    <t>What changed in v253.0</t>
  </si>
  <si>
    <t>v253.0 corrects the native Google Sheets table types for calculated columns N, O, and T. These columns can now display either numeric results or the intentional text N/A without false red validation warnings. Formulas, inserted-row inheritance, dropdowns, visible borders, number formatting, and profitability calculations remain unchanged.</t>
  </si>
  <si>
    <t>Separate</t>
  </si>
  <si>
    <t>Adding, correcting, or relocating a record</t>
  </si>
  <si>
    <t>Free Game Chips Earned</t>
  </si>
  <si>
    <t>Correct an existing record directly in A:M. To relocate or insert one, insert a whole row at the destination, paste only A:M into column A, and confirm N:Z populate. Desktop: use Paste special -&gt; Values only. Mobile: use StepCat Copy Sheet Row or copy only A:M and use regular Paste.</t>
  </si>
  <si>
    <t>Removing an unwanted record</t>
  </si>
  <si>
    <t>Deleting the entire worksheet row is safe in v253.0 because N:Z are generated by expanding formulas anchored above the record area. Clearing A:M is also safe but leaves a blank row. Never delete only some cells and shift neighboring cells.</t>
  </si>
  <si>
    <t>Verification after changes</t>
  </si>
  <si>
    <t>Confirm the calculated Result, Net Profit, Running Net Profit, Record Review, and Summary. If N:Z do not populate, immediately undo the insertion or paste. Do not copy formulas into N:Z or sort the entire workbook as a repair step.</t>
  </si>
  <si>
    <t>Protected formula area</t>
  </si>
  <si>
    <t>Non-cash chips/game credit earned from Free Games; excluded from every cash profit total</t>
  </si>
  <si>
    <t>Do not edit, paste into, clear, or copy N:Z. Do not alter the formula anchors in row 3. Ordinary record work should be limited to A:M and whole-row insertions or deletions.</t>
  </si>
  <si>
    <t>Preferred correction method</t>
  </si>
  <si>
    <t>For one or two wrong fields, edit those A:M cells directly. For a fully rebuilt or moved record, recalculate it in StepCat, use Copy Sheet Row, paste at the destination, verify calculations, then delete the old whole row.</t>
  </si>
  <si>
    <t>Running Tally</t>
  </si>
  <si>
    <t>Exact Count</t>
  </si>
  <si>
    <t>Share</t>
  </si>
  <si>
    <t>Free Game (separate credit)</t>
  </si>
  <si>
    <t>Review Totals</t>
  </si>
  <si>
    <t>Total Paid Games</t>
  </si>
  <si>
    <t>Paid Game Performance — v253.0</t>
  </si>
  <si>
    <t>Compares paid completed Member, Non-Member, and Unclassified games. Subscriptions are excluded; Free Games appear in the separate section below.</t>
  </si>
  <si>
    <t>Metric</t>
  </si>
  <si>
    <t>Member</t>
  </si>
  <si>
    <t>Non-Member</t>
  </si>
  <si>
    <t>Unclassified</t>
  </si>
  <si>
    <t>All Paid Games</t>
  </si>
  <si>
    <t>Completed Games</t>
  </si>
  <si>
    <t>Profit Rate</t>
  </si>
  <si>
    <t>Draw Rate</t>
  </si>
  <si>
    <t>Total Games</t>
  </si>
  <si>
    <t>Best Results — Live Reference Table — v253.0</t>
  </si>
  <si>
    <t>Shows the strongest results found in Game Records. Values update automatically when records are added or changed.</t>
  </si>
  <si>
    <t>Game</t>
  </si>
  <si>
    <t>Value</t>
  </si>
  <si>
    <t>Meaning</t>
  </si>
  <si>
    <t>Highest Net Profit</t>
  </si>
  <si>
    <t>Disqualification Rate</t>
  </si>
  <si>
    <t>Largest positive game result</t>
  </si>
  <si>
    <t>Highest ROI</t>
  </si>
  <si>
    <t>Average Net Profit</t>
  </si>
  <si>
    <t>Best return on Entry Fee</t>
  </si>
  <si>
    <t>Largest Lost Entry Fee</t>
  </si>
  <si>
    <t>Average ROI</t>
  </si>
  <si>
    <t>Largest full-entry loss</t>
  </si>
  <si>
    <t>Lowest Elimination Rate</t>
  </si>
  <si>
    <t>Best recorded elimination rate</t>
  </si>
  <si>
    <t>Longest Challenge</t>
  </si>
  <si>
    <t>Most weeks completed</t>
  </si>
  <si>
    <t>Total Net Profit</t>
  </si>
  <si>
    <t>Unclassified Games</t>
  </si>
  <si>
    <t>Free Game Chip Performance</t>
  </si>
  <si>
    <t>Free Games are completed step challenges that award non-cash chips/game credit. They remain separate from paid-game ROI, paid-result averages, and all cash profit totals.</t>
  </si>
  <si>
    <t>Free Game Chips</t>
  </si>
  <si>
    <t>Completed Free Games</t>
  </si>
  <si>
    <t>All finalized Free Game and Disqualified — Free Game records.</t>
  </si>
  <si>
    <t>Non-disqualified Free Games</t>
  </si>
  <si>
    <t>Free Games completed without disqualification.</t>
  </si>
  <si>
    <t>Disqualified Free Games</t>
  </si>
  <si>
    <t>Free Games whose disqualification status was recorded.</t>
  </si>
  <si>
    <t>Disqualified Free Games divided by all completed Free Games.</t>
  </si>
  <si>
    <t>Average Chips Earned</t>
  </si>
  <si>
    <t>Average of recorded chip amounts only; unknown blanks are excluded, while recorded 0.00-chip results remain included.</t>
  </si>
  <si>
    <t>Total Chips Earned</t>
  </si>
  <si>
    <t>Combined non-cash chips/game credit; excluded from overall cash running net profit.</t>
  </si>
  <si>
    <t>Average Eliminated Players</t>
  </si>
  <si>
    <t>Average eliminated-player count when player totals are available.</t>
  </si>
  <si>
    <t>Average Elimination Rate</t>
  </si>
  <si>
    <t>Start Date</t>
  </si>
  <si>
    <t>End Date</t>
  </si>
  <si>
    <t>Entry Mode</t>
  </si>
  <si>
    <t>Game Type</t>
  </si>
  <si>
    <t>Payment / Record Type</t>
  </si>
  <si>
    <t>Gross Pot / Chips</t>
  </si>
  <si>
    <t>Entry Fee</t>
  </si>
  <si>
    <t>Eligible Players</t>
  </si>
  <si>
    <t>Total Players</t>
  </si>
  <si>
    <t>Final Payout / Chips</t>
  </si>
  <si>
    <t>Notes</t>
  </si>
  <si>
    <t>Adjusted Pot / Chips</t>
  </si>
  <si>
    <t>Estimated Earned / Chips</t>
  </si>
  <si>
    <t>Result Earned / Chips</t>
  </si>
  <si>
    <t>Lost</t>
  </si>
  <si>
    <t>Result</t>
  </si>
  <si>
    <t>Challenge Length (Weeks)</t>
  </si>
  <si>
    <t>Average elimination rate when player totals are available.</t>
  </si>
  <si>
    <t>Net Profit</t>
  </si>
  <si>
    <t>Eliminated Players</t>
  </si>
  <si>
    <t>Elimination Rate</t>
  </si>
  <si>
    <t>N/A</t>
  </si>
  <si>
    <t>N/A because Free Games have a $0.00 Entry Fee.</t>
  </si>
  <si>
    <t>All Completed Games</t>
  </si>
  <si>
    <t>All Paid Games plus completed Free Games; Subscription rows are excluded.</t>
  </si>
  <si>
    <t/>
  </si>
  <si>
    <t>Free Games</t>
  </si>
  <si>
    <t>Points Games</t>
  </si>
  <si>
    <t>Cash / Hybrid Games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</si>
</sst>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0"/>
    <numFmt numFmtId="166" formatCode="#,##0.00 &quot;chips&quot;"/>
    <numFmt numFmtId="167" formatCode="MM/dd/yyyy"/>
    <numFmt numFmtId="168" formatCode="$#,##0.00;[Red]-$#,##0.00"/>
  </numFmts>
  <fonts count="22">
    <font>
      <sz val="11.0"/>
      <color rgb="FF000000"/>
      <name val="Carlito"/>
      <scheme val="minor"/>
    </font>
    <font>
      <b/>
      <sz val="18.0"/>
      <color rgb="FF020C1B"/>
      <name val="Carlito"/>
    </font>
    <font>
      <b/>
      <sz val="15.0"/>
      <color rgb="FFFFFFFF"/>
      <name val="Carlito"/>
    </font>
    <font>
      <b/>
      <sz val="16.0"/>
      <color rgb="FFFFFFFF"/>
      <name val="Carlito"/>
    </font>
    <font>
      <i/>
      <sz val="10.0"/>
      <color rgb="FFFFFFFF"/>
      <name val="Carlito"/>
    </font>
    <font>
      <sz val="11.0"/>
      <color theme="1"/>
      <name val="Carlito"/>
    </font>
    <font>
      <b/>
      <sz val="10.0"/>
      <color rgb="FF020C1B"/>
      <name val="Carlito"/>
    </font>
    <font>
      <sz val="10.0"/>
      <color rgb="FF020C1B"/>
      <name val="Carlito"/>
    </font>
    <font>
      <sz val="11.0"/>
      <color rgb="FFFFFFFF"/>
      <name val="Carlito"/>
    </font>
    <font>
      <b/>
      <sz val="11.0"/>
      <color rgb="FF020C1B"/>
      <name val="Carlito"/>
    </font>
    <font>
      <b/>
      <sz val="12.0"/>
      <color rgb="FFFFFFFF"/>
      <name val="Carlito"/>
    </font>
    <font>
      <sz val="11.0"/>
      <color rgb="FF020C1B"/>
      <name val="Carlito"/>
    </font>
    <font>
      <sz val="10.0"/>
      <color rgb="FFFFFFFF"/>
      <name val="Carlito"/>
    </font>
    <font>
      <b/>
      <sz val="12.0"/>
      <color rgb="FF1C0B04"/>
      <name val="Carlito"/>
    </font>
    <font>
      <b/>
      <sz val="10.0"/>
      <color rgb="FF1C0B04"/>
      <name val="Carlito"/>
    </font>
    <font>
      <b/>
      <sz val="10.0"/>
      <color rgb="FF5B1712"/>
      <name val="Carlito"/>
    </font>
    <font>
      <b/>
      <sz val="16.0"/>
      <color rgb="FF020C1B"/>
      <name val="Carlito"/>
    </font>
    <font>
      <b/>
      <sz val="11.0"/>
      <color rgb="FFFFFFFF"/>
      <name val="Carlito"/>
    </font>
    <font>
      <b/>
      <color rgb="FF28160A"/>
      <name val="Carlito"/>
      <scheme val="minor"/>
    </font>
    <font>
      <b/>
      <color rgb="FFFFFFFF"/>
      <name val="Carlito"/>
      <scheme val="minor"/>
    </font>
    <font>
      <color theme="1"/>
      <name val="Carlito"/>
      <scheme val="minor"/>
    </font>
    <font>
      <sz val="11.0"/>
      <color rgb="FFD7D9DC"/>
      <name val="Carlito"/>
    </font>
  </fonts>
  <fills count="30">
    <fill>
      <patternFill patternType="none"/>
    </fill>
    <fill>
      <patternFill patternType="lightGray"/>
    </fill>
    <fill>
      <patternFill patternType="solid">
        <fgColor rgb="FFFF9D3C"/>
        <bgColor rgb="FFFF9D3C"/>
      </patternFill>
    </fill>
    <fill>
      <patternFill patternType="solid">
        <fgColor rgb="FF020C1B"/>
        <bgColor rgb="FF020C1B"/>
      </patternFill>
    </fill>
    <fill>
      <patternFill patternType="solid">
        <fgColor rgb="FF0C1F3A"/>
        <bgColor rgb="FF0C1F3A"/>
      </patternFill>
    </fill>
    <fill>
      <patternFill patternType="solid">
        <fgColor rgb="FFE7D7B2"/>
        <bgColor rgb="FFE7D7B2"/>
      </patternFill>
    </fill>
    <fill>
      <patternFill patternType="solid">
        <fgColor rgb="FFFFFDF7"/>
        <bgColor rgb="FFFFFDF7"/>
      </patternFill>
    </fill>
    <fill>
      <patternFill patternType="solid">
        <fgColor rgb="FFFFFFFF"/>
        <bgColor rgb="FFFFFFFF"/>
      </patternFill>
    </fill>
    <fill>
      <patternFill patternType="solid">
        <fgColor rgb="FFF5F7FA"/>
        <bgColor rgb="FFF5F7FA"/>
      </patternFill>
    </fill>
    <fill>
      <patternFill patternType="solid">
        <fgColor rgb="FFFFAA00"/>
        <bgColor rgb="FFFFAA00"/>
      </patternFill>
    </fill>
    <fill>
      <patternFill patternType="solid">
        <fgColor rgb="FFD9EAD3"/>
        <bgColor rgb="FFD9EAD3"/>
      </patternFill>
    </fill>
    <fill>
      <patternFill patternType="solid">
        <fgColor rgb="FFE7E6E6"/>
        <bgColor rgb="FFE7E6E6"/>
      </patternFill>
    </fill>
    <fill>
      <patternFill patternType="solid">
        <fgColor rgb="FFFFF2CC"/>
        <bgColor rgb="FFFFF2CC"/>
      </patternFill>
    </fill>
    <fill>
      <patternFill patternType="solid">
        <fgColor rgb="FFCFE2F3"/>
        <bgColor rgb="FFCFE2F3"/>
      </patternFill>
    </fill>
    <fill>
      <patternFill patternType="solid">
        <fgColor rgb="FFF4CCCC"/>
        <bgColor rgb="FFF4CCCC"/>
      </patternFill>
    </fill>
    <fill>
      <patternFill patternType="solid">
        <fgColor rgb="FFF3A13C"/>
        <bgColor rgb="FFF3A13C"/>
      </patternFill>
    </fill>
    <fill>
      <patternFill patternType="solid">
        <fgColor rgb="FFFFF2A8"/>
        <bgColor rgb="FFFFF2A8"/>
      </patternFill>
    </fill>
    <fill>
      <patternFill patternType="solid">
        <fgColor rgb="FFF8E7DE"/>
        <bgColor rgb="FFF8E7DE"/>
      </patternFill>
    </fill>
    <fill>
      <patternFill patternType="solid">
        <fgColor rgb="FFFF9900"/>
        <bgColor rgb="FFFF9900"/>
      </patternFill>
    </fill>
    <fill>
      <patternFill patternType="solid">
        <fgColor rgb="FFFFF2D8"/>
        <bgColor rgb="FFFFF2D8"/>
      </patternFill>
    </fill>
    <fill>
      <patternFill patternType="solid">
        <fgColor rgb="FFE2C67F"/>
        <bgColor rgb="FFE2C67F"/>
      </patternFill>
    </fill>
    <fill>
      <patternFill patternType="solid">
        <fgColor rgb="FFF9F2D6"/>
        <bgColor rgb="FFF9F2D6"/>
      </patternFill>
    </fill>
    <fill>
      <patternFill patternType="solid">
        <fgColor rgb="FFF4ADAD"/>
        <bgColor rgb="FFF4ADAD"/>
      </patternFill>
    </fill>
    <fill>
      <patternFill patternType="solid">
        <fgColor rgb="FFFFE5E5"/>
        <bgColor rgb="FFFFE5E5"/>
      </patternFill>
    </fill>
    <fill>
      <patternFill patternType="solid">
        <fgColor rgb="FFADC1DB"/>
        <bgColor rgb="FFADC1DB"/>
      </patternFill>
    </fill>
    <fill>
      <patternFill patternType="solid">
        <fgColor rgb="FFE8EFF7"/>
        <bgColor rgb="FFE8EFF7"/>
      </patternFill>
    </fill>
    <fill>
      <patternFill patternType="solid">
        <fgColor rgb="FFE2BA6B"/>
        <bgColor rgb="FFE2BA6B"/>
      </patternFill>
    </fill>
    <fill>
      <patternFill patternType="solid">
        <fgColor rgb="FF385B72"/>
        <bgColor rgb="FF385B72"/>
      </patternFill>
    </fill>
    <fill>
      <patternFill patternType="solid">
        <fgColor rgb="FFFFF2D6"/>
        <bgColor rgb="FFFFF2D6"/>
      </patternFill>
    </fill>
    <fill>
      <patternFill patternType="solid">
        <fgColor rgb="FFE8F2F9"/>
        <bgColor rgb="FFE8F2F9"/>
      </patternFill>
    </fill>
  </fills>
  <borders count="1">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3" fontId="2" numFmtId="0" xfId="0" applyAlignment="1" applyFill="1" applyFont="1">
      <alignment horizontal="center" readingOrder="0" shrinkToFit="0" vertical="center" wrapText="1"/>
    </xf>
    <xf borderId="0" fillId="2" fontId="1" numFmtId="0" xfId="0" applyAlignment="1" applyFont="1">
      <alignment horizontal="left" shrinkToFit="0" vertical="center" wrapText="1"/>
    </xf>
    <xf borderId="0" fillId="3" fontId="3" numFmtId="0" xfId="0" applyAlignment="1" applyFont="1">
      <alignment horizontal="center" readingOrder="0" shrinkToFit="0" vertical="center" wrapText="0"/>
    </xf>
    <xf borderId="0" fillId="4" fontId="4" numFmtId="0" xfId="0" applyAlignment="1" applyFill="1" applyFont="1">
      <alignment horizontal="left" readingOrder="0" shrinkToFit="0" vertical="center" wrapText="1"/>
    </xf>
    <xf borderId="0" fillId="0" fontId="5" numFmtId="0" xfId="0" applyAlignment="1" applyFont="1">
      <alignment horizontal="center" shrinkToFit="0" vertical="center" wrapText="1"/>
    </xf>
    <xf borderId="0" fillId="4" fontId="4" numFmtId="0" xfId="0" applyAlignment="1" applyFont="1">
      <alignment horizontal="left" shrinkToFit="0" vertical="center" wrapText="1"/>
    </xf>
    <xf borderId="0" fillId="0" fontId="5" numFmtId="0" xfId="0" applyAlignment="1" applyFont="1">
      <alignment shrinkToFit="0" wrapText="1"/>
    </xf>
    <xf borderId="0" fillId="5" fontId="6" numFmtId="0" xfId="0" applyAlignment="1" applyFill="1" applyFont="1">
      <alignment horizontal="left" readingOrder="0" shrinkToFit="0" vertical="center" wrapText="1"/>
    </xf>
    <xf borderId="0" fillId="6" fontId="7" numFmtId="0" xfId="0" applyAlignment="1" applyFill="1" applyFont="1">
      <alignment horizontal="left" readingOrder="0" shrinkToFit="0" vertical="center" wrapText="1"/>
    </xf>
    <xf borderId="0" fillId="7" fontId="7" numFmtId="0" xfId="0" applyAlignment="1" applyFill="1" applyFont="1">
      <alignment shrinkToFit="0" vertical="center" wrapText="1"/>
    </xf>
    <xf borderId="0" fillId="4" fontId="8" numFmtId="0" xfId="0" applyAlignment="1" applyFont="1">
      <alignment horizontal="center" readingOrder="0" shrinkToFit="0" vertical="center" wrapText="1"/>
    </xf>
    <xf borderId="0" fillId="2" fontId="9" numFmtId="0" xfId="0" applyAlignment="1" applyFont="1">
      <alignment horizontal="center" shrinkToFit="0" vertical="center" wrapText="1"/>
    </xf>
    <xf borderId="0" fillId="3" fontId="10" numFmtId="0" xfId="0" applyAlignment="1" applyFont="1">
      <alignment horizontal="center" shrinkToFit="0" vertical="center" wrapText="1"/>
    </xf>
    <xf borderId="0" fillId="0" fontId="5" numFmtId="0" xfId="0" applyAlignment="1" applyFont="1">
      <alignment shrinkToFit="0" vertical="center" wrapText="1"/>
    </xf>
    <xf borderId="0" fillId="8" fontId="11" numFmtId="0" xfId="0" applyAlignment="1" applyFill="1" applyFont="1">
      <alignment shrinkToFit="0" vertical="center" wrapText="1"/>
    </xf>
    <xf borderId="0" fillId="4" fontId="8" numFmtId="0" xfId="0" applyAlignment="1" applyFont="1">
      <alignment horizontal="center" readingOrder="0" shrinkToFit="0" vertical="center" wrapText="1"/>
    </xf>
    <xf borderId="0" fillId="5" fontId="6" numFmtId="0" xfId="0" applyAlignment="1" applyFont="1">
      <alignment horizontal="left" shrinkToFit="0" vertical="center" wrapText="1"/>
    </xf>
    <xf borderId="0" fillId="9" fontId="9" numFmtId="0" xfId="0" applyAlignment="1" applyFill="1" applyFont="1">
      <alignment horizontal="center" shrinkToFit="0" vertical="center" wrapText="1"/>
    </xf>
    <xf borderId="0" fillId="6" fontId="7" numFmtId="0" xfId="0" applyAlignment="1" applyFont="1">
      <alignment horizontal="left" shrinkToFit="0" vertical="center" wrapText="1"/>
    </xf>
    <xf borderId="0" fillId="0" fontId="12" numFmtId="0" xfId="0" applyAlignment="1" applyFont="1">
      <alignment horizontal="center" shrinkToFit="0" vertical="center" wrapText="1"/>
    </xf>
    <xf borderId="0" fillId="10" fontId="6" numFmtId="0" xfId="0" applyAlignment="1" applyFill="1" applyFont="1">
      <alignment horizontal="left" shrinkToFit="0" vertical="center" wrapText="1"/>
    </xf>
    <xf borderId="0" fillId="8" fontId="11" numFmtId="164" xfId="0" applyAlignment="1" applyFont="1" applyNumberFormat="1">
      <alignment shrinkToFit="0" vertical="center" wrapText="1"/>
    </xf>
    <xf borderId="0" fillId="11" fontId="6" numFmtId="0" xfId="0" applyAlignment="1" applyFill="1" applyFont="1">
      <alignment horizontal="left" shrinkToFit="0" vertical="center" wrapText="1"/>
    </xf>
    <xf borderId="0" fillId="0" fontId="12" numFmtId="0" xfId="0" applyAlignment="1" applyFont="1">
      <alignment shrinkToFit="0" vertical="center" wrapText="1"/>
    </xf>
    <xf borderId="0" fillId="12" fontId="6" numFmtId="0" xfId="0" applyAlignment="1" applyFill="1" applyFont="1">
      <alignment horizontal="left" shrinkToFit="0" vertical="center" wrapText="1"/>
    </xf>
    <xf borderId="0" fillId="13" fontId="6" numFmtId="0" xfId="0" applyAlignment="1" applyFill="1" applyFont="1">
      <alignment horizontal="left" shrinkToFit="0" vertical="center" wrapText="1"/>
    </xf>
    <xf borderId="0" fillId="8" fontId="11" numFmtId="165" xfId="0" applyAlignment="1" applyFont="1" applyNumberFormat="1">
      <alignment shrinkToFit="0" vertical="center" wrapText="1"/>
    </xf>
    <xf borderId="0" fillId="14" fontId="6" numFmtId="0" xfId="0" applyAlignment="1" applyFill="1" applyFont="1">
      <alignment horizontal="left" shrinkToFit="0" vertical="center" wrapText="1"/>
    </xf>
    <xf borderId="0" fillId="7" fontId="7" numFmtId="0" xfId="0" applyAlignment="1" applyFont="1">
      <alignment horizontal="left" readingOrder="0" shrinkToFit="0" vertical="center" wrapText="1"/>
    </xf>
    <xf borderId="0" fillId="15" fontId="13" numFmtId="0" xfId="0" applyAlignment="1" applyFill="1" applyFont="1">
      <alignment horizontal="center" shrinkToFit="0" vertical="center" wrapText="1"/>
    </xf>
    <xf borderId="0" fillId="15" fontId="14" numFmtId="0" xfId="0" applyAlignment="1" applyFont="1">
      <alignment horizontal="left" shrinkToFit="0" vertical="center" wrapText="1"/>
    </xf>
    <xf borderId="0" fillId="2" fontId="6" numFmtId="0" xfId="0" applyAlignment="1" applyFont="1">
      <alignment horizontal="left" shrinkToFit="0" vertical="center" wrapText="1"/>
    </xf>
    <xf borderId="0" fillId="16" fontId="6" numFmtId="165" xfId="0" applyAlignment="1" applyFill="1" applyFont="1" applyNumberFormat="1">
      <alignment horizontal="center" shrinkToFit="0" vertical="center" wrapText="1"/>
    </xf>
    <xf borderId="0" fillId="16" fontId="6" numFmtId="1" xfId="0" applyAlignment="1" applyFont="1" applyNumberFormat="1">
      <alignment horizontal="center" shrinkToFit="0" vertical="center" wrapText="1"/>
    </xf>
    <xf borderId="0" fillId="7" fontId="6" numFmtId="0" xfId="0" applyAlignment="1" applyFont="1">
      <alignment horizontal="center" shrinkToFit="0" vertical="center" wrapText="1"/>
    </xf>
    <xf borderId="0" fillId="17" fontId="6" numFmtId="0" xfId="0" applyAlignment="1" applyFill="1" applyFont="1">
      <alignment horizontal="left" shrinkToFit="0" vertical="center" wrapText="1"/>
    </xf>
    <xf borderId="0" fillId="17" fontId="7" numFmtId="0" xfId="0" applyAlignment="1" applyFont="1">
      <alignment horizontal="left" shrinkToFit="0" vertical="center" wrapText="1"/>
    </xf>
    <xf borderId="0" fillId="8" fontId="11" numFmtId="1" xfId="0" applyAlignment="1" applyFont="1" applyNumberFormat="1">
      <alignment shrinkToFit="0" vertical="center" wrapText="1"/>
    </xf>
    <xf borderId="0" fillId="7" fontId="6" numFmtId="0" xfId="0" applyAlignment="1" applyFont="1">
      <alignment horizontal="left" shrinkToFit="0" vertical="center" wrapText="1"/>
    </xf>
    <xf borderId="0" fillId="7" fontId="7" numFmtId="0" xfId="0" applyAlignment="1" applyFont="1">
      <alignment horizontal="left" shrinkToFit="0" vertical="center" wrapText="1"/>
    </xf>
    <xf quotePrefix="1" borderId="0" fillId="6" fontId="7" numFmtId="0" xfId="0" applyAlignment="1" applyFont="1">
      <alignment horizontal="left" readingOrder="0" shrinkToFit="0" vertical="center" wrapText="1"/>
    </xf>
    <xf borderId="0" fillId="6" fontId="7" numFmtId="0" xfId="0" applyAlignment="1" applyFont="1">
      <alignment horizontal="left" readingOrder="0" shrinkToFit="0" vertical="center" wrapText="1"/>
    </xf>
    <xf borderId="0" fillId="18" fontId="6" numFmtId="0" xfId="0" applyAlignment="1" applyFill="1" applyFont="1">
      <alignment horizontal="left" readingOrder="0" shrinkToFit="0" vertical="center" wrapText="1"/>
    </xf>
    <xf borderId="0" fillId="8" fontId="11" numFmtId="1" xfId="0" applyAlignment="1" applyFont="1" applyNumberFormat="1">
      <alignment horizontal="center" shrinkToFit="0" vertical="center" wrapText="1"/>
    </xf>
    <xf borderId="0" fillId="19" fontId="6" numFmtId="0" xfId="0" applyAlignment="1" applyFill="1" applyFont="1">
      <alignment horizontal="left" readingOrder="0" shrinkToFit="0" vertical="center" wrapText="1"/>
    </xf>
    <xf borderId="0" fillId="8" fontId="11" numFmtId="0" xfId="0" applyAlignment="1" applyFont="1">
      <alignment horizontal="center" shrinkToFit="0" vertical="center" wrapText="1"/>
    </xf>
    <xf borderId="0" fillId="20" fontId="6" numFmtId="0" xfId="0" applyAlignment="1" applyFill="1" applyFont="1">
      <alignment horizontal="left" readingOrder="0" shrinkToFit="0" vertical="center" wrapText="1"/>
    </xf>
    <xf borderId="0" fillId="21" fontId="7" numFmtId="0" xfId="0" applyAlignment="1" applyFill="1" applyFont="1">
      <alignment horizontal="left" readingOrder="0" shrinkToFit="0" vertical="center" wrapText="1"/>
    </xf>
    <xf borderId="0" fillId="22" fontId="15" numFmtId="0" xfId="0" applyAlignment="1" applyFill="1" applyFont="1">
      <alignment horizontal="left" readingOrder="0" shrinkToFit="0" vertical="center" wrapText="1"/>
    </xf>
    <xf borderId="0" fillId="23" fontId="15" numFmtId="0" xfId="0" applyAlignment="1" applyFill="1" applyFont="1">
      <alignment horizontal="left" readingOrder="0" shrinkToFit="0" vertical="center" wrapText="1"/>
    </xf>
    <xf borderId="0" fillId="24" fontId="7" numFmtId="0" xfId="0" applyAlignment="1" applyFill="1" applyFont="1">
      <alignment readingOrder="0" shrinkToFit="0" vertical="center" wrapText="1"/>
    </xf>
    <xf borderId="0" fillId="25" fontId="7" numFmtId="0" xfId="0" applyAlignment="1" applyFill="1" applyFont="1">
      <alignment readingOrder="0" shrinkToFit="0" vertical="center" wrapText="1"/>
    </xf>
    <xf borderId="0" fillId="8" fontId="11" numFmtId="166" xfId="0" applyAlignment="1" applyFont="1" applyNumberFormat="1">
      <alignment shrinkToFit="0" vertical="center" wrapText="1"/>
    </xf>
    <xf borderId="0" fillId="7" fontId="7" numFmtId="0" xfId="0" applyAlignment="1" applyFont="1">
      <alignment readingOrder="0" shrinkToFit="0" vertical="center" wrapText="1"/>
    </xf>
    <xf borderId="0" fillId="8" fontId="11" numFmtId="164" xfId="0" applyAlignment="1" applyFont="1" applyNumberFormat="1">
      <alignment horizontal="center" shrinkToFit="0" vertical="center" wrapText="1"/>
    </xf>
    <xf borderId="0" fillId="2" fontId="16" numFmtId="0" xfId="0" applyAlignment="1" applyFont="1">
      <alignment horizontal="center" readingOrder="0" shrinkToFit="0" vertical="center" wrapText="1"/>
    </xf>
    <xf borderId="0" fillId="4" fontId="4" numFmtId="0" xfId="0" applyAlignment="1" applyFont="1">
      <alignment horizontal="center" shrinkToFit="0" vertical="center" wrapText="1"/>
    </xf>
    <xf borderId="0" fillId="4" fontId="17" numFmtId="0" xfId="0" applyAlignment="1" applyFont="1">
      <alignment shrinkToFit="0" vertical="center" wrapText="1"/>
    </xf>
    <xf borderId="0" fillId="16" fontId="9" numFmtId="1" xfId="0" applyAlignment="1" applyFont="1" applyNumberFormat="1">
      <alignment horizontal="center" shrinkToFit="0" vertical="center" wrapText="1"/>
    </xf>
    <xf borderId="0" fillId="2" fontId="16" numFmtId="0" xfId="0" applyAlignment="1" applyFont="1">
      <alignment horizontal="center" shrinkToFit="0" vertical="center" wrapText="1"/>
    </xf>
    <xf borderId="0" fillId="8" fontId="11" numFmtId="0" xfId="0" applyAlignment="1" applyFont="1">
      <alignment horizontal="left" shrinkToFit="0" vertical="center" wrapText="1"/>
    </xf>
    <xf borderId="0" fillId="8" fontId="11" numFmtId="166" xfId="0" applyAlignment="1" applyFont="1" applyNumberFormat="1">
      <alignment horizontal="center" shrinkToFit="0" vertical="center" wrapText="1"/>
    </xf>
    <xf borderId="0" fillId="8" fontId="11" numFmtId="3" xfId="0" applyAlignment="1" applyFont="1" applyNumberFormat="1">
      <alignment horizontal="center" shrinkToFit="0" vertical="center" wrapText="1"/>
    </xf>
    <xf borderId="0" fillId="26" fontId="18" numFmtId="0" xfId="0" applyAlignment="1" applyFill="1" applyFont="1">
      <alignment horizontal="center" shrinkToFit="0" vertical="center" wrapText="1"/>
    </xf>
    <xf borderId="0" fillId="26" fontId="18" numFmtId="0" xfId="0" applyAlignment="1" applyFont="1">
      <alignment horizontal="center" readingOrder="0" shrinkToFit="0" vertical="center" wrapText="1"/>
    </xf>
    <xf borderId="0" fillId="27" fontId="19" numFmtId="0" xfId="0" applyAlignment="1" applyFill="1" applyFont="1">
      <alignment horizontal="center" shrinkToFit="0" vertical="center" wrapText="1"/>
    </xf>
    <xf borderId="0" fillId="28" fontId="20" numFmtId="0" xfId="0" applyAlignment="1" applyFill="1" applyFont="1">
      <alignment readingOrder="0" shrinkToFit="0" vertical="center" wrapText="1"/>
    </xf>
    <xf borderId="0" fillId="28" fontId="20" numFmtId="167" xfId="0" applyAlignment="1" applyFont="1" applyNumberFormat="1">
      <alignment readingOrder="0" vertical="center"/>
    </xf>
    <xf borderId="0" fillId="28" fontId="20" numFmtId="168" xfId="0" applyAlignment="1" applyFont="1" applyNumberFormat="1">
      <alignment readingOrder="0" vertical="center"/>
    </xf>
    <xf borderId="0" fillId="28" fontId="20" numFmtId="1" xfId="0" applyAlignment="1" applyFont="1" applyNumberFormat="1">
      <alignment readingOrder="0" vertical="center"/>
    </xf>
    <xf borderId="0" fillId="28" fontId="20" numFmtId="4" xfId="0" applyAlignment="1" applyFont="1" applyNumberFormat="1">
      <alignment readingOrder="0" vertical="center"/>
    </xf>
    <xf borderId="0" fillId="29" fontId="20" numFmtId="4" xfId="0" applyAlignment="1" applyFill="1" applyFont="1" applyNumberFormat="1">
      <alignment vertical="center"/>
    </xf>
    <xf borderId="0" fillId="29" fontId="20" numFmtId="164" xfId="0" applyAlignment="1" applyFont="1" applyNumberFormat="1">
      <alignment vertical="center"/>
    </xf>
    <xf borderId="0" fillId="29" fontId="20" numFmtId="0" xfId="0" applyAlignment="1" applyFont="1">
      <alignment shrinkToFit="0" vertical="center" wrapText="1"/>
    </xf>
    <xf borderId="0" fillId="29" fontId="20" numFmtId="1" xfId="0" applyAlignment="1" applyFont="1" applyNumberFormat="1">
      <alignment vertical="center"/>
    </xf>
    <xf borderId="0" fillId="29" fontId="20" numFmtId="168" xfId="0" applyAlignment="1" applyFont="1" applyNumberFormat="1">
      <alignment vertical="center"/>
    </xf>
    <xf borderId="0" fillId="28" fontId="20" numFmtId="4" xfId="0" applyAlignment="1" applyFont="1" applyNumberFormat="1">
      <alignment vertical="center"/>
    </xf>
    <xf borderId="0" fillId="28" fontId="20" numFmtId="0" xfId="0" applyAlignment="1" applyFont="1">
      <alignment shrinkToFit="0" vertical="center" wrapText="1"/>
    </xf>
    <xf borderId="0" fillId="28" fontId="20" numFmtId="167" xfId="0" applyAlignment="1" applyFont="1" applyNumberFormat="1">
      <alignment vertical="center"/>
    </xf>
    <xf borderId="0" fillId="28" fontId="20" numFmtId="168" xfId="0" applyAlignment="1" applyFont="1" applyNumberFormat="1">
      <alignment vertical="center"/>
    </xf>
    <xf borderId="0" fillId="28" fontId="20" numFmtId="1" xfId="0" applyAlignment="1" applyFont="1" applyNumberFormat="1">
      <alignment vertical="center"/>
    </xf>
    <xf borderId="0" fillId="28" fontId="17" numFmtId="0" xfId="0" applyAlignment="1" applyFont="1">
      <alignment horizontal="center" shrinkToFit="0" vertical="center" wrapText="1"/>
    </xf>
    <xf borderId="0" fillId="28" fontId="21" numFmtId="0" xfId="0" applyAlignment="1" applyFont="1">
      <alignment shrinkToFit="0" vertical="center" wrapText="1"/>
    </xf>
    <xf borderId="0" fillId="28" fontId="21" numFmtId="167" xfId="0" applyAlignment="1" applyFont="1" applyNumberFormat="1">
      <alignment vertical="center"/>
    </xf>
    <xf borderId="0" fillId="28" fontId="21" numFmtId="168" xfId="0" applyAlignment="1" applyFont="1" applyNumberFormat="1">
      <alignment vertical="center"/>
    </xf>
    <xf borderId="0" fillId="28" fontId="21" numFmtId="1" xfId="0" applyAlignment="1" applyFont="1" applyNumberFormat="1">
      <alignment vertical="center"/>
    </xf>
    <xf borderId="0" fillId="28" fontId="21" numFmtId="4" xfId="0" applyAlignment="1" applyFont="1" applyNumberFormat="1">
      <alignment vertical="center"/>
    </xf>
    <xf borderId="0" fillId="29" fontId="21" numFmtId="4" xfId="0" applyAlignment="1" applyFont="1" applyNumberFormat="1">
      <alignment vertical="center"/>
    </xf>
    <xf borderId="0" fillId="29" fontId="21" numFmtId="164" xfId="0" applyAlignment="1" applyFont="1" applyNumberFormat="1">
      <alignment vertical="center"/>
    </xf>
    <xf borderId="0" fillId="29" fontId="21" numFmtId="0" xfId="0" applyAlignment="1" applyFont="1">
      <alignment shrinkToFit="0" vertical="center" wrapText="1"/>
    </xf>
    <xf borderId="0" fillId="29" fontId="21" numFmtId="1" xfId="0" applyAlignment="1" applyFont="1" applyNumberFormat="1">
      <alignment vertical="center"/>
    </xf>
    <xf borderId="0" fillId="29" fontId="21" numFmtId="168" xfId="0" applyAlignment="1" applyFont="1" applyNumberFormat="1">
      <alignment vertical="center"/>
    </xf>
    <xf borderId="0" fillId="28" fontId="20" numFmtId="0" xfId="0" applyAlignment="1" applyFont="1">
      <alignment shrinkToFit="0" vertical="center" wrapText="1"/>
    </xf>
    <xf borderId="0" fillId="29" fontId="20" numFmtId="0" xfId="0" applyAlignment="1" applyFont="1">
      <alignment shrinkToFit="0" vertical="center" wrapText="1"/>
    </xf>
    <xf borderId="0" fillId="28" fontId="20" numFmtId="0" xfId="0" applyAlignment="1" applyFont="1">
      <alignment readingOrder="0" shrinkToFit="0" vertical="center" wrapText="1"/>
    </xf>
    <xf borderId="0" fillId="5" fontId="7" numFmtId="0" xfId="0" applyAlignment="1" applyFont="1" applyFill="1">
      <alignment horizontal="left" readingOrder="0" shrinkToFit="0" vertical="center" wrapText="1"/>
    </xf>
    <xf borderId="0" fillId="5" fontId="7" numFmtId="0" xfId="0" applyAlignment="1" applyFont="1" applyFill="1">
      <alignment readingOrder="0" shrinkToFit="0" vertical="center" wrapText="1"/>
    </xf>
    <xf borderId="0" fillId="5" fontId="6" numFmtId="0" xfId="0" applyAlignment="1" applyFont="1" applyFill="1">
      <alignment horizontal="left" readingOrder="0" shrinkToFit="0" vertical="center" wrapText="1"/>
    </xf>
    <xf borderId="0" fillId="24" fontId="6" numFmtId="0" xfId="0" applyAlignment="1" applyFill="1" applyFont="1">
      <alignment readingOrder="0" shrinkToFit="0" vertical="center" wrapText="1" horizontal="left"/>
    </xf>
    <xf borderId="0" fillId="5" fontId="6" numFmtId="0" xfId="0" applyAlignment="1" applyFont="1" applyFill="1">
      <alignment readingOrder="0" shrinkToFit="0" vertical="center" wrapText="1" horizontal="left"/>
    </xf>
  </cellXfs>
  <cellStyles count="1">
    <cellStyle xfId="0" name="Normal" builtinId="0"/>
  </cellStyles>
  <dxfs count="11">
    <dxf>
      <font>
        <b/>
        <color rgb="FF1E5B28"/>
      </font>
      <fill>
        <patternFill patternType="none"/>
      </fill>
      <border/>
    </dxf>
    <dxf>
      <font>
        <b/>
        <color rgb="FF892D28"/>
      </font>
      <fill>
        <patternFill patternType="none"/>
      </fill>
      <border/>
    </dxf>
    <dxf>
      <font>
        <b/>
        <color rgb="FF1F5D2A"/>
      </font>
      <fill>
        <patternFill patternType="solid">
          <fgColor rgb="FFE2F0D9"/>
          <bgColor rgb="FFE2F0D9"/>
        </patternFill>
      </fill>
      <border/>
    </dxf>
    <dxf>
      <font>
        <b/>
        <color rgb="FF244A66"/>
      </font>
      <fill>
        <patternFill patternType="solid">
          <fgColor rgb="FFDDEBF7"/>
          <bgColor rgb="FFDDEBF7"/>
        </patternFill>
      </fill>
      <border/>
    </dxf>
    <dxf>
      <font>
        <b/>
        <color rgb="FF8A2F2A"/>
      </font>
      <fill>
        <patternFill patternType="solid">
          <fgColor rgb="FFFCE4D6"/>
          <bgColor rgb="FFFCE4D6"/>
        </patternFill>
      </fill>
      <border/>
    </dxf>
    <dxf>
      <font>
        <b/>
        <color rgb="FF6B4A12"/>
      </font>
      <fill>
        <patternFill patternType="solid">
          <fgColor rgb="FFFFF4D6"/>
          <bgColor rgb="FFFFF4D6"/>
        </patternFill>
      </fill>
      <border/>
    </dxf>
    <dxf>
      <font>
        <color rgb="FF020C1B"/>
      </font>
      <fill>
        <patternFill patternType="none"/>
      </fill>
      <border/>
    </dxf>
    <dxf>
      <font>
        <b/>
        <color rgb="FF7A4E00"/>
      </font>
      <fill>
        <patternFill patternType="solid">
          <fgColor rgb="FFFFF8E1"/>
          <bgColor rgb="FFFFF8E1"/>
        </patternFill>
      </fill>
      <border/>
    </dxf>
    <dxf>
      <font>
        <color rgb="FF020C1B"/>
      </font>
      <fill>
        <patternFill patternType="solid">
          <fgColor rgb="FFF5F7FA"/>
          <bgColor rgb="FFF5F7FA"/>
        </patternFill>
      </fill>
      <border/>
    </dxf>
    <dxf>
      <font/>
      <fill>
        <patternFill patternType="solid">
          <fgColor rgb="FF0C1F3A"/>
          <bgColor rgb="FF0C1F3A"/>
        </patternFill>
      </fill>
      <border/>
    </dxf>
    <dxf>
      <font/>
      <fill>
        <patternFill patternType="solid">
          <fgColor rgb="FF132A49"/>
          <bgColor rgb="FF132A4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5.0"/>
    <col customWidth="1" min="2" max="2" width="82.0"/>
    <col customWidth="1" min="3" max="10" width="12.0"/>
    <col customWidth="1" min="11" max="26" width="8.63"/>
  </cols>
  <sheetData>
    <row r="1">
      <c r="A1" s="1" t="s">
        <v>0</v>
      </c>
      <c r="C1" s="3"/>
      <c r="D1" s="3"/>
      <c r="E1" s="3"/>
      <c r="F1" s="3"/>
      <c r="G1" s="3"/>
      <c r="H1" s="3"/>
      <c r="I1" s="3"/>
      <c r="J1" s="3"/>
    </row>
    <row r="2">
      <c r="A2" s="5" t="s">
        <v>3</v>
      </c>
      <c r="C2" s="7"/>
      <c r="D2" s="7"/>
      <c r="E2" s="7"/>
      <c r="F2" s="7"/>
      <c r="G2" s="7"/>
      <c r="H2" s="7"/>
      <c r="I2" s="7"/>
      <c r="J2" s="7"/>
    </row>
    <row r="3">
      <c r="A3" s="9" t="s">
        <v>4</v>
      </c>
      <c r="B3" s="10" t="s">
        <v>5</v>
      </c>
      <c r="C3" s="11"/>
      <c r="D3" s="11"/>
      <c r="E3" s="11"/>
      <c r="F3" s="11"/>
      <c r="G3" s="11"/>
      <c r="H3" s="11"/>
      <c r="I3" s="11"/>
      <c r="J3" s="11"/>
    </row>
    <row r="4">
      <c r="A4" s="9" t="s">
        <v>8</v>
      </c>
      <c r="B4" s="10" t="s">
        <v>9</v>
      </c>
      <c r="C4" s="11"/>
      <c r="D4" s="11"/>
      <c r="E4" s="11"/>
      <c r="F4" s="11"/>
      <c r="G4" s="11"/>
      <c r="H4" s="11"/>
      <c r="I4" s="11"/>
      <c r="J4" s="11"/>
    </row>
    <row r="5">
      <c r="A5" s="9" t="s">
        <v>13</v>
      </c>
      <c r="B5" s="10" t="s">
        <v>15</v>
      </c>
      <c r="C5" s="11"/>
      <c r="D5" s="11"/>
      <c r="E5" s="11"/>
      <c r="F5" s="11"/>
      <c r="G5" s="11"/>
      <c r="H5" s="11"/>
      <c r="I5" s="11"/>
      <c r="J5" s="11"/>
    </row>
    <row r="6">
      <c r="A6" s="9" t="s">
        <v>18</v>
      </c>
      <c r="B6" s="10" t="s">
        <v>19</v>
      </c>
      <c r="C6" s="11"/>
      <c r="D6" s="11"/>
      <c r="E6" s="11"/>
      <c r="F6" s="11"/>
      <c r="G6" s="11"/>
      <c r="H6" s="11"/>
      <c r="I6" s="11"/>
      <c r="J6" s="11"/>
    </row>
    <row r="7">
      <c r="A7" s="9" t="s">
        <v>20</v>
      </c>
      <c r="B7" s="10" t="s">
        <v>21</v>
      </c>
      <c r="C7" s="11"/>
      <c r="D7" s="11"/>
      <c r="E7" s="11"/>
      <c r="F7" s="11"/>
      <c r="G7" s="11"/>
      <c r="H7" s="11"/>
      <c r="I7" s="11"/>
      <c r="J7" s="11"/>
    </row>
    <row r="8">
      <c r="A8" s="9" t="s">
        <v>23</v>
      </c>
      <c r="B8" s="10" t="s">
        <v>24</v>
      </c>
      <c r="C8" s="11"/>
      <c r="D8" s="11"/>
      <c r="E8" s="11"/>
      <c r="F8" s="11"/>
      <c r="G8" s="11"/>
      <c r="H8" s="11"/>
      <c r="I8" s="11"/>
      <c r="J8" s="11"/>
    </row>
    <row r="9">
      <c r="A9" s="18" t="s">
        <v>26</v>
      </c>
      <c r="B9" s="10" t="s">
        <v>30</v>
      </c>
      <c r="C9" s="11"/>
      <c r="D9" s="11"/>
      <c r="E9" s="11"/>
      <c r="F9" s="11"/>
      <c r="G9" s="11"/>
      <c r="H9" s="11"/>
      <c r="I9" s="11"/>
      <c r="J9" s="11"/>
    </row>
    <row r="10">
      <c r="A10" s="18" t="s">
        <v>34</v>
      </c>
      <c r="B10" s="20" t="s">
        <v>36</v>
      </c>
      <c r="C10" s="11"/>
      <c r="D10" s="11"/>
      <c r="E10" s="11"/>
      <c r="F10" s="11"/>
      <c r="G10" s="11"/>
      <c r="H10" s="11"/>
      <c r="I10" s="11"/>
      <c r="J10" s="11"/>
    </row>
    <row r="11">
      <c r="A11" s="18" t="s">
        <v>37</v>
      </c>
      <c r="B11" s="20" t="s">
        <v>38</v>
      </c>
      <c r="C11" s="11"/>
      <c r="D11" s="11"/>
      <c r="E11" s="11"/>
      <c r="F11" s="11"/>
      <c r="G11" s="11"/>
      <c r="H11" s="11"/>
      <c r="I11" s="11"/>
      <c r="J11" s="11"/>
    </row>
    <row r="12" ht="58.5" customHeight="1">
      <c r="A12" s="18" t="s">
        <v>39</v>
      </c>
      <c r="B12" s="10" t="s">
        <v>40</v>
      </c>
      <c r="C12" s="11"/>
      <c r="D12" s="11"/>
      <c r="E12" s="11"/>
      <c r="F12" s="11"/>
      <c r="G12" s="11"/>
      <c r="H12" s="11"/>
      <c r="I12" s="11"/>
      <c r="J12" s="11"/>
    </row>
    <row r="13">
      <c r="A13" s="18" t="s">
        <v>41</v>
      </c>
      <c r="B13" s="10" t="s">
        <v>42</v>
      </c>
      <c r="C13" s="11"/>
      <c r="D13" s="11"/>
      <c r="E13" s="11"/>
      <c r="F13" s="11"/>
      <c r="G13" s="11"/>
      <c r="H13" s="11"/>
      <c r="I13" s="11"/>
      <c r="J13" s="11"/>
    </row>
    <row r="14">
      <c r="A14" s="18" t="s">
        <v>43</v>
      </c>
      <c r="B14" s="20" t="s">
        <v>44</v>
      </c>
      <c r="C14" s="11"/>
      <c r="D14" s="11"/>
      <c r="E14" s="11"/>
      <c r="F14" s="11"/>
      <c r="G14" s="11"/>
      <c r="H14" s="11"/>
      <c r="I14" s="11"/>
      <c r="J14" s="11"/>
    </row>
    <row r="15">
      <c r="A15" s="18" t="s">
        <v>45</v>
      </c>
      <c r="B15" s="20" t="s">
        <v>46</v>
      </c>
      <c r="C15" s="11"/>
      <c r="D15" s="11"/>
      <c r="E15" s="11"/>
      <c r="F15" s="11"/>
      <c r="G15" s="11"/>
      <c r="H15" s="11"/>
      <c r="I15" s="11"/>
      <c r="J15" s="11"/>
    </row>
    <row r="16">
      <c r="A16" s="18" t="s">
        <v>47</v>
      </c>
      <c r="B16" s="20" t="s">
        <v>48</v>
      </c>
      <c r="C16" s="11"/>
      <c r="D16" s="11"/>
      <c r="E16" s="11"/>
      <c r="F16" s="11"/>
      <c r="G16" s="11"/>
      <c r="H16" s="11"/>
      <c r="I16" s="11"/>
      <c r="J16" s="11"/>
    </row>
    <row r="17">
      <c r="A17" s="18" t="s">
        <v>49</v>
      </c>
      <c r="B17" s="20" t="s">
        <v>50</v>
      </c>
      <c r="C17" s="11"/>
      <c r="D17" s="11"/>
      <c r="E17" s="11"/>
      <c r="F17" s="11"/>
      <c r="G17" s="11"/>
      <c r="H17" s="11"/>
      <c r="I17" s="11"/>
      <c r="J17" s="11"/>
    </row>
    <row r="18">
      <c r="A18" s="18" t="s">
        <v>51</v>
      </c>
      <c r="B18" s="20" t="s">
        <v>52</v>
      </c>
      <c r="C18" s="11"/>
      <c r="D18" s="11"/>
      <c r="E18" s="11"/>
      <c r="F18" s="11"/>
      <c r="G18" s="11"/>
      <c r="H18" s="11"/>
      <c r="I18" s="11"/>
      <c r="J18" s="11"/>
    </row>
    <row r="19">
      <c r="A19" s="18" t="s">
        <v>53</v>
      </c>
      <c r="B19" s="20" t="s">
        <v>54</v>
      </c>
      <c r="C19" s="11"/>
      <c r="D19" s="11"/>
      <c r="E19" s="11"/>
      <c r="F19" s="11"/>
      <c r="G19" s="11"/>
      <c r="H19" s="11"/>
      <c r="I19" s="11"/>
      <c r="J19" s="11"/>
    </row>
    <row r="20">
      <c r="A20" s="18" t="s">
        <v>55</v>
      </c>
      <c r="B20" s="22" t="s">
        <v>56</v>
      </c>
      <c r="C20" s="11"/>
      <c r="D20" s="11"/>
      <c r="E20" s="11"/>
      <c r="F20" s="11"/>
      <c r="G20" s="11"/>
      <c r="H20" s="11"/>
      <c r="I20" s="11"/>
      <c r="J20" s="11"/>
    </row>
    <row r="21">
      <c r="A21" s="18" t="s">
        <v>57</v>
      </c>
      <c r="B21" s="24" t="s">
        <v>58</v>
      </c>
      <c r="C21" s="11"/>
      <c r="D21" s="11"/>
      <c r="E21" s="11"/>
      <c r="F21" s="11"/>
      <c r="G21" s="11"/>
      <c r="H21" s="11"/>
      <c r="I21" s="11"/>
      <c r="J21" s="11"/>
    </row>
    <row r="22">
      <c r="A22" s="18" t="s">
        <v>60</v>
      </c>
      <c r="B22" s="26" t="s">
        <v>61</v>
      </c>
      <c r="C22" s="11"/>
      <c r="D22" s="11"/>
      <c r="E22" s="11"/>
      <c r="F22" s="11"/>
      <c r="G22" s="11"/>
      <c r="H22" s="11"/>
      <c r="I22" s="11"/>
      <c r="J22" s="11"/>
    </row>
    <row r="23">
      <c r="A23" s="18" t="s">
        <v>62</v>
      </c>
      <c r="B23" s="27" t="s">
        <v>63</v>
      </c>
      <c r="C23" s="11"/>
      <c r="D23" s="11"/>
      <c r="E23" s="11"/>
      <c r="F23" s="11"/>
      <c r="G23" s="11"/>
      <c r="H23" s="11"/>
      <c r="I23" s="11"/>
      <c r="J23" s="11"/>
    </row>
    <row r="24">
      <c r="A24" s="18" t="s">
        <v>64</v>
      </c>
      <c r="B24" s="29" t="s">
        <v>65</v>
      </c>
      <c r="C24" s="11"/>
      <c r="D24" s="11"/>
      <c r="E24" s="11"/>
      <c r="F24" s="11"/>
      <c r="G24" s="11"/>
      <c r="H24" s="11"/>
      <c r="I24" s="11"/>
      <c r="J24" s="11"/>
    </row>
    <row r="25">
      <c r="A25" s="9" t="s">
        <v>68</v>
      </c>
      <c r="B25" s="10" t="s">
        <v>69</v>
      </c>
      <c r="C25" s="11"/>
      <c r="D25" s="11"/>
      <c r="E25" s="11"/>
      <c r="F25" s="11"/>
      <c r="G25" s="11"/>
      <c r="H25" s="11"/>
      <c r="I25" s="11"/>
      <c r="J25" s="11"/>
    </row>
    <row r="26">
      <c r="A26" s="18" t="s">
        <v>70</v>
      </c>
      <c r="B26" s="20" t="s">
        <v>71</v>
      </c>
      <c r="C26" s="11"/>
      <c r="D26" s="11"/>
      <c r="E26" s="11"/>
      <c r="F26" s="11"/>
      <c r="G26" s="11"/>
      <c r="H26" s="11"/>
      <c r="I26" s="11"/>
      <c r="J26" s="11"/>
    </row>
    <row r="27">
      <c r="A27" s="9" t="s">
        <v>72</v>
      </c>
      <c r="B27" s="10" t="s">
        <v>73</v>
      </c>
      <c r="C27" s="11"/>
      <c r="D27" s="11"/>
      <c r="E27" s="11"/>
      <c r="F27" s="11"/>
      <c r="G27" s="11"/>
      <c r="H27" s="11"/>
      <c r="I27" s="11"/>
      <c r="J27" s="11"/>
    </row>
    <row r="28">
      <c r="A28" s="99" t="s">
        <v>74</v>
      </c>
      <c r="B28" s="30" t="s">
        <v>75</v>
      </c>
      <c r="C28" s="11"/>
      <c r="D28" s="11"/>
      <c r="E28" s="11"/>
      <c r="F28" s="11"/>
      <c r="G28" s="11"/>
      <c r="H28" s="11"/>
      <c r="I28" s="11"/>
      <c r="J28" s="11"/>
    </row>
    <row r="29">
      <c r="A29" s="31" t="s">
        <v>76</v>
      </c>
      <c r="B29" s="32" t="s">
        <v>77</v>
      </c>
      <c r="C29" s="33"/>
      <c r="D29" s="33"/>
      <c r="E29" s="33"/>
      <c r="F29" s="33"/>
      <c r="G29" s="33"/>
      <c r="H29" s="33"/>
      <c r="I29" s="33"/>
      <c r="J29" s="33"/>
    </row>
    <row r="30">
      <c r="A30" s="18" t="s">
        <v>78</v>
      </c>
      <c r="B30" s="34">
        <v>0.0</v>
      </c>
      <c r="C30" s="11"/>
      <c r="D30" s="11"/>
      <c r="E30" s="11"/>
      <c r="F30" s="11"/>
      <c r="G30" s="11"/>
      <c r="H30" s="11"/>
      <c r="I30" s="11"/>
      <c r="J30" s="11"/>
    </row>
    <row r="31">
      <c r="A31" s="18" t="s">
        <v>81</v>
      </c>
      <c r="B31" s="34">
        <v>0.0</v>
      </c>
      <c r="C31" s="11"/>
      <c r="D31" s="11"/>
      <c r="E31" s="11"/>
      <c r="F31" s="11"/>
      <c r="G31" s="11"/>
      <c r="H31" s="11"/>
      <c r="I31" s="11"/>
      <c r="J31" s="11"/>
    </row>
    <row r="32">
      <c r="A32" s="18" t="s">
        <v>82</v>
      </c>
      <c r="B32" s="35">
        <v>0.0</v>
      </c>
      <c r="C32" s="11"/>
      <c r="D32" s="11"/>
      <c r="E32" s="11"/>
      <c r="F32" s="11"/>
      <c r="G32" s="11"/>
      <c r="H32" s="11"/>
      <c r="I32" s="11"/>
      <c r="J32" s="11"/>
    </row>
    <row r="33">
      <c r="A33" s="18" t="s">
        <v>84</v>
      </c>
      <c r="B33" s="20" t="s">
        <v>85</v>
      </c>
      <c r="C33" s="11"/>
      <c r="D33" s="11"/>
      <c r="E33" s="11"/>
      <c r="F33" s="11"/>
      <c r="G33" s="11"/>
      <c r="H33" s="11"/>
      <c r="I33" s="11"/>
      <c r="J33" s="11"/>
    </row>
    <row r="34">
      <c r="A34" s="18" t="s">
        <v>88</v>
      </c>
      <c r="B34" s="20" t="s">
        <v>89</v>
      </c>
      <c r="C34" s="11"/>
      <c r="D34" s="11"/>
      <c r="E34" s="11"/>
      <c r="F34" s="11"/>
      <c r="G34" s="11"/>
      <c r="H34" s="11"/>
      <c r="I34" s="11"/>
      <c r="J34" s="11"/>
    </row>
    <row r="35">
      <c r="A35" s="18" t="s">
        <v>91</v>
      </c>
      <c r="B35" s="20" t="s">
        <v>92</v>
      </c>
      <c r="C35" s="11"/>
      <c r="D35" s="11"/>
      <c r="E35" s="11"/>
      <c r="F35" s="11"/>
      <c r="G35" s="11"/>
      <c r="H35" s="11"/>
      <c r="I35" s="11"/>
      <c r="J35" s="11"/>
    </row>
    <row r="36">
      <c r="A36" s="18" t="s">
        <v>93</v>
      </c>
      <c r="B36" s="20" t="s">
        <v>94</v>
      </c>
      <c r="C36" s="36"/>
      <c r="D36" s="36"/>
      <c r="E36" s="36"/>
      <c r="F36" s="36"/>
      <c r="G36" s="36"/>
      <c r="H36" s="36"/>
      <c r="I36" s="11"/>
      <c r="J36" s="11"/>
    </row>
    <row r="37">
      <c r="A37" s="37" t="s">
        <v>96</v>
      </c>
      <c r="B37" s="38" t="s">
        <v>98</v>
      </c>
      <c r="C37" s="11"/>
      <c r="D37" s="11"/>
      <c r="E37" s="11"/>
      <c r="F37" s="11"/>
      <c r="G37" s="11"/>
      <c r="H37" s="11"/>
      <c r="I37" s="11"/>
      <c r="J37" s="11"/>
    </row>
    <row r="38">
      <c r="A38" s="40"/>
      <c r="B38" s="41"/>
      <c r="C38" s="11"/>
      <c r="D38" s="11"/>
      <c r="E38" s="11"/>
      <c r="F38" s="11"/>
      <c r="G38" s="11"/>
      <c r="H38" s="11"/>
      <c r="I38" s="11"/>
      <c r="J38" s="11"/>
    </row>
    <row r="39">
      <c r="A39" s="31" t="s">
        <v>99</v>
      </c>
      <c r="B39" s="32" t="s">
        <v>100</v>
      </c>
      <c r="C39" s="33"/>
      <c r="D39" s="33"/>
      <c r="E39" s="33"/>
      <c r="F39" s="33"/>
      <c r="G39" s="33"/>
      <c r="H39" s="33"/>
      <c r="I39" s="33"/>
      <c r="J39" s="33"/>
    </row>
    <row r="40">
      <c r="A40" s="18" t="s">
        <v>101</v>
      </c>
      <c r="B40" s="20" t="s">
        <v>102</v>
      </c>
      <c r="C40" s="11"/>
      <c r="D40" s="11"/>
      <c r="E40" s="11"/>
      <c r="F40" s="11"/>
      <c r="G40" s="11"/>
      <c r="H40" s="11"/>
      <c r="I40" s="11"/>
      <c r="J40" s="11"/>
    </row>
    <row r="41">
      <c r="A41" s="9" t="s">
        <v>103</v>
      </c>
      <c r="B41" s="42" t="s">
        <v>104</v>
      </c>
      <c r="C41" s="11"/>
      <c r="D41" s="11"/>
      <c r="E41" s="11"/>
      <c r="F41" s="11"/>
      <c r="G41" s="11"/>
      <c r="H41" s="11"/>
      <c r="I41" s="11"/>
      <c r="J41" s="11"/>
    </row>
    <row r="42">
      <c r="A42" s="9" t="s">
        <v>105</v>
      </c>
      <c r="B42" s="10" t="s">
        <v>106</v>
      </c>
      <c r="C42" s="11"/>
      <c r="D42" s="11"/>
      <c r="E42" s="11"/>
      <c r="F42" s="11"/>
      <c r="G42" s="11"/>
      <c r="H42" s="11"/>
      <c r="I42" s="11"/>
      <c r="J42" s="11"/>
    </row>
    <row r="43">
      <c r="A43" s="18" t="s">
        <v>56</v>
      </c>
      <c r="B43" s="20" t="s">
        <v>107</v>
      </c>
      <c r="C43" s="11"/>
      <c r="D43" s="11"/>
      <c r="E43" s="11"/>
      <c r="F43" s="11"/>
      <c r="G43" s="11"/>
      <c r="H43" s="11"/>
      <c r="I43" s="11"/>
      <c r="J43" s="11"/>
    </row>
    <row r="44">
      <c r="A44" s="9" t="s">
        <v>58</v>
      </c>
      <c r="B44" s="43" t="s">
        <v>108</v>
      </c>
      <c r="C44" s="11"/>
      <c r="D44" s="11"/>
      <c r="E44" s="11"/>
      <c r="F44" s="11"/>
      <c r="G44" s="11"/>
      <c r="H44" s="11"/>
      <c r="I44" s="11"/>
      <c r="J44" s="11"/>
    </row>
    <row r="45">
      <c r="A45" s="9" t="s">
        <v>110</v>
      </c>
      <c r="B45" s="43" t="s">
        <v>111</v>
      </c>
      <c r="C45" s="11"/>
      <c r="D45" s="11"/>
      <c r="E45" s="11"/>
      <c r="F45" s="11"/>
      <c r="G45" s="11"/>
      <c r="H45" s="11"/>
      <c r="I45" s="11"/>
      <c r="J45" s="11"/>
    </row>
    <row r="46">
      <c r="A46" s="18" t="s">
        <v>113</v>
      </c>
      <c r="B46" s="20" t="s">
        <v>114</v>
      </c>
      <c r="C46" s="11"/>
      <c r="D46" s="11"/>
      <c r="E46" s="11"/>
      <c r="F46" s="11"/>
      <c r="G46" s="11"/>
      <c r="H46" s="11"/>
      <c r="I46" s="11"/>
      <c r="J46" s="11"/>
    </row>
    <row r="47">
      <c r="A47" s="18" t="s">
        <v>115</v>
      </c>
      <c r="B47" s="20" t="s">
        <v>116</v>
      </c>
      <c r="C47" s="11"/>
      <c r="D47" s="11"/>
      <c r="E47" s="11"/>
      <c r="F47" s="11"/>
      <c r="G47" s="11"/>
      <c r="H47" s="11"/>
      <c r="I47" s="11"/>
      <c r="J47" s="11"/>
    </row>
    <row r="48" ht="33.0" customHeight="1">
      <c r="A48" s="18" t="s">
        <v>117</v>
      </c>
      <c r="B48" s="10" t="s">
        <v>118</v>
      </c>
      <c r="C48" s="11"/>
      <c r="D48" s="11"/>
      <c r="E48" s="11"/>
      <c r="F48" s="11"/>
      <c r="G48" s="11"/>
      <c r="H48" s="11"/>
      <c r="I48" s="11"/>
      <c r="J48" s="11"/>
    </row>
    <row r="49">
      <c r="A49" s="44" t="s">
        <v>119</v>
      </c>
      <c r="B49" s="46" t="s">
        <v>120</v>
      </c>
      <c r="C49" s="11"/>
      <c r="D49" s="11"/>
      <c r="E49" s="11"/>
      <c r="F49" s="11"/>
      <c r="G49" s="11"/>
      <c r="H49" s="11"/>
      <c r="I49" s="11"/>
      <c r="J49" s="11"/>
    </row>
    <row r="50">
      <c r="A50" s="48" t="s">
        <v>122</v>
      </c>
      <c r="B50" s="49" t="s">
        <v>124</v>
      </c>
      <c r="C50" s="11"/>
      <c r="D50" s="11"/>
      <c r="E50" s="11"/>
      <c r="F50" s="11"/>
      <c r="G50" s="11"/>
      <c r="H50" s="11"/>
      <c r="I50" s="11"/>
      <c r="J50" s="11"/>
    </row>
    <row r="51">
      <c r="A51" s="50" t="s">
        <v>125</v>
      </c>
      <c r="B51" s="51" t="s">
        <v>126</v>
      </c>
      <c r="C51" s="11"/>
      <c r="D51" s="11"/>
      <c r="E51" s="11"/>
      <c r="F51" s="11"/>
      <c r="G51" s="11"/>
      <c r="H51" s="11"/>
      <c r="I51" s="11"/>
      <c r="J51" s="11"/>
    </row>
    <row r="52">
      <c r="A52" s="100" t="s">
        <v>127</v>
      </c>
      <c r="B52" s="53" t="s">
        <v>128</v>
      </c>
      <c r="C52" s="11"/>
      <c r="D52" s="11"/>
      <c r="E52" s="11"/>
      <c r="F52" s="11"/>
      <c r="G52" s="11"/>
      <c r="H52" s="11"/>
      <c r="I52" s="11"/>
      <c r="J52" s="11"/>
    </row>
    <row r="53">
      <c r="A53" s="101" t="s">
        <v>129</v>
      </c>
      <c r="B53" s="55" t="s">
        <v>131</v>
      </c>
      <c r="C53" s="11"/>
      <c r="D53" s="11"/>
      <c r="E53" s="11"/>
      <c r="F53" s="11"/>
      <c r="G53" s="11"/>
      <c r="H53" s="11"/>
      <c r="I53" s="11"/>
      <c r="J53" s="11"/>
    </row>
    <row r="54">
      <c r="A54" s="101" t="s">
        <v>132</v>
      </c>
      <c r="B54" s="55" t="s">
        <v>133</v>
      </c>
      <c r="C54" s="11"/>
      <c r="D54" s="11"/>
      <c r="E54" s="11"/>
      <c r="F54" s="11"/>
      <c r="G54" s="11"/>
      <c r="H54" s="11"/>
      <c r="I54" s="11"/>
      <c r="J54" s="11"/>
    </row>
    <row r="55" ht="15.75" customHeight="1">
      <c r="A55" s="11"/>
      <c r="B55" s="11"/>
      <c r="C55" s="11"/>
      <c r="D55" s="11"/>
      <c r="E55" s="11"/>
      <c r="F55" s="11"/>
      <c r="G55" s="11"/>
      <c r="H55" s="11"/>
      <c r="I55" s="11"/>
      <c r="J55" s="11"/>
    </row>
    <row r="56" ht="15.75" customHeight="1">
      <c r="A56" s="11"/>
      <c r="B56" s="11"/>
      <c r="C56" s="11"/>
      <c r="D56" s="11"/>
      <c r="E56" s="11"/>
      <c r="F56" s="11"/>
      <c r="G56" s="11"/>
      <c r="H56" s="11"/>
      <c r="I56" s="11"/>
      <c r="J56" s="11"/>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A1:B1"/>
    <mergeCell ref="A2:B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7.0"/>
    <col customWidth="1" min="2" max="3" width="12.13"/>
    <col customWidth="1" min="4" max="4" width="17.88"/>
    <col customWidth="1" min="5" max="5" width="17.63"/>
    <col customWidth="1" min="6" max="6" width="18.63"/>
    <col customWidth="1" min="7" max="7" width="13.88"/>
    <col customWidth="1" min="8" max="8" width="16.25"/>
    <col customWidth="1" min="9" max="9" width="15.0"/>
    <col customWidth="1" min="10" max="10" width="14.63"/>
    <col customWidth="1" min="11" max="12" width="20.13"/>
    <col customWidth="1" min="13" max="13" width="34.0"/>
    <col customWidth="1" min="14" max="14" width="16.75"/>
    <col customWidth="1" min="15" max="15" width="16.5"/>
    <col customWidth="1" min="16" max="16" width="15.13"/>
    <col customWidth="1" min="17" max="17" width="12.75"/>
    <col customWidth="1" min="18" max="18" width="12.38"/>
    <col customWidth="1" min="19" max="19" width="14.0"/>
    <col customWidth="1" min="20" max="20" width="11.38"/>
    <col customWidth="1" min="21" max="21" width="28.0"/>
    <col customWidth="1" min="22" max="22" width="21.0"/>
    <col customWidth="1" min="23" max="23" width="12.75"/>
    <col customWidth="1" min="24" max="24" width="14.63"/>
    <col customWidth="1" min="25" max="25" width="15.0"/>
    <col customWidth="1" min="26" max="26" width="18.13"/>
  </cols>
  <sheetData>
    <row r="1" ht="18.0" customHeight="1">
      <c r="A1" s="14" t="str">
        <f>"Running Net Game Profit: "&amp;TEXT(Instructions!$B$30+SUM($W:$W),"$#,##0.00")&amp;"  |  Gross Profit Earned: "&amp;TEXT(SUM($Q:$Q),"$#,##0.00")&amp;"  |  Total Lost Entry Fees: "&amp;TEXT(SUM($S:$S),"$#,##0.00")&amp;"  |  StepCat v253.0"</f>
        <v>Running Net Game Profit: $0.00  |  Gross Profit Earned: $0.00  |  Total Lost Entry Fees: $0.00  |  StepCat v253.0</v>
      </c>
    </row>
    <row r="2" ht="19.5" customHeight="1">
      <c r="A2" s="17" t="s">
        <v>22</v>
      </c>
    </row>
    <row r="3" ht="18" customHeight="1">
      <c r="A3" s="19" t="s">
        <v>28</v>
      </c>
      <c r="N3" s="19" t="inlineStr">
        <is>
          <t>N:Z — Protected formulas</t>
        </is>
      </c>
    </row>
    <row r="4">
      <c r="A4" s="65" t="s">
        <v>29</v>
      </c>
      <c r="B4" s="66" t="s">
        <v>188</v>
      </c>
      <c r="C4" s="66" t="s">
        <v>189</v>
      </c>
      <c r="D4" s="65" t="s">
        <v>190</v>
      </c>
      <c r="E4" s="65" t="s">
        <v>191</v>
      </c>
      <c r="F4" s="65" t="s">
        <v>192</v>
      </c>
      <c r="G4" s="65" t="s">
        <v>193</v>
      </c>
      <c r="H4" s="65" t="s">
        <v>194</v>
      </c>
      <c r="I4" s="65" t="s">
        <v>195</v>
      </c>
      <c r="J4" s="65" t="s">
        <v>196</v>
      </c>
      <c r="K4" s="66" t="s">
        <v>197</v>
      </c>
      <c r="L4" s="65" t="s">
        <v>65</v>
      </c>
      <c r="M4" s="65" t="s">
        <v>198</v>
      </c>
      <c r="N4" s="67" t="str">
        <f t="array" ref="N4:N1000">VSTACK("Adjusted Pot / Chips",MAP(INDEX(A:A,5):INDEX(A:A,ROWS(A:A)),INDEX(F:F,5):INDEX(F:F,ROWS(F:F)),INDEX(G:G,5):INDEX(G:G,ROWS(G:G)),INDEX(H:H,5):INDEX(H:H,ROWS(H:H)),INDEX(E:E,5):INDEX(E:E,ROWS(E:E)),LAMBDA(a,f,g,h,e,IF(COUNTA(a,f,g,h,e)=0,"",IF(OR(LEFT(LOWER(TRIM(f&amp;"")),12)="subscription",LOWER(TRIM(f&amp;""))="membership"),"",IF(OR(AND(h&lt;&gt;"",h=0),LEFT(LOWER(TRIM(f&amp;"")),9)="free game",LOWER(TRIM(f&amp;""))="free",LOWER(TRIM(f&amp;""))="free entry"),IF(ISNUMBER(g),IF(ISNUMBER(SEARCH("non",LOWER(e&amp;""))),g*0.85,g),"N/A"),IF(g="","",IFERROR(IF(ISNUMBER(SEARCH("non",LOWER(e&amp;""))),g*0.85,g),""))))))))</f>
        <v>Adjusted Pot / Chips</v>
      </c>
      <c r="O4" s="67" t="str">
        <f t="array" ref="O4:O1000">VSTACK("Estimated Earned / Chips",MAP(INDEX(A:A,5):INDEX(A:A,ROWS(A:A)),INDEX(F:F,5):INDEX(F:F,ROWS(F:F)),INDEX(H:H,5):INDEX(H:H,ROWS(H:H)),INDEX(N:N,5):INDEX(N:N,ROWS(N:N)),INDEX(I:I,5):INDEX(I:I,ROWS(I:I)),LAMBDA(a,f,h,n,i,IF(COUNTA(a,f,h,n,i)=0,"",IF(OR(LEFT(LOWER(TRIM(f&amp;"")),12)="subscription",LOWER(TRIM(f&amp;""))="membership"),"",IF(OR(AND(h&lt;&gt;"",h=0),LEFT(LOWER(TRIM(f&amp;"")),9)="free game",LOWER(TRIM(f&amp;""))="free",LOWER(TRIM(f&amp;""))="free entry"),IF(OR(NOT(ISNUMBER(n)),NOT(ISNUMBER(i)),i=0),"N/A",IFERROR(n/i,"N/A")),IF(OR(n="",i="",i=0),"",IFERROR(n/i,""))))))))</f>
        <v>Estimated Earned / Chips</v>
      </c>
      <c r="P4" s="67" t="str">
        <f t="array" ref="P4:P1000">VSTACK("Result Earned / Chips",MAP(INDEX(A:A,5):INDEX(A:A,ROWS(A:A)),INDEX(F:F,5):INDEX(F:F,ROWS(F:F)),INDEX(L:L,5):INDEX(L:L,ROWS(L:L)),INDEX(H:H,5):INDEX(H:H,ROWS(H:H)),INDEX(D:D,5):INDEX(D:D,ROWS(D:D)),INDEX(K:K,5):INDEX(K:K,ROWS(K:K)),INDEX(O:O,5):INDEX(O:O,ROWS(O:O)),LAMBDA(a,f,l,h,d,k,o,IF(COUNTA(a,f,l,h,d,k,o)=0,"",IF(OR(LEFT(LOWER(TRIM(f&amp;"")),12)="subscription",LOWER(TRIM(f&amp;""))="membership"),"",IF(LOWER(l&amp;"")="yes",0,IF(OR(AND(h&lt;&gt;"",h=0),LEFT(LOWER(TRIM(f&amp;"")),9)="free game",LOWER(TRIM(f&amp;""))="free",LOWER(TRIM(f&amp;""))="free entry"),IF(LOWER(d&amp;"")="finalized",IF(ISNUMBER(k),k,""),IF(o&lt;&gt;"",o,"")),IF(k&lt;&gt;"",k,IF(o&lt;&gt;"",o,"")))))))))</f>
        <v>Result Earned / Chips</v>
      </c>
      <c r="Q4" s="67" t="str">
        <f t="array" ref="Q4:Q1000">VSTACK("Profit",MAP(INDEX(A:A,5):INDEX(A:A,ROWS(A:A)),INDEX(U:U,5):INDEX(U:U,ROWS(U:U)),INDEX(P:P,5):INDEX(P:P,ROWS(P:P)),INDEX(H:H,5):INDEX(H:H,ROWS(H:H)),LAMBDA(a,u,p,h,IF(COUNTA(a,u,p,h)=0,"",IF(OR(u="Subscription",u=""),"",IF(u="Estimate","N/A",IF(u="Profit",ROUND(IFERROR(p,0)-IFERROR(h,0),2),0)))))))</f>
        <v>Profit</v>
      </c>
      <c r="R4" s="67" t="str">
        <f t="array" ref="R4:R1000">VSTACK("Draw",MAP(INDEX(A:A,5):INDEX(A:A,ROWS(A:A)),INDEX(U:U,5):INDEX(U:U,ROWS(U:U)),INDEX(H:H,5):INDEX(H:H,ROWS(H:H)),LAMBDA(a,u,h,IF(COUNTA(a,u,h)=0,"",IF(OR(u="Subscription",u=""),"",IF(u="Estimate","N/A",IF(u="Draw",h,0)))))))</f>
        <v>Draw</v>
      </c>
      <c r="S4" s="67" t="str">
        <f t="array" ref="S4:S1000">VSTACK("Lost",MAP(INDEX(A:A,5):INDEX(A:A,ROWS(A:A)),INDEX(U:U,5):INDEX(U:U,ROWS(U:U)),INDEX(H:H,5):INDEX(H:H,ROWS(H:H)),LAMBDA(a,u,h,IF(COUNTA(a,u,h)=0,"",IF(OR(u="Subscription",u=""),"",IF(u="Estimate","N/A",IF(u="Disqualified",h,0)))))))</f>
        <v>Lost</v>
      </c>
      <c r="T4" s="67" t="str">
        <f t="array" ref="T4:T1000">VSTACK("ROI",MAP(INDEX(A:A,5):INDEX(A:A,ROWS(A:A)),INDEX(U:U,5):INDEX(U:U,ROWS(U:U)),INDEX(H:H,5):INDEX(H:H,ROWS(H:H)),INDEX(Q:Q,5):INDEX(Q:Q,ROWS(Q:Q)),INDEX(S:S,5):INDEX(S:S,ROWS(S:S)),LAMBDA(a,u,h,q,s,IF(COUNTA(a,u,h,q,s)=0,"",IF(OR(u="Subscription",u=""),"",IF(u="Estimate","N/A",IF(OR(u="Free Game",u="Disqualified — Free Game",h=0),"N/A",IF(u="Profit",q/h,IF(u="Disqualified",-s/h,0)))))))))</f>
        <v>ROI</v>
      </c>
      <c r="U4" s="67" t="str">
        <f t="array" ref="U4:U1000">VSTACK("Result",MAP(INDEX(A:A,5):INDEX(A:A,ROWS(A:A)),INDEX(F:F,5):INDEX(F:F,ROWS(F:F)),INDEX(H:H,5):INDEX(H:H,ROWS(H:H)),INDEX(L:L,5):INDEX(L:L,ROWS(L:L)),INDEX(P:P,5):INDEX(P:P,ROWS(P:P)),INDEX(D:D,5):INDEX(D:D,ROWS(D:D)),LAMBDA(a,f,h,l,p,d,IF(COUNTA(a,f,h,l,p,d)=0,"",IF(OR(LEFT(LOWER(TRIM(f&amp;"")),12)="subscription",LOWER(TRIM(f&amp;""))="membership"),"Subscription",IF(LOWER(TRIM(d&amp;""))="estimate","Estimate",IF(OR(AND(h&lt;&gt;"",h=0),LEFT(LOWER(TRIM(f&amp;"")),9)="free game",LOWER(TRIM(f&amp;""))="free",LOWER(TRIM(f&amp;""))="free entry"),IF(LOWER(l&amp;"")="yes","Disqualified — Free Game","Free Game"),IF(LOWER(l&amp;"")="yes","Disqualified",IF(p="","",IF(ROUND(IFERROR(VALUE(p),0)-IFERROR(VALUE(h),0),2)&gt;0,"Profit","Draw"))))))))))</f>
        <v>Result</v>
      </c>
      <c r="V4" s="67" t="str">
        <f t="array" ref="V4:V1000">VSTACK("Challenge Length (Weeks)",MAP(INDEX(A:A,5):INDEX(A:A,ROWS(A:A)),INDEX(B:B,5):INDEX(B:B,ROWS(B:B)),INDEX(C:C,5):INDEX(C:C,ROWS(C:C)),INDEX(U:U,5):INDEX(U:U,ROWS(U:U)),LAMBDA(a,b,c,u,IF(COUNTA(a,b,c,u)=0,"",IF(OR(b="",c="",u="Subscription"),"",IFERROR(ROUNDUP((c-b)/7,0),""))))))</f>
        <v>Challenge Length (Weeks)</v>
      </c>
      <c r="W4" s="67" t="str">
        <f t="array" ref="W4:W1000">VSTACK("Net Profit",MAP(INDEX(A:A,5):INDEX(A:A,ROWS(A:A)),INDEX(U:U,5):INDEX(U:U,ROWS(U:U)),INDEX(Q:Q,5):INDEX(Q:Q,ROWS(Q:Q)),INDEX(S:S,5):INDEX(S:S,ROWS(S:S)),LAMBDA(a,u,q,s,IF(COUNTA(a,u,q,s)=0,"",IF(OR(u="Subscription",u=""),"",IF(u="Estimate","N/A",IF(OR(u="Free Game",u="Disqualified — Free Game"),0,ROUND(IFERROR(q,0)-IFERROR(s,0),2))))))))</f>
        <v>Net Profit</v>
      </c>
      <c r="X4" s="67" t="str">
        <f t="array" ref="X4:X1000">VSTACK("Eliminated Players",MAP(INDEX(A:A,5):INDEX(A:A,ROWS(A:A)),INDEX(U:U,5):INDEX(U:U,ROWS(U:U)),INDEX(J:J,5):INDEX(J:J,ROWS(J:J)),INDEX(I:I,5):INDEX(I:I,ROWS(I:I)),LAMBDA(a,u,j,i,IF(COUNTA(a,u,j,i)=0,"",IF(OR(u="Subscription",NOT(ISNUMBER(j)),NOT(ISNUMBER(i)),j=0,i=0,i&gt;j),"",j-i)))))</f>
        <v>Eliminated Players</v>
      </c>
      <c r="Y4" s="67" t="str">
        <f t="array" ref="Y4:Y1000">VSTACK("Elimination Rate",MAP(INDEX(A:A,5):INDEX(A:A,ROWS(A:A)),INDEX(U:U,5):INDEX(U:U,ROWS(U:U)),INDEX(J:J,5):INDEX(J:J,ROWS(J:J)),INDEX(X:X,5):INDEX(X:X,ROWS(X:X)),LAMBDA(a,u,j,x,IF(COUNTA(a,u,j,x)=0,"",IF(OR(u="Subscription",NOT(ISNUMBER(j)),j=0,x=""),"",x/j)))))</f>
        <v>Elimination Rate</v>
      </c>
      <c r="Z4" s="67" t="str">
        <f t="array" ref="Z4:Z1000">VSTACK("Running Net Profit",LET(mask,MAP(INDEX(A:A,5):INDEX(A:A,ROWS(A:A)),INDEX(B:B,5):INDEX(B:B,ROWS(B:B)),INDEX(C:C,5):INDEX(C:C,ROWS(C:C)),INDEX(D:D,5):INDEX(D:D,ROWS(D:D)),INDEX(E:E,5):INDEX(E:E,ROWS(E:E)),INDEX(F:F,5):INDEX(F:F,ROWS(F:F)),INDEX(G:G,5):INDEX(G:G,ROWS(G:G)),INDEX(H:H,5):INDEX(H:H,ROWS(H:H)),INDEX(I:I,5):INDEX(I:I,ROWS(I:I)),INDEX(J:J,5):INDEX(J:J,ROWS(J:J)),INDEX(K:K,5):INDEX(K:K,ROWS(K:K)),INDEX(L:L,5):INDEX(L:L,ROWS(L:L)),INDEX(M:M,5):INDEX(M:M,ROWS(M:M)),LAMBDA(a,b,c,d,e,f,g,h,i,j,k,l,m,COUNTA(a,b,c,d,e,f,g,h,i,j,k,l,m))),running,SCAN(0,INDEX(W:W,5):INDEX(W:W,ROWS(W:W)),LAMBDA(total,value,total+IFERROR(N(value),0))),IF(mask=0,"",Instructions!$B$30+running)))</f>
        <v>Running Net Profit</v>
      </c>
    </row>
    <row r="5" ht="36" customHeight="1">
      <c r="A5" s="68"/>
      <c r="B5" s="69"/>
      <c r="C5" s="69"/>
      <c r="D5" s="68"/>
      <c r="E5" s="68"/>
      <c r="F5" s="68"/>
      <c r="G5" s="70"/>
      <c r="H5" s="70"/>
      <c r="I5" s="71"/>
      <c r="J5" s="71"/>
      <c r="K5" s="72"/>
      <c r="L5" s="68"/>
      <c r="M5" s="68"/>
      <c r="N5" s="73" t="s">
        <v>213</v>
      </c>
      <c r="O5" s="73" t="s">
        <v>213</v>
      </c>
      <c r="P5" s="73" t="s">
        <v>213</v>
      </c>
      <c r="Q5" s="73" t="s">
        <v>213</v>
      </c>
      <c r="R5" s="73" t="s">
        <v>213</v>
      </c>
      <c r="S5" s="73" t="s">
        <v>213</v>
      </c>
      <c r="T5" s="74" t="s">
        <v>213</v>
      </c>
      <c r="U5" s="75" t="s">
        <v>213</v>
      </c>
      <c r="V5" s="76" t="s">
        <v>213</v>
      </c>
      <c r="W5" s="77" t="s">
        <v>213</v>
      </c>
      <c r="X5" s="76" t="s">
        <v>213</v>
      </c>
      <c r="Y5" s="74" t="s">
        <v>213</v>
      </c>
      <c r="Z5" s="77" t="s">
        <v>213</v>
      </c>
    </row>
    <row r="6" ht="36" customHeight="1">
      <c r="A6" s="68"/>
      <c r="B6" s="69"/>
      <c r="C6" s="69"/>
      <c r="D6" s="68"/>
      <c r="E6" s="68"/>
      <c r="F6" s="68"/>
      <c r="G6" s="70"/>
      <c r="H6" s="70"/>
      <c r="I6" s="71"/>
      <c r="J6" s="71"/>
      <c r="K6" s="72"/>
      <c r="L6" s="68"/>
      <c r="M6" s="68"/>
      <c r="N6" s="73" t="s">
        <v>213</v>
      </c>
      <c r="O6" s="73" t="s">
        <v>213</v>
      </c>
      <c r="P6" s="73" t="s">
        <v>213</v>
      </c>
      <c r="Q6" s="73" t="s">
        <v>213</v>
      </c>
      <c r="R6" s="73" t="s">
        <v>213</v>
      </c>
      <c r="S6" s="73" t="s">
        <v>213</v>
      </c>
      <c r="T6" s="74" t="s">
        <v>213</v>
      </c>
      <c r="U6" s="75" t="s">
        <v>213</v>
      </c>
      <c r="V6" s="76" t="s">
        <v>213</v>
      </c>
      <c r="W6" s="77" t="s">
        <v>213</v>
      </c>
      <c r="X6" s="76" t="s">
        <v>213</v>
      </c>
      <c r="Y6" s="74" t="s">
        <v>213</v>
      </c>
      <c r="Z6" s="77" t="s">
        <v>213</v>
      </c>
    </row>
    <row r="7" ht="36" customHeight="1">
      <c r="A7" s="68"/>
      <c r="B7" s="69"/>
      <c r="C7" s="69"/>
      <c r="D7" s="68"/>
      <c r="E7" s="68"/>
      <c r="F7" s="68"/>
      <c r="G7" s="70"/>
      <c r="H7" s="70"/>
      <c r="I7" s="71"/>
      <c r="J7" s="71"/>
      <c r="K7" s="72"/>
      <c r="L7" s="68"/>
      <c r="M7" s="68"/>
      <c r="N7" s="73" t="s">
        <v>213</v>
      </c>
      <c r="O7" s="73" t="s">
        <v>213</v>
      </c>
      <c r="P7" s="73" t="s">
        <v>213</v>
      </c>
      <c r="Q7" s="73" t="s">
        <v>213</v>
      </c>
      <c r="R7" s="73" t="s">
        <v>213</v>
      </c>
      <c r="S7" s="73" t="s">
        <v>213</v>
      </c>
      <c r="T7" s="74" t="s">
        <v>213</v>
      </c>
      <c r="U7" s="75" t="s">
        <v>213</v>
      </c>
      <c r="V7" s="76" t="s">
        <v>213</v>
      </c>
      <c r="W7" s="77" t="s">
        <v>213</v>
      </c>
      <c r="X7" s="76" t="s">
        <v>213</v>
      </c>
      <c r="Y7" s="74" t="s">
        <v>213</v>
      </c>
      <c r="Z7" s="77" t="s">
        <v>213</v>
      </c>
    </row>
    <row r="8" ht="36" customHeight="1">
      <c r="A8" s="68"/>
      <c r="B8" s="69"/>
      <c r="C8" s="69"/>
      <c r="D8" s="68"/>
      <c r="E8" s="68"/>
      <c r="F8" s="68"/>
      <c r="G8" s="70"/>
      <c r="H8" s="70"/>
      <c r="I8" s="71"/>
      <c r="J8" s="71"/>
      <c r="K8" s="72"/>
      <c r="L8" s="68"/>
      <c r="M8" s="68"/>
      <c r="N8" s="73" t="s">
        <v>213</v>
      </c>
      <c r="O8" s="73" t="s">
        <v>213</v>
      </c>
      <c r="P8" s="73" t="s">
        <v>213</v>
      </c>
      <c r="Q8" s="73" t="s">
        <v>213</v>
      </c>
      <c r="R8" s="73" t="s">
        <v>213</v>
      </c>
      <c r="S8" s="73" t="s">
        <v>213</v>
      </c>
      <c r="T8" s="74" t="s">
        <v>213</v>
      </c>
      <c r="U8" s="75" t="s">
        <v>213</v>
      </c>
      <c r="V8" s="76" t="s">
        <v>213</v>
      </c>
      <c r="W8" s="77" t="s">
        <v>213</v>
      </c>
      <c r="X8" s="76" t="s">
        <v>213</v>
      </c>
      <c r="Y8" s="74" t="s">
        <v>213</v>
      </c>
      <c r="Z8" s="77" t="s">
        <v>213</v>
      </c>
    </row>
    <row r="9" ht="36" customHeight="1">
      <c r="A9" s="68"/>
      <c r="B9" s="69"/>
      <c r="C9" s="69"/>
      <c r="D9" s="68"/>
      <c r="E9" s="68"/>
      <c r="F9" s="68"/>
      <c r="G9" s="70"/>
      <c r="H9" s="70"/>
      <c r="I9" s="71"/>
      <c r="J9" s="71"/>
      <c r="K9" s="72"/>
      <c r="L9" s="68"/>
      <c r="M9" s="68"/>
      <c r="N9" s="73" t="s">
        <v>213</v>
      </c>
      <c r="O9" s="73" t="s">
        <v>213</v>
      </c>
      <c r="P9" s="73" t="s">
        <v>213</v>
      </c>
      <c r="Q9" s="73" t="s">
        <v>213</v>
      </c>
      <c r="R9" s="73" t="s">
        <v>213</v>
      </c>
      <c r="S9" s="73" t="s">
        <v>213</v>
      </c>
      <c r="T9" s="74" t="s">
        <v>213</v>
      </c>
      <c r="U9" s="75" t="s">
        <v>213</v>
      </c>
      <c r="V9" s="76" t="s">
        <v>213</v>
      </c>
      <c r="W9" s="77" t="s">
        <v>213</v>
      </c>
      <c r="X9" s="76" t="s">
        <v>213</v>
      </c>
      <c r="Y9" s="74" t="s">
        <v>213</v>
      </c>
      <c r="Z9" s="77" t="s">
        <v>213</v>
      </c>
    </row>
    <row r="10" ht="36" customHeight="1">
      <c r="A10" s="68"/>
      <c r="B10" s="69"/>
      <c r="C10" s="69"/>
      <c r="D10" s="68"/>
      <c r="E10" s="68"/>
      <c r="F10" s="68"/>
      <c r="G10" s="70"/>
      <c r="H10" s="70"/>
      <c r="I10" s="71"/>
      <c r="J10" s="71"/>
      <c r="K10" s="72"/>
      <c r="L10" s="68"/>
      <c r="M10" s="68"/>
      <c r="N10" s="73" t="s">
        <v>213</v>
      </c>
      <c r="O10" s="73" t="s">
        <v>213</v>
      </c>
      <c r="P10" s="73" t="s">
        <v>213</v>
      </c>
      <c r="Q10" s="73" t="s">
        <v>213</v>
      </c>
      <c r="R10" s="73" t="s">
        <v>213</v>
      </c>
      <c r="S10" s="73" t="s">
        <v>213</v>
      </c>
      <c r="T10" s="74" t="s">
        <v>213</v>
      </c>
      <c r="U10" s="75" t="s">
        <v>213</v>
      </c>
      <c r="V10" s="76" t="s">
        <v>213</v>
      </c>
      <c r="W10" s="77" t="s">
        <v>213</v>
      </c>
      <c r="X10" s="76" t="s">
        <v>213</v>
      </c>
      <c r="Y10" s="74" t="s">
        <v>213</v>
      </c>
      <c r="Z10" s="77" t="s">
        <v>213</v>
      </c>
    </row>
    <row r="11" ht="36" customHeight="1">
      <c r="A11" s="68"/>
      <c r="B11" s="69"/>
      <c r="C11" s="69"/>
      <c r="D11" s="68"/>
      <c r="E11" s="68"/>
      <c r="F11" s="68"/>
      <c r="G11" s="70"/>
      <c r="H11" s="70"/>
      <c r="I11" s="71"/>
      <c r="J11" s="71"/>
      <c r="K11" s="72"/>
      <c r="L11" s="68"/>
      <c r="M11" s="68"/>
      <c r="N11" s="73" t="s">
        <v>213</v>
      </c>
      <c r="O11" s="73" t="s">
        <v>213</v>
      </c>
      <c r="P11" s="73" t="s">
        <v>213</v>
      </c>
      <c r="Q11" s="73" t="s">
        <v>213</v>
      </c>
      <c r="R11" s="73" t="s">
        <v>213</v>
      </c>
      <c r="S11" s="73" t="s">
        <v>213</v>
      </c>
      <c r="T11" s="74" t="s">
        <v>213</v>
      </c>
      <c r="U11" s="75" t="s">
        <v>213</v>
      </c>
      <c r="V11" s="76" t="s">
        <v>213</v>
      </c>
      <c r="W11" s="77" t="s">
        <v>213</v>
      </c>
      <c r="X11" s="76" t="s">
        <v>213</v>
      </c>
      <c r="Y11" s="74" t="s">
        <v>213</v>
      </c>
      <c r="Z11" s="77" t="s">
        <v>213</v>
      </c>
    </row>
    <row r="12" ht="36" customHeight="1">
      <c r="A12" s="68"/>
      <c r="B12" s="69"/>
      <c r="C12" s="69"/>
      <c r="D12" s="68"/>
      <c r="E12" s="68"/>
      <c r="F12" s="68"/>
      <c r="G12" s="70"/>
      <c r="H12" s="70"/>
      <c r="I12" s="71"/>
      <c r="J12" s="71"/>
      <c r="K12" s="72"/>
      <c r="L12" s="68"/>
      <c r="M12" s="68"/>
      <c r="N12" s="73" t="s">
        <v>213</v>
      </c>
      <c r="O12" s="73" t="s">
        <v>213</v>
      </c>
      <c r="P12" s="73" t="s">
        <v>213</v>
      </c>
      <c r="Q12" s="73" t="s">
        <v>213</v>
      </c>
      <c r="R12" s="73" t="s">
        <v>213</v>
      </c>
      <c r="S12" s="73" t="s">
        <v>213</v>
      </c>
      <c r="T12" s="74" t="s">
        <v>213</v>
      </c>
      <c r="U12" s="75" t="s">
        <v>213</v>
      </c>
      <c r="V12" s="76" t="s">
        <v>213</v>
      </c>
      <c r="W12" s="77" t="s">
        <v>213</v>
      </c>
      <c r="X12" s="76" t="s">
        <v>213</v>
      </c>
      <c r="Y12" s="74" t="s">
        <v>213</v>
      </c>
      <c r="Z12" s="77" t="s">
        <v>213</v>
      </c>
    </row>
    <row r="13" ht="36" customHeight="1">
      <c r="A13" s="68"/>
      <c r="B13" s="69"/>
      <c r="C13" s="69"/>
      <c r="D13" s="68"/>
      <c r="E13" s="68"/>
      <c r="F13" s="68"/>
      <c r="G13" s="70"/>
      <c r="H13" s="70"/>
      <c r="I13" s="71"/>
      <c r="J13" s="71"/>
      <c r="K13" s="72"/>
      <c r="L13" s="68"/>
      <c r="M13" s="68"/>
      <c r="N13" s="73" t="s">
        <v>213</v>
      </c>
      <c r="O13" s="73" t="s">
        <v>213</v>
      </c>
      <c r="P13" s="73" t="s">
        <v>213</v>
      </c>
      <c r="Q13" s="73" t="s">
        <v>213</v>
      </c>
      <c r="R13" s="73" t="s">
        <v>213</v>
      </c>
      <c r="S13" s="73" t="s">
        <v>213</v>
      </c>
      <c r="T13" s="74" t="s">
        <v>213</v>
      </c>
      <c r="U13" s="75" t="s">
        <v>213</v>
      </c>
      <c r="V13" s="76" t="s">
        <v>213</v>
      </c>
      <c r="W13" s="77" t="s">
        <v>213</v>
      </c>
      <c r="X13" s="76" t="s">
        <v>213</v>
      </c>
      <c r="Y13" s="74" t="s">
        <v>213</v>
      </c>
      <c r="Z13" s="77" t="s">
        <v>213</v>
      </c>
    </row>
    <row r="14" ht="36" customHeight="1">
      <c r="A14" s="68"/>
      <c r="B14" s="69"/>
      <c r="C14" s="69"/>
      <c r="D14" s="68"/>
      <c r="E14" s="68"/>
      <c r="F14" s="68"/>
      <c r="G14" s="70"/>
      <c r="H14" s="70"/>
      <c r="I14" s="71"/>
      <c r="J14" s="71"/>
      <c r="K14" s="72"/>
      <c r="L14" s="68"/>
      <c r="M14" s="68"/>
      <c r="N14" s="73" t="s">
        <v>213</v>
      </c>
      <c r="O14" s="73" t="s">
        <v>213</v>
      </c>
      <c r="P14" s="73" t="s">
        <v>213</v>
      </c>
      <c r="Q14" s="73" t="s">
        <v>213</v>
      </c>
      <c r="R14" s="73" t="s">
        <v>213</v>
      </c>
      <c r="S14" s="73" t="s">
        <v>213</v>
      </c>
      <c r="T14" s="74" t="s">
        <v>213</v>
      </c>
      <c r="U14" s="75" t="s">
        <v>213</v>
      </c>
      <c r="V14" s="76" t="s">
        <v>213</v>
      </c>
      <c r="W14" s="77" t="s">
        <v>213</v>
      </c>
      <c r="X14" s="76" t="s">
        <v>213</v>
      </c>
      <c r="Y14" s="74" t="s">
        <v>213</v>
      </c>
      <c r="Z14" s="77" t="s">
        <v>213</v>
      </c>
    </row>
    <row r="15" ht="36" customHeight="1">
      <c r="A15" s="68"/>
      <c r="B15" s="69"/>
      <c r="C15" s="69"/>
      <c r="D15" s="68"/>
      <c r="E15" s="68"/>
      <c r="F15" s="68"/>
      <c r="G15" s="70"/>
      <c r="H15" s="70"/>
      <c r="I15" s="71"/>
      <c r="J15" s="71"/>
      <c r="K15" s="72"/>
      <c r="L15" s="68"/>
      <c r="M15" s="68"/>
      <c r="N15" s="73" t="s">
        <v>213</v>
      </c>
      <c r="O15" s="73" t="s">
        <v>213</v>
      </c>
      <c r="P15" s="73" t="s">
        <v>213</v>
      </c>
      <c r="Q15" s="73" t="s">
        <v>213</v>
      </c>
      <c r="R15" s="73" t="s">
        <v>213</v>
      </c>
      <c r="S15" s="73" t="s">
        <v>213</v>
      </c>
      <c r="T15" s="74" t="s">
        <v>213</v>
      </c>
      <c r="U15" s="75" t="s">
        <v>213</v>
      </c>
      <c r="V15" s="76" t="s">
        <v>213</v>
      </c>
      <c r="W15" s="77" t="s">
        <v>213</v>
      </c>
      <c r="X15" s="76" t="s">
        <v>213</v>
      </c>
      <c r="Y15" s="74" t="s">
        <v>213</v>
      </c>
      <c r="Z15" s="77" t="s">
        <v>213</v>
      </c>
    </row>
    <row r="16" ht="36" customHeight="1">
      <c r="A16" s="68"/>
      <c r="B16" s="69"/>
      <c r="C16" s="69"/>
      <c r="D16" s="68"/>
      <c r="E16" s="68"/>
      <c r="F16" s="68"/>
      <c r="G16" s="70"/>
      <c r="H16" s="70"/>
      <c r="I16" s="71"/>
      <c r="J16" s="71"/>
      <c r="K16" s="72"/>
      <c r="L16" s="68"/>
      <c r="M16" s="68"/>
      <c r="N16" s="73" t="s">
        <v>213</v>
      </c>
      <c r="O16" s="73" t="s">
        <v>213</v>
      </c>
      <c r="P16" s="73" t="s">
        <v>213</v>
      </c>
      <c r="Q16" s="73" t="s">
        <v>213</v>
      </c>
      <c r="R16" s="73" t="s">
        <v>213</v>
      </c>
      <c r="S16" s="73" t="s">
        <v>213</v>
      </c>
      <c r="T16" s="74" t="s">
        <v>213</v>
      </c>
      <c r="U16" s="75" t="s">
        <v>213</v>
      </c>
      <c r="V16" s="76" t="s">
        <v>213</v>
      </c>
      <c r="W16" s="77" t="s">
        <v>213</v>
      </c>
      <c r="X16" s="76" t="s">
        <v>213</v>
      </c>
      <c r="Y16" s="74" t="s">
        <v>213</v>
      </c>
      <c r="Z16" s="77" t="s">
        <v>213</v>
      </c>
    </row>
    <row r="17" ht="36" customHeight="1">
      <c r="A17" s="68"/>
      <c r="B17" s="69"/>
      <c r="C17" s="69"/>
      <c r="D17" s="68"/>
      <c r="E17" s="68"/>
      <c r="F17" s="68"/>
      <c r="G17" s="70"/>
      <c r="H17" s="70"/>
      <c r="I17" s="71"/>
      <c r="J17" s="71"/>
      <c r="K17" s="72"/>
      <c r="L17" s="68"/>
      <c r="M17" s="68"/>
      <c r="N17" s="73" t="s">
        <v>213</v>
      </c>
      <c r="O17" s="73" t="s">
        <v>213</v>
      </c>
      <c r="P17" s="73" t="s">
        <v>213</v>
      </c>
      <c r="Q17" s="73" t="s">
        <v>213</v>
      </c>
      <c r="R17" s="73" t="s">
        <v>213</v>
      </c>
      <c r="S17" s="73" t="s">
        <v>213</v>
      </c>
      <c r="T17" s="74" t="s">
        <v>213</v>
      </c>
      <c r="U17" s="75" t="s">
        <v>213</v>
      </c>
      <c r="V17" s="76" t="s">
        <v>213</v>
      </c>
      <c r="W17" s="77" t="s">
        <v>213</v>
      </c>
      <c r="X17" s="76" t="s">
        <v>213</v>
      </c>
      <c r="Y17" s="74" t="s">
        <v>213</v>
      </c>
      <c r="Z17" s="77" t="s">
        <v>213</v>
      </c>
    </row>
    <row r="18" ht="36" customHeight="1">
      <c r="A18" s="68"/>
      <c r="B18" s="69"/>
      <c r="C18" s="69"/>
      <c r="D18" s="68"/>
      <c r="E18" s="68"/>
      <c r="F18" s="68"/>
      <c r="G18" s="70"/>
      <c r="H18" s="70"/>
      <c r="I18" s="71"/>
      <c r="J18" s="71"/>
      <c r="K18" s="72"/>
      <c r="L18" s="68"/>
      <c r="M18" s="68"/>
      <c r="N18" s="73" t="s">
        <v>213</v>
      </c>
      <c r="O18" s="73" t="s">
        <v>213</v>
      </c>
      <c r="P18" s="73" t="s">
        <v>213</v>
      </c>
      <c r="Q18" s="73" t="s">
        <v>213</v>
      </c>
      <c r="R18" s="73" t="s">
        <v>213</v>
      </c>
      <c r="S18" s="73" t="s">
        <v>213</v>
      </c>
      <c r="T18" s="74" t="s">
        <v>213</v>
      </c>
      <c r="U18" s="75" t="s">
        <v>213</v>
      </c>
      <c r="V18" s="76" t="s">
        <v>213</v>
      </c>
      <c r="W18" s="77" t="s">
        <v>213</v>
      </c>
      <c r="X18" s="76" t="s">
        <v>213</v>
      </c>
      <c r="Y18" s="74" t="s">
        <v>213</v>
      </c>
      <c r="Z18" s="77" t="s">
        <v>213</v>
      </c>
    </row>
    <row r="19" ht="36" customHeight="1">
      <c r="A19" s="68"/>
      <c r="B19" s="69"/>
      <c r="C19" s="69"/>
      <c r="D19" s="68"/>
      <c r="E19" s="68"/>
      <c r="F19" s="68"/>
      <c r="G19" s="70"/>
      <c r="H19" s="70"/>
      <c r="I19" s="71"/>
      <c r="J19" s="71"/>
      <c r="K19" s="72"/>
      <c r="L19" s="68"/>
      <c r="M19" s="68"/>
      <c r="N19" s="73" t="s">
        <v>213</v>
      </c>
      <c r="O19" s="73" t="s">
        <v>213</v>
      </c>
      <c r="P19" s="73" t="s">
        <v>213</v>
      </c>
      <c r="Q19" s="73" t="s">
        <v>213</v>
      </c>
      <c r="R19" s="73" t="s">
        <v>213</v>
      </c>
      <c r="S19" s="73" t="s">
        <v>213</v>
      </c>
      <c r="T19" s="74" t="s">
        <v>213</v>
      </c>
      <c r="U19" s="75" t="s">
        <v>213</v>
      </c>
      <c r="V19" s="76" t="s">
        <v>213</v>
      </c>
      <c r="W19" s="77" t="s">
        <v>213</v>
      </c>
      <c r="X19" s="76" t="s">
        <v>213</v>
      </c>
      <c r="Y19" s="74" t="s">
        <v>213</v>
      </c>
      <c r="Z19" s="77" t="s">
        <v>213</v>
      </c>
    </row>
    <row r="20" ht="36" customHeight="1">
      <c r="A20" s="68"/>
      <c r="B20" s="69"/>
      <c r="C20" s="69"/>
      <c r="D20" s="68"/>
      <c r="E20" s="68"/>
      <c r="F20" s="68"/>
      <c r="G20" s="70"/>
      <c r="H20" s="70"/>
      <c r="I20" s="71"/>
      <c r="J20" s="71"/>
      <c r="K20" s="72"/>
      <c r="L20" s="68"/>
      <c r="M20" s="68"/>
      <c r="N20" s="73" t="s">
        <v>213</v>
      </c>
      <c r="O20" s="73" t="s">
        <v>213</v>
      </c>
      <c r="P20" s="73" t="s">
        <v>213</v>
      </c>
      <c r="Q20" s="73" t="s">
        <v>213</v>
      </c>
      <c r="R20" s="73" t="s">
        <v>213</v>
      </c>
      <c r="S20" s="73" t="s">
        <v>213</v>
      </c>
      <c r="T20" s="74" t="s">
        <v>213</v>
      </c>
      <c r="U20" s="75" t="s">
        <v>213</v>
      </c>
      <c r="V20" s="76" t="s">
        <v>213</v>
      </c>
      <c r="W20" s="77" t="s">
        <v>213</v>
      </c>
      <c r="X20" s="76" t="s">
        <v>213</v>
      </c>
      <c r="Y20" s="74" t="s">
        <v>213</v>
      </c>
      <c r="Z20" s="77" t="s">
        <v>213</v>
      </c>
    </row>
    <row r="21" ht="36" customHeight="1">
      <c r="A21" s="68"/>
      <c r="B21" s="69"/>
      <c r="C21" s="69"/>
      <c r="D21" s="68"/>
      <c r="E21" s="68"/>
      <c r="F21" s="68"/>
      <c r="G21" s="70"/>
      <c r="H21" s="70"/>
      <c r="I21" s="71"/>
      <c r="J21" s="71"/>
      <c r="K21" s="72"/>
      <c r="L21" s="68"/>
      <c r="M21" s="68"/>
      <c r="N21" s="73" t="s">
        <v>213</v>
      </c>
      <c r="O21" s="73" t="s">
        <v>213</v>
      </c>
      <c r="P21" s="73" t="s">
        <v>213</v>
      </c>
      <c r="Q21" s="73" t="s">
        <v>213</v>
      </c>
      <c r="R21" s="73" t="s">
        <v>213</v>
      </c>
      <c r="S21" s="73" t="s">
        <v>213</v>
      </c>
      <c r="T21" s="74" t="s">
        <v>213</v>
      </c>
      <c r="U21" s="75" t="s">
        <v>213</v>
      </c>
      <c r="V21" s="76" t="s">
        <v>213</v>
      </c>
      <c r="W21" s="77" t="s">
        <v>213</v>
      </c>
      <c r="X21" s="76" t="s">
        <v>213</v>
      </c>
      <c r="Y21" s="74" t="s">
        <v>213</v>
      </c>
      <c r="Z21" s="77" t="s">
        <v>213</v>
      </c>
    </row>
    <row r="22" ht="36" customHeight="1">
      <c r="A22" s="68"/>
      <c r="B22" s="69"/>
      <c r="C22" s="69"/>
      <c r="D22" s="68"/>
      <c r="E22" s="68"/>
      <c r="F22" s="68"/>
      <c r="G22" s="70"/>
      <c r="H22" s="70"/>
      <c r="I22" s="71"/>
      <c r="J22" s="71"/>
      <c r="K22" s="72"/>
      <c r="L22" s="68"/>
      <c r="M22" s="68"/>
      <c r="N22" s="73" t="s">
        <v>213</v>
      </c>
      <c r="O22" s="73" t="s">
        <v>213</v>
      </c>
      <c r="P22" s="73" t="s">
        <v>213</v>
      </c>
      <c r="Q22" s="73" t="s">
        <v>213</v>
      </c>
      <c r="R22" s="73" t="s">
        <v>213</v>
      </c>
      <c r="S22" s="73" t="s">
        <v>213</v>
      </c>
      <c r="T22" s="74" t="s">
        <v>213</v>
      </c>
      <c r="U22" s="75" t="s">
        <v>213</v>
      </c>
      <c r="V22" s="76" t="s">
        <v>213</v>
      </c>
      <c r="W22" s="77" t="s">
        <v>213</v>
      </c>
      <c r="X22" s="76" t="s">
        <v>213</v>
      </c>
      <c r="Y22" s="74" t="s">
        <v>213</v>
      </c>
      <c r="Z22" s="77" t="s">
        <v>213</v>
      </c>
    </row>
    <row r="23" ht="36" customHeight="1">
      <c r="A23" s="68"/>
      <c r="B23" s="69"/>
      <c r="C23" s="69"/>
      <c r="D23" s="68"/>
      <c r="E23" s="68"/>
      <c r="F23" s="68"/>
      <c r="G23" s="70"/>
      <c r="H23" s="70"/>
      <c r="I23" s="71"/>
      <c r="J23" s="71"/>
      <c r="K23" s="72"/>
      <c r="L23" s="68"/>
      <c r="M23" s="68"/>
      <c r="N23" s="73" t="s">
        <v>213</v>
      </c>
      <c r="O23" s="73" t="s">
        <v>213</v>
      </c>
      <c r="P23" s="73" t="s">
        <v>213</v>
      </c>
      <c r="Q23" s="73" t="s">
        <v>213</v>
      </c>
      <c r="R23" s="73" t="s">
        <v>213</v>
      </c>
      <c r="S23" s="73" t="s">
        <v>213</v>
      </c>
      <c r="T23" s="74" t="s">
        <v>213</v>
      </c>
      <c r="U23" s="75" t="s">
        <v>213</v>
      </c>
      <c r="V23" s="76" t="s">
        <v>213</v>
      </c>
      <c r="W23" s="77" t="s">
        <v>213</v>
      </c>
      <c r="X23" s="76" t="s">
        <v>213</v>
      </c>
      <c r="Y23" s="74" t="s">
        <v>213</v>
      </c>
      <c r="Z23" s="77" t="s">
        <v>213</v>
      </c>
    </row>
    <row r="24" ht="36" customHeight="1">
      <c r="A24" s="68"/>
      <c r="B24" s="69"/>
      <c r="C24" s="69"/>
      <c r="D24" s="68"/>
      <c r="E24" s="68"/>
      <c r="F24" s="68"/>
      <c r="G24" s="70"/>
      <c r="H24" s="70"/>
      <c r="I24" s="71"/>
      <c r="J24" s="71"/>
      <c r="K24" s="72"/>
      <c r="L24" s="68"/>
      <c r="M24" s="68"/>
      <c r="N24" s="73" t="s">
        <v>213</v>
      </c>
      <c r="O24" s="73" t="s">
        <v>213</v>
      </c>
      <c r="P24" s="73" t="s">
        <v>213</v>
      </c>
      <c r="Q24" s="73" t="s">
        <v>213</v>
      </c>
      <c r="R24" s="73" t="s">
        <v>213</v>
      </c>
      <c r="S24" s="73" t="s">
        <v>213</v>
      </c>
      <c r="T24" s="74" t="s">
        <v>213</v>
      </c>
      <c r="U24" s="75" t="s">
        <v>213</v>
      </c>
      <c r="V24" s="76" t="s">
        <v>213</v>
      </c>
      <c r="W24" s="77" t="s">
        <v>213</v>
      </c>
      <c r="X24" s="76" t="s">
        <v>213</v>
      </c>
      <c r="Y24" s="74" t="s">
        <v>213</v>
      </c>
      <c r="Z24" s="77" t="s">
        <v>213</v>
      </c>
    </row>
    <row r="25" ht="36" customHeight="1">
      <c r="A25" s="68"/>
      <c r="B25" s="69"/>
      <c r="C25" s="69"/>
      <c r="D25" s="68"/>
      <c r="E25" s="68"/>
      <c r="F25" s="68"/>
      <c r="G25" s="70"/>
      <c r="H25" s="70"/>
      <c r="I25" s="71"/>
      <c r="J25" s="71"/>
      <c r="K25" s="72"/>
      <c r="L25" s="68"/>
      <c r="M25" s="68"/>
      <c r="N25" s="73" t="s">
        <v>213</v>
      </c>
      <c r="O25" s="73" t="s">
        <v>213</v>
      </c>
      <c r="P25" s="73" t="s">
        <v>213</v>
      </c>
      <c r="Q25" s="73" t="s">
        <v>213</v>
      </c>
      <c r="R25" s="73" t="s">
        <v>213</v>
      </c>
      <c r="S25" s="73" t="s">
        <v>213</v>
      </c>
      <c r="T25" s="74" t="s">
        <v>213</v>
      </c>
      <c r="U25" s="75" t="s">
        <v>213</v>
      </c>
      <c r="V25" s="76" t="s">
        <v>213</v>
      </c>
      <c r="W25" s="77" t="s">
        <v>213</v>
      </c>
      <c r="X25" s="76" t="s">
        <v>213</v>
      </c>
      <c r="Y25" s="74" t="s">
        <v>213</v>
      </c>
      <c r="Z25" s="77" t="s">
        <v>213</v>
      </c>
    </row>
    <row r="26" ht="36" customHeight="1">
      <c r="A26" s="68"/>
      <c r="B26" s="69"/>
      <c r="C26" s="69"/>
      <c r="D26" s="68"/>
      <c r="E26" s="68"/>
      <c r="F26" s="68"/>
      <c r="G26" s="70"/>
      <c r="H26" s="70"/>
      <c r="I26" s="71"/>
      <c r="J26" s="71"/>
      <c r="K26" s="72"/>
      <c r="L26" s="68"/>
      <c r="M26" s="68"/>
      <c r="N26" s="73" t="s">
        <v>213</v>
      </c>
      <c r="O26" s="73" t="s">
        <v>213</v>
      </c>
      <c r="P26" s="73" t="s">
        <v>213</v>
      </c>
      <c r="Q26" s="73" t="s">
        <v>213</v>
      </c>
      <c r="R26" s="73" t="s">
        <v>213</v>
      </c>
      <c r="S26" s="73" t="s">
        <v>213</v>
      </c>
      <c r="T26" s="74" t="s">
        <v>213</v>
      </c>
      <c r="U26" s="75" t="s">
        <v>213</v>
      </c>
      <c r="V26" s="76" t="s">
        <v>213</v>
      </c>
      <c r="W26" s="77" t="s">
        <v>213</v>
      </c>
      <c r="X26" s="76" t="s">
        <v>213</v>
      </c>
      <c r="Y26" s="74" t="s">
        <v>213</v>
      </c>
      <c r="Z26" s="77" t="s">
        <v>213</v>
      </c>
    </row>
    <row r="27" ht="36" customHeight="1">
      <c r="A27" s="68"/>
      <c r="B27" s="69"/>
      <c r="C27" s="69"/>
      <c r="D27" s="68"/>
      <c r="E27" s="68"/>
      <c r="F27" s="68"/>
      <c r="G27" s="70"/>
      <c r="H27" s="70"/>
      <c r="I27" s="71"/>
      <c r="J27" s="71"/>
      <c r="K27" s="72"/>
      <c r="L27" s="68"/>
      <c r="M27" s="68"/>
      <c r="N27" s="73" t="s">
        <v>213</v>
      </c>
      <c r="O27" s="73" t="s">
        <v>213</v>
      </c>
      <c r="P27" s="73" t="s">
        <v>213</v>
      </c>
      <c r="Q27" s="73" t="s">
        <v>213</v>
      </c>
      <c r="R27" s="73" t="s">
        <v>213</v>
      </c>
      <c r="S27" s="73" t="s">
        <v>213</v>
      </c>
      <c r="T27" s="74" t="s">
        <v>213</v>
      </c>
      <c r="U27" s="75" t="s">
        <v>213</v>
      </c>
      <c r="V27" s="76" t="s">
        <v>213</v>
      </c>
      <c r="W27" s="77" t="s">
        <v>213</v>
      </c>
      <c r="X27" s="76" t="s">
        <v>213</v>
      </c>
      <c r="Y27" s="74" t="s">
        <v>213</v>
      </c>
      <c r="Z27" s="77" t="s">
        <v>213</v>
      </c>
    </row>
    <row r="28" ht="36" customHeight="1">
      <c r="A28" s="68"/>
      <c r="B28" s="69"/>
      <c r="C28" s="69"/>
      <c r="D28" s="68"/>
      <c r="E28" s="68"/>
      <c r="F28" s="68"/>
      <c r="G28" s="70"/>
      <c r="H28" s="70"/>
      <c r="I28" s="71"/>
      <c r="J28" s="71"/>
      <c r="K28" s="72"/>
      <c r="L28" s="68"/>
      <c r="M28" s="68"/>
      <c r="N28" s="73" t="s">
        <v>213</v>
      </c>
      <c r="O28" s="73" t="s">
        <v>213</v>
      </c>
      <c r="P28" s="73" t="s">
        <v>213</v>
      </c>
      <c r="Q28" s="73" t="s">
        <v>213</v>
      </c>
      <c r="R28" s="73" t="s">
        <v>213</v>
      </c>
      <c r="S28" s="73" t="s">
        <v>213</v>
      </c>
      <c r="T28" s="74" t="s">
        <v>213</v>
      </c>
      <c r="U28" s="75" t="s">
        <v>213</v>
      </c>
      <c r="V28" s="76" t="s">
        <v>213</v>
      </c>
      <c r="W28" s="77" t="s">
        <v>213</v>
      </c>
      <c r="X28" s="76" t="s">
        <v>213</v>
      </c>
      <c r="Y28" s="74" t="s">
        <v>213</v>
      </c>
      <c r="Z28" s="77" t="s">
        <v>213</v>
      </c>
    </row>
    <row r="29" ht="36" customHeight="1">
      <c r="A29" s="68"/>
      <c r="B29" s="69"/>
      <c r="C29" s="69"/>
      <c r="D29" s="68"/>
      <c r="E29" s="68"/>
      <c r="F29" s="68"/>
      <c r="G29" s="70"/>
      <c r="H29" s="70"/>
      <c r="I29" s="71"/>
      <c r="J29" s="71"/>
      <c r="K29" s="72"/>
      <c r="L29" s="68"/>
      <c r="M29" s="68"/>
      <c r="N29" s="73" t="s">
        <v>213</v>
      </c>
      <c r="O29" s="73" t="s">
        <v>213</v>
      </c>
      <c r="P29" s="73" t="s">
        <v>213</v>
      </c>
      <c r="Q29" s="73" t="s">
        <v>213</v>
      </c>
      <c r="R29" s="73" t="s">
        <v>213</v>
      </c>
      <c r="S29" s="73" t="s">
        <v>213</v>
      </c>
      <c r="T29" s="74" t="s">
        <v>213</v>
      </c>
      <c r="U29" s="75" t="s">
        <v>213</v>
      </c>
      <c r="V29" s="76" t="s">
        <v>213</v>
      </c>
      <c r="W29" s="77" t="s">
        <v>213</v>
      </c>
      <c r="X29" s="76" t="s">
        <v>213</v>
      </c>
      <c r="Y29" s="74" t="s">
        <v>213</v>
      </c>
      <c r="Z29" s="77" t="s">
        <v>213</v>
      </c>
    </row>
    <row r="30" ht="36" customHeight="1">
      <c r="A30" s="68"/>
      <c r="B30" s="69"/>
      <c r="C30" s="69"/>
      <c r="D30" s="68"/>
      <c r="E30" s="68"/>
      <c r="F30" s="68"/>
      <c r="G30" s="70"/>
      <c r="H30" s="70"/>
      <c r="I30" s="71"/>
      <c r="J30" s="71"/>
      <c r="K30" s="72"/>
      <c r="L30" s="68"/>
      <c r="M30" s="68"/>
      <c r="N30" s="73" t="s">
        <v>213</v>
      </c>
      <c r="O30" s="73" t="s">
        <v>213</v>
      </c>
      <c r="P30" s="73" t="s">
        <v>213</v>
      </c>
      <c r="Q30" s="73" t="s">
        <v>213</v>
      </c>
      <c r="R30" s="73" t="s">
        <v>213</v>
      </c>
      <c r="S30" s="73" t="s">
        <v>213</v>
      </c>
      <c r="T30" s="74" t="s">
        <v>213</v>
      </c>
      <c r="U30" s="75" t="s">
        <v>213</v>
      </c>
      <c r="V30" s="76" t="s">
        <v>213</v>
      </c>
      <c r="W30" s="77" t="s">
        <v>213</v>
      </c>
      <c r="X30" s="76" t="s">
        <v>213</v>
      </c>
      <c r="Y30" s="74" t="s">
        <v>213</v>
      </c>
      <c r="Z30" s="77" t="s">
        <v>213</v>
      </c>
    </row>
    <row r="31" ht="36" customHeight="1">
      <c r="A31" s="68"/>
      <c r="B31" s="69"/>
      <c r="C31" s="69"/>
      <c r="D31" s="68"/>
      <c r="E31" s="68"/>
      <c r="F31" s="68"/>
      <c r="G31" s="70"/>
      <c r="H31" s="70"/>
      <c r="I31" s="71"/>
      <c r="J31" s="71"/>
      <c r="K31" s="72"/>
      <c r="L31" s="68"/>
      <c r="M31" s="68"/>
      <c r="N31" s="73" t="s">
        <v>213</v>
      </c>
      <c r="O31" s="73" t="s">
        <v>213</v>
      </c>
      <c r="P31" s="73" t="s">
        <v>213</v>
      </c>
      <c r="Q31" s="73" t="s">
        <v>213</v>
      </c>
      <c r="R31" s="73" t="s">
        <v>213</v>
      </c>
      <c r="S31" s="73" t="s">
        <v>213</v>
      </c>
      <c r="T31" s="74" t="s">
        <v>213</v>
      </c>
      <c r="U31" s="75" t="s">
        <v>213</v>
      </c>
      <c r="V31" s="76" t="s">
        <v>213</v>
      </c>
      <c r="W31" s="77" t="s">
        <v>213</v>
      </c>
      <c r="X31" s="76" t="s">
        <v>213</v>
      </c>
      <c r="Y31" s="74" t="s">
        <v>213</v>
      </c>
      <c r="Z31" s="77" t="s">
        <v>213</v>
      </c>
    </row>
    <row r="32" ht="36" customHeight="1">
      <c r="A32" s="68"/>
      <c r="B32" s="69"/>
      <c r="C32" s="69"/>
      <c r="D32" s="68"/>
      <c r="E32" s="68"/>
      <c r="F32" s="68"/>
      <c r="G32" s="70"/>
      <c r="H32" s="70"/>
      <c r="I32" s="71"/>
      <c r="J32" s="71"/>
      <c r="K32" s="72"/>
      <c r="L32" s="68"/>
      <c r="M32" s="68"/>
      <c r="N32" s="73" t="s">
        <v>213</v>
      </c>
      <c r="O32" s="73" t="s">
        <v>213</v>
      </c>
      <c r="P32" s="73" t="s">
        <v>213</v>
      </c>
      <c r="Q32" s="73" t="s">
        <v>213</v>
      </c>
      <c r="R32" s="73" t="s">
        <v>213</v>
      </c>
      <c r="S32" s="73" t="s">
        <v>213</v>
      </c>
      <c r="T32" s="74" t="s">
        <v>213</v>
      </c>
      <c r="U32" s="75" t="s">
        <v>213</v>
      </c>
      <c r="V32" s="76" t="s">
        <v>213</v>
      </c>
      <c r="W32" s="77" t="s">
        <v>213</v>
      </c>
      <c r="X32" s="76" t="s">
        <v>213</v>
      </c>
      <c r="Y32" s="74" t="s">
        <v>213</v>
      </c>
      <c r="Z32" s="77" t="s">
        <v>213</v>
      </c>
    </row>
    <row r="33" ht="36" customHeight="1">
      <c r="A33" s="68"/>
      <c r="B33" s="69"/>
      <c r="C33" s="69"/>
      <c r="D33" s="68"/>
      <c r="E33" s="68"/>
      <c r="F33" s="68"/>
      <c r="G33" s="70"/>
      <c r="H33" s="70"/>
      <c r="I33" s="71"/>
      <c r="J33" s="71"/>
      <c r="K33" s="72"/>
      <c r="L33" s="68"/>
      <c r="M33" s="68"/>
      <c r="N33" s="73" t="s">
        <v>213</v>
      </c>
      <c r="O33" s="73" t="s">
        <v>213</v>
      </c>
      <c r="P33" s="73" t="s">
        <v>213</v>
      </c>
      <c r="Q33" s="73" t="s">
        <v>213</v>
      </c>
      <c r="R33" s="73" t="s">
        <v>213</v>
      </c>
      <c r="S33" s="73" t="s">
        <v>213</v>
      </c>
      <c r="T33" s="74" t="s">
        <v>213</v>
      </c>
      <c r="U33" s="75" t="s">
        <v>213</v>
      </c>
      <c r="V33" s="76" t="s">
        <v>213</v>
      </c>
      <c r="W33" s="77" t="s">
        <v>213</v>
      </c>
      <c r="X33" s="76" t="s">
        <v>213</v>
      </c>
      <c r="Y33" s="74" t="s">
        <v>213</v>
      </c>
      <c r="Z33" s="77" t="s">
        <v>213</v>
      </c>
    </row>
    <row r="34" ht="36" customHeight="1">
      <c r="A34" s="68"/>
      <c r="B34" s="69"/>
      <c r="C34" s="69"/>
      <c r="D34" s="68"/>
      <c r="E34" s="68"/>
      <c r="F34" s="68"/>
      <c r="G34" s="70"/>
      <c r="H34" s="70"/>
      <c r="I34" s="71"/>
      <c r="J34" s="71"/>
      <c r="K34" s="72"/>
      <c r="L34" s="68"/>
      <c r="M34" s="68"/>
      <c r="N34" s="73" t="s">
        <v>213</v>
      </c>
      <c r="O34" s="73" t="s">
        <v>213</v>
      </c>
      <c r="P34" s="73" t="s">
        <v>213</v>
      </c>
      <c r="Q34" s="73" t="s">
        <v>213</v>
      </c>
      <c r="R34" s="73" t="s">
        <v>213</v>
      </c>
      <c r="S34" s="73" t="s">
        <v>213</v>
      </c>
      <c r="T34" s="74" t="s">
        <v>213</v>
      </c>
      <c r="U34" s="75" t="s">
        <v>213</v>
      </c>
      <c r="V34" s="76" t="s">
        <v>213</v>
      </c>
      <c r="W34" s="77" t="s">
        <v>213</v>
      </c>
      <c r="X34" s="76" t="s">
        <v>213</v>
      </c>
      <c r="Y34" s="74" t="s">
        <v>213</v>
      </c>
      <c r="Z34" s="77" t="s">
        <v>213</v>
      </c>
    </row>
    <row r="35" ht="36" customHeight="1">
      <c r="A35" s="68"/>
      <c r="B35" s="69"/>
      <c r="C35" s="69"/>
      <c r="D35" s="68"/>
      <c r="E35" s="68"/>
      <c r="F35" s="68"/>
      <c r="G35" s="70"/>
      <c r="H35" s="70"/>
      <c r="I35" s="71"/>
      <c r="J35" s="71"/>
      <c r="K35" s="72"/>
      <c r="L35" s="68"/>
      <c r="M35" s="68"/>
      <c r="N35" s="73" t="s">
        <v>213</v>
      </c>
      <c r="O35" s="73" t="s">
        <v>213</v>
      </c>
      <c r="P35" s="73" t="s">
        <v>213</v>
      </c>
      <c r="Q35" s="73" t="s">
        <v>213</v>
      </c>
      <c r="R35" s="73" t="s">
        <v>213</v>
      </c>
      <c r="S35" s="73" t="s">
        <v>213</v>
      </c>
      <c r="T35" s="74" t="s">
        <v>213</v>
      </c>
      <c r="U35" s="75" t="s">
        <v>213</v>
      </c>
      <c r="V35" s="76" t="s">
        <v>213</v>
      </c>
      <c r="W35" s="77" t="s">
        <v>213</v>
      </c>
      <c r="X35" s="76" t="s">
        <v>213</v>
      </c>
      <c r="Y35" s="74" t="s">
        <v>213</v>
      </c>
      <c r="Z35" s="77" t="s">
        <v>213</v>
      </c>
    </row>
    <row r="36" ht="36" customHeight="1">
      <c r="A36" s="68"/>
      <c r="B36" s="69"/>
      <c r="C36" s="69"/>
      <c r="D36" s="68"/>
      <c r="E36" s="68"/>
      <c r="F36" s="68"/>
      <c r="G36" s="70"/>
      <c r="H36" s="70"/>
      <c r="I36" s="71"/>
      <c r="J36" s="71"/>
      <c r="K36" s="72"/>
      <c r="L36" s="68"/>
      <c r="M36" s="68"/>
      <c r="N36" s="73" t="s">
        <v>213</v>
      </c>
      <c r="O36" s="73" t="s">
        <v>213</v>
      </c>
      <c r="P36" s="73" t="s">
        <v>213</v>
      </c>
      <c r="Q36" s="73" t="s">
        <v>213</v>
      </c>
      <c r="R36" s="73" t="s">
        <v>213</v>
      </c>
      <c r="S36" s="73" t="s">
        <v>213</v>
      </c>
      <c r="T36" s="74" t="s">
        <v>213</v>
      </c>
      <c r="U36" s="75" t="s">
        <v>213</v>
      </c>
      <c r="V36" s="76" t="s">
        <v>213</v>
      </c>
      <c r="W36" s="77" t="s">
        <v>213</v>
      </c>
      <c r="X36" s="76" t="s">
        <v>213</v>
      </c>
      <c r="Y36" s="74" t="s">
        <v>213</v>
      </c>
      <c r="Z36" s="77" t="s">
        <v>213</v>
      </c>
    </row>
    <row r="37" ht="36" customHeight="1">
      <c r="A37" s="68"/>
      <c r="B37" s="69"/>
      <c r="C37" s="69"/>
      <c r="D37" s="68"/>
      <c r="E37" s="68"/>
      <c r="F37" s="68"/>
      <c r="G37" s="70"/>
      <c r="H37" s="70"/>
      <c r="I37" s="71"/>
      <c r="J37" s="71"/>
      <c r="K37" s="72"/>
      <c r="L37" s="68"/>
      <c r="M37" s="68"/>
      <c r="N37" s="73" t="s">
        <v>213</v>
      </c>
      <c r="O37" s="73" t="s">
        <v>213</v>
      </c>
      <c r="P37" s="73" t="s">
        <v>213</v>
      </c>
      <c r="Q37" s="73" t="s">
        <v>213</v>
      </c>
      <c r="R37" s="73" t="s">
        <v>213</v>
      </c>
      <c r="S37" s="73" t="s">
        <v>213</v>
      </c>
      <c r="T37" s="74" t="s">
        <v>213</v>
      </c>
      <c r="U37" s="75" t="s">
        <v>213</v>
      </c>
      <c r="V37" s="76" t="s">
        <v>213</v>
      </c>
      <c r="W37" s="77" t="s">
        <v>213</v>
      </c>
      <c r="X37" s="76" t="s">
        <v>213</v>
      </c>
      <c r="Y37" s="74" t="s">
        <v>213</v>
      </c>
      <c r="Z37" s="77" t="s">
        <v>213</v>
      </c>
    </row>
    <row r="38" ht="36" customHeight="1">
      <c r="A38" s="68"/>
      <c r="B38" s="69"/>
      <c r="C38" s="69"/>
      <c r="D38" s="68"/>
      <c r="E38" s="68"/>
      <c r="F38" s="68"/>
      <c r="G38" s="70"/>
      <c r="H38" s="70"/>
      <c r="I38" s="71"/>
      <c r="J38" s="71"/>
      <c r="K38" s="72"/>
      <c r="L38" s="68"/>
      <c r="M38" s="68"/>
      <c r="N38" s="73" t="s">
        <v>213</v>
      </c>
      <c r="O38" s="73" t="s">
        <v>213</v>
      </c>
      <c r="P38" s="73" t="s">
        <v>213</v>
      </c>
      <c r="Q38" s="73" t="s">
        <v>213</v>
      </c>
      <c r="R38" s="73" t="s">
        <v>213</v>
      </c>
      <c r="S38" s="73" t="s">
        <v>213</v>
      </c>
      <c r="T38" s="74" t="s">
        <v>213</v>
      </c>
      <c r="U38" s="75" t="s">
        <v>213</v>
      </c>
      <c r="V38" s="76" t="s">
        <v>213</v>
      </c>
      <c r="W38" s="77" t="s">
        <v>213</v>
      </c>
      <c r="X38" s="76" t="s">
        <v>213</v>
      </c>
      <c r="Y38" s="74" t="s">
        <v>213</v>
      </c>
      <c r="Z38" s="77" t="s">
        <v>213</v>
      </c>
    </row>
    <row r="39" ht="36" customHeight="1">
      <c r="A39" s="68"/>
      <c r="B39" s="69"/>
      <c r="C39" s="69"/>
      <c r="D39" s="68"/>
      <c r="E39" s="68"/>
      <c r="F39" s="68"/>
      <c r="G39" s="70"/>
      <c r="H39" s="70"/>
      <c r="I39" s="71"/>
      <c r="J39" s="71"/>
      <c r="K39" s="72"/>
      <c r="L39" s="68"/>
      <c r="M39" s="68"/>
      <c r="N39" s="73" t="s">
        <v>213</v>
      </c>
      <c r="O39" s="73" t="s">
        <v>213</v>
      </c>
      <c r="P39" s="73" t="s">
        <v>213</v>
      </c>
      <c r="Q39" s="73" t="s">
        <v>213</v>
      </c>
      <c r="R39" s="73" t="s">
        <v>213</v>
      </c>
      <c r="S39" s="73" t="s">
        <v>213</v>
      </c>
      <c r="T39" s="74" t="s">
        <v>213</v>
      </c>
      <c r="U39" s="75" t="s">
        <v>213</v>
      </c>
      <c r="V39" s="76" t="s">
        <v>213</v>
      </c>
      <c r="W39" s="77" t="s">
        <v>213</v>
      </c>
      <c r="X39" s="76" t="s">
        <v>213</v>
      </c>
      <c r="Y39" s="74" t="s">
        <v>213</v>
      </c>
      <c r="Z39" s="77" t="s">
        <v>213</v>
      </c>
    </row>
    <row r="40" ht="36" customHeight="1">
      <c r="A40" s="68"/>
      <c r="B40" s="69"/>
      <c r="C40" s="69"/>
      <c r="D40" s="68"/>
      <c r="E40" s="68"/>
      <c r="F40" s="68"/>
      <c r="G40" s="70"/>
      <c r="H40" s="70"/>
      <c r="I40" s="71"/>
      <c r="J40" s="71"/>
      <c r="K40" s="72"/>
      <c r="L40" s="68"/>
      <c r="M40" s="68"/>
      <c r="N40" s="73" t="s">
        <v>213</v>
      </c>
      <c r="O40" s="73" t="s">
        <v>213</v>
      </c>
      <c r="P40" s="73" t="s">
        <v>213</v>
      </c>
      <c r="Q40" s="73" t="s">
        <v>213</v>
      </c>
      <c r="R40" s="73" t="s">
        <v>213</v>
      </c>
      <c r="S40" s="73" t="s">
        <v>213</v>
      </c>
      <c r="T40" s="74" t="s">
        <v>213</v>
      </c>
      <c r="U40" s="75" t="s">
        <v>213</v>
      </c>
      <c r="V40" s="76" t="s">
        <v>213</v>
      </c>
      <c r="W40" s="77" t="s">
        <v>213</v>
      </c>
      <c r="X40" s="76" t="s">
        <v>213</v>
      </c>
      <c r="Y40" s="74" t="s">
        <v>213</v>
      </c>
      <c r="Z40" s="77" t="s">
        <v>213</v>
      </c>
    </row>
    <row r="41" ht="36" customHeight="1">
      <c r="A41" s="68"/>
      <c r="B41" s="69"/>
      <c r="C41" s="69"/>
      <c r="D41" s="68"/>
      <c r="E41" s="68"/>
      <c r="F41" s="68"/>
      <c r="G41" s="70"/>
      <c r="H41" s="70"/>
      <c r="I41" s="71"/>
      <c r="J41" s="71"/>
      <c r="K41" s="72"/>
      <c r="L41" s="68"/>
      <c r="M41" s="68"/>
      <c r="N41" s="73" t="s">
        <v>213</v>
      </c>
      <c r="O41" s="73" t="s">
        <v>213</v>
      </c>
      <c r="P41" s="73" t="s">
        <v>213</v>
      </c>
      <c r="Q41" s="73" t="s">
        <v>213</v>
      </c>
      <c r="R41" s="73" t="s">
        <v>213</v>
      </c>
      <c r="S41" s="73" t="s">
        <v>213</v>
      </c>
      <c r="T41" s="74" t="s">
        <v>213</v>
      </c>
      <c r="U41" s="75" t="s">
        <v>213</v>
      </c>
      <c r="V41" s="76" t="s">
        <v>213</v>
      </c>
      <c r="W41" s="77" t="s">
        <v>213</v>
      </c>
      <c r="X41" s="76" t="s">
        <v>213</v>
      </c>
      <c r="Y41" s="74" t="s">
        <v>213</v>
      </c>
      <c r="Z41" s="77" t="s">
        <v>213</v>
      </c>
    </row>
    <row r="42" ht="36" customHeight="1">
      <c r="A42" s="68"/>
      <c r="B42" s="69"/>
      <c r="C42" s="69"/>
      <c r="D42" s="68"/>
      <c r="E42" s="68"/>
      <c r="F42" s="68"/>
      <c r="G42" s="70"/>
      <c r="H42" s="70"/>
      <c r="I42" s="71"/>
      <c r="J42" s="71"/>
      <c r="K42" s="72"/>
      <c r="L42" s="68"/>
      <c r="M42" s="68"/>
      <c r="N42" s="73" t="s">
        <v>213</v>
      </c>
      <c r="O42" s="73" t="s">
        <v>213</v>
      </c>
      <c r="P42" s="73" t="s">
        <v>213</v>
      </c>
      <c r="Q42" s="73" t="s">
        <v>213</v>
      </c>
      <c r="R42" s="73" t="s">
        <v>213</v>
      </c>
      <c r="S42" s="73" t="s">
        <v>213</v>
      </c>
      <c r="T42" s="74" t="s">
        <v>213</v>
      </c>
      <c r="U42" s="75" t="s">
        <v>213</v>
      </c>
      <c r="V42" s="76" t="s">
        <v>213</v>
      </c>
      <c r="W42" s="77" t="s">
        <v>213</v>
      </c>
      <c r="X42" s="76" t="s">
        <v>213</v>
      </c>
      <c r="Y42" s="74" t="s">
        <v>213</v>
      </c>
      <c r="Z42" s="77" t="s">
        <v>213</v>
      </c>
    </row>
    <row r="43" ht="36" customHeight="1">
      <c r="A43" s="68"/>
      <c r="B43" s="69"/>
      <c r="C43" s="69"/>
      <c r="D43" s="68"/>
      <c r="E43" s="68"/>
      <c r="F43" s="68"/>
      <c r="G43" s="70"/>
      <c r="H43" s="70"/>
      <c r="I43" s="71"/>
      <c r="J43" s="71"/>
      <c r="K43" s="72"/>
      <c r="L43" s="68"/>
      <c r="M43" s="68"/>
      <c r="N43" s="73" t="s">
        <v>213</v>
      </c>
      <c r="O43" s="73" t="s">
        <v>213</v>
      </c>
      <c r="P43" s="73" t="s">
        <v>213</v>
      </c>
      <c r="Q43" s="73" t="s">
        <v>213</v>
      </c>
      <c r="R43" s="73" t="s">
        <v>213</v>
      </c>
      <c r="S43" s="73" t="s">
        <v>213</v>
      </c>
      <c r="T43" s="74" t="s">
        <v>213</v>
      </c>
      <c r="U43" s="75" t="s">
        <v>213</v>
      </c>
      <c r="V43" s="76" t="s">
        <v>213</v>
      </c>
      <c r="W43" s="77" t="s">
        <v>213</v>
      </c>
      <c r="X43" s="76" t="s">
        <v>213</v>
      </c>
      <c r="Y43" s="74" t="s">
        <v>213</v>
      </c>
      <c r="Z43" s="77" t="s">
        <v>213</v>
      </c>
    </row>
    <row r="44" ht="36" customHeight="1">
      <c r="A44" s="68"/>
      <c r="B44" s="69"/>
      <c r="C44" s="69"/>
      <c r="D44" s="68"/>
      <c r="E44" s="68"/>
      <c r="F44" s="68"/>
      <c r="G44" s="70"/>
      <c r="H44" s="70"/>
      <c r="I44" s="71"/>
      <c r="J44" s="71"/>
      <c r="K44" s="72"/>
      <c r="L44" s="68"/>
      <c r="M44" s="68"/>
      <c r="N44" s="73" t="s">
        <v>213</v>
      </c>
      <c r="O44" s="73" t="s">
        <v>213</v>
      </c>
      <c r="P44" s="73" t="s">
        <v>213</v>
      </c>
      <c r="Q44" s="73" t="s">
        <v>213</v>
      </c>
      <c r="R44" s="73" t="s">
        <v>213</v>
      </c>
      <c r="S44" s="73" t="s">
        <v>213</v>
      </c>
      <c r="T44" s="74" t="s">
        <v>213</v>
      </c>
      <c r="U44" s="75" t="s">
        <v>213</v>
      </c>
      <c r="V44" s="76" t="s">
        <v>213</v>
      </c>
      <c r="W44" s="77" t="s">
        <v>213</v>
      </c>
      <c r="X44" s="76" t="s">
        <v>213</v>
      </c>
      <c r="Y44" s="74" t="s">
        <v>213</v>
      </c>
      <c r="Z44" s="77" t="s">
        <v>213</v>
      </c>
    </row>
    <row r="45" ht="36" customHeight="1">
      <c r="A45" s="68"/>
      <c r="B45" s="69"/>
      <c r="C45" s="69"/>
      <c r="D45" s="68"/>
      <c r="E45" s="68"/>
      <c r="F45" s="68"/>
      <c r="G45" s="70"/>
      <c r="H45" s="70"/>
      <c r="I45" s="71"/>
      <c r="J45" s="71"/>
      <c r="K45" s="72"/>
      <c r="L45" s="68"/>
      <c r="M45" s="68"/>
      <c r="N45" s="73" t="s">
        <v>213</v>
      </c>
      <c r="O45" s="73" t="s">
        <v>213</v>
      </c>
      <c r="P45" s="73" t="s">
        <v>213</v>
      </c>
      <c r="Q45" s="73" t="s">
        <v>213</v>
      </c>
      <c r="R45" s="73" t="s">
        <v>213</v>
      </c>
      <c r="S45" s="73" t="s">
        <v>213</v>
      </c>
      <c r="T45" s="74" t="s">
        <v>213</v>
      </c>
      <c r="U45" s="75" t="s">
        <v>213</v>
      </c>
      <c r="V45" s="76" t="s">
        <v>213</v>
      </c>
      <c r="W45" s="77" t="s">
        <v>213</v>
      </c>
      <c r="X45" s="76" t="s">
        <v>213</v>
      </c>
      <c r="Y45" s="74" t="s">
        <v>213</v>
      </c>
      <c r="Z45" s="77" t="s">
        <v>213</v>
      </c>
    </row>
    <row r="46" ht="36" customHeight="1">
      <c r="A46" s="68"/>
      <c r="B46" s="69"/>
      <c r="C46" s="69"/>
      <c r="D46" s="68"/>
      <c r="E46" s="68"/>
      <c r="F46" s="68"/>
      <c r="G46" s="70"/>
      <c r="H46" s="70"/>
      <c r="I46" s="71"/>
      <c r="J46" s="71"/>
      <c r="K46" s="72"/>
      <c r="L46" s="68"/>
      <c r="M46" s="68"/>
      <c r="N46" s="73" t="s">
        <v>213</v>
      </c>
      <c r="O46" s="73" t="s">
        <v>213</v>
      </c>
      <c r="P46" s="73" t="s">
        <v>213</v>
      </c>
      <c r="Q46" s="73" t="s">
        <v>213</v>
      </c>
      <c r="R46" s="73" t="s">
        <v>213</v>
      </c>
      <c r="S46" s="73" t="s">
        <v>213</v>
      </c>
      <c r="T46" s="74" t="s">
        <v>213</v>
      </c>
      <c r="U46" s="75" t="s">
        <v>213</v>
      </c>
      <c r="V46" s="76" t="s">
        <v>213</v>
      </c>
      <c r="W46" s="77" t="s">
        <v>213</v>
      </c>
      <c r="X46" s="76" t="s">
        <v>213</v>
      </c>
      <c r="Y46" s="74" t="s">
        <v>213</v>
      </c>
      <c r="Z46" s="77" t="s">
        <v>213</v>
      </c>
    </row>
    <row r="47" ht="36" customHeight="1">
      <c r="A47" s="68"/>
      <c r="B47" s="69"/>
      <c r="C47" s="69"/>
      <c r="D47" s="68"/>
      <c r="E47" s="68"/>
      <c r="F47" s="68"/>
      <c r="G47" s="70"/>
      <c r="H47" s="70"/>
      <c r="I47" s="71"/>
      <c r="J47" s="71"/>
      <c r="K47" s="72"/>
      <c r="L47" s="68"/>
      <c r="M47" s="68"/>
      <c r="N47" s="73" t="s">
        <v>213</v>
      </c>
      <c r="O47" s="73" t="s">
        <v>213</v>
      </c>
      <c r="P47" s="73" t="s">
        <v>213</v>
      </c>
      <c r="Q47" s="73" t="s">
        <v>213</v>
      </c>
      <c r="R47" s="73" t="s">
        <v>213</v>
      </c>
      <c r="S47" s="73" t="s">
        <v>213</v>
      </c>
      <c r="T47" s="74" t="s">
        <v>213</v>
      </c>
      <c r="U47" s="75" t="s">
        <v>213</v>
      </c>
      <c r="V47" s="76" t="s">
        <v>213</v>
      </c>
      <c r="W47" s="77" t="s">
        <v>213</v>
      </c>
      <c r="X47" s="76" t="s">
        <v>213</v>
      </c>
      <c r="Y47" s="74" t="s">
        <v>213</v>
      </c>
      <c r="Z47" s="77" t="s">
        <v>213</v>
      </c>
    </row>
    <row r="48" ht="36" customHeight="1">
      <c r="A48" s="68"/>
      <c r="B48" s="69"/>
      <c r="C48" s="69"/>
      <c r="D48" s="68"/>
      <c r="E48" s="68"/>
      <c r="F48" s="68"/>
      <c r="G48" s="70"/>
      <c r="H48" s="70"/>
      <c r="I48" s="71"/>
      <c r="J48" s="71"/>
      <c r="K48" s="72"/>
      <c r="L48" s="68"/>
      <c r="M48" s="68"/>
      <c r="N48" s="73" t="s">
        <v>213</v>
      </c>
      <c r="O48" s="73" t="s">
        <v>213</v>
      </c>
      <c r="P48" s="73" t="s">
        <v>213</v>
      </c>
      <c r="Q48" s="73" t="s">
        <v>213</v>
      </c>
      <c r="R48" s="73" t="s">
        <v>213</v>
      </c>
      <c r="S48" s="73" t="s">
        <v>213</v>
      </c>
      <c r="T48" s="74" t="s">
        <v>213</v>
      </c>
      <c r="U48" s="75" t="s">
        <v>213</v>
      </c>
      <c r="V48" s="76" t="s">
        <v>213</v>
      </c>
      <c r="W48" s="77" t="s">
        <v>213</v>
      </c>
      <c r="X48" s="76" t="s">
        <v>213</v>
      </c>
      <c r="Y48" s="74" t="s">
        <v>213</v>
      </c>
      <c r="Z48" s="77" t="s">
        <v>213</v>
      </c>
    </row>
    <row r="49" ht="36" customHeight="1">
      <c r="A49" s="68"/>
      <c r="B49" s="69"/>
      <c r="C49" s="69"/>
      <c r="D49" s="68"/>
      <c r="E49" s="68"/>
      <c r="F49" s="68"/>
      <c r="G49" s="70"/>
      <c r="H49" s="70"/>
      <c r="I49" s="71"/>
      <c r="J49" s="71"/>
      <c r="K49" s="72"/>
      <c r="L49" s="68"/>
      <c r="M49" s="68"/>
      <c r="N49" s="73" t="s">
        <v>213</v>
      </c>
      <c r="O49" s="73" t="s">
        <v>213</v>
      </c>
      <c r="P49" s="73" t="s">
        <v>213</v>
      </c>
      <c r="Q49" s="73" t="s">
        <v>213</v>
      </c>
      <c r="R49" s="73" t="s">
        <v>213</v>
      </c>
      <c r="S49" s="73" t="s">
        <v>213</v>
      </c>
      <c r="T49" s="74" t="s">
        <v>213</v>
      </c>
      <c r="U49" s="75" t="s">
        <v>213</v>
      </c>
      <c r="V49" s="76" t="s">
        <v>213</v>
      </c>
      <c r="W49" s="77" t="s">
        <v>213</v>
      </c>
      <c r="X49" s="76" t="s">
        <v>213</v>
      </c>
      <c r="Y49" s="74" t="s">
        <v>213</v>
      </c>
      <c r="Z49" s="77" t="s">
        <v>213</v>
      </c>
    </row>
    <row r="50" ht="36" customHeight="1">
      <c r="A50" s="68"/>
      <c r="B50" s="69"/>
      <c r="C50" s="69"/>
      <c r="D50" s="68"/>
      <c r="E50" s="68"/>
      <c r="F50" s="68"/>
      <c r="G50" s="70"/>
      <c r="H50" s="70"/>
      <c r="I50" s="71"/>
      <c r="J50" s="71"/>
      <c r="K50" s="72"/>
      <c r="L50" s="68"/>
      <c r="M50" s="68"/>
      <c r="N50" s="73" t="s">
        <v>213</v>
      </c>
      <c r="O50" s="73" t="s">
        <v>213</v>
      </c>
      <c r="P50" s="73" t="s">
        <v>213</v>
      </c>
      <c r="Q50" s="73" t="s">
        <v>213</v>
      </c>
      <c r="R50" s="73" t="s">
        <v>213</v>
      </c>
      <c r="S50" s="73" t="s">
        <v>213</v>
      </c>
      <c r="T50" s="74" t="s">
        <v>213</v>
      </c>
      <c r="U50" s="75" t="s">
        <v>213</v>
      </c>
      <c r="V50" s="76" t="s">
        <v>213</v>
      </c>
      <c r="W50" s="77" t="s">
        <v>213</v>
      </c>
      <c r="X50" s="76" t="s">
        <v>213</v>
      </c>
      <c r="Y50" s="74" t="s">
        <v>213</v>
      </c>
      <c r="Z50" s="77" t="s">
        <v>213</v>
      </c>
    </row>
    <row r="51" ht="36" customHeight="1">
      <c r="A51" s="68"/>
      <c r="B51" s="69"/>
      <c r="C51" s="69"/>
      <c r="D51" s="68"/>
      <c r="E51" s="68"/>
      <c r="F51" s="68"/>
      <c r="G51" s="70"/>
      <c r="H51" s="70"/>
      <c r="I51" s="71"/>
      <c r="J51" s="71"/>
      <c r="K51" s="72"/>
      <c r="L51" s="68"/>
      <c r="M51" s="68"/>
      <c r="N51" s="73" t="s">
        <v>213</v>
      </c>
      <c r="O51" s="73" t="s">
        <v>213</v>
      </c>
      <c r="P51" s="73" t="s">
        <v>213</v>
      </c>
      <c r="Q51" s="73" t="s">
        <v>213</v>
      </c>
      <c r="R51" s="73" t="s">
        <v>213</v>
      </c>
      <c r="S51" s="73" t="s">
        <v>213</v>
      </c>
      <c r="T51" s="74" t="s">
        <v>213</v>
      </c>
      <c r="U51" s="75" t="s">
        <v>213</v>
      </c>
      <c r="V51" s="76" t="s">
        <v>213</v>
      </c>
      <c r="W51" s="77" t="s">
        <v>213</v>
      </c>
      <c r="X51" s="76" t="s">
        <v>213</v>
      </c>
      <c r="Y51" s="74" t="s">
        <v>213</v>
      </c>
      <c r="Z51" s="77" t="s">
        <v>213</v>
      </c>
    </row>
    <row r="52" ht="36" customHeight="1">
      <c r="A52" s="68"/>
      <c r="B52" s="69"/>
      <c r="C52" s="69"/>
      <c r="D52" s="68"/>
      <c r="E52" s="68"/>
      <c r="F52" s="68"/>
      <c r="G52" s="70"/>
      <c r="H52" s="70"/>
      <c r="I52" s="71"/>
      <c r="J52" s="71"/>
      <c r="K52" s="72"/>
      <c r="L52" s="68"/>
      <c r="M52" s="68"/>
      <c r="N52" s="73" t="s">
        <v>213</v>
      </c>
      <c r="O52" s="73" t="s">
        <v>213</v>
      </c>
      <c r="P52" s="73" t="s">
        <v>213</v>
      </c>
      <c r="Q52" s="73" t="s">
        <v>213</v>
      </c>
      <c r="R52" s="73" t="s">
        <v>213</v>
      </c>
      <c r="S52" s="73" t="s">
        <v>213</v>
      </c>
      <c r="T52" s="74" t="s">
        <v>213</v>
      </c>
      <c r="U52" s="75" t="s">
        <v>213</v>
      </c>
      <c r="V52" s="76" t="s">
        <v>213</v>
      </c>
      <c r="W52" s="77" t="s">
        <v>213</v>
      </c>
      <c r="X52" s="76" t="s">
        <v>213</v>
      </c>
      <c r="Y52" s="74" t="s">
        <v>213</v>
      </c>
      <c r="Z52" s="77" t="s">
        <v>213</v>
      </c>
    </row>
    <row r="53" ht="36" customHeight="1">
      <c r="A53" s="68"/>
      <c r="B53" s="69"/>
      <c r="C53" s="69"/>
      <c r="D53" s="68"/>
      <c r="E53" s="68"/>
      <c r="F53" s="68"/>
      <c r="G53" s="70"/>
      <c r="H53" s="70"/>
      <c r="I53" s="71"/>
      <c r="J53" s="71"/>
      <c r="K53" s="72"/>
      <c r="L53" s="68"/>
      <c r="M53" s="68"/>
      <c r="N53" s="73" t="s">
        <v>213</v>
      </c>
      <c r="O53" s="73" t="s">
        <v>213</v>
      </c>
      <c r="P53" s="73" t="s">
        <v>213</v>
      </c>
      <c r="Q53" s="73" t="s">
        <v>213</v>
      </c>
      <c r="R53" s="73" t="s">
        <v>213</v>
      </c>
      <c r="S53" s="73" t="s">
        <v>213</v>
      </c>
      <c r="T53" s="74" t="s">
        <v>213</v>
      </c>
      <c r="U53" s="75" t="s">
        <v>213</v>
      </c>
      <c r="V53" s="76" t="s">
        <v>213</v>
      </c>
      <c r="W53" s="77" t="s">
        <v>213</v>
      </c>
      <c r="X53" s="76" t="s">
        <v>213</v>
      </c>
      <c r="Y53" s="74" t="s">
        <v>213</v>
      </c>
      <c r="Z53" s="77" t="s">
        <v>213</v>
      </c>
    </row>
    <row r="54" ht="36" customHeight="1">
      <c r="A54" s="68"/>
      <c r="B54" s="69"/>
      <c r="C54" s="69"/>
      <c r="D54" s="68"/>
      <c r="E54" s="68"/>
      <c r="F54" s="68"/>
      <c r="G54" s="70"/>
      <c r="H54" s="70"/>
      <c r="I54" s="71"/>
      <c r="J54" s="71"/>
      <c r="K54" s="72"/>
      <c r="L54" s="68"/>
      <c r="M54" s="68"/>
      <c r="N54" s="73" t="s">
        <v>213</v>
      </c>
      <c r="O54" s="73" t="s">
        <v>213</v>
      </c>
      <c r="P54" s="73" t="s">
        <v>213</v>
      </c>
      <c r="Q54" s="73" t="s">
        <v>213</v>
      </c>
      <c r="R54" s="73" t="s">
        <v>213</v>
      </c>
      <c r="S54" s="73" t="s">
        <v>213</v>
      </c>
      <c r="T54" s="74" t="s">
        <v>213</v>
      </c>
      <c r="U54" s="75" t="s">
        <v>213</v>
      </c>
      <c r="V54" s="76" t="s">
        <v>213</v>
      </c>
      <c r="W54" s="77" t="s">
        <v>213</v>
      </c>
      <c r="X54" s="76" t="s">
        <v>213</v>
      </c>
      <c r="Y54" s="74" t="s">
        <v>213</v>
      </c>
      <c r="Z54" s="77" t="s">
        <v>213</v>
      </c>
    </row>
    <row r="55" ht="36" customHeight="1">
      <c r="A55" s="68"/>
      <c r="B55" s="69"/>
      <c r="C55" s="69"/>
      <c r="D55" s="68"/>
      <c r="E55" s="68"/>
      <c r="F55" s="68"/>
      <c r="G55" s="70"/>
      <c r="H55" s="70"/>
      <c r="I55" s="71"/>
      <c r="J55" s="71"/>
      <c r="K55" s="72"/>
      <c r="L55" s="68"/>
      <c r="M55" s="68"/>
      <c r="N55" s="73" t="s">
        <v>213</v>
      </c>
      <c r="O55" s="73" t="s">
        <v>213</v>
      </c>
      <c r="P55" s="73" t="s">
        <v>213</v>
      </c>
      <c r="Q55" s="73" t="s">
        <v>213</v>
      </c>
      <c r="R55" s="73" t="s">
        <v>213</v>
      </c>
      <c r="S55" s="73" t="s">
        <v>213</v>
      </c>
      <c r="T55" s="74" t="s">
        <v>213</v>
      </c>
      <c r="U55" s="75" t="s">
        <v>213</v>
      </c>
      <c r="V55" s="76" t="s">
        <v>213</v>
      </c>
      <c r="W55" s="77" t="s">
        <v>213</v>
      </c>
      <c r="X55" s="76" t="s">
        <v>213</v>
      </c>
      <c r="Y55" s="74" t="s">
        <v>213</v>
      </c>
      <c r="Z55" s="77" t="s">
        <v>213</v>
      </c>
    </row>
    <row r="56" ht="36" customHeight="1">
      <c r="A56" s="68"/>
      <c r="B56" s="69"/>
      <c r="C56" s="69"/>
      <c r="D56" s="68"/>
      <c r="E56" s="68"/>
      <c r="F56" s="68"/>
      <c r="G56" s="70"/>
      <c r="H56" s="70"/>
      <c r="I56" s="71"/>
      <c r="J56" s="71"/>
      <c r="K56" s="72"/>
      <c r="L56" s="68"/>
      <c r="M56" s="68"/>
      <c r="N56" s="73" t="s">
        <v>213</v>
      </c>
      <c r="O56" s="73" t="s">
        <v>213</v>
      </c>
      <c r="P56" s="73" t="s">
        <v>213</v>
      </c>
      <c r="Q56" s="73" t="s">
        <v>213</v>
      </c>
      <c r="R56" s="73" t="s">
        <v>213</v>
      </c>
      <c r="S56" s="73" t="s">
        <v>213</v>
      </c>
      <c r="T56" s="74" t="s">
        <v>213</v>
      </c>
      <c r="U56" s="75" t="s">
        <v>213</v>
      </c>
      <c r="V56" s="76" t="s">
        <v>213</v>
      </c>
      <c r="W56" s="77" t="s">
        <v>213</v>
      </c>
      <c r="X56" s="76" t="s">
        <v>213</v>
      </c>
      <c r="Y56" s="74" t="s">
        <v>213</v>
      </c>
      <c r="Z56" s="77" t="s">
        <v>213</v>
      </c>
    </row>
    <row r="57" ht="36" customHeight="1">
      <c r="A57" s="68"/>
      <c r="B57" s="69"/>
      <c r="C57" s="69"/>
      <c r="D57" s="68"/>
      <c r="E57" s="68"/>
      <c r="F57" s="68"/>
      <c r="G57" s="70"/>
      <c r="H57" s="70"/>
      <c r="I57" s="71"/>
      <c r="J57" s="71"/>
      <c r="K57" s="72"/>
      <c r="L57" s="68"/>
      <c r="M57" s="68"/>
      <c r="N57" s="73" t="s">
        <v>213</v>
      </c>
      <c r="O57" s="73" t="s">
        <v>213</v>
      </c>
      <c r="P57" s="73" t="s">
        <v>213</v>
      </c>
      <c r="Q57" s="73" t="s">
        <v>213</v>
      </c>
      <c r="R57" s="73" t="s">
        <v>213</v>
      </c>
      <c r="S57" s="73" t="s">
        <v>213</v>
      </c>
      <c r="T57" s="74" t="s">
        <v>213</v>
      </c>
      <c r="U57" s="75" t="s">
        <v>213</v>
      </c>
      <c r="V57" s="76" t="s">
        <v>213</v>
      </c>
      <c r="W57" s="77" t="s">
        <v>213</v>
      </c>
      <c r="X57" s="76" t="s">
        <v>213</v>
      </c>
      <c r="Y57" s="74" t="s">
        <v>213</v>
      </c>
      <c r="Z57" s="77" t="s">
        <v>213</v>
      </c>
    </row>
    <row r="58" ht="36" customHeight="1">
      <c r="A58" s="68"/>
      <c r="B58" s="69"/>
      <c r="C58" s="69"/>
      <c r="D58" s="68"/>
      <c r="E58" s="68"/>
      <c r="F58" s="68"/>
      <c r="G58" s="70"/>
      <c r="H58" s="70"/>
      <c r="I58" s="71"/>
      <c r="J58" s="71"/>
      <c r="K58" s="72"/>
      <c r="L58" s="68"/>
      <c r="M58" s="68"/>
      <c r="N58" s="73" t="s">
        <v>213</v>
      </c>
      <c r="O58" s="73" t="s">
        <v>213</v>
      </c>
      <c r="P58" s="73" t="s">
        <v>213</v>
      </c>
      <c r="Q58" s="73" t="s">
        <v>213</v>
      </c>
      <c r="R58" s="73" t="s">
        <v>213</v>
      </c>
      <c r="S58" s="73" t="s">
        <v>213</v>
      </c>
      <c r="T58" s="74" t="s">
        <v>213</v>
      </c>
      <c r="U58" s="75" t="s">
        <v>213</v>
      </c>
      <c r="V58" s="76" t="s">
        <v>213</v>
      </c>
      <c r="W58" s="77" t="s">
        <v>213</v>
      </c>
      <c r="X58" s="76" t="s">
        <v>213</v>
      </c>
      <c r="Y58" s="74" t="s">
        <v>213</v>
      </c>
      <c r="Z58" s="77" t="s">
        <v>213</v>
      </c>
    </row>
    <row r="59" ht="36" customHeight="1">
      <c r="A59" s="68"/>
      <c r="B59" s="69"/>
      <c r="C59" s="69"/>
      <c r="D59" s="68"/>
      <c r="E59" s="68"/>
      <c r="F59" s="68"/>
      <c r="G59" s="70"/>
      <c r="H59" s="70"/>
      <c r="I59" s="71"/>
      <c r="J59" s="71"/>
      <c r="K59" s="72"/>
      <c r="L59" s="68"/>
      <c r="M59" s="68"/>
      <c r="N59" s="73" t="s">
        <v>213</v>
      </c>
      <c r="O59" s="73" t="s">
        <v>213</v>
      </c>
      <c r="P59" s="73" t="s">
        <v>213</v>
      </c>
      <c r="Q59" s="73" t="s">
        <v>213</v>
      </c>
      <c r="R59" s="73" t="s">
        <v>213</v>
      </c>
      <c r="S59" s="73" t="s">
        <v>213</v>
      </c>
      <c r="T59" s="74" t="s">
        <v>213</v>
      </c>
      <c r="U59" s="75" t="s">
        <v>213</v>
      </c>
      <c r="V59" s="76" t="s">
        <v>213</v>
      </c>
      <c r="W59" s="77" t="s">
        <v>213</v>
      </c>
      <c r="X59" s="76" t="s">
        <v>213</v>
      </c>
      <c r="Y59" s="74" t="s">
        <v>213</v>
      </c>
      <c r="Z59" s="77" t="s">
        <v>213</v>
      </c>
    </row>
    <row r="60" ht="36" customHeight="1">
      <c r="A60" s="68"/>
      <c r="B60" s="69"/>
      <c r="C60" s="69"/>
      <c r="D60" s="68"/>
      <c r="E60" s="68"/>
      <c r="F60" s="68"/>
      <c r="G60" s="70"/>
      <c r="H60" s="70"/>
      <c r="I60" s="71"/>
      <c r="J60" s="71"/>
      <c r="K60" s="72"/>
      <c r="L60" s="68"/>
      <c r="M60" s="68"/>
      <c r="N60" s="73" t="s">
        <v>213</v>
      </c>
      <c r="O60" s="73" t="s">
        <v>213</v>
      </c>
      <c r="P60" s="73" t="s">
        <v>213</v>
      </c>
      <c r="Q60" s="73" t="s">
        <v>213</v>
      </c>
      <c r="R60" s="73" t="s">
        <v>213</v>
      </c>
      <c r="S60" s="73" t="s">
        <v>213</v>
      </c>
      <c r="T60" s="74" t="s">
        <v>213</v>
      </c>
      <c r="U60" s="75" t="s">
        <v>213</v>
      </c>
      <c r="V60" s="76" t="s">
        <v>213</v>
      </c>
      <c r="W60" s="77" t="s">
        <v>213</v>
      </c>
      <c r="X60" s="76" t="s">
        <v>213</v>
      </c>
      <c r="Y60" s="74" t="s">
        <v>213</v>
      </c>
      <c r="Z60" s="77" t="s">
        <v>213</v>
      </c>
    </row>
    <row r="61" ht="36" customHeight="1">
      <c r="A61" s="68"/>
      <c r="B61" s="69"/>
      <c r="C61" s="69"/>
      <c r="D61" s="68"/>
      <c r="E61" s="68"/>
      <c r="F61" s="68"/>
      <c r="G61" s="70"/>
      <c r="H61" s="70"/>
      <c r="I61" s="71"/>
      <c r="J61" s="71"/>
      <c r="K61" s="72"/>
      <c r="L61" s="68"/>
      <c r="M61" s="68"/>
      <c r="N61" s="73" t="s">
        <v>213</v>
      </c>
      <c r="O61" s="73" t="s">
        <v>213</v>
      </c>
      <c r="P61" s="73" t="s">
        <v>213</v>
      </c>
      <c r="Q61" s="73" t="s">
        <v>213</v>
      </c>
      <c r="R61" s="73" t="s">
        <v>213</v>
      </c>
      <c r="S61" s="73" t="s">
        <v>213</v>
      </c>
      <c r="T61" s="74" t="s">
        <v>213</v>
      </c>
      <c r="U61" s="75" t="s">
        <v>213</v>
      </c>
      <c r="V61" s="76" t="s">
        <v>213</v>
      </c>
      <c r="W61" s="77" t="s">
        <v>213</v>
      </c>
      <c r="X61" s="76" t="s">
        <v>213</v>
      </c>
      <c r="Y61" s="74" t="s">
        <v>213</v>
      </c>
      <c r="Z61" s="77" t="s">
        <v>213</v>
      </c>
    </row>
    <row r="62" ht="36" customHeight="1">
      <c r="A62" s="68"/>
      <c r="B62" s="69"/>
      <c r="C62" s="69"/>
      <c r="D62" s="68"/>
      <c r="E62" s="68"/>
      <c r="F62" s="68"/>
      <c r="G62" s="70"/>
      <c r="H62" s="70"/>
      <c r="I62" s="71"/>
      <c r="J62" s="71"/>
      <c r="K62" s="72"/>
      <c r="L62" s="68"/>
      <c r="M62" s="68"/>
      <c r="N62" s="73" t="s">
        <v>213</v>
      </c>
      <c r="O62" s="73" t="s">
        <v>213</v>
      </c>
      <c r="P62" s="73" t="s">
        <v>213</v>
      </c>
      <c r="Q62" s="73" t="s">
        <v>213</v>
      </c>
      <c r="R62" s="73" t="s">
        <v>213</v>
      </c>
      <c r="S62" s="73" t="s">
        <v>213</v>
      </c>
      <c r="T62" s="74" t="s">
        <v>213</v>
      </c>
      <c r="U62" s="75" t="s">
        <v>213</v>
      </c>
      <c r="V62" s="76" t="s">
        <v>213</v>
      </c>
      <c r="W62" s="77" t="s">
        <v>213</v>
      </c>
      <c r="X62" s="76" t="s">
        <v>213</v>
      </c>
      <c r="Y62" s="74" t="s">
        <v>213</v>
      </c>
      <c r="Z62" s="77" t="s">
        <v>213</v>
      </c>
    </row>
    <row r="63" ht="36" customHeight="1">
      <c r="A63" s="68"/>
      <c r="B63" s="69"/>
      <c r="C63" s="69"/>
      <c r="D63" s="68"/>
      <c r="E63" s="68"/>
      <c r="F63" s="68"/>
      <c r="G63" s="70"/>
      <c r="H63" s="70"/>
      <c r="I63" s="71"/>
      <c r="J63" s="71"/>
      <c r="K63" s="72"/>
      <c r="L63" s="68"/>
      <c r="M63" s="68"/>
      <c r="N63" s="73" t="s">
        <v>213</v>
      </c>
      <c r="O63" s="73" t="s">
        <v>213</v>
      </c>
      <c r="P63" s="73" t="s">
        <v>213</v>
      </c>
      <c r="Q63" s="73" t="s">
        <v>213</v>
      </c>
      <c r="R63" s="73" t="s">
        <v>213</v>
      </c>
      <c r="S63" s="73" t="s">
        <v>213</v>
      </c>
      <c r="T63" s="74" t="s">
        <v>213</v>
      </c>
      <c r="U63" s="75" t="s">
        <v>213</v>
      </c>
      <c r="V63" s="76" t="s">
        <v>213</v>
      </c>
      <c r="W63" s="77" t="s">
        <v>213</v>
      </c>
      <c r="X63" s="76" t="s">
        <v>213</v>
      </c>
      <c r="Y63" s="74" t="s">
        <v>213</v>
      </c>
      <c r="Z63" s="77" t="s">
        <v>213</v>
      </c>
    </row>
    <row r="64" ht="36" customHeight="1">
      <c r="A64" s="68"/>
      <c r="B64" s="69"/>
      <c r="C64" s="69"/>
      <c r="D64" s="68"/>
      <c r="E64" s="68"/>
      <c r="F64" s="68"/>
      <c r="G64" s="70"/>
      <c r="H64" s="70"/>
      <c r="I64" s="71"/>
      <c r="J64" s="71"/>
      <c r="K64" s="72"/>
      <c r="L64" s="68"/>
      <c r="M64" s="68"/>
      <c r="N64" s="73" t="s">
        <v>213</v>
      </c>
      <c r="O64" s="73" t="s">
        <v>213</v>
      </c>
      <c r="P64" s="73" t="s">
        <v>213</v>
      </c>
      <c r="Q64" s="73" t="s">
        <v>213</v>
      </c>
      <c r="R64" s="73" t="s">
        <v>213</v>
      </c>
      <c r="S64" s="73" t="s">
        <v>213</v>
      </c>
      <c r="T64" s="74" t="s">
        <v>213</v>
      </c>
      <c r="U64" s="75" t="s">
        <v>213</v>
      </c>
      <c r="V64" s="76" t="s">
        <v>213</v>
      </c>
      <c r="W64" s="77" t="s">
        <v>213</v>
      </c>
      <c r="X64" s="76" t="s">
        <v>213</v>
      </c>
      <c r="Y64" s="74" t="s">
        <v>213</v>
      </c>
      <c r="Z64" s="77" t="s">
        <v>213</v>
      </c>
    </row>
    <row r="65" ht="36" customHeight="1">
      <c r="A65" s="68"/>
      <c r="B65" s="69"/>
      <c r="C65" s="69"/>
      <c r="D65" s="68"/>
      <c r="E65" s="68"/>
      <c r="F65" s="68"/>
      <c r="G65" s="70"/>
      <c r="H65" s="70"/>
      <c r="I65" s="71"/>
      <c r="J65" s="71"/>
      <c r="K65" s="72"/>
      <c r="L65" s="68"/>
      <c r="M65" s="68"/>
      <c r="N65" s="73" t="s">
        <v>213</v>
      </c>
      <c r="O65" s="73" t="s">
        <v>213</v>
      </c>
      <c r="P65" s="73" t="s">
        <v>213</v>
      </c>
      <c r="Q65" s="73" t="s">
        <v>213</v>
      </c>
      <c r="R65" s="73" t="s">
        <v>213</v>
      </c>
      <c r="S65" s="73" t="s">
        <v>213</v>
      </c>
      <c r="T65" s="74" t="s">
        <v>213</v>
      </c>
      <c r="U65" s="75" t="s">
        <v>213</v>
      </c>
      <c r="V65" s="76" t="s">
        <v>213</v>
      </c>
      <c r="W65" s="77" t="s">
        <v>213</v>
      </c>
      <c r="X65" s="76" t="s">
        <v>213</v>
      </c>
      <c r="Y65" s="74" t="s">
        <v>213</v>
      </c>
      <c r="Z65" s="77" t="s">
        <v>213</v>
      </c>
    </row>
    <row r="66" ht="36" customHeight="1">
      <c r="A66" s="68"/>
      <c r="B66" s="69"/>
      <c r="C66" s="69"/>
      <c r="D66" s="68"/>
      <c r="E66" s="68"/>
      <c r="F66" s="68"/>
      <c r="G66" s="70"/>
      <c r="H66" s="70"/>
      <c r="I66" s="71"/>
      <c r="J66" s="71"/>
      <c r="K66" s="72"/>
      <c r="L66" s="68"/>
      <c r="M66" s="68"/>
      <c r="N66" s="73" t="s">
        <v>213</v>
      </c>
      <c r="O66" s="73" t="s">
        <v>213</v>
      </c>
      <c r="P66" s="73" t="s">
        <v>213</v>
      </c>
      <c r="Q66" s="73" t="s">
        <v>213</v>
      </c>
      <c r="R66" s="73" t="s">
        <v>213</v>
      </c>
      <c r="S66" s="73" t="s">
        <v>213</v>
      </c>
      <c r="T66" s="74" t="s">
        <v>213</v>
      </c>
      <c r="U66" s="75" t="s">
        <v>213</v>
      </c>
      <c r="V66" s="76" t="s">
        <v>213</v>
      </c>
      <c r="W66" s="77" t="s">
        <v>213</v>
      </c>
      <c r="X66" s="76" t="s">
        <v>213</v>
      </c>
      <c r="Y66" s="74" t="s">
        <v>213</v>
      </c>
      <c r="Z66" s="77" t="s">
        <v>213</v>
      </c>
    </row>
    <row r="67" ht="36" customHeight="1">
      <c r="A67" s="68"/>
      <c r="B67" s="69"/>
      <c r="C67" s="69"/>
      <c r="D67" s="68"/>
      <c r="E67" s="68"/>
      <c r="F67" s="68"/>
      <c r="G67" s="70"/>
      <c r="H67" s="70"/>
      <c r="I67" s="71"/>
      <c r="J67" s="71"/>
      <c r="K67" s="72"/>
      <c r="L67" s="68"/>
      <c r="M67" s="68"/>
      <c r="N67" s="73" t="s">
        <v>213</v>
      </c>
      <c r="O67" s="73" t="s">
        <v>213</v>
      </c>
      <c r="P67" s="73" t="s">
        <v>213</v>
      </c>
      <c r="Q67" s="73" t="s">
        <v>213</v>
      </c>
      <c r="R67" s="73" t="s">
        <v>213</v>
      </c>
      <c r="S67" s="73" t="s">
        <v>213</v>
      </c>
      <c r="T67" s="74" t="s">
        <v>213</v>
      </c>
      <c r="U67" s="75" t="s">
        <v>213</v>
      </c>
      <c r="V67" s="76" t="s">
        <v>213</v>
      </c>
      <c r="W67" s="77" t="s">
        <v>213</v>
      </c>
      <c r="X67" s="76" t="s">
        <v>213</v>
      </c>
      <c r="Y67" s="74" t="s">
        <v>213</v>
      </c>
      <c r="Z67" s="77" t="s">
        <v>213</v>
      </c>
    </row>
    <row r="68" ht="36" customHeight="1">
      <c r="A68" s="68"/>
      <c r="B68" s="69"/>
      <c r="C68" s="69"/>
      <c r="D68" s="68"/>
      <c r="E68" s="68"/>
      <c r="F68" s="68"/>
      <c r="G68" s="70"/>
      <c r="H68" s="70"/>
      <c r="I68" s="71"/>
      <c r="J68" s="71"/>
      <c r="K68" s="72"/>
      <c r="L68" s="68"/>
      <c r="M68" s="68"/>
      <c r="N68" s="73" t="s">
        <v>213</v>
      </c>
      <c r="O68" s="73" t="s">
        <v>213</v>
      </c>
      <c r="P68" s="73" t="s">
        <v>213</v>
      </c>
      <c r="Q68" s="73" t="s">
        <v>213</v>
      </c>
      <c r="R68" s="73" t="s">
        <v>213</v>
      </c>
      <c r="S68" s="73" t="s">
        <v>213</v>
      </c>
      <c r="T68" s="74" t="s">
        <v>213</v>
      </c>
      <c r="U68" s="75" t="s">
        <v>213</v>
      </c>
      <c r="V68" s="76" t="s">
        <v>213</v>
      </c>
      <c r="W68" s="77" t="s">
        <v>213</v>
      </c>
      <c r="X68" s="76" t="s">
        <v>213</v>
      </c>
      <c r="Y68" s="74" t="s">
        <v>213</v>
      </c>
      <c r="Z68" s="77" t="s">
        <v>213</v>
      </c>
    </row>
    <row r="69" ht="36" customHeight="1">
      <c r="A69" s="68"/>
      <c r="B69" s="69"/>
      <c r="C69" s="69"/>
      <c r="D69" s="68"/>
      <c r="E69" s="68"/>
      <c r="F69" s="68"/>
      <c r="G69" s="70"/>
      <c r="H69" s="70"/>
      <c r="I69" s="71"/>
      <c r="J69" s="71"/>
      <c r="K69" s="72"/>
      <c r="L69" s="68"/>
      <c r="M69" s="68"/>
      <c r="N69" s="73" t="s">
        <v>213</v>
      </c>
      <c r="O69" s="73" t="s">
        <v>213</v>
      </c>
      <c r="P69" s="73" t="s">
        <v>213</v>
      </c>
      <c r="Q69" s="73" t="s">
        <v>213</v>
      </c>
      <c r="R69" s="73" t="s">
        <v>213</v>
      </c>
      <c r="S69" s="73" t="s">
        <v>213</v>
      </c>
      <c r="T69" s="74" t="s">
        <v>213</v>
      </c>
      <c r="U69" s="75" t="s">
        <v>213</v>
      </c>
      <c r="V69" s="76" t="s">
        <v>213</v>
      </c>
      <c r="W69" s="77" t="s">
        <v>213</v>
      </c>
      <c r="X69" s="76" t="s">
        <v>213</v>
      </c>
      <c r="Y69" s="74" t="s">
        <v>213</v>
      </c>
      <c r="Z69" s="77" t="s">
        <v>213</v>
      </c>
    </row>
    <row r="70" ht="36" customHeight="1">
      <c r="A70" s="68"/>
      <c r="B70" s="69"/>
      <c r="C70" s="69"/>
      <c r="D70" s="68"/>
      <c r="E70" s="68"/>
      <c r="F70" s="68"/>
      <c r="G70" s="70"/>
      <c r="H70" s="70"/>
      <c r="I70" s="71"/>
      <c r="J70" s="71"/>
      <c r="K70" s="72"/>
      <c r="L70" s="68"/>
      <c r="M70" s="68"/>
      <c r="N70" s="73" t="s">
        <v>213</v>
      </c>
      <c r="O70" s="73" t="s">
        <v>213</v>
      </c>
      <c r="P70" s="73" t="s">
        <v>213</v>
      </c>
      <c r="Q70" s="73" t="s">
        <v>213</v>
      </c>
      <c r="R70" s="73" t="s">
        <v>213</v>
      </c>
      <c r="S70" s="73" t="s">
        <v>213</v>
      </c>
      <c r="T70" s="74" t="s">
        <v>213</v>
      </c>
      <c r="U70" s="75" t="s">
        <v>213</v>
      </c>
      <c r="V70" s="76" t="s">
        <v>213</v>
      </c>
      <c r="W70" s="77" t="s">
        <v>213</v>
      </c>
      <c r="X70" s="76" t="s">
        <v>213</v>
      </c>
      <c r="Y70" s="74" t="s">
        <v>213</v>
      </c>
      <c r="Z70" s="77" t="s">
        <v>213</v>
      </c>
    </row>
    <row r="71" ht="36" customHeight="1">
      <c r="A71" s="68"/>
      <c r="B71" s="69"/>
      <c r="C71" s="69"/>
      <c r="D71" s="68"/>
      <c r="E71" s="68"/>
      <c r="F71" s="68"/>
      <c r="G71" s="70"/>
      <c r="H71" s="70"/>
      <c r="I71" s="71"/>
      <c r="J71" s="71"/>
      <c r="K71" s="72"/>
      <c r="L71" s="68"/>
      <c r="M71" s="68"/>
      <c r="N71" s="73" t="s">
        <v>213</v>
      </c>
      <c r="O71" s="73" t="s">
        <v>213</v>
      </c>
      <c r="P71" s="73" t="s">
        <v>213</v>
      </c>
      <c r="Q71" s="73" t="s">
        <v>213</v>
      </c>
      <c r="R71" s="73" t="s">
        <v>213</v>
      </c>
      <c r="S71" s="73" t="s">
        <v>213</v>
      </c>
      <c r="T71" s="74" t="s">
        <v>213</v>
      </c>
      <c r="U71" s="75" t="s">
        <v>213</v>
      </c>
      <c r="V71" s="76" t="s">
        <v>213</v>
      </c>
      <c r="W71" s="77" t="s">
        <v>213</v>
      </c>
      <c r="X71" s="76" t="s">
        <v>213</v>
      </c>
      <c r="Y71" s="74" t="s">
        <v>213</v>
      </c>
      <c r="Z71" s="77" t="s">
        <v>213</v>
      </c>
    </row>
    <row r="72" ht="36" customHeight="1">
      <c r="A72" s="68"/>
      <c r="B72" s="69"/>
      <c r="C72" s="69"/>
      <c r="D72" s="68"/>
      <c r="E72" s="68"/>
      <c r="F72" s="68"/>
      <c r="G72" s="70"/>
      <c r="H72" s="70"/>
      <c r="I72" s="71"/>
      <c r="J72" s="71"/>
      <c r="K72" s="72"/>
      <c r="L72" s="68"/>
      <c r="M72" s="68"/>
      <c r="N72" s="73" t="s">
        <v>213</v>
      </c>
      <c r="O72" s="73" t="s">
        <v>213</v>
      </c>
      <c r="P72" s="73" t="s">
        <v>213</v>
      </c>
      <c r="Q72" s="73" t="s">
        <v>213</v>
      </c>
      <c r="R72" s="73" t="s">
        <v>213</v>
      </c>
      <c r="S72" s="73" t="s">
        <v>213</v>
      </c>
      <c r="T72" s="74" t="s">
        <v>213</v>
      </c>
      <c r="U72" s="75" t="s">
        <v>213</v>
      </c>
      <c r="V72" s="76" t="s">
        <v>213</v>
      </c>
      <c r="W72" s="77" t="s">
        <v>213</v>
      </c>
      <c r="X72" s="76" t="s">
        <v>213</v>
      </c>
      <c r="Y72" s="74" t="s">
        <v>213</v>
      </c>
      <c r="Z72" s="77" t="s">
        <v>213</v>
      </c>
    </row>
    <row r="73" ht="36" customHeight="1">
      <c r="A73" s="68"/>
      <c r="B73" s="69"/>
      <c r="C73" s="69"/>
      <c r="D73" s="68"/>
      <c r="E73" s="68"/>
      <c r="F73" s="68"/>
      <c r="G73" s="70"/>
      <c r="H73" s="70"/>
      <c r="I73" s="71"/>
      <c r="J73" s="71"/>
      <c r="K73" s="72"/>
      <c r="L73" s="68"/>
      <c r="M73" s="68"/>
      <c r="N73" s="73" t="s">
        <v>213</v>
      </c>
      <c r="O73" s="73" t="s">
        <v>213</v>
      </c>
      <c r="P73" s="73" t="s">
        <v>213</v>
      </c>
      <c r="Q73" s="73" t="s">
        <v>213</v>
      </c>
      <c r="R73" s="73" t="s">
        <v>213</v>
      </c>
      <c r="S73" s="73" t="s">
        <v>213</v>
      </c>
      <c r="T73" s="74" t="s">
        <v>213</v>
      </c>
      <c r="U73" s="75" t="s">
        <v>213</v>
      </c>
      <c r="V73" s="76" t="s">
        <v>213</v>
      </c>
      <c r="W73" s="77" t="s">
        <v>213</v>
      </c>
      <c r="X73" s="76" t="s">
        <v>213</v>
      </c>
      <c r="Y73" s="74" t="s">
        <v>213</v>
      </c>
      <c r="Z73" s="77" t="s">
        <v>213</v>
      </c>
    </row>
    <row r="74" ht="36" customHeight="1">
      <c r="A74" s="68"/>
      <c r="B74" s="69"/>
      <c r="C74" s="69"/>
      <c r="D74" s="68"/>
      <c r="E74" s="68"/>
      <c r="F74" s="68"/>
      <c r="G74" s="70"/>
      <c r="H74" s="70"/>
      <c r="I74" s="71"/>
      <c r="J74" s="71"/>
      <c r="K74" s="72"/>
      <c r="L74" s="68"/>
      <c r="M74" s="68"/>
      <c r="N74" s="73" t="s">
        <v>213</v>
      </c>
      <c r="O74" s="73" t="s">
        <v>213</v>
      </c>
      <c r="P74" s="73" t="s">
        <v>213</v>
      </c>
      <c r="Q74" s="73" t="s">
        <v>213</v>
      </c>
      <c r="R74" s="73" t="s">
        <v>213</v>
      </c>
      <c r="S74" s="73" t="s">
        <v>213</v>
      </c>
      <c r="T74" s="74" t="s">
        <v>213</v>
      </c>
      <c r="U74" s="75" t="s">
        <v>213</v>
      </c>
      <c r="V74" s="76" t="s">
        <v>213</v>
      </c>
      <c r="W74" s="77" t="s">
        <v>213</v>
      </c>
      <c r="X74" s="76" t="s">
        <v>213</v>
      </c>
      <c r="Y74" s="74" t="s">
        <v>213</v>
      </c>
      <c r="Z74" s="77" t="s">
        <v>213</v>
      </c>
    </row>
    <row r="75" ht="36" customHeight="1">
      <c r="A75" s="68"/>
      <c r="B75" s="69"/>
      <c r="C75" s="69"/>
      <c r="D75" s="68"/>
      <c r="E75" s="68"/>
      <c r="F75" s="68"/>
      <c r="G75" s="70"/>
      <c r="H75" s="70"/>
      <c r="I75" s="71"/>
      <c r="J75" s="71"/>
      <c r="K75" s="72"/>
      <c r="L75" s="68"/>
      <c r="M75" s="68"/>
      <c r="N75" s="73" t="s">
        <v>213</v>
      </c>
      <c r="O75" s="73" t="s">
        <v>213</v>
      </c>
      <c r="P75" s="73" t="s">
        <v>213</v>
      </c>
      <c r="Q75" s="73" t="s">
        <v>213</v>
      </c>
      <c r="R75" s="73" t="s">
        <v>213</v>
      </c>
      <c r="S75" s="73" t="s">
        <v>213</v>
      </c>
      <c r="T75" s="74" t="s">
        <v>213</v>
      </c>
      <c r="U75" s="75" t="s">
        <v>213</v>
      </c>
      <c r="V75" s="76" t="s">
        <v>213</v>
      </c>
      <c r="W75" s="77" t="s">
        <v>213</v>
      </c>
      <c r="X75" s="76" t="s">
        <v>213</v>
      </c>
      <c r="Y75" s="74" t="s">
        <v>213</v>
      </c>
      <c r="Z75" s="77" t="s">
        <v>213</v>
      </c>
    </row>
    <row r="76" ht="36" customHeight="1">
      <c r="A76" s="68"/>
      <c r="B76" s="69"/>
      <c r="C76" s="69"/>
      <c r="D76" s="68"/>
      <c r="E76" s="68"/>
      <c r="F76" s="68"/>
      <c r="G76" s="70"/>
      <c r="H76" s="70"/>
      <c r="I76" s="71"/>
      <c r="J76" s="71"/>
      <c r="K76" s="72"/>
      <c r="L76" s="68"/>
      <c r="M76" s="68"/>
      <c r="N76" s="73" t="s">
        <v>213</v>
      </c>
      <c r="O76" s="73" t="s">
        <v>213</v>
      </c>
      <c r="P76" s="73" t="s">
        <v>213</v>
      </c>
      <c r="Q76" s="73" t="s">
        <v>213</v>
      </c>
      <c r="R76" s="73" t="s">
        <v>213</v>
      </c>
      <c r="S76" s="73" t="s">
        <v>213</v>
      </c>
      <c r="T76" s="74" t="s">
        <v>213</v>
      </c>
      <c r="U76" s="75" t="s">
        <v>213</v>
      </c>
      <c r="V76" s="76" t="s">
        <v>213</v>
      </c>
      <c r="W76" s="77" t="s">
        <v>213</v>
      </c>
      <c r="X76" s="76" t="s">
        <v>213</v>
      </c>
      <c r="Y76" s="74" t="s">
        <v>213</v>
      </c>
      <c r="Z76" s="77" t="s">
        <v>213</v>
      </c>
    </row>
    <row r="77" ht="36" customHeight="1">
      <c r="A77" s="68"/>
      <c r="B77" s="69"/>
      <c r="C77" s="69"/>
      <c r="D77" s="68"/>
      <c r="E77" s="68"/>
      <c r="F77" s="68"/>
      <c r="G77" s="70"/>
      <c r="H77" s="70"/>
      <c r="I77" s="71"/>
      <c r="J77" s="71"/>
      <c r="K77" s="72"/>
      <c r="L77" s="68"/>
      <c r="M77" s="68"/>
      <c r="N77" s="73" t="s">
        <v>213</v>
      </c>
      <c r="O77" s="73" t="s">
        <v>213</v>
      </c>
      <c r="P77" s="73" t="s">
        <v>213</v>
      </c>
      <c r="Q77" s="73" t="s">
        <v>213</v>
      </c>
      <c r="R77" s="73" t="s">
        <v>213</v>
      </c>
      <c r="S77" s="73" t="s">
        <v>213</v>
      </c>
      <c r="T77" s="74" t="s">
        <v>213</v>
      </c>
      <c r="U77" s="75" t="s">
        <v>213</v>
      </c>
      <c r="V77" s="76" t="s">
        <v>213</v>
      </c>
      <c r="W77" s="77" t="s">
        <v>213</v>
      </c>
      <c r="X77" s="76" t="s">
        <v>213</v>
      </c>
      <c r="Y77" s="74" t="s">
        <v>213</v>
      </c>
      <c r="Z77" s="77" t="s">
        <v>213</v>
      </c>
    </row>
    <row r="78" ht="36" customHeight="1">
      <c r="A78" s="68"/>
      <c r="B78" s="69"/>
      <c r="C78" s="69"/>
      <c r="D78" s="68"/>
      <c r="E78" s="68"/>
      <c r="F78" s="68"/>
      <c r="G78" s="70"/>
      <c r="H78" s="70"/>
      <c r="I78" s="71"/>
      <c r="J78" s="71"/>
      <c r="K78" s="72"/>
      <c r="L78" s="68"/>
      <c r="M78" s="68"/>
      <c r="N78" s="73" t="s">
        <v>213</v>
      </c>
      <c r="O78" s="73" t="s">
        <v>213</v>
      </c>
      <c r="P78" s="73" t="s">
        <v>213</v>
      </c>
      <c r="Q78" s="73" t="s">
        <v>213</v>
      </c>
      <c r="R78" s="73" t="s">
        <v>213</v>
      </c>
      <c r="S78" s="73" t="s">
        <v>213</v>
      </c>
      <c r="T78" s="74" t="s">
        <v>213</v>
      </c>
      <c r="U78" s="75" t="s">
        <v>213</v>
      </c>
      <c r="V78" s="76" t="s">
        <v>213</v>
      </c>
      <c r="W78" s="77" t="s">
        <v>213</v>
      </c>
      <c r="X78" s="76" t="s">
        <v>213</v>
      </c>
      <c r="Y78" s="74" t="s">
        <v>213</v>
      </c>
      <c r="Z78" s="77" t="s">
        <v>213</v>
      </c>
    </row>
    <row r="79" ht="36" customHeight="1">
      <c r="A79" s="68"/>
      <c r="B79" s="69"/>
      <c r="C79" s="69"/>
      <c r="D79" s="68"/>
      <c r="E79" s="68"/>
      <c r="F79" s="68"/>
      <c r="G79" s="70"/>
      <c r="H79" s="70"/>
      <c r="I79" s="71"/>
      <c r="J79" s="71"/>
      <c r="K79" s="72"/>
      <c r="L79" s="68"/>
      <c r="M79" s="68"/>
      <c r="N79" s="73" t="s">
        <v>213</v>
      </c>
      <c r="O79" s="73" t="s">
        <v>213</v>
      </c>
      <c r="P79" s="73" t="s">
        <v>213</v>
      </c>
      <c r="Q79" s="73" t="s">
        <v>213</v>
      </c>
      <c r="R79" s="73" t="s">
        <v>213</v>
      </c>
      <c r="S79" s="73" t="s">
        <v>213</v>
      </c>
      <c r="T79" s="74" t="s">
        <v>213</v>
      </c>
      <c r="U79" s="75" t="s">
        <v>213</v>
      </c>
      <c r="V79" s="76" t="s">
        <v>213</v>
      </c>
      <c r="W79" s="77" t="s">
        <v>213</v>
      </c>
      <c r="X79" s="76" t="s">
        <v>213</v>
      </c>
      <c r="Y79" s="74" t="s">
        <v>213</v>
      </c>
      <c r="Z79" s="77" t="s">
        <v>213</v>
      </c>
    </row>
    <row r="80" ht="36" customHeight="1">
      <c r="A80" s="68"/>
      <c r="B80" s="69"/>
      <c r="C80" s="69"/>
      <c r="D80" s="68"/>
      <c r="E80" s="68"/>
      <c r="F80" s="68"/>
      <c r="G80" s="70"/>
      <c r="H80" s="70"/>
      <c r="I80" s="71"/>
      <c r="J80" s="71"/>
      <c r="K80" s="72"/>
      <c r="L80" s="68"/>
      <c r="M80" s="68"/>
      <c r="N80" s="73" t="s">
        <v>213</v>
      </c>
      <c r="O80" s="73" t="s">
        <v>213</v>
      </c>
      <c r="P80" s="73" t="s">
        <v>213</v>
      </c>
      <c r="Q80" s="73" t="s">
        <v>213</v>
      </c>
      <c r="R80" s="73" t="s">
        <v>213</v>
      </c>
      <c r="S80" s="73" t="s">
        <v>213</v>
      </c>
      <c r="T80" s="74" t="s">
        <v>213</v>
      </c>
      <c r="U80" s="75" t="s">
        <v>213</v>
      </c>
      <c r="V80" s="76" t="s">
        <v>213</v>
      </c>
      <c r="W80" s="77" t="s">
        <v>213</v>
      </c>
      <c r="X80" s="76" t="s">
        <v>213</v>
      </c>
      <c r="Y80" s="74" t="s">
        <v>213</v>
      </c>
      <c r="Z80" s="77" t="s">
        <v>213</v>
      </c>
    </row>
    <row r="81" ht="36" customHeight="1">
      <c r="A81" s="68"/>
      <c r="B81" s="69"/>
      <c r="C81" s="69"/>
      <c r="D81" s="68"/>
      <c r="E81" s="68"/>
      <c r="F81" s="68"/>
      <c r="G81" s="70"/>
      <c r="H81" s="70"/>
      <c r="I81" s="71"/>
      <c r="J81" s="71"/>
      <c r="K81" s="72"/>
      <c r="L81" s="68"/>
      <c r="M81" s="68"/>
      <c r="N81" s="73" t="s">
        <v>213</v>
      </c>
      <c r="O81" s="73" t="s">
        <v>213</v>
      </c>
      <c r="P81" s="73" t="s">
        <v>213</v>
      </c>
      <c r="Q81" s="73" t="s">
        <v>213</v>
      </c>
      <c r="R81" s="73" t="s">
        <v>213</v>
      </c>
      <c r="S81" s="73" t="s">
        <v>213</v>
      </c>
      <c r="T81" s="74" t="s">
        <v>213</v>
      </c>
      <c r="U81" s="75" t="s">
        <v>213</v>
      </c>
      <c r="V81" s="76" t="s">
        <v>213</v>
      </c>
      <c r="W81" s="77" t="s">
        <v>213</v>
      </c>
      <c r="X81" s="76" t="s">
        <v>213</v>
      </c>
      <c r="Y81" s="74" t="s">
        <v>213</v>
      </c>
      <c r="Z81" s="77" t="s">
        <v>213</v>
      </c>
    </row>
    <row r="82" ht="36" customHeight="1">
      <c r="A82" s="68"/>
      <c r="B82" s="69"/>
      <c r="C82" s="69"/>
      <c r="D82" s="68"/>
      <c r="E82" s="68"/>
      <c r="F82" s="68"/>
      <c r="G82" s="70"/>
      <c r="H82" s="70"/>
      <c r="I82" s="71"/>
      <c r="J82" s="71"/>
      <c r="K82" s="72"/>
      <c r="L82" s="68"/>
      <c r="M82" s="68"/>
      <c r="N82" s="73" t="s">
        <v>213</v>
      </c>
      <c r="O82" s="73" t="s">
        <v>213</v>
      </c>
      <c r="P82" s="73" t="s">
        <v>213</v>
      </c>
      <c r="Q82" s="73" t="s">
        <v>213</v>
      </c>
      <c r="R82" s="73" t="s">
        <v>213</v>
      </c>
      <c r="S82" s="73" t="s">
        <v>213</v>
      </c>
      <c r="T82" s="74" t="s">
        <v>213</v>
      </c>
      <c r="U82" s="75" t="s">
        <v>213</v>
      </c>
      <c r="V82" s="76" t="s">
        <v>213</v>
      </c>
      <c r="W82" s="77" t="s">
        <v>213</v>
      </c>
      <c r="X82" s="76" t="s">
        <v>213</v>
      </c>
      <c r="Y82" s="74" t="s">
        <v>213</v>
      </c>
      <c r="Z82" s="77" t="s">
        <v>213</v>
      </c>
    </row>
    <row r="83" ht="36" customHeight="1">
      <c r="A83" s="68"/>
      <c r="B83" s="69"/>
      <c r="C83" s="69"/>
      <c r="D83" s="68"/>
      <c r="E83" s="68"/>
      <c r="F83" s="68"/>
      <c r="G83" s="70"/>
      <c r="H83" s="70"/>
      <c r="I83" s="71"/>
      <c r="J83" s="71"/>
      <c r="K83" s="72"/>
      <c r="L83" s="68"/>
      <c r="M83" s="68"/>
      <c r="N83" s="73" t="s">
        <v>213</v>
      </c>
      <c r="O83" s="73" t="s">
        <v>213</v>
      </c>
      <c r="P83" s="73" t="s">
        <v>213</v>
      </c>
      <c r="Q83" s="73" t="s">
        <v>213</v>
      </c>
      <c r="R83" s="73" t="s">
        <v>213</v>
      </c>
      <c r="S83" s="73" t="s">
        <v>213</v>
      </c>
      <c r="T83" s="74" t="s">
        <v>213</v>
      </c>
      <c r="U83" s="75" t="s">
        <v>213</v>
      </c>
      <c r="V83" s="76" t="s">
        <v>213</v>
      </c>
      <c r="W83" s="77" t="s">
        <v>213</v>
      </c>
      <c r="X83" s="76" t="s">
        <v>213</v>
      </c>
      <c r="Y83" s="74" t="s">
        <v>213</v>
      </c>
      <c r="Z83" s="77" t="s">
        <v>213</v>
      </c>
    </row>
    <row r="84" ht="36" customHeight="1">
      <c r="A84" s="68"/>
      <c r="B84" s="69"/>
      <c r="C84" s="69"/>
      <c r="D84" s="68"/>
      <c r="E84" s="68"/>
      <c r="F84" s="68"/>
      <c r="G84" s="70"/>
      <c r="H84" s="70"/>
      <c r="I84" s="71"/>
      <c r="J84" s="71"/>
      <c r="K84" s="72"/>
      <c r="L84" s="68"/>
      <c r="M84" s="68"/>
      <c r="N84" s="73" t="s">
        <v>213</v>
      </c>
      <c r="O84" s="73" t="s">
        <v>213</v>
      </c>
      <c r="P84" s="73" t="s">
        <v>213</v>
      </c>
      <c r="Q84" s="73" t="s">
        <v>213</v>
      </c>
      <c r="R84" s="73" t="s">
        <v>213</v>
      </c>
      <c r="S84" s="73" t="s">
        <v>213</v>
      </c>
      <c r="T84" s="74" t="s">
        <v>213</v>
      </c>
      <c r="U84" s="75" t="s">
        <v>213</v>
      </c>
      <c r="V84" s="76" t="s">
        <v>213</v>
      </c>
      <c r="W84" s="77" t="s">
        <v>213</v>
      </c>
      <c r="X84" s="76" t="s">
        <v>213</v>
      </c>
      <c r="Y84" s="74" t="s">
        <v>213</v>
      </c>
      <c r="Z84" s="77" t="s">
        <v>213</v>
      </c>
    </row>
    <row r="85" ht="36" customHeight="1">
      <c r="A85" s="68"/>
      <c r="B85" s="69"/>
      <c r="C85" s="69"/>
      <c r="D85" s="68"/>
      <c r="E85" s="68"/>
      <c r="F85" s="68"/>
      <c r="G85" s="70"/>
      <c r="H85" s="70"/>
      <c r="I85" s="71"/>
      <c r="J85" s="71"/>
      <c r="K85" s="72"/>
      <c r="L85" s="68"/>
      <c r="M85" s="68"/>
      <c r="N85" s="73" t="s">
        <v>213</v>
      </c>
      <c r="O85" s="73" t="s">
        <v>213</v>
      </c>
      <c r="P85" s="73" t="s">
        <v>213</v>
      </c>
      <c r="Q85" s="73" t="s">
        <v>213</v>
      </c>
      <c r="R85" s="73" t="s">
        <v>213</v>
      </c>
      <c r="S85" s="73" t="s">
        <v>213</v>
      </c>
      <c r="T85" s="74" t="s">
        <v>213</v>
      </c>
      <c r="U85" s="75" t="s">
        <v>213</v>
      </c>
      <c r="V85" s="76" t="s">
        <v>213</v>
      </c>
      <c r="W85" s="77" t="s">
        <v>213</v>
      </c>
      <c r="X85" s="76" t="s">
        <v>213</v>
      </c>
      <c r="Y85" s="74" t="s">
        <v>213</v>
      </c>
      <c r="Z85" s="77" t="s">
        <v>213</v>
      </c>
    </row>
    <row r="86" ht="36" customHeight="1">
      <c r="A86" s="68"/>
      <c r="B86" s="69"/>
      <c r="C86" s="69"/>
      <c r="D86" s="68"/>
      <c r="E86" s="68"/>
      <c r="F86" s="68"/>
      <c r="G86" s="70"/>
      <c r="H86" s="70"/>
      <c r="I86" s="71"/>
      <c r="J86" s="71"/>
      <c r="K86" s="72"/>
      <c r="L86" s="68"/>
      <c r="M86" s="68"/>
      <c r="N86" s="73" t="s">
        <v>213</v>
      </c>
      <c r="O86" s="73" t="s">
        <v>213</v>
      </c>
      <c r="P86" s="73" t="s">
        <v>213</v>
      </c>
      <c r="Q86" s="73" t="s">
        <v>213</v>
      </c>
      <c r="R86" s="73" t="s">
        <v>213</v>
      </c>
      <c r="S86" s="73" t="s">
        <v>213</v>
      </c>
      <c r="T86" s="74" t="s">
        <v>213</v>
      </c>
      <c r="U86" s="75" t="s">
        <v>213</v>
      </c>
      <c r="V86" s="76" t="s">
        <v>213</v>
      </c>
      <c r="W86" s="77" t="s">
        <v>213</v>
      </c>
      <c r="X86" s="76" t="s">
        <v>213</v>
      </c>
      <c r="Y86" s="74" t="s">
        <v>213</v>
      </c>
      <c r="Z86" s="77" t="s">
        <v>213</v>
      </c>
    </row>
    <row r="87" ht="36" customHeight="1">
      <c r="A87" s="68"/>
      <c r="B87" s="69"/>
      <c r="C87" s="69"/>
      <c r="D87" s="68"/>
      <c r="E87" s="68"/>
      <c r="F87" s="68"/>
      <c r="G87" s="70"/>
      <c r="H87" s="70"/>
      <c r="I87" s="71"/>
      <c r="J87" s="71"/>
      <c r="K87" s="72"/>
      <c r="L87" s="68"/>
      <c r="M87" s="68"/>
      <c r="N87" s="73" t="s">
        <v>213</v>
      </c>
      <c r="O87" s="73" t="s">
        <v>213</v>
      </c>
      <c r="P87" s="73" t="s">
        <v>213</v>
      </c>
      <c r="Q87" s="73" t="s">
        <v>213</v>
      </c>
      <c r="R87" s="73" t="s">
        <v>213</v>
      </c>
      <c r="S87" s="73" t="s">
        <v>213</v>
      </c>
      <c r="T87" s="74" t="s">
        <v>213</v>
      </c>
      <c r="U87" s="75" t="s">
        <v>213</v>
      </c>
      <c r="V87" s="76" t="s">
        <v>213</v>
      </c>
      <c r="W87" s="77" t="s">
        <v>213</v>
      </c>
      <c r="X87" s="76" t="s">
        <v>213</v>
      </c>
      <c r="Y87" s="74" t="s">
        <v>213</v>
      </c>
      <c r="Z87" s="77" t="s">
        <v>213</v>
      </c>
    </row>
    <row r="88" ht="36" customHeight="1">
      <c r="A88" s="68"/>
      <c r="B88" s="69"/>
      <c r="C88" s="69"/>
      <c r="D88" s="68"/>
      <c r="E88" s="68"/>
      <c r="F88" s="68"/>
      <c r="G88" s="70"/>
      <c r="H88" s="70"/>
      <c r="I88" s="71"/>
      <c r="J88" s="71"/>
      <c r="K88" s="72"/>
      <c r="L88" s="68"/>
      <c r="M88" s="68"/>
      <c r="N88" s="73" t="s">
        <v>213</v>
      </c>
      <c r="O88" s="73" t="s">
        <v>213</v>
      </c>
      <c r="P88" s="73" t="s">
        <v>213</v>
      </c>
      <c r="Q88" s="73" t="s">
        <v>213</v>
      </c>
      <c r="R88" s="73" t="s">
        <v>213</v>
      </c>
      <c r="S88" s="73" t="s">
        <v>213</v>
      </c>
      <c r="T88" s="74" t="s">
        <v>213</v>
      </c>
      <c r="U88" s="75" t="s">
        <v>213</v>
      </c>
      <c r="V88" s="76" t="s">
        <v>213</v>
      </c>
      <c r="W88" s="77" t="s">
        <v>213</v>
      </c>
      <c r="X88" s="76" t="s">
        <v>213</v>
      </c>
      <c r="Y88" s="74" t="s">
        <v>213</v>
      </c>
      <c r="Z88" s="77" t="s">
        <v>213</v>
      </c>
    </row>
    <row r="89" ht="36" customHeight="1">
      <c r="A89" s="68"/>
      <c r="B89" s="69"/>
      <c r="C89" s="69"/>
      <c r="D89" s="68"/>
      <c r="E89" s="68"/>
      <c r="F89" s="68"/>
      <c r="G89" s="70"/>
      <c r="H89" s="70"/>
      <c r="I89" s="71"/>
      <c r="J89" s="71"/>
      <c r="K89" s="72"/>
      <c r="L89" s="68"/>
      <c r="M89" s="68"/>
      <c r="N89" s="73" t="s">
        <v>213</v>
      </c>
      <c r="O89" s="73" t="s">
        <v>213</v>
      </c>
      <c r="P89" s="73" t="s">
        <v>213</v>
      </c>
      <c r="Q89" s="73" t="s">
        <v>213</v>
      </c>
      <c r="R89" s="73" t="s">
        <v>213</v>
      </c>
      <c r="S89" s="73" t="s">
        <v>213</v>
      </c>
      <c r="T89" s="74" t="s">
        <v>213</v>
      </c>
      <c r="U89" s="75" t="s">
        <v>213</v>
      </c>
      <c r="V89" s="76" t="s">
        <v>213</v>
      </c>
      <c r="W89" s="77" t="s">
        <v>213</v>
      </c>
      <c r="X89" s="76" t="s">
        <v>213</v>
      </c>
      <c r="Y89" s="74" t="s">
        <v>213</v>
      </c>
      <c r="Z89" s="77" t="s">
        <v>213</v>
      </c>
    </row>
    <row r="90" ht="36" customHeight="1">
      <c r="A90" s="68"/>
      <c r="B90" s="69"/>
      <c r="C90" s="69"/>
      <c r="D90" s="68"/>
      <c r="E90" s="68"/>
      <c r="F90" s="68"/>
      <c r="G90" s="70"/>
      <c r="H90" s="70"/>
      <c r="I90" s="71"/>
      <c r="J90" s="71"/>
      <c r="K90" s="72"/>
      <c r="L90" s="68"/>
      <c r="M90" s="68"/>
      <c r="N90" s="73" t="s">
        <v>213</v>
      </c>
      <c r="O90" s="73" t="s">
        <v>213</v>
      </c>
      <c r="P90" s="73" t="s">
        <v>213</v>
      </c>
      <c r="Q90" s="73" t="s">
        <v>213</v>
      </c>
      <c r="R90" s="73" t="s">
        <v>213</v>
      </c>
      <c r="S90" s="73" t="s">
        <v>213</v>
      </c>
      <c r="T90" s="74" t="s">
        <v>213</v>
      </c>
      <c r="U90" s="75" t="s">
        <v>213</v>
      </c>
      <c r="V90" s="76" t="s">
        <v>213</v>
      </c>
      <c r="W90" s="77" t="s">
        <v>213</v>
      </c>
      <c r="X90" s="76" t="s">
        <v>213</v>
      </c>
      <c r="Y90" s="74" t="s">
        <v>213</v>
      </c>
      <c r="Z90" s="77" t="s">
        <v>213</v>
      </c>
    </row>
    <row r="91" ht="36" customHeight="1">
      <c r="A91" s="68"/>
      <c r="B91" s="69"/>
      <c r="C91" s="69"/>
      <c r="D91" s="68"/>
      <c r="E91" s="68"/>
      <c r="F91" s="68"/>
      <c r="G91" s="70"/>
      <c r="H91" s="70"/>
      <c r="I91" s="71"/>
      <c r="J91" s="71"/>
      <c r="K91" s="72"/>
      <c r="L91" s="68"/>
      <c r="M91" s="68"/>
      <c r="N91" s="73" t="s">
        <v>213</v>
      </c>
      <c r="O91" s="73" t="s">
        <v>213</v>
      </c>
      <c r="P91" s="73" t="s">
        <v>213</v>
      </c>
      <c r="Q91" s="73" t="s">
        <v>213</v>
      </c>
      <c r="R91" s="73" t="s">
        <v>213</v>
      </c>
      <c r="S91" s="73" t="s">
        <v>213</v>
      </c>
      <c r="T91" s="74" t="s">
        <v>213</v>
      </c>
      <c r="U91" s="75" t="s">
        <v>213</v>
      </c>
      <c r="V91" s="76" t="s">
        <v>213</v>
      </c>
      <c r="W91" s="77" t="s">
        <v>213</v>
      </c>
      <c r="X91" s="76" t="s">
        <v>213</v>
      </c>
      <c r="Y91" s="74" t="s">
        <v>213</v>
      </c>
      <c r="Z91" s="77" t="s">
        <v>213</v>
      </c>
    </row>
    <row r="92" ht="36" customHeight="1">
      <c r="A92" s="68"/>
      <c r="B92" s="69"/>
      <c r="C92" s="69"/>
      <c r="D92" s="68"/>
      <c r="E92" s="68"/>
      <c r="F92" s="68"/>
      <c r="G92" s="70"/>
      <c r="H92" s="70"/>
      <c r="I92" s="71"/>
      <c r="J92" s="71"/>
      <c r="K92" s="72"/>
      <c r="L92" s="68"/>
      <c r="M92" s="68"/>
      <c r="N92" s="73" t="s">
        <v>213</v>
      </c>
      <c r="O92" s="73" t="s">
        <v>213</v>
      </c>
      <c r="P92" s="73" t="s">
        <v>213</v>
      </c>
      <c r="Q92" s="73" t="s">
        <v>213</v>
      </c>
      <c r="R92" s="73" t="s">
        <v>213</v>
      </c>
      <c r="S92" s="73" t="s">
        <v>213</v>
      </c>
      <c r="T92" s="74" t="s">
        <v>213</v>
      </c>
      <c r="U92" s="75" t="s">
        <v>213</v>
      </c>
      <c r="V92" s="76" t="s">
        <v>213</v>
      </c>
      <c r="W92" s="77" t="s">
        <v>213</v>
      </c>
      <c r="X92" s="76" t="s">
        <v>213</v>
      </c>
      <c r="Y92" s="74" t="s">
        <v>213</v>
      </c>
      <c r="Z92" s="77" t="s">
        <v>213</v>
      </c>
    </row>
    <row r="93" ht="36" customHeight="1">
      <c r="A93" s="68"/>
      <c r="B93" s="69"/>
      <c r="C93" s="69"/>
      <c r="D93" s="68"/>
      <c r="E93" s="68"/>
      <c r="F93" s="68"/>
      <c r="G93" s="70"/>
      <c r="H93" s="70"/>
      <c r="I93" s="71"/>
      <c r="J93" s="71"/>
      <c r="K93" s="72"/>
      <c r="L93" s="68"/>
      <c r="M93" s="68"/>
      <c r="N93" s="73" t="s">
        <v>213</v>
      </c>
      <c r="O93" s="73" t="s">
        <v>213</v>
      </c>
      <c r="P93" s="73" t="s">
        <v>213</v>
      </c>
      <c r="Q93" s="73" t="s">
        <v>213</v>
      </c>
      <c r="R93" s="73" t="s">
        <v>213</v>
      </c>
      <c r="S93" s="73" t="s">
        <v>213</v>
      </c>
      <c r="T93" s="74" t="s">
        <v>213</v>
      </c>
      <c r="U93" s="75" t="s">
        <v>213</v>
      </c>
      <c r="V93" s="76" t="s">
        <v>213</v>
      </c>
      <c r="W93" s="77" t="s">
        <v>213</v>
      </c>
      <c r="X93" s="76" t="s">
        <v>213</v>
      </c>
      <c r="Y93" s="74" t="s">
        <v>213</v>
      </c>
      <c r="Z93" s="77" t="s">
        <v>213</v>
      </c>
    </row>
    <row r="94" ht="36" customHeight="1">
      <c r="A94" s="68"/>
      <c r="B94" s="69"/>
      <c r="C94" s="69"/>
      <c r="D94" s="68"/>
      <c r="E94" s="68"/>
      <c r="F94" s="68"/>
      <c r="G94" s="70"/>
      <c r="H94" s="70"/>
      <c r="I94" s="71"/>
      <c r="J94" s="71"/>
      <c r="K94" s="72"/>
      <c r="L94" s="68"/>
      <c r="M94" s="68"/>
      <c r="N94" s="73" t="s">
        <v>213</v>
      </c>
      <c r="O94" s="73" t="s">
        <v>213</v>
      </c>
      <c r="P94" s="73" t="s">
        <v>213</v>
      </c>
      <c r="Q94" s="73" t="s">
        <v>213</v>
      </c>
      <c r="R94" s="73" t="s">
        <v>213</v>
      </c>
      <c r="S94" s="73" t="s">
        <v>213</v>
      </c>
      <c r="T94" s="74" t="s">
        <v>213</v>
      </c>
      <c r="U94" s="75" t="s">
        <v>213</v>
      </c>
      <c r="V94" s="76" t="s">
        <v>213</v>
      </c>
      <c r="W94" s="77" t="s">
        <v>213</v>
      </c>
      <c r="X94" s="76" t="s">
        <v>213</v>
      </c>
      <c r="Y94" s="74" t="s">
        <v>213</v>
      </c>
      <c r="Z94" s="77" t="s">
        <v>213</v>
      </c>
    </row>
    <row r="95" ht="36" customHeight="1">
      <c r="A95" s="68"/>
      <c r="B95" s="69"/>
      <c r="C95" s="69"/>
      <c r="D95" s="68"/>
      <c r="E95" s="68"/>
      <c r="F95" s="68"/>
      <c r="G95" s="70"/>
      <c r="H95" s="70"/>
      <c r="I95" s="71"/>
      <c r="J95" s="71"/>
      <c r="K95" s="72"/>
      <c r="L95" s="68"/>
      <c r="M95" s="68"/>
      <c r="N95" s="73" t="s">
        <v>213</v>
      </c>
      <c r="O95" s="73" t="s">
        <v>213</v>
      </c>
      <c r="P95" s="73" t="s">
        <v>213</v>
      </c>
      <c r="Q95" s="73" t="s">
        <v>213</v>
      </c>
      <c r="R95" s="73" t="s">
        <v>213</v>
      </c>
      <c r="S95" s="73" t="s">
        <v>213</v>
      </c>
      <c r="T95" s="74" t="s">
        <v>213</v>
      </c>
      <c r="U95" s="75" t="s">
        <v>213</v>
      </c>
      <c r="V95" s="76" t="s">
        <v>213</v>
      </c>
      <c r="W95" s="77" t="s">
        <v>213</v>
      </c>
      <c r="X95" s="76" t="s">
        <v>213</v>
      </c>
      <c r="Y95" s="74" t="s">
        <v>213</v>
      </c>
      <c r="Z95" s="77" t="s">
        <v>213</v>
      </c>
    </row>
    <row r="96" ht="36" customHeight="1">
      <c r="A96" s="68"/>
      <c r="B96" s="69"/>
      <c r="C96" s="69"/>
      <c r="D96" s="68"/>
      <c r="E96" s="68"/>
      <c r="F96" s="68"/>
      <c r="G96" s="70"/>
      <c r="H96" s="70"/>
      <c r="I96" s="71"/>
      <c r="J96" s="71"/>
      <c r="K96" s="72"/>
      <c r="L96" s="68"/>
      <c r="M96" s="68"/>
      <c r="N96" s="73" t="s">
        <v>213</v>
      </c>
      <c r="O96" s="73" t="s">
        <v>213</v>
      </c>
      <c r="P96" s="73" t="s">
        <v>213</v>
      </c>
      <c r="Q96" s="73" t="s">
        <v>213</v>
      </c>
      <c r="R96" s="73" t="s">
        <v>213</v>
      </c>
      <c r="S96" s="73" t="s">
        <v>213</v>
      </c>
      <c r="T96" s="74" t="s">
        <v>213</v>
      </c>
      <c r="U96" s="75" t="s">
        <v>213</v>
      </c>
      <c r="V96" s="76" t="s">
        <v>213</v>
      </c>
      <c r="W96" s="77" t="s">
        <v>213</v>
      </c>
      <c r="X96" s="76" t="s">
        <v>213</v>
      </c>
      <c r="Y96" s="74" t="s">
        <v>213</v>
      </c>
      <c r="Z96" s="77" t="s">
        <v>213</v>
      </c>
    </row>
    <row r="97" ht="36" customHeight="1">
      <c r="A97" s="68"/>
      <c r="B97" s="69"/>
      <c r="C97" s="69"/>
      <c r="D97" s="68"/>
      <c r="E97" s="68"/>
      <c r="F97" s="68"/>
      <c r="G97" s="70"/>
      <c r="H97" s="70"/>
      <c r="I97" s="71"/>
      <c r="J97" s="71"/>
      <c r="K97" s="72"/>
      <c r="L97" s="68"/>
      <c r="M97" s="68"/>
      <c r="N97" s="73" t="s">
        <v>213</v>
      </c>
      <c r="O97" s="73" t="s">
        <v>213</v>
      </c>
      <c r="P97" s="73" t="s">
        <v>213</v>
      </c>
      <c r="Q97" s="73" t="s">
        <v>213</v>
      </c>
      <c r="R97" s="73" t="s">
        <v>213</v>
      </c>
      <c r="S97" s="73" t="s">
        <v>213</v>
      </c>
      <c r="T97" s="74" t="s">
        <v>213</v>
      </c>
      <c r="U97" s="75" t="s">
        <v>213</v>
      </c>
      <c r="V97" s="76" t="s">
        <v>213</v>
      </c>
      <c r="W97" s="77" t="s">
        <v>213</v>
      </c>
      <c r="X97" s="76" t="s">
        <v>213</v>
      </c>
      <c r="Y97" s="74" t="s">
        <v>213</v>
      </c>
      <c r="Z97" s="77" t="s">
        <v>213</v>
      </c>
    </row>
    <row r="98" ht="36" customHeight="1">
      <c r="A98" s="68"/>
      <c r="B98" s="69"/>
      <c r="C98" s="69"/>
      <c r="D98" s="68"/>
      <c r="E98" s="68"/>
      <c r="F98" s="68"/>
      <c r="G98" s="70"/>
      <c r="H98" s="70"/>
      <c r="I98" s="71"/>
      <c r="J98" s="71"/>
      <c r="K98" s="72"/>
      <c r="L98" s="68"/>
      <c r="M98" s="68"/>
      <c r="N98" s="73" t="s">
        <v>213</v>
      </c>
      <c r="O98" s="73" t="s">
        <v>213</v>
      </c>
      <c r="P98" s="73" t="s">
        <v>213</v>
      </c>
      <c r="Q98" s="73" t="s">
        <v>213</v>
      </c>
      <c r="R98" s="73" t="s">
        <v>213</v>
      </c>
      <c r="S98" s="73" t="s">
        <v>213</v>
      </c>
      <c r="T98" s="74" t="s">
        <v>213</v>
      </c>
      <c r="U98" s="75" t="s">
        <v>213</v>
      </c>
      <c r="V98" s="76" t="s">
        <v>213</v>
      </c>
      <c r="W98" s="77" t="s">
        <v>213</v>
      </c>
      <c r="X98" s="76" t="s">
        <v>213</v>
      </c>
      <c r="Y98" s="74" t="s">
        <v>213</v>
      </c>
      <c r="Z98" s="77" t="s">
        <v>213</v>
      </c>
    </row>
    <row r="99" ht="36" customHeight="1">
      <c r="A99" s="68"/>
      <c r="B99" s="69"/>
      <c r="C99" s="69"/>
      <c r="D99" s="68"/>
      <c r="E99" s="68"/>
      <c r="F99" s="68"/>
      <c r="G99" s="70"/>
      <c r="H99" s="70"/>
      <c r="I99" s="71"/>
      <c r="J99" s="71"/>
      <c r="K99" s="72"/>
      <c r="L99" s="68"/>
      <c r="M99" s="68"/>
      <c r="N99" s="73" t="s">
        <v>213</v>
      </c>
      <c r="O99" s="73" t="s">
        <v>213</v>
      </c>
      <c r="P99" s="73" t="s">
        <v>213</v>
      </c>
      <c r="Q99" s="73" t="s">
        <v>213</v>
      </c>
      <c r="R99" s="73" t="s">
        <v>213</v>
      </c>
      <c r="S99" s="73" t="s">
        <v>213</v>
      </c>
      <c r="T99" s="74" t="s">
        <v>213</v>
      </c>
      <c r="U99" s="75" t="s">
        <v>213</v>
      </c>
      <c r="V99" s="76" t="s">
        <v>213</v>
      </c>
      <c r="W99" s="77" t="s">
        <v>213</v>
      </c>
      <c r="X99" s="76" t="s">
        <v>213</v>
      </c>
      <c r="Y99" s="74" t="s">
        <v>213</v>
      </c>
      <c r="Z99" s="77" t="s">
        <v>213</v>
      </c>
    </row>
    <row r="100" ht="36" customHeight="1">
      <c r="A100" s="68"/>
      <c r="B100" s="69"/>
      <c r="C100" s="69"/>
      <c r="D100" s="68"/>
      <c r="E100" s="68"/>
      <c r="F100" s="68"/>
      <c r="G100" s="70"/>
      <c r="H100" s="70"/>
      <c r="I100" s="71"/>
      <c r="J100" s="71"/>
      <c r="K100" s="72"/>
      <c r="L100" s="68"/>
      <c r="M100" s="68"/>
      <c r="N100" s="73" t="s">
        <v>213</v>
      </c>
      <c r="O100" s="73" t="s">
        <v>213</v>
      </c>
      <c r="P100" s="73" t="s">
        <v>213</v>
      </c>
      <c r="Q100" s="73" t="s">
        <v>213</v>
      </c>
      <c r="R100" s="73" t="s">
        <v>213</v>
      </c>
      <c r="S100" s="73" t="s">
        <v>213</v>
      </c>
      <c r="T100" s="74" t="s">
        <v>213</v>
      </c>
      <c r="U100" s="75" t="s">
        <v>213</v>
      </c>
      <c r="V100" s="76" t="s">
        <v>213</v>
      </c>
      <c r="W100" s="77" t="s">
        <v>213</v>
      </c>
      <c r="X100" s="76" t="s">
        <v>213</v>
      </c>
      <c r="Y100" s="74" t="s">
        <v>213</v>
      </c>
      <c r="Z100" s="77" t="s">
        <v>213</v>
      </c>
    </row>
    <row r="101" ht="36" customHeight="1">
      <c r="A101" s="68"/>
      <c r="B101" s="69"/>
      <c r="C101" s="69"/>
      <c r="D101" s="68"/>
      <c r="E101" s="68"/>
      <c r="F101" s="68"/>
      <c r="G101" s="70"/>
      <c r="H101" s="70"/>
      <c r="I101" s="71"/>
      <c r="J101" s="71"/>
      <c r="K101" s="72"/>
      <c r="L101" s="68"/>
      <c r="M101" s="68"/>
      <c r="N101" s="73" t="s">
        <v>213</v>
      </c>
      <c r="O101" s="73" t="s">
        <v>213</v>
      </c>
      <c r="P101" s="73" t="s">
        <v>213</v>
      </c>
      <c r="Q101" s="73" t="s">
        <v>213</v>
      </c>
      <c r="R101" s="73" t="s">
        <v>213</v>
      </c>
      <c r="S101" s="73" t="s">
        <v>213</v>
      </c>
      <c r="T101" s="74" t="s">
        <v>213</v>
      </c>
      <c r="U101" s="75" t="s">
        <v>213</v>
      </c>
      <c r="V101" s="76" t="s">
        <v>213</v>
      </c>
      <c r="W101" s="77" t="s">
        <v>213</v>
      </c>
      <c r="X101" s="76" t="s">
        <v>213</v>
      </c>
      <c r="Y101" s="74" t="s">
        <v>213</v>
      </c>
      <c r="Z101" s="77" t="s">
        <v>213</v>
      </c>
    </row>
    <row r="102" ht="36" customHeight="1">
      <c r="A102" s="68"/>
      <c r="B102" s="69"/>
      <c r="C102" s="69"/>
      <c r="D102" s="68"/>
      <c r="E102" s="68"/>
      <c r="F102" s="68"/>
      <c r="G102" s="70"/>
      <c r="H102" s="70"/>
      <c r="I102" s="71"/>
      <c r="J102" s="71"/>
      <c r="K102" s="72"/>
      <c r="L102" s="68"/>
      <c r="M102" s="68"/>
      <c r="N102" s="73" t="s">
        <v>213</v>
      </c>
      <c r="O102" s="73" t="s">
        <v>213</v>
      </c>
      <c r="P102" s="73" t="s">
        <v>213</v>
      </c>
      <c r="Q102" s="73" t="s">
        <v>213</v>
      </c>
      <c r="R102" s="73" t="s">
        <v>213</v>
      </c>
      <c r="S102" s="73" t="s">
        <v>213</v>
      </c>
      <c r="T102" s="74" t="s">
        <v>213</v>
      </c>
      <c r="U102" s="75" t="s">
        <v>213</v>
      </c>
      <c r="V102" s="76" t="s">
        <v>213</v>
      </c>
      <c r="W102" s="77" t="s">
        <v>213</v>
      </c>
      <c r="X102" s="76" t="s">
        <v>213</v>
      </c>
      <c r="Y102" s="74" t="s">
        <v>213</v>
      </c>
      <c r="Z102" s="77" t="s">
        <v>213</v>
      </c>
    </row>
    <row r="103" ht="36" customHeight="1">
      <c r="A103" s="68"/>
      <c r="B103" s="69"/>
      <c r="C103" s="69"/>
      <c r="D103" s="68"/>
      <c r="E103" s="68"/>
      <c r="F103" s="68"/>
      <c r="G103" s="70"/>
      <c r="H103" s="70"/>
      <c r="I103" s="71"/>
      <c r="J103" s="71"/>
      <c r="K103" s="72"/>
      <c r="L103" s="68"/>
      <c r="M103" s="68"/>
      <c r="N103" s="73" t="s">
        <v>213</v>
      </c>
      <c r="O103" s="73" t="s">
        <v>213</v>
      </c>
      <c r="P103" s="73" t="s">
        <v>213</v>
      </c>
      <c r="Q103" s="73" t="s">
        <v>213</v>
      </c>
      <c r="R103" s="73" t="s">
        <v>213</v>
      </c>
      <c r="S103" s="73" t="s">
        <v>213</v>
      </c>
      <c r="T103" s="74" t="s">
        <v>213</v>
      </c>
      <c r="U103" s="75" t="s">
        <v>213</v>
      </c>
      <c r="V103" s="76" t="s">
        <v>213</v>
      </c>
      <c r="W103" s="77" t="s">
        <v>213</v>
      </c>
      <c r="X103" s="76" t="s">
        <v>213</v>
      </c>
      <c r="Y103" s="74" t="s">
        <v>213</v>
      </c>
      <c r="Z103" s="77" t="s">
        <v>213</v>
      </c>
    </row>
    <row r="104" ht="36" customHeight="1">
      <c r="A104" s="68"/>
      <c r="B104" s="69"/>
      <c r="C104" s="69"/>
      <c r="D104" s="68"/>
      <c r="E104" s="68"/>
      <c r="F104" s="68"/>
      <c r="G104" s="70"/>
      <c r="H104" s="70"/>
      <c r="I104" s="71"/>
      <c r="J104" s="71"/>
      <c r="K104" s="72"/>
      <c r="L104" s="68"/>
      <c r="M104" s="68"/>
      <c r="N104" s="73" t="s">
        <v>213</v>
      </c>
      <c r="O104" s="73" t="s">
        <v>213</v>
      </c>
      <c r="P104" s="73" t="s">
        <v>213</v>
      </c>
      <c r="Q104" s="73" t="s">
        <v>213</v>
      </c>
      <c r="R104" s="73" t="s">
        <v>213</v>
      </c>
      <c r="S104" s="73" t="s">
        <v>213</v>
      </c>
      <c r="T104" s="74" t="s">
        <v>213</v>
      </c>
      <c r="U104" s="75" t="s">
        <v>213</v>
      </c>
      <c r="V104" s="76" t="s">
        <v>213</v>
      </c>
      <c r="W104" s="77" t="s">
        <v>213</v>
      </c>
      <c r="X104" s="76" t="s">
        <v>213</v>
      </c>
      <c r="Y104" s="74" t="s">
        <v>213</v>
      </c>
      <c r="Z104" s="77" t="s">
        <v>213</v>
      </c>
    </row>
    <row r="105" ht="36" customHeight="1">
      <c r="A105" s="68"/>
      <c r="B105" s="69"/>
      <c r="C105" s="69"/>
      <c r="D105" s="68"/>
      <c r="E105" s="68"/>
      <c r="F105" s="68"/>
      <c r="G105" s="70"/>
      <c r="H105" s="70"/>
      <c r="I105" s="71"/>
      <c r="J105" s="71"/>
      <c r="K105" s="72"/>
      <c r="L105" s="68"/>
      <c r="M105" s="68"/>
      <c r="N105" s="73" t="s">
        <v>213</v>
      </c>
      <c r="O105" s="73" t="s">
        <v>213</v>
      </c>
      <c r="P105" s="73" t="s">
        <v>213</v>
      </c>
      <c r="Q105" s="73" t="s">
        <v>213</v>
      </c>
      <c r="R105" s="73" t="s">
        <v>213</v>
      </c>
      <c r="S105" s="73" t="s">
        <v>213</v>
      </c>
      <c r="T105" s="74" t="s">
        <v>213</v>
      </c>
      <c r="U105" s="75" t="s">
        <v>213</v>
      </c>
      <c r="V105" s="76" t="s">
        <v>213</v>
      </c>
      <c r="W105" s="77" t="s">
        <v>213</v>
      </c>
      <c r="X105" s="76" t="s">
        <v>213</v>
      </c>
      <c r="Y105" s="74" t="s">
        <v>213</v>
      </c>
      <c r="Z105" s="77" t="s">
        <v>213</v>
      </c>
    </row>
    <row r="106" ht="36" customHeight="1">
      <c r="A106" s="68"/>
      <c r="B106" s="69"/>
      <c r="C106" s="69"/>
      <c r="D106" s="68"/>
      <c r="E106" s="68"/>
      <c r="F106" s="68"/>
      <c r="G106" s="70"/>
      <c r="H106" s="70"/>
      <c r="I106" s="71"/>
      <c r="J106" s="71"/>
      <c r="K106" s="72"/>
      <c r="L106" s="68"/>
      <c r="M106" s="68"/>
      <c r="N106" s="73" t="s">
        <v>213</v>
      </c>
      <c r="O106" s="73" t="s">
        <v>213</v>
      </c>
      <c r="P106" s="73" t="s">
        <v>213</v>
      </c>
      <c r="Q106" s="73" t="s">
        <v>213</v>
      </c>
      <c r="R106" s="73" t="s">
        <v>213</v>
      </c>
      <c r="S106" s="73" t="s">
        <v>213</v>
      </c>
      <c r="T106" s="74" t="s">
        <v>213</v>
      </c>
      <c r="U106" s="75" t="s">
        <v>213</v>
      </c>
      <c r="V106" s="76" t="s">
        <v>213</v>
      </c>
      <c r="W106" s="77" t="s">
        <v>213</v>
      </c>
      <c r="X106" s="76" t="s">
        <v>213</v>
      </c>
      <c r="Y106" s="74" t="s">
        <v>213</v>
      </c>
      <c r="Z106" s="77" t="s">
        <v>213</v>
      </c>
    </row>
    <row r="107" ht="36" customHeight="1">
      <c r="A107" s="68"/>
      <c r="B107" s="69"/>
      <c r="C107" s="69"/>
      <c r="D107" s="68"/>
      <c r="E107" s="68"/>
      <c r="F107" s="68"/>
      <c r="G107" s="70"/>
      <c r="H107" s="70"/>
      <c r="I107" s="71"/>
      <c r="J107" s="71"/>
      <c r="K107" s="72"/>
      <c r="L107" s="68"/>
      <c r="M107" s="68"/>
      <c r="N107" s="73" t="s">
        <v>213</v>
      </c>
      <c r="O107" s="73" t="s">
        <v>213</v>
      </c>
      <c r="P107" s="73" t="s">
        <v>213</v>
      </c>
      <c r="Q107" s="73" t="s">
        <v>213</v>
      </c>
      <c r="R107" s="73" t="s">
        <v>213</v>
      </c>
      <c r="S107" s="73" t="s">
        <v>213</v>
      </c>
      <c r="T107" s="74" t="s">
        <v>213</v>
      </c>
      <c r="U107" s="75" t="s">
        <v>213</v>
      </c>
      <c r="V107" s="76" t="s">
        <v>213</v>
      </c>
      <c r="W107" s="77" t="s">
        <v>213</v>
      </c>
      <c r="X107" s="76" t="s">
        <v>213</v>
      </c>
      <c r="Y107" s="74" t="s">
        <v>213</v>
      </c>
      <c r="Z107" s="77" t="s">
        <v>213</v>
      </c>
    </row>
    <row r="108" ht="36" customHeight="1">
      <c r="A108" s="68"/>
      <c r="B108" s="69"/>
      <c r="C108" s="69"/>
      <c r="D108" s="68"/>
      <c r="E108" s="68"/>
      <c r="F108" s="68"/>
      <c r="G108" s="70"/>
      <c r="H108" s="70"/>
      <c r="I108" s="71"/>
      <c r="J108" s="71"/>
      <c r="K108" s="72"/>
      <c r="L108" s="68"/>
      <c r="M108" s="68"/>
      <c r="N108" s="73" t="s">
        <v>213</v>
      </c>
      <c r="O108" s="73" t="s">
        <v>213</v>
      </c>
      <c r="P108" s="73" t="s">
        <v>213</v>
      </c>
      <c r="Q108" s="73" t="s">
        <v>213</v>
      </c>
      <c r="R108" s="73" t="s">
        <v>213</v>
      </c>
      <c r="S108" s="73" t="s">
        <v>213</v>
      </c>
      <c r="T108" s="74" t="s">
        <v>213</v>
      </c>
      <c r="U108" s="75" t="s">
        <v>213</v>
      </c>
      <c r="V108" s="76" t="s">
        <v>213</v>
      </c>
      <c r="W108" s="77" t="s">
        <v>213</v>
      </c>
      <c r="X108" s="76" t="s">
        <v>213</v>
      </c>
      <c r="Y108" s="74" t="s">
        <v>213</v>
      </c>
      <c r="Z108" s="77" t="s">
        <v>213</v>
      </c>
    </row>
    <row r="109" ht="36" customHeight="1">
      <c r="A109" s="68"/>
      <c r="B109" s="69"/>
      <c r="C109" s="69"/>
      <c r="D109" s="68"/>
      <c r="E109" s="68"/>
      <c r="F109" s="68"/>
      <c r="G109" s="70"/>
      <c r="H109" s="70"/>
      <c r="I109" s="71"/>
      <c r="J109" s="71"/>
      <c r="K109" s="72"/>
      <c r="L109" s="68"/>
      <c r="M109" s="68"/>
      <c r="N109" s="73" t="s">
        <v>213</v>
      </c>
      <c r="O109" s="73" t="s">
        <v>213</v>
      </c>
      <c r="P109" s="73" t="s">
        <v>213</v>
      </c>
      <c r="Q109" s="73" t="s">
        <v>213</v>
      </c>
      <c r="R109" s="73" t="s">
        <v>213</v>
      </c>
      <c r="S109" s="73" t="s">
        <v>213</v>
      </c>
      <c r="T109" s="74" t="s">
        <v>213</v>
      </c>
      <c r="U109" s="75" t="s">
        <v>213</v>
      </c>
      <c r="V109" s="76" t="s">
        <v>213</v>
      </c>
      <c r="W109" s="77" t="s">
        <v>213</v>
      </c>
      <c r="X109" s="76" t="s">
        <v>213</v>
      </c>
      <c r="Y109" s="74" t="s">
        <v>213</v>
      </c>
      <c r="Z109" s="77" t="s">
        <v>213</v>
      </c>
    </row>
    <row r="110" ht="36" customHeight="1">
      <c r="A110" s="68"/>
      <c r="B110" s="69"/>
      <c r="C110" s="69"/>
      <c r="D110" s="68"/>
      <c r="E110" s="68"/>
      <c r="F110" s="68"/>
      <c r="G110" s="70"/>
      <c r="H110" s="70"/>
      <c r="I110" s="71"/>
      <c r="J110" s="71"/>
      <c r="K110" s="72"/>
      <c r="L110" s="68"/>
      <c r="M110" s="68"/>
      <c r="N110" s="73" t="s">
        <v>213</v>
      </c>
      <c r="O110" s="73" t="s">
        <v>213</v>
      </c>
      <c r="P110" s="73" t="s">
        <v>213</v>
      </c>
      <c r="Q110" s="73" t="s">
        <v>213</v>
      </c>
      <c r="R110" s="73" t="s">
        <v>213</v>
      </c>
      <c r="S110" s="73" t="s">
        <v>213</v>
      </c>
      <c r="T110" s="74" t="s">
        <v>213</v>
      </c>
      <c r="U110" s="75" t="s">
        <v>213</v>
      </c>
      <c r="V110" s="76" t="s">
        <v>213</v>
      </c>
      <c r="W110" s="77" t="s">
        <v>213</v>
      </c>
      <c r="X110" s="76" t="s">
        <v>213</v>
      </c>
      <c r="Y110" s="74" t="s">
        <v>213</v>
      </c>
      <c r="Z110" s="77" t="s">
        <v>213</v>
      </c>
    </row>
    <row r="111" ht="36" customHeight="1">
      <c r="A111" s="68"/>
      <c r="B111" s="69"/>
      <c r="C111" s="69"/>
      <c r="D111" s="68"/>
      <c r="E111" s="68"/>
      <c r="F111" s="68"/>
      <c r="G111" s="70"/>
      <c r="H111" s="70"/>
      <c r="I111" s="71"/>
      <c r="J111" s="71"/>
      <c r="K111" s="72"/>
      <c r="L111" s="68"/>
      <c r="M111" s="68"/>
      <c r="N111" s="73" t="s">
        <v>213</v>
      </c>
      <c r="O111" s="73" t="s">
        <v>213</v>
      </c>
      <c r="P111" s="73" t="s">
        <v>213</v>
      </c>
      <c r="Q111" s="73" t="s">
        <v>213</v>
      </c>
      <c r="R111" s="73" t="s">
        <v>213</v>
      </c>
      <c r="S111" s="73" t="s">
        <v>213</v>
      </c>
      <c r="T111" s="74" t="s">
        <v>213</v>
      </c>
      <c r="U111" s="75" t="s">
        <v>213</v>
      </c>
      <c r="V111" s="76" t="s">
        <v>213</v>
      </c>
      <c r="W111" s="77" t="s">
        <v>213</v>
      </c>
      <c r="X111" s="76" t="s">
        <v>213</v>
      </c>
      <c r="Y111" s="74" t="s">
        <v>213</v>
      </c>
      <c r="Z111" s="77" t="s">
        <v>213</v>
      </c>
    </row>
    <row r="112" ht="36" customHeight="1">
      <c r="A112" s="68"/>
      <c r="B112" s="69"/>
      <c r="C112" s="69"/>
      <c r="D112" s="68"/>
      <c r="E112" s="68"/>
      <c r="F112" s="68"/>
      <c r="G112" s="70"/>
      <c r="H112" s="70"/>
      <c r="I112" s="71"/>
      <c r="J112" s="71"/>
      <c r="K112" s="72"/>
      <c r="L112" s="68"/>
      <c r="M112" s="68"/>
      <c r="N112" s="73" t="s">
        <v>213</v>
      </c>
      <c r="O112" s="73" t="s">
        <v>213</v>
      </c>
      <c r="P112" s="73" t="s">
        <v>213</v>
      </c>
      <c r="Q112" s="73" t="s">
        <v>213</v>
      </c>
      <c r="R112" s="73" t="s">
        <v>213</v>
      </c>
      <c r="S112" s="73" t="s">
        <v>213</v>
      </c>
      <c r="T112" s="74" t="s">
        <v>213</v>
      </c>
      <c r="U112" s="75" t="s">
        <v>213</v>
      </c>
      <c r="V112" s="76" t="s">
        <v>213</v>
      </c>
      <c r="W112" s="77" t="s">
        <v>213</v>
      </c>
      <c r="X112" s="76" t="s">
        <v>213</v>
      </c>
      <c r="Y112" s="74" t="s">
        <v>213</v>
      </c>
      <c r="Z112" s="77" t="s">
        <v>213</v>
      </c>
    </row>
    <row r="113" ht="36" customHeight="1">
      <c r="A113" s="68"/>
      <c r="B113" s="69"/>
      <c r="C113" s="69"/>
      <c r="D113" s="68"/>
      <c r="E113" s="68"/>
      <c r="F113" s="68"/>
      <c r="G113" s="70"/>
      <c r="H113" s="70"/>
      <c r="I113" s="71"/>
      <c r="J113" s="71"/>
      <c r="K113" s="72"/>
      <c r="L113" s="68"/>
      <c r="M113" s="68"/>
      <c r="N113" s="73" t="s">
        <v>213</v>
      </c>
      <c r="O113" s="73" t="s">
        <v>213</v>
      </c>
      <c r="P113" s="73" t="s">
        <v>213</v>
      </c>
      <c r="Q113" s="73" t="s">
        <v>213</v>
      </c>
      <c r="R113" s="73" t="s">
        <v>213</v>
      </c>
      <c r="S113" s="73" t="s">
        <v>213</v>
      </c>
      <c r="T113" s="74" t="s">
        <v>213</v>
      </c>
      <c r="U113" s="75" t="s">
        <v>213</v>
      </c>
      <c r="V113" s="76" t="s">
        <v>213</v>
      </c>
      <c r="W113" s="77" t="s">
        <v>213</v>
      </c>
      <c r="X113" s="76" t="s">
        <v>213</v>
      </c>
      <c r="Y113" s="74" t="s">
        <v>213</v>
      </c>
      <c r="Z113" s="77" t="s">
        <v>213</v>
      </c>
    </row>
    <row r="114" ht="36" customHeight="1">
      <c r="A114" s="68"/>
      <c r="B114" s="69"/>
      <c r="C114" s="69"/>
      <c r="D114" s="68"/>
      <c r="E114" s="68"/>
      <c r="F114" s="68"/>
      <c r="G114" s="70"/>
      <c r="H114" s="70"/>
      <c r="I114" s="71"/>
      <c r="J114" s="71"/>
      <c r="K114" s="72"/>
      <c r="L114" s="68"/>
      <c r="M114" s="68"/>
      <c r="N114" s="73" t="s">
        <v>213</v>
      </c>
      <c r="O114" s="73" t="s">
        <v>213</v>
      </c>
      <c r="P114" s="73" t="s">
        <v>213</v>
      </c>
      <c r="Q114" s="73" t="s">
        <v>213</v>
      </c>
      <c r="R114" s="73" t="s">
        <v>213</v>
      </c>
      <c r="S114" s="73" t="s">
        <v>213</v>
      </c>
      <c r="T114" s="74" t="s">
        <v>213</v>
      </c>
      <c r="U114" s="75" t="s">
        <v>213</v>
      </c>
      <c r="V114" s="76" t="s">
        <v>213</v>
      </c>
      <c r="W114" s="77" t="s">
        <v>213</v>
      </c>
      <c r="X114" s="76" t="s">
        <v>213</v>
      </c>
      <c r="Y114" s="74" t="s">
        <v>213</v>
      </c>
      <c r="Z114" s="77" t="s">
        <v>213</v>
      </c>
    </row>
    <row r="115" ht="36" customHeight="1">
      <c r="A115" s="68"/>
      <c r="B115" s="69"/>
      <c r="C115" s="69"/>
      <c r="D115" s="68"/>
      <c r="E115" s="68"/>
      <c r="F115" s="68"/>
      <c r="G115" s="70"/>
      <c r="H115" s="70"/>
      <c r="I115" s="71"/>
      <c r="J115" s="71"/>
      <c r="K115" s="72"/>
      <c r="L115" s="68"/>
      <c r="M115" s="68"/>
      <c r="N115" s="73" t="s">
        <v>213</v>
      </c>
      <c r="O115" s="73" t="s">
        <v>213</v>
      </c>
      <c r="P115" s="73" t="s">
        <v>213</v>
      </c>
      <c r="Q115" s="73" t="s">
        <v>213</v>
      </c>
      <c r="R115" s="73" t="s">
        <v>213</v>
      </c>
      <c r="S115" s="73" t="s">
        <v>213</v>
      </c>
      <c r="T115" s="74" t="s">
        <v>213</v>
      </c>
      <c r="U115" s="75" t="s">
        <v>213</v>
      </c>
      <c r="V115" s="76" t="s">
        <v>213</v>
      </c>
      <c r="W115" s="77" t="s">
        <v>213</v>
      </c>
      <c r="X115" s="76" t="s">
        <v>213</v>
      </c>
      <c r="Y115" s="74" t="s">
        <v>213</v>
      </c>
      <c r="Z115" s="77" t="s">
        <v>213</v>
      </c>
    </row>
    <row r="116" ht="36" customHeight="1">
      <c r="A116" s="68"/>
      <c r="B116" s="69"/>
      <c r="C116" s="69"/>
      <c r="D116" s="68"/>
      <c r="E116" s="68"/>
      <c r="F116" s="68"/>
      <c r="G116" s="70"/>
      <c r="H116" s="70"/>
      <c r="I116" s="71"/>
      <c r="J116" s="71"/>
      <c r="K116" s="72"/>
      <c r="L116" s="68"/>
      <c r="M116" s="68"/>
      <c r="N116" s="73" t="s">
        <v>213</v>
      </c>
      <c r="O116" s="73" t="s">
        <v>213</v>
      </c>
      <c r="P116" s="73" t="s">
        <v>213</v>
      </c>
      <c r="Q116" s="73" t="s">
        <v>213</v>
      </c>
      <c r="R116" s="73" t="s">
        <v>213</v>
      </c>
      <c r="S116" s="73" t="s">
        <v>213</v>
      </c>
      <c r="T116" s="74" t="s">
        <v>213</v>
      </c>
      <c r="U116" s="75" t="s">
        <v>213</v>
      </c>
      <c r="V116" s="76" t="s">
        <v>213</v>
      </c>
      <c r="W116" s="77" t="s">
        <v>213</v>
      </c>
      <c r="X116" s="76" t="s">
        <v>213</v>
      </c>
      <c r="Y116" s="74" t="s">
        <v>213</v>
      </c>
      <c r="Z116" s="77" t="s">
        <v>213</v>
      </c>
    </row>
    <row r="117" ht="36" customHeight="1">
      <c r="A117" s="68"/>
      <c r="B117" s="69"/>
      <c r="C117" s="69"/>
      <c r="D117" s="68"/>
      <c r="E117" s="68"/>
      <c r="F117" s="68"/>
      <c r="G117" s="70"/>
      <c r="H117" s="70"/>
      <c r="I117" s="71"/>
      <c r="J117" s="71"/>
      <c r="K117" s="72"/>
      <c r="L117" s="68"/>
      <c r="M117" s="68"/>
      <c r="N117" s="73" t="s">
        <v>213</v>
      </c>
      <c r="O117" s="73" t="s">
        <v>213</v>
      </c>
      <c r="P117" s="73" t="s">
        <v>213</v>
      </c>
      <c r="Q117" s="73" t="s">
        <v>213</v>
      </c>
      <c r="R117" s="73" t="s">
        <v>213</v>
      </c>
      <c r="S117" s="73" t="s">
        <v>213</v>
      </c>
      <c r="T117" s="74" t="s">
        <v>213</v>
      </c>
      <c r="U117" s="75" t="s">
        <v>213</v>
      </c>
      <c r="V117" s="76" t="s">
        <v>213</v>
      </c>
      <c r="W117" s="77" t="s">
        <v>213</v>
      </c>
      <c r="X117" s="76" t="s">
        <v>213</v>
      </c>
      <c r="Y117" s="74" t="s">
        <v>213</v>
      </c>
      <c r="Z117" s="77" t="s">
        <v>213</v>
      </c>
    </row>
    <row r="118" ht="36" customHeight="1">
      <c r="A118" s="68"/>
      <c r="B118" s="69"/>
      <c r="C118" s="69"/>
      <c r="D118" s="68"/>
      <c r="E118" s="68"/>
      <c r="F118" s="68"/>
      <c r="G118" s="70"/>
      <c r="H118" s="70"/>
      <c r="I118" s="71"/>
      <c r="J118" s="71"/>
      <c r="K118" s="72"/>
      <c r="L118" s="68"/>
      <c r="M118" s="68"/>
      <c r="N118" s="73" t="s">
        <v>213</v>
      </c>
      <c r="O118" s="73" t="s">
        <v>213</v>
      </c>
      <c r="P118" s="73" t="s">
        <v>213</v>
      </c>
      <c r="Q118" s="73" t="s">
        <v>213</v>
      </c>
      <c r="R118" s="73" t="s">
        <v>213</v>
      </c>
      <c r="S118" s="73" t="s">
        <v>213</v>
      </c>
      <c r="T118" s="74" t="s">
        <v>213</v>
      </c>
      <c r="U118" s="75" t="s">
        <v>213</v>
      </c>
      <c r="V118" s="76" t="s">
        <v>213</v>
      </c>
      <c r="W118" s="77" t="s">
        <v>213</v>
      </c>
      <c r="X118" s="76" t="s">
        <v>213</v>
      </c>
      <c r="Y118" s="74" t="s">
        <v>213</v>
      </c>
      <c r="Z118" s="77" t="s">
        <v>213</v>
      </c>
    </row>
    <row r="119" ht="36" customHeight="1">
      <c r="A119" s="68"/>
      <c r="B119" s="69"/>
      <c r="C119" s="69"/>
      <c r="D119" s="68"/>
      <c r="E119" s="68"/>
      <c r="F119" s="68"/>
      <c r="G119" s="70"/>
      <c r="H119" s="70"/>
      <c r="I119" s="71"/>
      <c r="J119" s="71"/>
      <c r="K119" s="72"/>
      <c r="L119" s="68"/>
      <c r="M119" s="68"/>
      <c r="N119" s="73" t="s">
        <v>213</v>
      </c>
      <c r="O119" s="73" t="s">
        <v>213</v>
      </c>
      <c r="P119" s="73" t="s">
        <v>213</v>
      </c>
      <c r="Q119" s="73" t="s">
        <v>213</v>
      </c>
      <c r="R119" s="73" t="s">
        <v>213</v>
      </c>
      <c r="S119" s="73" t="s">
        <v>213</v>
      </c>
      <c r="T119" s="74" t="s">
        <v>213</v>
      </c>
      <c r="U119" s="75" t="s">
        <v>213</v>
      </c>
      <c r="V119" s="76" t="s">
        <v>213</v>
      </c>
      <c r="W119" s="77" t="s">
        <v>213</v>
      </c>
      <c r="X119" s="76" t="s">
        <v>213</v>
      </c>
      <c r="Y119" s="74" t="s">
        <v>213</v>
      </c>
      <c r="Z119" s="77" t="s">
        <v>213</v>
      </c>
    </row>
    <row r="120" ht="36" customHeight="1">
      <c r="A120" s="68"/>
      <c r="B120" s="69"/>
      <c r="C120" s="69"/>
      <c r="D120" s="68"/>
      <c r="E120" s="68"/>
      <c r="F120" s="68"/>
      <c r="G120" s="70"/>
      <c r="H120" s="70"/>
      <c r="I120" s="71"/>
      <c r="J120" s="71"/>
      <c r="K120" s="72"/>
      <c r="L120" s="68"/>
      <c r="M120" s="68"/>
      <c r="N120" s="73" t="s">
        <v>213</v>
      </c>
      <c r="O120" s="73" t="s">
        <v>213</v>
      </c>
      <c r="P120" s="73" t="s">
        <v>213</v>
      </c>
      <c r="Q120" s="73" t="s">
        <v>213</v>
      </c>
      <c r="R120" s="73" t="s">
        <v>213</v>
      </c>
      <c r="S120" s="73" t="s">
        <v>213</v>
      </c>
      <c r="T120" s="74" t="s">
        <v>213</v>
      </c>
      <c r="U120" s="75" t="s">
        <v>213</v>
      </c>
      <c r="V120" s="76" t="s">
        <v>213</v>
      </c>
      <c r="W120" s="77" t="s">
        <v>213</v>
      </c>
      <c r="X120" s="76" t="s">
        <v>213</v>
      </c>
      <c r="Y120" s="74" t="s">
        <v>213</v>
      </c>
      <c r="Z120" s="77" t="s">
        <v>213</v>
      </c>
    </row>
    <row r="121" ht="36" customHeight="1">
      <c r="A121" s="68"/>
      <c r="B121" s="69"/>
      <c r="C121" s="69"/>
      <c r="D121" s="68"/>
      <c r="E121" s="68"/>
      <c r="F121" s="68"/>
      <c r="G121" s="70"/>
      <c r="H121" s="70"/>
      <c r="I121" s="71"/>
      <c r="J121" s="71"/>
      <c r="K121" s="72"/>
      <c r="L121" s="68"/>
      <c r="M121" s="68"/>
      <c r="N121" s="73" t="s">
        <v>213</v>
      </c>
      <c r="O121" s="73" t="s">
        <v>213</v>
      </c>
      <c r="P121" s="73" t="s">
        <v>213</v>
      </c>
      <c r="Q121" s="73" t="s">
        <v>213</v>
      </c>
      <c r="R121" s="73" t="s">
        <v>213</v>
      </c>
      <c r="S121" s="73" t="s">
        <v>213</v>
      </c>
      <c r="T121" s="74" t="s">
        <v>213</v>
      </c>
      <c r="U121" s="75" t="s">
        <v>213</v>
      </c>
      <c r="V121" s="76" t="s">
        <v>213</v>
      </c>
      <c r="W121" s="77" t="s">
        <v>213</v>
      </c>
      <c r="X121" s="76" t="s">
        <v>213</v>
      </c>
      <c r="Y121" s="74" t="s">
        <v>213</v>
      </c>
      <c r="Z121" s="77" t="s">
        <v>213</v>
      </c>
    </row>
    <row r="122" ht="36" customHeight="1">
      <c r="A122" s="68"/>
      <c r="B122" s="69"/>
      <c r="C122" s="69"/>
      <c r="D122" s="68"/>
      <c r="E122" s="68"/>
      <c r="F122" s="68"/>
      <c r="G122" s="70"/>
      <c r="H122" s="70"/>
      <c r="I122" s="71"/>
      <c r="J122" s="71"/>
      <c r="K122" s="72"/>
      <c r="L122" s="68"/>
      <c r="M122" s="68"/>
      <c r="N122" s="73" t="s">
        <v>213</v>
      </c>
      <c r="O122" s="73" t="s">
        <v>213</v>
      </c>
      <c r="P122" s="73" t="s">
        <v>213</v>
      </c>
      <c r="Q122" s="73" t="s">
        <v>213</v>
      </c>
      <c r="R122" s="73" t="s">
        <v>213</v>
      </c>
      <c r="S122" s="73" t="s">
        <v>213</v>
      </c>
      <c r="T122" s="74" t="s">
        <v>213</v>
      </c>
      <c r="U122" s="75" t="s">
        <v>213</v>
      </c>
      <c r="V122" s="76" t="s">
        <v>213</v>
      </c>
      <c r="W122" s="77" t="s">
        <v>213</v>
      </c>
      <c r="X122" s="76" t="s">
        <v>213</v>
      </c>
      <c r="Y122" s="74" t="s">
        <v>213</v>
      </c>
      <c r="Z122" s="77" t="s">
        <v>213</v>
      </c>
    </row>
    <row r="123" ht="36" customHeight="1">
      <c r="A123" s="68"/>
      <c r="B123" s="69"/>
      <c r="C123" s="69"/>
      <c r="D123" s="68"/>
      <c r="E123" s="68"/>
      <c r="F123" s="68"/>
      <c r="G123" s="70"/>
      <c r="H123" s="70"/>
      <c r="I123" s="71"/>
      <c r="J123" s="71"/>
      <c r="K123" s="72"/>
      <c r="L123" s="68"/>
      <c r="M123" s="68"/>
      <c r="N123" s="73" t="s">
        <v>213</v>
      </c>
      <c r="O123" s="73" t="s">
        <v>213</v>
      </c>
      <c r="P123" s="73" t="s">
        <v>213</v>
      </c>
      <c r="Q123" s="73" t="s">
        <v>213</v>
      </c>
      <c r="R123" s="73" t="s">
        <v>213</v>
      </c>
      <c r="S123" s="73" t="s">
        <v>213</v>
      </c>
      <c r="T123" s="74" t="s">
        <v>213</v>
      </c>
      <c r="U123" s="75" t="s">
        <v>213</v>
      </c>
      <c r="V123" s="76" t="s">
        <v>213</v>
      </c>
      <c r="W123" s="77" t="s">
        <v>213</v>
      </c>
      <c r="X123" s="76" t="s">
        <v>213</v>
      </c>
      <c r="Y123" s="74" t="s">
        <v>213</v>
      </c>
      <c r="Z123" s="77" t="s">
        <v>213</v>
      </c>
    </row>
    <row r="124" ht="36" customHeight="1">
      <c r="A124" s="68"/>
      <c r="B124" s="69"/>
      <c r="C124" s="69"/>
      <c r="D124" s="68"/>
      <c r="E124" s="68"/>
      <c r="F124" s="68"/>
      <c r="G124" s="70"/>
      <c r="H124" s="70"/>
      <c r="I124" s="71"/>
      <c r="J124" s="71"/>
      <c r="K124" s="72"/>
      <c r="L124" s="68"/>
      <c r="M124" s="68"/>
      <c r="N124" s="73" t="s">
        <v>213</v>
      </c>
      <c r="O124" s="73" t="s">
        <v>213</v>
      </c>
      <c r="P124" s="73" t="s">
        <v>213</v>
      </c>
      <c r="Q124" s="73" t="s">
        <v>213</v>
      </c>
      <c r="R124" s="73" t="s">
        <v>213</v>
      </c>
      <c r="S124" s="73" t="s">
        <v>213</v>
      </c>
      <c r="T124" s="74" t="s">
        <v>213</v>
      </c>
      <c r="U124" s="75" t="s">
        <v>213</v>
      </c>
      <c r="V124" s="76" t="s">
        <v>213</v>
      </c>
      <c r="W124" s="77" t="s">
        <v>213</v>
      </c>
      <c r="X124" s="76" t="s">
        <v>213</v>
      </c>
      <c r="Y124" s="74" t="s">
        <v>213</v>
      </c>
      <c r="Z124" s="77" t="s">
        <v>213</v>
      </c>
    </row>
    <row r="125" ht="36" customHeight="1">
      <c r="A125" s="68"/>
      <c r="B125" s="69"/>
      <c r="C125" s="69"/>
      <c r="D125" s="68"/>
      <c r="E125" s="68"/>
      <c r="F125" s="68"/>
      <c r="G125" s="70"/>
      <c r="H125" s="70"/>
      <c r="I125" s="71"/>
      <c r="J125" s="71"/>
      <c r="K125" s="72"/>
      <c r="L125" s="68"/>
      <c r="M125" s="68"/>
      <c r="N125" s="73" t="s">
        <v>213</v>
      </c>
      <c r="O125" s="73" t="s">
        <v>213</v>
      </c>
      <c r="P125" s="73" t="s">
        <v>213</v>
      </c>
      <c r="Q125" s="73" t="s">
        <v>213</v>
      </c>
      <c r="R125" s="73" t="s">
        <v>213</v>
      </c>
      <c r="S125" s="73" t="s">
        <v>213</v>
      </c>
      <c r="T125" s="74" t="s">
        <v>213</v>
      </c>
      <c r="U125" s="75" t="s">
        <v>213</v>
      </c>
      <c r="V125" s="76" t="s">
        <v>213</v>
      </c>
      <c r="W125" s="77" t="s">
        <v>213</v>
      </c>
      <c r="X125" s="76" t="s">
        <v>213</v>
      </c>
      <c r="Y125" s="74" t="s">
        <v>213</v>
      </c>
      <c r="Z125" s="77" t="s">
        <v>213</v>
      </c>
    </row>
    <row r="126" ht="36" customHeight="1">
      <c r="A126" s="68"/>
      <c r="B126" s="69"/>
      <c r="C126" s="69"/>
      <c r="D126" s="68"/>
      <c r="E126" s="68"/>
      <c r="F126" s="68"/>
      <c r="G126" s="70"/>
      <c r="H126" s="70"/>
      <c r="I126" s="71"/>
      <c r="J126" s="71"/>
      <c r="K126" s="72"/>
      <c r="L126" s="68"/>
      <c r="M126" s="68"/>
      <c r="N126" s="73" t="s">
        <v>213</v>
      </c>
      <c r="O126" s="73" t="s">
        <v>213</v>
      </c>
      <c r="P126" s="73" t="s">
        <v>213</v>
      </c>
      <c r="Q126" s="73" t="s">
        <v>213</v>
      </c>
      <c r="R126" s="73" t="s">
        <v>213</v>
      </c>
      <c r="S126" s="73" t="s">
        <v>213</v>
      </c>
      <c r="T126" s="74" t="s">
        <v>213</v>
      </c>
      <c r="U126" s="75" t="s">
        <v>213</v>
      </c>
      <c r="V126" s="76" t="s">
        <v>213</v>
      </c>
      <c r="W126" s="77" t="s">
        <v>213</v>
      </c>
      <c r="X126" s="76" t="s">
        <v>213</v>
      </c>
      <c r="Y126" s="74" t="s">
        <v>213</v>
      </c>
      <c r="Z126" s="77" t="s">
        <v>213</v>
      </c>
    </row>
    <row r="127" ht="36" customHeight="1">
      <c r="A127" s="68"/>
      <c r="B127" s="69"/>
      <c r="C127" s="69"/>
      <c r="D127" s="68"/>
      <c r="E127" s="68"/>
      <c r="F127" s="68"/>
      <c r="G127" s="70"/>
      <c r="H127" s="70"/>
      <c r="I127" s="71"/>
      <c r="J127" s="71"/>
      <c r="K127" s="72"/>
      <c r="L127" s="68"/>
      <c r="M127" s="68"/>
      <c r="N127" s="73" t="s">
        <v>213</v>
      </c>
      <c r="O127" s="73" t="s">
        <v>213</v>
      </c>
      <c r="P127" s="73" t="s">
        <v>213</v>
      </c>
      <c r="Q127" s="73" t="s">
        <v>213</v>
      </c>
      <c r="R127" s="73" t="s">
        <v>213</v>
      </c>
      <c r="S127" s="73" t="s">
        <v>213</v>
      </c>
      <c r="T127" s="74" t="s">
        <v>213</v>
      </c>
      <c r="U127" s="75" t="s">
        <v>213</v>
      </c>
      <c r="V127" s="76" t="s">
        <v>213</v>
      </c>
      <c r="W127" s="77" t="s">
        <v>213</v>
      </c>
      <c r="X127" s="76" t="s">
        <v>213</v>
      </c>
      <c r="Y127" s="74" t="s">
        <v>213</v>
      </c>
      <c r="Z127" s="77" t="s">
        <v>213</v>
      </c>
    </row>
    <row r="128" ht="36" customHeight="1">
      <c r="A128" s="68"/>
      <c r="B128" s="69"/>
      <c r="C128" s="69"/>
      <c r="D128" s="68"/>
      <c r="E128" s="68"/>
      <c r="F128" s="68"/>
      <c r="G128" s="70"/>
      <c r="H128" s="70"/>
      <c r="I128" s="71"/>
      <c r="J128" s="71"/>
      <c r="K128" s="72"/>
      <c r="L128" s="68"/>
      <c r="M128" s="68"/>
      <c r="N128" s="73" t="s">
        <v>213</v>
      </c>
      <c r="O128" s="73" t="s">
        <v>213</v>
      </c>
      <c r="P128" s="73" t="s">
        <v>213</v>
      </c>
      <c r="Q128" s="73" t="s">
        <v>213</v>
      </c>
      <c r="R128" s="73" t="s">
        <v>213</v>
      </c>
      <c r="S128" s="73" t="s">
        <v>213</v>
      </c>
      <c r="T128" s="74" t="s">
        <v>213</v>
      </c>
      <c r="U128" s="75" t="s">
        <v>213</v>
      </c>
      <c r="V128" s="76" t="s">
        <v>213</v>
      </c>
      <c r="W128" s="77" t="s">
        <v>213</v>
      </c>
      <c r="X128" s="76" t="s">
        <v>213</v>
      </c>
      <c r="Y128" s="74" t="s">
        <v>213</v>
      </c>
      <c r="Z128" s="77" t="s">
        <v>213</v>
      </c>
    </row>
    <row r="129" ht="36" customHeight="1">
      <c r="A129" s="68"/>
      <c r="B129" s="69"/>
      <c r="C129" s="69"/>
      <c r="D129" s="68"/>
      <c r="E129" s="68"/>
      <c r="F129" s="68"/>
      <c r="G129" s="70"/>
      <c r="H129" s="70"/>
      <c r="I129" s="71"/>
      <c r="J129" s="71"/>
      <c r="K129" s="72"/>
      <c r="L129" s="68"/>
      <c r="M129" s="68"/>
      <c r="N129" s="73" t="s">
        <v>213</v>
      </c>
      <c r="O129" s="73" t="s">
        <v>213</v>
      </c>
      <c r="P129" s="73" t="s">
        <v>213</v>
      </c>
      <c r="Q129" s="73" t="s">
        <v>213</v>
      </c>
      <c r="R129" s="73" t="s">
        <v>213</v>
      </c>
      <c r="S129" s="73" t="s">
        <v>213</v>
      </c>
      <c r="T129" s="74" t="s">
        <v>213</v>
      </c>
      <c r="U129" s="75" t="s">
        <v>213</v>
      </c>
      <c r="V129" s="76" t="s">
        <v>213</v>
      </c>
      <c r="W129" s="77" t="s">
        <v>213</v>
      </c>
      <c r="X129" s="76" t="s">
        <v>213</v>
      </c>
      <c r="Y129" s="74" t="s">
        <v>213</v>
      </c>
      <c r="Z129" s="77" t="s">
        <v>213</v>
      </c>
    </row>
    <row r="130" ht="36" customHeight="1">
      <c r="A130" s="68"/>
      <c r="B130" s="69"/>
      <c r="C130" s="69"/>
      <c r="D130" s="68"/>
      <c r="E130" s="68"/>
      <c r="F130" s="68"/>
      <c r="G130" s="70"/>
      <c r="H130" s="70"/>
      <c r="I130" s="71"/>
      <c r="J130" s="71"/>
      <c r="K130" s="72"/>
      <c r="L130" s="68"/>
      <c r="M130" s="68"/>
      <c r="N130" s="73" t="s">
        <v>213</v>
      </c>
      <c r="O130" s="73" t="s">
        <v>213</v>
      </c>
      <c r="P130" s="73" t="s">
        <v>213</v>
      </c>
      <c r="Q130" s="73" t="s">
        <v>213</v>
      </c>
      <c r="R130" s="73" t="s">
        <v>213</v>
      </c>
      <c r="S130" s="73" t="s">
        <v>213</v>
      </c>
      <c r="T130" s="74" t="s">
        <v>213</v>
      </c>
      <c r="U130" s="75" t="s">
        <v>213</v>
      </c>
      <c r="V130" s="76" t="s">
        <v>213</v>
      </c>
      <c r="W130" s="77" t="s">
        <v>213</v>
      </c>
      <c r="X130" s="76" t="s">
        <v>213</v>
      </c>
      <c r="Y130" s="74" t="s">
        <v>213</v>
      </c>
      <c r="Z130" s="77" t="s">
        <v>213</v>
      </c>
    </row>
    <row r="131" ht="36" customHeight="1">
      <c r="A131" s="68"/>
      <c r="B131" s="69"/>
      <c r="C131" s="69"/>
      <c r="D131" s="68"/>
      <c r="E131" s="68"/>
      <c r="F131" s="68"/>
      <c r="G131" s="70"/>
      <c r="H131" s="70"/>
      <c r="I131" s="71"/>
      <c r="J131" s="71"/>
      <c r="K131" s="72"/>
      <c r="L131" s="68"/>
      <c r="M131" s="68"/>
      <c r="N131" s="73" t="s">
        <v>213</v>
      </c>
      <c r="O131" s="73" t="s">
        <v>213</v>
      </c>
      <c r="P131" s="73" t="s">
        <v>213</v>
      </c>
      <c r="Q131" s="73" t="s">
        <v>213</v>
      </c>
      <c r="R131" s="73" t="s">
        <v>213</v>
      </c>
      <c r="S131" s="73" t="s">
        <v>213</v>
      </c>
      <c r="T131" s="74" t="s">
        <v>213</v>
      </c>
      <c r="U131" s="75" t="s">
        <v>213</v>
      </c>
      <c r="V131" s="76" t="s">
        <v>213</v>
      </c>
      <c r="W131" s="77" t="s">
        <v>213</v>
      </c>
      <c r="X131" s="76" t="s">
        <v>213</v>
      </c>
      <c r="Y131" s="74" t="s">
        <v>213</v>
      </c>
      <c r="Z131" s="77" t="s">
        <v>213</v>
      </c>
    </row>
    <row r="132" ht="36" customHeight="1">
      <c r="A132" s="68"/>
      <c r="B132" s="69"/>
      <c r="C132" s="69"/>
      <c r="D132" s="68"/>
      <c r="E132" s="68"/>
      <c r="F132" s="68"/>
      <c r="G132" s="70"/>
      <c r="H132" s="70"/>
      <c r="I132" s="71"/>
      <c r="J132" s="71"/>
      <c r="K132" s="72"/>
      <c r="L132" s="68"/>
      <c r="M132" s="68"/>
      <c r="N132" s="73" t="s">
        <v>213</v>
      </c>
      <c r="O132" s="73" t="s">
        <v>213</v>
      </c>
      <c r="P132" s="73" t="s">
        <v>213</v>
      </c>
      <c r="Q132" s="73" t="s">
        <v>213</v>
      </c>
      <c r="R132" s="73" t="s">
        <v>213</v>
      </c>
      <c r="S132" s="73" t="s">
        <v>213</v>
      </c>
      <c r="T132" s="74" t="s">
        <v>213</v>
      </c>
      <c r="U132" s="75" t="s">
        <v>213</v>
      </c>
      <c r="V132" s="76" t="s">
        <v>213</v>
      </c>
      <c r="W132" s="77" t="s">
        <v>213</v>
      </c>
      <c r="X132" s="76" t="s">
        <v>213</v>
      </c>
      <c r="Y132" s="74" t="s">
        <v>213</v>
      </c>
      <c r="Z132" s="77" t="s">
        <v>213</v>
      </c>
    </row>
    <row r="133" ht="36" customHeight="1">
      <c r="A133" s="68"/>
      <c r="B133" s="69"/>
      <c r="C133" s="69"/>
      <c r="D133" s="68"/>
      <c r="E133" s="68"/>
      <c r="F133" s="68"/>
      <c r="G133" s="70"/>
      <c r="H133" s="70"/>
      <c r="I133" s="71"/>
      <c r="J133" s="71"/>
      <c r="K133" s="72"/>
      <c r="L133" s="68"/>
      <c r="M133" s="68"/>
      <c r="N133" s="73" t="s">
        <v>213</v>
      </c>
      <c r="O133" s="73" t="s">
        <v>213</v>
      </c>
      <c r="P133" s="73" t="s">
        <v>213</v>
      </c>
      <c r="Q133" s="73" t="s">
        <v>213</v>
      </c>
      <c r="R133" s="73" t="s">
        <v>213</v>
      </c>
      <c r="S133" s="73" t="s">
        <v>213</v>
      </c>
      <c r="T133" s="74" t="s">
        <v>213</v>
      </c>
      <c r="U133" s="75" t="s">
        <v>213</v>
      </c>
      <c r="V133" s="76" t="s">
        <v>213</v>
      </c>
      <c r="W133" s="77" t="s">
        <v>213</v>
      </c>
      <c r="X133" s="76" t="s">
        <v>213</v>
      </c>
      <c r="Y133" s="74" t="s">
        <v>213</v>
      </c>
      <c r="Z133" s="77" t="s">
        <v>213</v>
      </c>
    </row>
    <row r="134" ht="36" customHeight="1">
      <c r="A134" s="68"/>
      <c r="B134" s="69"/>
      <c r="C134" s="69"/>
      <c r="D134" s="68"/>
      <c r="E134" s="68"/>
      <c r="F134" s="68"/>
      <c r="G134" s="70"/>
      <c r="H134" s="70"/>
      <c r="I134" s="71"/>
      <c r="J134" s="71"/>
      <c r="K134" s="72"/>
      <c r="L134" s="68"/>
      <c r="M134" s="68"/>
      <c r="N134" s="73" t="s">
        <v>213</v>
      </c>
      <c r="O134" s="73" t="s">
        <v>213</v>
      </c>
      <c r="P134" s="73" t="s">
        <v>213</v>
      </c>
      <c r="Q134" s="73" t="s">
        <v>213</v>
      </c>
      <c r="R134" s="73" t="s">
        <v>213</v>
      </c>
      <c r="S134" s="73" t="s">
        <v>213</v>
      </c>
      <c r="T134" s="74" t="s">
        <v>213</v>
      </c>
      <c r="U134" s="75" t="s">
        <v>213</v>
      </c>
      <c r="V134" s="76" t="s">
        <v>213</v>
      </c>
      <c r="W134" s="77" t="s">
        <v>213</v>
      </c>
      <c r="X134" s="76" t="s">
        <v>213</v>
      </c>
      <c r="Y134" s="74" t="s">
        <v>213</v>
      </c>
      <c r="Z134" s="77" t="s">
        <v>213</v>
      </c>
    </row>
    <row r="135" ht="36" customHeight="1">
      <c r="A135" s="68"/>
      <c r="B135" s="69"/>
      <c r="C135" s="69"/>
      <c r="D135" s="68"/>
      <c r="E135" s="68"/>
      <c r="F135" s="68"/>
      <c r="G135" s="70"/>
      <c r="H135" s="70"/>
      <c r="I135" s="71"/>
      <c r="J135" s="71"/>
      <c r="K135" s="72"/>
      <c r="L135" s="68"/>
      <c r="M135" s="68"/>
      <c r="N135" s="73" t="s">
        <v>213</v>
      </c>
      <c r="O135" s="73" t="s">
        <v>213</v>
      </c>
      <c r="P135" s="73" t="s">
        <v>213</v>
      </c>
      <c r="Q135" s="73" t="s">
        <v>213</v>
      </c>
      <c r="R135" s="73" t="s">
        <v>213</v>
      </c>
      <c r="S135" s="73" t="s">
        <v>213</v>
      </c>
      <c r="T135" s="74" t="s">
        <v>213</v>
      </c>
      <c r="U135" s="75" t="s">
        <v>213</v>
      </c>
      <c r="V135" s="76" t="s">
        <v>213</v>
      </c>
      <c r="W135" s="77" t="s">
        <v>213</v>
      </c>
      <c r="X135" s="76" t="s">
        <v>213</v>
      </c>
      <c r="Y135" s="74" t="s">
        <v>213</v>
      </c>
      <c r="Z135" s="77" t="s">
        <v>213</v>
      </c>
    </row>
    <row r="136" ht="36" customHeight="1">
      <c r="A136" s="68"/>
      <c r="B136" s="69"/>
      <c r="C136" s="69"/>
      <c r="D136" s="68"/>
      <c r="E136" s="68"/>
      <c r="F136" s="68"/>
      <c r="G136" s="70"/>
      <c r="H136" s="70"/>
      <c r="I136" s="71"/>
      <c r="J136" s="71"/>
      <c r="K136" s="72"/>
      <c r="L136" s="68"/>
      <c r="M136" s="68"/>
      <c r="N136" s="73" t="s">
        <v>213</v>
      </c>
      <c r="O136" s="73" t="s">
        <v>213</v>
      </c>
      <c r="P136" s="73" t="s">
        <v>213</v>
      </c>
      <c r="Q136" s="73" t="s">
        <v>213</v>
      </c>
      <c r="R136" s="73" t="s">
        <v>213</v>
      </c>
      <c r="S136" s="73" t="s">
        <v>213</v>
      </c>
      <c r="T136" s="74" t="s">
        <v>213</v>
      </c>
      <c r="U136" s="75" t="s">
        <v>213</v>
      </c>
      <c r="V136" s="76" t="s">
        <v>213</v>
      </c>
      <c r="W136" s="77" t="s">
        <v>213</v>
      </c>
      <c r="X136" s="76" t="s">
        <v>213</v>
      </c>
      <c r="Y136" s="74" t="s">
        <v>213</v>
      </c>
      <c r="Z136" s="77" t="s">
        <v>213</v>
      </c>
    </row>
    <row r="137" ht="36" customHeight="1">
      <c r="A137" s="68"/>
      <c r="B137" s="69"/>
      <c r="C137" s="69"/>
      <c r="D137" s="68"/>
      <c r="E137" s="68"/>
      <c r="F137" s="68"/>
      <c r="G137" s="70"/>
      <c r="H137" s="70"/>
      <c r="I137" s="71"/>
      <c r="J137" s="71"/>
      <c r="K137" s="72"/>
      <c r="L137" s="68"/>
      <c r="M137" s="68"/>
      <c r="N137" s="73" t="s">
        <v>213</v>
      </c>
      <c r="O137" s="73" t="s">
        <v>213</v>
      </c>
      <c r="P137" s="73" t="s">
        <v>213</v>
      </c>
      <c r="Q137" s="73" t="s">
        <v>213</v>
      </c>
      <c r="R137" s="73" t="s">
        <v>213</v>
      </c>
      <c r="S137" s="73" t="s">
        <v>213</v>
      </c>
      <c r="T137" s="74" t="s">
        <v>213</v>
      </c>
      <c r="U137" s="75" t="s">
        <v>213</v>
      </c>
      <c r="V137" s="76" t="s">
        <v>213</v>
      </c>
      <c r="W137" s="77" t="s">
        <v>213</v>
      </c>
      <c r="X137" s="76" t="s">
        <v>213</v>
      </c>
      <c r="Y137" s="74" t="s">
        <v>213</v>
      </c>
      <c r="Z137" s="77" t="s">
        <v>213</v>
      </c>
    </row>
    <row r="138" ht="36" customHeight="1">
      <c r="A138" s="68"/>
      <c r="B138" s="69"/>
      <c r="C138" s="69"/>
      <c r="D138" s="68"/>
      <c r="E138" s="68"/>
      <c r="F138" s="68"/>
      <c r="G138" s="70"/>
      <c r="H138" s="70"/>
      <c r="I138" s="71"/>
      <c r="J138" s="71"/>
      <c r="K138" s="72"/>
      <c r="L138" s="68"/>
      <c r="M138" s="68"/>
      <c r="N138" s="73" t="s">
        <v>213</v>
      </c>
      <c r="O138" s="73" t="s">
        <v>213</v>
      </c>
      <c r="P138" s="73" t="s">
        <v>213</v>
      </c>
      <c r="Q138" s="73" t="s">
        <v>213</v>
      </c>
      <c r="R138" s="73" t="s">
        <v>213</v>
      </c>
      <c r="S138" s="73" t="s">
        <v>213</v>
      </c>
      <c r="T138" s="74" t="s">
        <v>213</v>
      </c>
      <c r="U138" s="75" t="s">
        <v>213</v>
      </c>
      <c r="V138" s="76" t="s">
        <v>213</v>
      </c>
      <c r="W138" s="77" t="s">
        <v>213</v>
      </c>
      <c r="X138" s="76" t="s">
        <v>213</v>
      </c>
      <c r="Y138" s="74" t="s">
        <v>213</v>
      </c>
      <c r="Z138" s="77" t="s">
        <v>213</v>
      </c>
    </row>
    <row r="139" ht="36" customHeight="1">
      <c r="A139" s="68"/>
      <c r="B139" s="69"/>
      <c r="C139" s="69"/>
      <c r="D139" s="68"/>
      <c r="E139" s="68"/>
      <c r="F139" s="68"/>
      <c r="G139" s="70"/>
      <c r="H139" s="70"/>
      <c r="I139" s="71"/>
      <c r="J139" s="71"/>
      <c r="K139" s="72"/>
      <c r="L139" s="68"/>
      <c r="M139" s="68"/>
      <c r="N139" s="73" t="s">
        <v>213</v>
      </c>
      <c r="O139" s="73" t="s">
        <v>213</v>
      </c>
      <c r="P139" s="73" t="s">
        <v>213</v>
      </c>
      <c r="Q139" s="73" t="s">
        <v>213</v>
      </c>
      <c r="R139" s="73" t="s">
        <v>213</v>
      </c>
      <c r="S139" s="73" t="s">
        <v>213</v>
      </c>
      <c r="T139" s="74" t="s">
        <v>213</v>
      </c>
      <c r="U139" s="75" t="s">
        <v>213</v>
      </c>
      <c r="V139" s="76" t="s">
        <v>213</v>
      </c>
      <c r="W139" s="77" t="s">
        <v>213</v>
      </c>
      <c r="X139" s="76" t="s">
        <v>213</v>
      </c>
      <c r="Y139" s="74" t="s">
        <v>213</v>
      </c>
      <c r="Z139" s="77" t="s">
        <v>213</v>
      </c>
    </row>
    <row r="140" ht="36" customHeight="1">
      <c r="A140" s="68"/>
      <c r="B140" s="69"/>
      <c r="C140" s="69"/>
      <c r="D140" s="68"/>
      <c r="E140" s="68"/>
      <c r="F140" s="68"/>
      <c r="G140" s="70"/>
      <c r="H140" s="70"/>
      <c r="I140" s="71"/>
      <c r="J140" s="71"/>
      <c r="K140" s="72"/>
      <c r="L140" s="68"/>
      <c r="M140" s="68"/>
      <c r="N140" s="73" t="s">
        <v>213</v>
      </c>
      <c r="O140" s="73" t="s">
        <v>213</v>
      </c>
      <c r="P140" s="73" t="s">
        <v>213</v>
      </c>
      <c r="Q140" s="73" t="s">
        <v>213</v>
      </c>
      <c r="R140" s="73" t="s">
        <v>213</v>
      </c>
      <c r="S140" s="73" t="s">
        <v>213</v>
      </c>
      <c r="T140" s="74" t="s">
        <v>213</v>
      </c>
      <c r="U140" s="75" t="s">
        <v>213</v>
      </c>
      <c r="V140" s="76" t="s">
        <v>213</v>
      </c>
      <c r="W140" s="77" t="s">
        <v>213</v>
      </c>
      <c r="X140" s="76" t="s">
        <v>213</v>
      </c>
      <c r="Y140" s="74" t="s">
        <v>213</v>
      </c>
      <c r="Z140" s="77" t="s">
        <v>213</v>
      </c>
    </row>
    <row r="141" ht="36" customHeight="1">
      <c r="A141" s="68"/>
      <c r="B141" s="69"/>
      <c r="C141" s="69"/>
      <c r="D141" s="68"/>
      <c r="E141" s="68"/>
      <c r="F141" s="68"/>
      <c r="G141" s="70"/>
      <c r="H141" s="70"/>
      <c r="I141" s="71"/>
      <c r="J141" s="71"/>
      <c r="K141" s="72"/>
      <c r="L141" s="68"/>
      <c r="M141" s="68"/>
      <c r="N141" s="73" t="s">
        <v>213</v>
      </c>
      <c r="O141" s="73" t="s">
        <v>213</v>
      </c>
      <c r="P141" s="73" t="s">
        <v>213</v>
      </c>
      <c r="Q141" s="73" t="s">
        <v>213</v>
      </c>
      <c r="R141" s="73" t="s">
        <v>213</v>
      </c>
      <c r="S141" s="73" t="s">
        <v>213</v>
      </c>
      <c r="T141" s="74" t="s">
        <v>213</v>
      </c>
      <c r="U141" s="75" t="s">
        <v>213</v>
      </c>
      <c r="V141" s="76" t="s">
        <v>213</v>
      </c>
      <c r="W141" s="77" t="s">
        <v>213</v>
      </c>
      <c r="X141" s="76" t="s">
        <v>213</v>
      </c>
      <c r="Y141" s="74" t="s">
        <v>213</v>
      </c>
      <c r="Z141" s="77" t="s">
        <v>213</v>
      </c>
    </row>
    <row r="142" ht="36" customHeight="1">
      <c r="A142" s="68"/>
      <c r="B142" s="69"/>
      <c r="C142" s="69"/>
      <c r="D142" s="68"/>
      <c r="E142" s="68"/>
      <c r="F142" s="68"/>
      <c r="G142" s="70"/>
      <c r="H142" s="70"/>
      <c r="I142" s="71"/>
      <c r="J142" s="71"/>
      <c r="K142" s="72"/>
      <c r="L142" s="68"/>
      <c r="M142" s="68"/>
      <c r="N142" s="73" t="s">
        <v>213</v>
      </c>
      <c r="O142" s="73" t="s">
        <v>213</v>
      </c>
      <c r="P142" s="73" t="s">
        <v>213</v>
      </c>
      <c r="Q142" s="73" t="s">
        <v>213</v>
      </c>
      <c r="R142" s="73" t="s">
        <v>213</v>
      </c>
      <c r="S142" s="73" t="s">
        <v>213</v>
      </c>
      <c r="T142" s="74" t="s">
        <v>213</v>
      </c>
      <c r="U142" s="75" t="s">
        <v>213</v>
      </c>
      <c r="V142" s="76" t="s">
        <v>213</v>
      </c>
      <c r="W142" s="77" t="s">
        <v>213</v>
      </c>
      <c r="X142" s="76" t="s">
        <v>213</v>
      </c>
      <c r="Y142" s="74" t="s">
        <v>213</v>
      </c>
      <c r="Z142" s="77" t="s">
        <v>213</v>
      </c>
    </row>
    <row r="143" ht="36" customHeight="1">
      <c r="A143" s="68"/>
      <c r="B143" s="69"/>
      <c r="C143" s="69"/>
      <c r="D143" s="68"/>
      <c r="E143" s="68"/>
      <c r="F143" s="68"/>
      <c r="G143" s="70"/>
      <c r="H143" s="70"/>
      <c r="I143" s="71"/>
      <c r="J143" s="71"/>
      <c r="K143" s="72"/>
      <c r="L143" s="68"/>
      <c r="M143" s="68"/>
      <c r="N143" s="73" t="s">
        <v>213</v>
      </c>
      <c r="O143" s="73" t="s">
        <v>213</v>
      </c>
      <c r="P143" s="73" t="s">
        <v>213</v>
      </c>
      <c r="Q143" s="73" t="s">
        <v>213</v>
      </c>
      <c r="R143" s="73" t="s">
        <v>213</v>
      </c>
      <c r="S143" s="73" t="s">
        <v>213</v>
      </c>
      <c r="T143" s="74" t="s">
        <v>213</v>
      </c>
      <c r="U143" s="75" t="s">
        <v>213</v>
      </c>
      <c r="V143" s="76" t="s">
        <v>213</v>
      </c>
      <c r="W143" s="77" t="s">
        <v>213</v>
      </c>
      <c r="X143" s="76" t="s">
        <v>213</v>
      </c>
      <c r="Y143" s="74" t="s">
        <v>213</v>
      </c>
      <c r="Z143" s="77" t="s">
        <v>213</v>
      </c>
    </row>
    <row r="144" ht="36" customHeight="1">
      <c r="A144" s="68"/>
      <c r="B144" s="69"/>
      <c r="C144" s="69"/>
      <c r="D144" s="68"/>
      <c r="E144" s="68"/>
      <c r="F144" s="68"/>
      <c r="G144" s="70"/>
      <c r="H144" s="70"/>
      <c r="I144" s="71"/>
      <c r="J144" s="71"/>
      <c r="K144" s="72"/>
      <c r="L144" s="68"/>
      <c r="M144" s="68"/>
      <c r="N144" s="73" t="s">
        <v>213</v>
      </c>
      <c r="O144" s="73" t="s">
        <v>213</v>
      </c>
      <c r="P144" s="73" t="s">
        <v>213</v>
      </c>
      <c r="Q144" s="73" t="s">
        <v>213</v>
      </c>
      <c r="R144" s="73" t="s">
        <v>213</v>
      </c>
      <c r="S144" s="73" t="s">
        <v>213</v>
      </c>
      <c r="T144" s="74" t="s">
        <v>213</v>
      </c>
      <c r="U144" s="75" t="s">
        <v>213</v>
      </c>
      <c r="V144" s="76" t="s">
        <v>213</v>
      </c>
      <c r="W144" s="77" t="s">
        <v>213</v>
      </c>
      <c r="X144" s="76" t="s">
        <v>213</v>
      </c>
      <c r="Y144" s="74" t="s">
        <v>213</v>
      </c>
      <c r="Z144" s="77" t="s">
        <v>213</v>
      </c>
    </row>
    <row r="145" ht="36" customHeight="1">
      <c r="A145" s="68"/>
      <c r="B145" s="69"/>
      <c r="C145" s="69"/>
      <c r="D145" s="68"/>
      <c r="E145" s="68"/>
      <c r="F145" s="68"/>
      <c r="G145" s="70"/>
      <c r="H145" s="70"/>
      <c r="I145" s="71"/>
      <c r="J145" s="71"/>
      <c r="K145" s="72"/>
      <c r="L145" s="68"/>
      <c r="M145" s="68"/>
      <c r="N145" s="73" t="s">
        <v>213</v>
      </c>
      <c r="O145" s="73" t="s">
        <v>213</v>
      </c>
      <c r="P145" s="73" t="s">
        <v>213</v>
      </c>
      <c r="Q145" s="73" t="s">
        <v>213</v>
      </c>
      <c r="R145" s="73" t="s">
        <v>213</v>
      </c>
      <c r="S145" s="73" t="s">
        <v>213</v>
      </c>
      <c r="T145" s="74" t="s">
        <v>213</v>
      </c>
      <c r="U145" s="75" t="s">
        <v>213</v>
      </c>
      <c r="V145" s="76" t="s">
        <v>213</v>
      </c>
      <c r="W145" s="77" t="s">
        <v>213</v>
      </c>
      <c r="X145" s="76" t="s">
        <v>213</v>
      </c>
      <c r="Y145" s="74" t="s">
        <v>213</v>
      </c>
      <c r="Z145" s="77" t="s">
        <v>213</v>
      </c>
    </row>
    <row r="146" ht="36" customHeight="1">
      <c r="A146" s="68"/>
      <c r="B146" s="69"/>
      <c r="C146" s="69"/>
      <c r="D146" s="68"/>
      <c r="E146" s="68"/>
      <c r="F146" s="68"/>
      <c r="G146" s="70"/>
      <c r="H146" s="70"/>
      <c r="I146" s="71"/>
      <c r="J146" s="71"/>
      <c r="K146" s="72"/>
      <c r="L146" s="68"/>
      <c r="M146" s="68"/>
      <c r="N146" s="73" t="s">
        <v>213</v>
      </c>
      <c r="O146" s="73" t="s">
        <v>213</v>
      </c>
      <c r="P146" s="73" t="s">
        <v>213</v>
      </c>
      <c r="Q146" s="73" t="s">
        <v>213</v>
      </c>
      <c r="R146" s="73" t="s">
        <v>213</v>
      </c>
      <c r="S146" s="73" t="s">
        <v>213</v>
      </c>
      <c r="T146" s="74" t="s">
        <v>213</v>
      </c>
      <c r="U146" s="75" t="s">
        <v>213</v>
      </c>
      <c r="V146" s="76" t="s">
        <v>213</v>
      </c>
      <c r="W146" s="77" t="s">
        <v>213</v>
      </c>
      <c r="X146" s="76" t="s">
        <v>213</v>
      </c>
      <c r="Y146" s="74" t="s">
        <v>213</v>
      </c>
      <c r="Z146" s="77" t="s">
        <v>213</v>
      </c>
    </row>
    <row r="147" ht="36" customHeight="1">
      <c r="A147" s="68"/>
      <c r="B147" s="69"/>
      <c r="C147" s="69"/>
      <c r="D147" s="68"/>
      <c r="E147" s="68"/>
      <c r="F147" s="68"/>
      <c r="G147" s="70"/>
      <c r="H147" s="70"/>
      <c r="I147" s="71"/>
      <c r="J147" s="71"/>
      <c r="K147" s="72"/>
      <c r="L147" s="68"/>
      <c r="M147" s="68"/>
      <c r="N147" s="73" t="s">
        <v>213</v>
      </c>
      <c r="O147" s="73" t="s">
        <v>213</v>
      </c>
      <c r="P147" s="73" t="s">
        <v>213</v>
      </c>
      <c r="Q147" s="73" t="s">
        <v>213</v>
      </c>
      <c r="R147" s="73" t="s">
        <v>213</v>
      </c>
      <c r="S147" s="73" t="s">
        <v>213</v>
      </c>
      <c r="T147" s="74" t="s">
        <v>213</v>
      </c>
      <c r="U147" s="75" t="s">
        <v>213</v>
      </c>
      <c r="V147" s="76" t="s">
        <v>213</v>
      </c>
      <c r="W147" s="77" t="s">
        <v>213</v>
      </c>
      <c r="X147" s="76" t="s">
        <v>213</v>
      </c>
      <c r="Y147" s="74" t="s">
        <v>213</v>
      </c>
      <c r="Z147" s="77" t="s">
        <v>213</v>
      </c>
    </row>
    <row r="148" ht="36" customHeight="1">
      <c r="A148" s="68"/>
      <c r="B148" s="69"/>
      <c r="C148" s="69"/>
      <c r="D148" s="68"/>
      <c r="E148" s="68"/>
      <c r="F148" s="68"/>
      <c r="G148" s="70"/>
      <c r="H148" s="70"/>
      <c r="I148" s="71"/>
      <c r="J148" s="71"/>
      <c r="K148" s="72"/>
      <c r="L148" s="68"/>
      <c r="M148" s="68"/>
      <c r="N148" s="73" t="s">
        <v>213</v>
      </c>
      <c r="O148" s="73" t="s">
        <v>213</v>
      </c>
      <c r="P148" s="73" t="s">
        <v>213</v>
      </c>
      <c r="Q148" s="73" t="s">
        <v>213</v>
      </c>
      <c r="R148" s="73" t="s">
        <v>213</v>
      </c>
      <c r="S148" s="73" t="s">
        <v>213</v>
      </c>
      <c r="T148" s="74" t="s">
        <v>213</v>
      </c>
      <c r="U148" s="75" t="s">
        <v>213</v>
      </c>
      <c r="V148" s="76" t="s">
        <v>213</v>
      </c>
      <c r="W148" s="77" t="s">
        <v>213</v>
      </c>
      <c r="X148" s="76" t="s">
        <v>213</v>
      </c>
      <c r="Y148" s="74" t="s">
        <v>213</v>
      </c>
      <c r="Z148" s="77" t="s">
        <v>213</v>
      </c>
    </row>
    <row r="149" ht="36" customHeight="1">
      <c r="A149" s="68"/>
      <c r="B149" s="69"/>
      <c r="C149" s="69"/>
      <c r="D149" s="68"/>
      <c r="E149" s="68"/>
      <c r="F149" s="68"/>
      <c r="G149" s="70"/>
      <c r="H149" s="70"/>
      <c r="I149" s="71"/>
      <c r="J149" s="71"/>
      <c r="K149" s="72"/>
      <c r="L149" s="68"/>
      <c r="M149" s="68"/>
      <c r="N149" s="73" t="s">
        <v>213</v>
      </c>
      <c r="O149" s="73" t="s">
        <v>213</v>
      </c>
      <c r="P149" s="73" t="s">
        <v>213</v>
      </c>
      <c r="Q149" s="73" t="s">
        <v>213</v>
      </c>
      <c r="R149" s="73" t="s">
        <v>213</v>
      </c>
      <c r="S149" s="73" t="s">
        <v>213</v>
      </c>
      <c r="T149" s="74" t="s">
        <v>213</v>
      </c>
      <c r="U149" s="75" t="s">
        <v>213</v>
      </c>
      <c r="V149" s="76" t="s">
        <v>213</v>
      </c>
      <c r="W149" s="77" t="s">
        <v>213</v>
      </c>
      <c r="X149" s="76" t="s">
        <v>213</v>
      </c>
      <c r="Y149" s="74" t="s">
        <v>213</v>
      </c>
      <c r="Z149" s="77" t="s">
        <v>213</v>
      </c>
    </row>
    <row r="150" ht="36" customHeight="1">
      <c r="A150" s="68"/>
      <c r="B150" s="69"/>
      <c r="C150" s="69"/>
      <c r="D150" s="68"/>
      <c r="E150" s="68"/>
      <c r="F150" s="68"/>
      <c r="G150" s="70"/>
      <c r="H150" s="70"/>
      <c r="I150" s="71"/>
      <c r="J150" s="71"/>
      <c r="K150" s="72"/>
      <c r="L150" s="68"/>
      <c r="M150" s="68"/>
      <c r="N150" s="73" t="s">
        <v>213</v>
      </c>
      <c r="O150" s="73" t="s">
        <v>213</v>
      </c>
      <c r="P150" s="73" t="s">
        <v>213</v>
      </c>
      <c r="Q150" s="73" t="s">
        <v>213</v>
      </c>
      <c r="R150" s="73" t="s">
        <v>213</v>
      </c>
      <c r="S150" s="73" t="s">
        <v>213</v>
      </c>
      <c r="T150" s="74" t="s">
        <v>213</v>
      </c>
      <c r="U150" s="75" t="s">
        <v>213</v>
      </c>
      <c r="V150" s="76" t="s">
        <v>213</v>
      </c>
      <c r="W150" s="77" t="s">
        <v>213</v>
      </c>
      <c r="X150" s="76" t="s">
        <v>213</v>
      </c>
      <c r="Y150" s="74" t="s">
        <v>213</v>
      </c>
      <c r="Z150" s="77" t="s">
        <v>213</v>
      </c>
    </row>
    <row r="151" ht="36" customHeight="1">
      <c r="A151" s="68"/>
      <c r="B151" s="69"/>
      <c r="C151" s="69"/>
      <c r="D151" s="68"/>
      <c r="E151" s="68"/>
      <c r="F151" s="68"/>
      <c r="G151" s="70"/>
      <c r="H151" s="70"/>
      <c r="I151" s="71"/>
      <c r="J151" s="71"/>
      <c r="K151" s="72"/>
      <c r="L151" s="68"/>
      <c r="M151" s="68"/>
      <c r="N151" s="73" t="s">
        <v>213</v>
      </c>
      <c r="O151" s="73" t="s">
        <v>213</v>
      </c>
      <c r="P151" s="73" t="s">
        <v>213</v>
      </c>
      <c r="Q151" s="73" t="s">
        <v>213</v>
      </c>
      <c r="R151" s="73" t="s">
        <v>213</v>
      </c>
      <c r="S151" s="73" t="s">
        <v>213</v>
      </c>
      <c r="T151" s="74" t="s">
        <v>213</v>
      </c>
      <c r="U151" s="75" t="s">
        <v>213</v>
      </c>
      <c r="V151" s="76" t="s">
        <v>213</v>
      </c>
      <c r="W151" s="77" t="s">
        <v>213</v>
      </c>
      <c r="X151" s="76" t="s">
        <v>213</v>
      </c>
      <c r="Y151" s="74" t="s">
        <v>213</v>
      </c>
      <c r="Z151" s="77" t="s">
        <v>213</v>
      </c>
    </row>
    <row r="152" ht="36" customHeight="1">
      <c r="A152" s="68"/>
      <c r="B152" s="69"/>
      <c r="C152" s="69"/>
      <c r="D152" s="68"/>
      <c r="E152" s="68"/>
      <c r="F152" s="68"/>
      <c r="G152" s="70"/>
      <c r="H152" s="70"/>
      <c r="I152" s="71"/>
      <c r="J152" s="71"/>
      <c r="K152" s="72"/>
      <c r="L152" s="68"/>
      <c r="M152" s="68"/>
      <c r="N152" s="73" t="s">
        <v>213</v>
      </c>
      <c r="O152" s="73" t="s">
        <v>213</v>
      </c>
      <c r="P152" s="73" t="s">
        <v>213</v>
      </c>
      <c r="Q152" s="73" t="s">
        <v>213</v>
      </c>
      <c r="R152" s="73" t="s">
        <v>213</v>
      </c>
      <c r="S152" s="73" t="s">
        <v>213</v>
      </c>
      <c r="T152" s="74" t="s">
        <v>213</v>
      </c>
      <c r="U152" s="75" t="s">
        <v>213</v>
      </c>
      <c r="V152" s="76" t="s">
        <v>213</v>
      </c>
      <c r="W152" s="77" t="s">
        <v>213</v>
      </c>
      <c r="X152" s="76" t="s">
        <v>213</v>
      </c>
      <c r="Y152" s="74" t="s">
        <v>213</v>
      </c>
      <c r="Z152" s="77" t="s">
        <v>213</v>
      </c>
    </row>
    <row r="153" ht="36" customHeight="1">
      <c r="A153" s="68"/>
      <c r="B153" s="69"/>
      <c r="C153" s="69"/>
      <c r="D153" s="68"/>
      <c r="E153" s="68"/>
      <c r="F153" s="68"/>
      <c r="G153" s="70"/>
      <c r="H153" s="70"/>
      <c r="I153" s="71"/>
      <c r="J153" s="71"/>
      <c r="K153" s="72"/>
      <c r="L153" s="68"/>
      <c r="M153" s="68"/>
      <c r="N153" s="73" t="s">
        <v>213</v>
      </c>
      <c r="O153" s="73" t="s">
        <v>213</v>
      </c>
      <c r="P153" s="73" t="s">
        <v>213</v>
      </c>
      <c r="Q153" s="73" t="s">
        <v>213</v>
      </c>
      <c r="R153" s="73" t="s">
        <v>213</v>
      </c>
      <c r="S153" s="73" t="s">
        <v>213</v>
      </c>
      <c r="T153" s="74" t="s">
        <v>213</v>
      </c>
      <c r="U153" s="75" t="s">
        <v>213</v>
      </c>
      <c r="V153" s="76" t="s">
        <v>213</v>
      </c>
      <c r="W153" s="77" t="s">
        <v>213</v>
      </c>
      <c r="X153" s="76" t="s">
        <v>213</v>
      </c>
      <c r="Y153" s="74" t="s">
        <v>213</v>
      </c>
      <c r="Z153" s="77" t="s">
        <v>213</v>
      </c>
    </row>
    <row r="154" ht="36" customHeight="1">
      <c r="A154" s="68"/>
      <c r="B154" s="69"/>
      <c r="C154" s="69"/>
      <c r="D154" s="68"/>
      <c r="E154" s="68"/>
      <c r="F154" s="68"/>
      <c r="G154" s="70"/>
      <c r="H154" s="70"/>
      <c r="I154" s="71"/>
      <c r="J154" s="71"/>
      <c r="K154" s="72"/>
      <c r="L154" s="68"/>
      <c r="M154" s="68"/>
      <c r="N154" s="73" t="s">
        <v>213</v>
      </c>
      <c r="O154" s="73" t="s">
        <v>213</v>
      </c>
      <c r="P154" s="73" t="s">
        <v>213</v>
      </c>
      <c r="Q154" s="73" t="s">
        <v>213</v>
      </c>
      <c r="R154" s="73" t="s">
        <v>213</v>
      </c>
      <c r="S154" s="73" t="s">
        <v>213</v>
      </c>
      <c r="T154" s="74" t="s">
        <v>213</v>
      </c>
      <c r="U154" s="75" t="s">
        <v>213</v>
      </c>
      <c r="V154" s="76" t="s">
        <v>213</v>
      </c>
      <c r="W154" s="77" t="s">
        <v>213</v>
      </c>
      <c r="X154" s="76" t="s">
        <v>213</v>
      </c>
      <c r="Y154" s="74" t="s">
        <v>213</v>
      </c>
      <c r="Z154" s="77" t="s">
        <v>213</v>
      </c>
    </row>
    <row r="155" ht="36" customHeight="1">
      <c r="A155" s="68"/>
      <c r="B155" s="69"/>
      <c r="C155" s="69"/>
      <c r="D155" s="68"/>
      <c r="E155" s="68"/>
      <c r="F155" s="68"/>
      <c r="G155" s="70"/>
      <c r="H155" s="70"/>
      <c r="I155" s="71"/>
      <c r="J155" s="71"/>
      <c r="K155" s="72"/>
      <c r="L155" s="68"/>
      <c r="M155" s="68"/>
      <c r="N155" s="73" t="s">
        <v>213</v>
      </c>
      <c r="O155" s="73" t="s">
        <v>213</v>
      </c>
      <c r="P155" s="73" t="s">
        <v>213</v>
      </c>
      <c r="Q155" s="73" t="s">
        <v>213</v>
      </c>
      <c r="R155" s="73" t="s">
        <v>213</v>
      </c>
      <c r="S155" s="73" t="s">
        <v>213</v>
      </c>
      <c r="T155" s="74" t="s">
        <v>213</v>
      </c>
      <c r="U155" s="75" t="s">
        <v>213</v>
      </c>
      <c r="V155" s="76" t="s">
        <v>213</v>
      </c>
      <c r="W155" s="77" t="s">
        <v>213</v>
      </c>
      <c r="X155" s="76" t="s">
        <v>213</v>
      </c>
      <c r="Y155" s="74" t="s">
        <v>213</v>
      </c>
      <c r="Z155" s="77" t="s">
        <v>213</v>
      </c>
    </row>
    <row r="156" ht="36" customHeight="1">
      <c r="A156" s="68"/>
      <c r="B156" s="69"/>
      <c r="C156" s="69"/>
      <c r="D156" s="68"/>
      <c r="E156" s="68"/>
      <c r="F156" s="68"/>
      <c r="G156" s="70"/>
      <c r="H156" s="70"/>
      <c r="I156" s="71"/>
      <c r="J156" s="71"/>
      <c r="K156" s="72"/>
      <c r="L156" s="68"/>
      <c r="M156" s="68"/>
      <c r="N156" s="73" t="s">
        <v>213</v>
      </c>
      <c r="O156" s="73" t="s">
        <v>213</v>
      </c>
      <c r="P156" s="73" t="s">
        <v>213</v>
      </c>
      <c r="Q156" s="73" t="s">
        <v>213</v>
      </c>
      <c r="R156" s="73" t="s">
        <v>213</v>
      </c>
      <c r="S156" s="73" t="s">
        <v>213</v>
      </c>
      <c r="T156" s="74" t="s">
        <v>213</v>
      </c>
      <c r="U156" s="75" t="s">
        <v>213</v>
      </c>
      <c r="V156" s="76" t="s">
        <v>213</v>
      </c>
      <c r="W156" s="77" t="s">
        <v>213</v>
      </c>
      <c r="X156" s="76" t="s">
        <v>213</v>
      </c>
      <c r="Y156" s="74" t="s">
        <v>213</v>
      </c>
      <c r="Z156" s="77" t="s">
        <v>213</v>
      </c>
    </row>
    <row r="157" ht="36" customHeight="1">
      <c r="A157" s="68"/>
      <c r="B157" s="69"/>
      <c r="C157" s="69"/>
      <c r="D157" s="68"/>
      <c r="E157" s="68"/>
      <c r="F157" s="68"/>
      <c r="G157" s="70"/>
      <c r="H157" s="70"/>
      <c r="I157" s="71"/>
      <c r="J157" s="71"/>
      <c r="K157" s="72"/>
      <c r="L157" s="68"/>
      <c r="M157" s="68"/>
      <c r="N157" s="73" t="s">
        <v>213</v>
      </c>
      <c r="O157" s="73" t="s">
        <v>213</v>
      </c>
      <c r="P157" s="73" t="s">
        <v>213</v>
      </c>
      <c r="Q157" s="73" t="s">
        <v>213</v>
      </c>
      <c r="R157" s="73" t="s">
        <v>213</v>
      </c>
      <c r="S157" s="73" t="s">
        <v>213</v>
      </c>
      <c r="T157" s="74" t="s">
        <v>213</v>
      </c>
      <c r="U157" s="75" t="s">
        <v>213</v>
      </c>
      <c r="V157" s="76" t="s">
        <v>213</v>
      </c>
      <c r="W157" s="77" t="s">
        <v>213</v>
      </c>
      <c r="X157" s="76" t="s">
        <v>213</v>
      </c>
      <c r="Y157" s="74" t="s">
        <v>213</v>
      </c>
      <c r="Z157" s="77" t="s">
        <v>213</v>
      </c>
    </row>
    <row r="158" ht="36" customHeight="1">
      <c r="A158" s="68"/>
      <c r="B158" s="69"/>
      <c r="C158" s="69"/>
      <c r="D158" s="68"/>
      <c r="E158" s="68"/>
      <c r="F158" s="68"/>
      <c r="G158" s="70"/>
      <c r="H158" s="70"/>
      <c r="I158" s="71"/>
      <c r="J158" s="71"/>
      <c r="K158" s="72"/>
      <c r="L158" s="68"/>
      <c r="M158" s="68"/>
      <c r="N158" s="73" t="s">
        <v>213</v>
      </c>
      <c r="O158" s="73" t="s">
        <v>213</v>
      </c>
      <c r="P158" s="73" t="s">
        <v>213</v>
      </c>
      <c r="Q158" s="73" t="s">
        <v>213</v>
      </c>
      <c r="R158" s="73" t="s">
        <v>213</v>
      </c>
      <c r="S158" s="73" t="s">
        <v>213</v>
      </c>
      <c r="T158" s="74" t="s">
        <v>213</v>
      </c>
      <c r="U158" s="75" t="s">
        <v>213</v>
      </c>
      <c r="V158" s="76" t="s">
        <v>213</v>
      </c>
      <c r="W158" s="77" t="s">
        <v>213</v>
      </c>
      <c r="X158" s="76" t="s">
        <v>213</v>
      </c>
      <c r="Y158" s="74" t="s">
        <v>213</v>
      </c>
      <c r="Z158" s="77" t="s">
        <v>213</v>
      </c>
    </row>
    <row r="159" ht="36" customHeight="1">
      <c r="A159" s="68"/>
      <c r="B159" s="69"/>
      <c r="C159" s="69"/>
      <c r="D159" s="68"/>
      <c r="E159" s="68"/>
      <c r="F159" s="68"/>
      <c r="G159" s="70"/>
      <c r="H159" s="70"/>
      <c r="I159" s="71"/>
      <c r="J159" s="71"/>
      <c r="K159" s="72"/>
      <c r="L159" s="68"/>
      <c r="M159" s="68"/>
      <c r="N159" s="73" t="s">
        <v>213</v>
      </c>
      <c r="O159" s="73" t="s">
        <v>213</v>
      </c>
      <c r="P159" s="73" t="s">
        <v>213</v>
      </c>
      <c r="Q159" s="73" t="s">
        <v>213</v>
      </c>
      <c r="R159" s="73" t="s">
        <v>213</v>
      </c>
      <c r="S159" s="73" t="s">
        <v>213</v>
      </c>
      <c r="T159" s="74" t="s">
        <v>213</v>
      </c>
      <c r="U159" s="75" t="s">
        <v>213</v>
      </c>
      <c r="V159" s="76" t="s">
        <v>213</v>
      </c>
      <c r="W159" s="77" t="s">
        <v>213</v>
      </c>
      <c r="X159" s="76" t="s">
        <v>213</v>
      </c>
      <c r="Y159" s="74" t="s">
        <v>213</v>
      </c>
      <c r="Z159" s="77" t="s">
        <v>213</v>
      </c>
    </row>
    <row r="160" ht="36" customHeight="1">
      <c r="A160" s="68"/>
      <c r="B160" s="69"/>
      <c r="C160" s="69"/>
      <c r="D160" s="68"/>
      <c r="E160" s="68"/>
      <c r="F160" s="68"/>
      <c r="G160" s="70"/>
      <c r="H160" s="70"/>
      <c r="I160" s="71"/>
      <c r="J160" s="71"/>
      <c r="K160" s="72"/>
      <c r="L160" s="68"/>
      <c r="M160" s="68"/>
      <c r="N160" s="73" t="s">
        <v>213</v>
      </c>
      <c r="O160" s="73" t="s">
        <v>213</v>
      </c>
      <c r="P160" s="73" t="s">
        <v>213</v>
      </c>
      <c r="Q160" s="73" t="s">
        <v>213</v>
      </c>
      <c r="R160" s="73" t="s">
        <v>213</v>
      </c>
      <c r="S160" s="73" t="s">
        <v>213</v>
      </c>
      <c r="T160" s="74" t="s">
        <v>213</v>
      </c>
      <c r="U160" s="75" t="s">
        <v>213</v>
      </c>
      <c r="V160" s="76" t="s">
        <v>213</v>
      </c>
      <c r="W160" s="77" t="s">
        <v>213</v>
      </c>
      <c r="X160" s="76" t="s">
        <v>213</v>
      </c>
      <c r="Y160" s="74" t="s">
        <v>213</v>
      </c>
      <c r="Z160" s="77" t="s">
        <v>213</v>
      </c>
    </row>
    <row r="161" ht="36" customHeight="1">
      <c r="A161" s="68"/>
      <c r="B161" s="69"/>
      <c r="C161" s="69"/>
      <c r="D161" s="68"/>
      <c r="E161" s="68"/>
      <c r="F161" s="68"/>
      <c r="G161" s="70"/>
      <c r="H161" s="70"/>
      <c r="I161" s="71"/>
      <c r="J161" s="71"/>
      <c r="K161" s="72"/>
      <c r="L161" s="68"/>
      <c r="M161" s="68"/>
      <c r="N161" s="73" t="s">
        <v>213</v>
      </c>
      <c r="O161" s="73" t="s">
        <v>213</v>
      </c>
      <c r="P161" s="73" t="s">
        <v>213</v>
      </c>
      <c r="Q161" s="73" t="s">
        <v>213</v>
      </c>
      <c r="R161" s="73" t="s">
        <v>213</v>
      </c>
      <c r="S161" s="73" t="s">
        <v>213</v>
      </c>
      <c r="T161" s="74" t="s">
        <v>213</v>
      </c>
      <c r="U161" s="75" t="s">
        <v>213</v>
      </c>
      <c r="V161" s="76" t="s">
        <v>213</v>
      </c>
      <c r="W161" s="77" t="s">
        <v>213</v>
      </c>
      <c r="X161" s="76" t="s">
        <v>213</v>
      </c>
      <c r="Y161" s="74" t="s">
        <v>213</v>
      </c>
      <c r="Z161" s="77" t="s">
        <v>213</v>
      </c>
    </row>
    <row r="162" ht="36" customHeight="1">
      <c r="A162" s="68"/>
      <c r="B162" s="69"/>
      <c r="C162" s="69"/>
      <c r="D162" s="68"/>
      <c r="E162" s="68"/>
      <c r="F162" s="68"/>
      <c r="G162" s="70"/>
      <c r="H162" s="70"/>
      <c r="I162" s="71"/>
      <c r="J162" s="71"/>
      <c r="K162" s="72"/>
      <c r="L162" s="68"/>
      <c r="M162" s="68"/>
      <c r="N162" s="73" t="s">
        <v>213</v>
      </c>
      <c r="O162" s="73" t="s">
        <v>213</v>
      </c>
      <c r="P162" s="73" t="s">
        <v>213</v>
      </c>
      <c r="Q162" s="73" t="s">
        <v>213</v>
      </c>
      <c r="R162" s="73" t="s">
        <v>213</v>
      </c>
      <c r="S162" s="73" t="s">
        <v>213</v>
      </c>
      <c r="T162" s="74" t="s">
        <v>213</v>
      </c>
      <c r="U162" s="75" t="s">
        <v>213</v>
      </c>
      <c r="V162" s="76" t="s">
        <v>213</v>
      </c>
      <c r="W162" s="77" t="s">
        <v>213</v>
      </c>
      <c r="X162" s="76" t="s">
        <v>213</v>
      </c>
      <c r="Y162" s="74" t="s">
        <v>213</v>
      </c>
      <c r="Z162" s="77" t="s">
        <v>213</v>
      </c>
    </row>
    <row r="163" ht="36" customHeight="1">
      <c r="A163" s="68"/>
      <c r="B163" s="69"/>
      <c r="C163" s="69"/>
      <c r="D163" s="68"/>
      <c r="E163" s="68"/>
      <c r="F163" s="68"/>
      <c r="G163" s="70"/>
      <c r="H163" s="70"/>
      <c r="I163" s="71"/>
      <c r="J163" s="71"/>
      <c r="K163" s="72"/>
      <c r="L163" s="68"/>
      <c r="M163" s="68"/>
      <c r="N163" s="73" t="s">
        <v>213</v>
      </c>
      <c r="O163" s="73" t="s">
        <v>213</v>
      </c>
      <c r="P163" s="73" t="s">
        <v>213</v>
      </c>
      <c r="Q163" s="73" t="s">
        <v>213</v>
      </c>
      <c r="R163" s="73" t="s">
        <v>213</v>
      </c>
      <c r="S163" s="73" t="s">
        <v>213</v>
      </c>
      <c r="T163" s="74" t="s">
        <v>213</v>
      </c>
      <c r="U163" s="75" t="s">
        <v>213</v>
      </c>
      <c r="V163" s="76" t="s">
        <v>213</v>
      </c>
      <c r="W163" s="77" t="s">
        <v>213</v>
      </c>
      <c r="X163" s="76" t="s">
        <v>213</v>
      </c>
      <c r="Y163" s="74" t="s">
        <v>213</v>
      </c>
      <c r="Z163" s="77" t="s">
        <v>213</v>
      </c>
    </row>
    <row r="164" ht="36" customHeight="1">
      <c r="A164" s="68"/>
      <c r="B164" s="69"/>
      <c r="C164" s="69"/>
      <c r="D164" s="68"/>
      <c r="E164" s="68"/>
      <c r="F164" s="68"/>
      <c r="G164" s="70"/>
      <c r="H164" s="70"/>
      <c r="I164" s="71"/>
      <c r="J164" s="71"/>
      <c r="K164" s="72"/>
      <c r="L164" s="68"/>
      <c r="M164" s="68"/>
      <c r="N164" s="73" t="s">
        <v>213</v>
      </c>
      <c r="O164" s="73" t="s">
        <v>213</v>
      </c>
      <c r="P164" s="73" t="s">
        <v>213</v>
      </c>
      <c r="Q164" s="73" t="s">
        <v>213</v>
      </c>
      <c r="R164" s="73" t="s">
        <v>213</v>
      </c>
      <c r="S164" s="73" t="s">
        <v>213</v>
      </c>
      <c r="T164" s="74" t="s">
        <v>213</v>
      </c>
      <c r="U164" s="75" t="s">
        <v>213</v>
      </c>
      <c r="V164" s="76" t="s">
        <v>213</v>
      </c>
      <c r="W164" s="77" t="s">
        <v>213</v>
      </c>
      <c r="X164" s="76" t="s">
        <v>213</v>
      </c>
      <c r="Y164" s="74" t="s">
        <v>213</v>
      </c>
      <c r="Z164" s="77" t="s">
        <v>213</v>
      </c>
    </row>
    <row r="165" ht="36" customHeight="1">
      <c r="A165" s="68"/>
      <c r="B165" s="69"/>
      <c r="C165" s="69"/>
      <c r="D165" s="68"/>
      <c r="E165" s="68"/>
      <c r="F165" s="68"/>
      <c r="G165" s="70"/>
      <c r="H165" s="70"/>
      <c r="I165" s="71"/>
      <c r="J165" s="71"/>
      <c r="K165" s="72"/>
      <c r="L165" s="68"/>
      <c r="M165" s="68"/>
      <c r="N165" s="73" t="s">
        <v>213</v>
      </c>
      <c r="O165" s="73" t="s">
        <v>213</v>
      </c>
      <c r="P165" s="73" t="s">
        <v>213</v>
      </c>
      <c r="Q165" s="73" t="s">
        <v>213</v>
      </c>
      <c r="R165" s="73" t="s">
        <v>213</v>
      </c>
      <c r="S165" s="73" t="s">
        <v>213</v>
      </c>
      <c r="T165" s="74" t="s">
        <v>213</v>
      </c>
      <c r="U165" s="75" t="s">
        <v>213</v>
      </c>
      <c r="V165" s="76" t="s">
        <v>213</v>
      </c>
      <c r="W165" s="77" t="s">
        <v>213</v>
      </c>
      <c r="X165" s="76" t="s">
        <v>213</v>
      </c>
      <c r="Y165" s="74" t="s">
        <v>213</v>
      </c>
      <c r="Z165" s="77" t="s">
        <v>213</v>
      </c>
    </row>
    <row r="166" ht="36" customHeight="1">
      <c r="A166" s="68"/>
      <c r="B166" s="69"/>
      <c r="C166" s="69"/>
      <c r="D166" s="68"/>
      <c r="E166" s="68"/>
      <c r="F166" s="68"/>
      <c r="G166" s="70"/>
      <c r="H166" s="70"/>
      <c r="I166" s="71"/>
      <c r="J166" s="71"/>
      <c r="K166" s="72"/>
      <c r="L166" s="68"/>
      <c r="M166" s="68"/>
      <c r="N166" s="73" t="s">
        <v>213</v>
      </c>
      <c r="O166" s="73" t="s">
        <v>213</v>
      </c>
      <c r="P166" s="73" t="s">
        <v>213</v>
      </c>
      <c r="Q166" s="73" t="s">
        <v>213</v>
      </c>
      <c r="R166" s="73" t="s">
        <v>213</v>
      </c>
      <c r="S166" s="73" t="s">
        <v>213</v>
      </c>
      <c r="T166" s="74" t="s">
        <v>213</v>
      </c>
      <c r="U166" s="75" t="s">
        <v>213</v>
      </c>
      <c r="V166" s="76" t="s">
        <v>213</v>
      </c>
      <c r="W166" s="77" t="s">
        <v>213</v>
      </c>
      <c r="X166" s="76" t="s">
        <v>213</v>
      </c>
      <c r="Y166" s="74" t="s">
        <v>213</v>
      </c>
      <c r="Z166" s="77" t="s">
        <v>213</v>
      </c>
    </row>
    <row r="167" ht="36" customHeight="1">
      <c r="A167" s="68"/>
      <c r="B167" s="69"/>
      <c r="C167" s="69"/>
      <c r="D167" s="68"/>
      <c r="E167" s="68"/>
      <c r="F167" s="68"/>
      <c r="G167" s="70"/>
      <c r="H167" s="70"/>
      <c r="I167" s="71"/>
      <c r="J167" s="71"/>
      <c r="K167" s="72"/>
      <c r="L167" s="68"/>
      <c r="M167" s="68"/>
      <c r="N167" s="73" t="s">
        <v>213</v>
      </c>
      <c r="O167" s="73" t="s">
        <v>213</v>
      </c>
      <c r="P167" s="73" t="s">
        <v>213</v>
      </c>
      <c r="Q167" s="73" t="s">
        <v>213</v>
      </c>
      <c r="R167" s="73" t="s">
        <v>213</v>
      </c>
      <c r="S167" s="73" t="s">
        <v>213</v>
      </c>
      <c r="T167" s="74" t="s">
        <v>213</v>
      </c>
      <c r="U167" s="75" t="s">
        <v>213</v>
      </c>
      <c r="V167" s="76" t="s">
        <v>213</v>
      </c>
      <c r="W167" s="77" t="s">
        <v>213</v>
      </c>
      <c r="X167" s="76" t="s">
        <v>213</v>
      </c>
      <c r="Y167" s="74" t="s">
        <v>213</v>
      </c>
      <c r="Z167" s="77" t="s">
        <v>213</v>
      </c>
    </row>
    <row r="168" ht="36" customHeight="1">
      <c r="A168" s="68"/>
      <c r="B168" s="69"/>
      <c r="C168" s="69"/>
      <c r="D168" s="68"/>
      <c r="E168" s="68"/>
      <c r="F168" s="68"/>
      <c r="G168" s="70"/>
      <c r="H168" s="70"/>
      <c r="I168" s="71"/>
      <c r="J168" s="71"/>
      <c r="K168" s="72"/>
      <c r="L168" s="68"/>
      <c r="M168" s="68"/>
      <c r="N168" s="73" t="s">
        <v>213</v>
      </c>
      <c r="O168" s="73" t="s">
        <v>213</v>
      </c>
      <c r="P168" s="73" t="s">
        <v>213</v>
      </c>
      <c r="Q168" s="73" t="s">
        <v>213</v>
      </c>
      <c r="R168" s="73" t="s">
        <v>213</v>
      </c>
      <c r="S168" s="73" t="s">
        <v>213</v>
      </c>
      <c r="T168" s="74" t="s">
        <v>213</v>
      </c>
      <c r="U168" s="75" t="s">
        <v>213</v>
      </c>
      <c r="V168" s="76" t="s">
        <v>213</v>
      </c>
      <c r="W168" s="77" t="s">
        <v>213</v>
      </c>
      <c r="X168" s="76" t="s">
        <v>213</v>
      </c>
      <c r="Y168" s="74" t="s">
        <v>213</v>
      </c>
      <c r="Z168" s="77" t="s">
        <v>213</v>
      </c>
    </row>
    <row r="169" ht="36" customHeight="1">
      <c r="A169" s="68"/>
      <c r="B169" s="69"/>
      <c r="C169" s="69"/>
      <c r="D169" s="68"/>
      <c r="E169" s="68"/>
      <c r="F169" s="68"/>
      <c r="G169" s="70"/>
      <c r="H169" s="70"/>
      <c r="I169" s="71"/>
      <c r="J169" s="71"/>
      <c r="K169" s="72"/>
      <c r="L169" s="68"/>
      <c r="M169" s="68"/>
      <c r="N169" s="73" t="s">
        <v>213</v>
      </c>
      <c r="O169" s="73" t="s">
        <v>213</v>
      </c>
      <c r="P169" s="73" t="s">
        <v>213</v>
      </c>
      <c r="Q169" s="73" t="s">
        <v>213</v>
      </c>
      <c r="R169" s="73" t="s">
        <v>213</v>
      </c>
      <c r="S169" s="73" t="s">
        <v>213</v>
      </c>
      <c r="T169" s="74" t="s">
        <v>213</v>
      </c>
      <c r="U169" s="75" t="s">
        <v>213</v>
      </c>
      <c r="V169" s="76" t="s">
        <v>213</v>
      </c>
      <c r="W169" s="77" t="s">
        <v>213</v>
      </c>
      <c r="X169" s="76" t="s">
        <v>213</v>
      </c>
      <c r="Y169" s="74" t="s">
        <v>213</v>
      </c>
      <c r="Z169" s="77" t="s">
        <v>213</v>
      </c>
    </row>
    <row r="170" ht="36" customHeight="1">
      <c r="A170" s="68"/>
      <c r="B170" s="69"/>
      <c r="C170" s="69"/>
      <c r="D170" s="68"/>
      <c r="E170" s="68"/>
      <c r="F170" s="68"/>
      <c r="G170" s="70"/>
      <c r="H170" s="70"/>
      <c r="I170" s="71"/>
      <c r="J170" s="71"/>
      <c r="K170" s="72"/>
      <c r="L170" s="68"/>
      <c r="M170" s="68"/>
      <c r="N170" s="73" t="s">
        <v>213</v>
      </c>
      <c r="O170" s="73" t="s">
        <v>213</v>
      </c>
      <c r="P170" s="73" t="s">
        <v>213</v>
      </c>
      <c r="Q170" s="73" t="s">
        <v>213</v>
      </c>
      <c r="R170" s="73" t="s">
        <v>213</v>
      </c>
      <c r="S170" s="73" t="s">
        <v>213</v>
      </c>
      <c r="T170" s="74" t="s">
        <v>213</v>
      </c>
      <c r="U170" s="75" t="s">
        <v>213</v>
      </c>
      <c r="V170" s="76" t="s">
        <v>213</v>
      </c>
      <c r="W170" s="77" t="s">
        <v>213</v>
      </c>
      <c r="X170" s="76" t="s">
        <v>213</v>
      </c>
      <c r="Y170" s="74" t="s">
        <v>213</v>
      </c>
      <c r="Z170" s="77" t="s">
        <v>213</v>
      </c>
    </row>
    <row r="171" ht="36" customHeight="1">
      <c r="A171" s="68"/>
      <c r="B171" s="69"/>
      <c r="C171" s="69"/>
      <c r="D171" s="68"/>
      <c r="E171" s="68"/>
      <c r="F171" s="68"/>
      <c r="G171" s="70"/>
      <c r="H171" s="70"/>
      <c r="I171" s="71"/>
      <c r="J171" s="71"/>
      <c r="K171" s="72"/>
      <c r="L171" s="68"/>
      <c r="M171" s="68"/>
      <c r="N171" s="73" t="s">
        <v>213</v>
      </c>
      <c r="O171" s="73" t="s">
        <v>213</v>
      </c>
      <c r="P171" s="73" t="s">
        <v>213</v>
      </c>
      <c r="Q171" s="73" t="s">
        <v>213</v>
      </c>
      <c r="R171" s="73" t="s">
        <v>213</v>
      </c>
      <c r="S171" s="73" t="s">
        <v>213</v>
      </c>
      <c r="T171" s="74" t="s">
        <v>213</v>
      </c>
      <c r="U171" s="75" t="s">
        <v>213</v>
      </c>
      <c r="V171" s="76" t="s">
        <v>213</v>
      </c>
      <c r="W171" s="77" t="s">
        <v>213</v>
      </c>
      <c r="X171" s="76" t="s">
        <v>213</v>
      </c>
      <c r="Y171" s="74" t="s">
        <v>213</v>
      </c>
      <c r="Z171" s="77" t="s">
        <v>213</v>
      </c>
    </row>
    <row r="172" ht="36" customHeight="1">
      <c r="A172" s="68"/>
      <c r="B172" s="69"/>
      <c r="C172" s="69"/>
      <c r="D172" s="68"/>
      <c r="E172" s="68"/>
      <c r="F172" s="68"/>
      <c r="G172" s="70"/>
      <c r="H172" s="70"/>
      <c r="I172" s="71"/>
      <c r="J172" s="71"/>
      <c r="K172" s="72"/>
      <c r="L172" s="68"/>
      <c r="M172" s="68"/>
      <c r="N172" s="73" t="s">
        <v>213</v>
      </c>
      <c r="O172" s="73" t="s">
        <v>213</v>
      </c>
      <c r="P172" s="73" t="s">
        <v>213</v>
      </c>
      <c r="Q172" s="73" t="s">
        <v>213</v>
      </c>
      <c r="R172" s="73" t="s">
        <v>213</v>
      </c>
      <c r="S172" s="73" t="s">
        <v>213</v>
      </c>
      <c r="T172" s="74" t="s">
        <v>213</v>
      </c>
      <c r="U172" s="75" t="s">
        <v>213</v>
      </c>
      <c r="V172" s="76" t="s">
        <v>213</v>
      </c>
      <c r="W172" s="77" t="s">
        <v>213</v>
      </c>
      <c r="X172" s="76" t="s">
        <v>213</v>
      </c>
      <c r="Y172" s="74" t="s">
        <v>213</v>
      </c>
      <c r="Z172" s="77" t="s">
        <v>213</v>
      </c>
    </row>
    <row r="173" ht="36" customHeight="1">
      <c r="A173" s="68"/>
      <c r="B173" s="69"/>
      <c r="C173" s="69"/>
      <c r="D173" s="68"/>
      <c r="E173" s="68"/>
      <c r="F173" s="68"/>
      <c r="G173" s="70"/>
      <c r="H173" s="70"/>
      <c r="I173" s="71"/>
      <c r="J173" s="71"/>
      <c r="K173" s="72"/>
      <c r="L173" s="68"/>
      <c r="M173" s="68"/>
      <c r="N173" s="73" t="s">
        <v>213</v>
      </c>
      <c r="O173" s="73" t="s">
        <v>213</v>
      </c>
      <c r="P173" s="73" t="s">
        <v>213</v>
      </c>
      <c r="Q173" s="73" t="s">
        <v>213</v>
      </c>
      <c r="R173" s="73" t="s">
        <v>213</v>
      </c>
      <c r="S173" s="73" t="s">
        <v>213</v>
      </c>
      <c r="T173" s="74" t="s">
        <v>213</v>
      </c>
      <c r="U173" s="75" t="s">
        <v>213</v>
      </c>
      <c r="V173" s="76" t="s">
        <v>213</v>
      </c>
      <c r="W173" s="77" t="s">
        <v>213</v>
      </c>
      <c r="X173" s="76" t="s">
        <v>213</v>
      </c>
      <c r="Y173" s="74" t="s">
        <v>213</v>
      </c>
      <c r="Z173" s="77" t="s">
        <v>213</v>
      </c>
    </row>
    <row r="174" ht="36" customHeight="1">
      <c r="A174" s="68"/>
      <c r="B174" s="69"/>
      <c r="C174" s="69"/>
      <c r="D174" s="68"/>
      <c r="E174" s="68"/>
      <c r="F174" s="68"/>
      <c r="G174" s="70"/>
      <c r="H174" s="70"/>
      <c r="I174" s="71"/>
      <c r="J174" s="71"/>
      <c r="K174" s="72"/>
      <c r="L174" s="68"/>
      <c r="M174" s="68"/>
      <c r="N174" s="73" t="s">
        <v>213</v>
      </c>
      <c r="O174" s="73" t="s">
        <v>213</v>
      </c>
      <c r="P174" s="73" t="s">
        <v>213</v>
      </c>
      <c r="Q174" s="73" t="s">
        <v>213</v>
      </c>
      <c r="R174" s="73" t="s">
        <v>213</v>
      </c>
      <c r="S174" s="73" t="s">
        <v>213</v>
      </c>
      <c r="T174" s="74" t="s">
        <v>213</v>
      </c>
      <c r="U174" s="75" t="s">
        <v>213</v>
      </c>
      <c r="V174" s="76" t="s">
        <v>213</v>
      </c>
      <c r="W174" s="77" t="s">
        <v>213</v>
      </c>
      <c r="X174" s="76" t="s">
        <v>213</v>
      </c>
      <c r="Y174" s="74" t="s">
        <v>213</v>
      </c>
      <c r="Z174" s="77" t="s">
        <v>213</v>
      </c>
    </row>
    <row r="175" ht="36" customHeight="1">
      <c r="A175" s="68"/>
      <c r="B175" s="69"/>
      <c r="C175" s="69"/>
      <c r="D175" s="68"/>
      <c r="E175" s="68"/>
      <c r="F175" s="68"/>
      <c r="G175" s="70"/>
      <c r="H175" s="70"/>
      <c r="I175" s="71"/>
      <c r="J175" s="71"/>
      <c r="K175" s="72"/>
      <c r="L175" s="68"/>
      <c r="M175" s="68"/>
      <c r="N175" s="73" t="s">
        <v>213</v>
      </c>
      <c r="O175" s="73" t="s">
        <v>213</v>
      </c>
      <c r="P175" s="73" t="s">
        <v>213</v>
      </c>
      <c r="Q175" s="73" t="s">
        <v>213</v>
      </c>
      <c r="R175" s="73" t="s">
        <v>213</v>
      </c>
      <c r="S175" s="73" t="s">
        <v>213</v>
      </c>
      <c r="T175" s="74" t="s">
        <v>213</v>
      </c>
      <c r="U175" s="75" t="s">
        <v>213</v>
      </c>
      <c r="V175" s="76" t="s">
        <v>213</v>
      </c>
      <c r="W175" s="77" t="s">
        <v>213</v>
      </c>
      <c r="X175" s="76" t="s">
        <v>213</v>
      </c>
      <c r="Y175" s="74" t="s">
        <v>213</v>
      </c>
      <c r="Z175" s="77" t="s">
        <v>213</v>
      </c>
    </row>
    <row r="176" ht="36" customHeight="1">
      <c r="A176" s="68"/>
      <c r="B176" s="69"/>
      <c r="C176" s="69"/>
      <c r="D176" s="68"/>
      <c r="E176" s="68"/>
      <c r="F176" s="68"/>
      <c r="G176" s="70"/>
      <c r="H176" s="70"/>
      <c r="I176" s="71"/>
      <c r="J176" s="71"/>
      <c r="K176" s="72"/>
      <c r="L176" s="68"/>
      <c r="M176" s="68"/>
      <c r="N176" s="73" t="s">
        <v>213</v>
      </c>
      <c r="O176" s="73" t="s">
        <v>213</v>
      </c>
      <c r="P176" s="73" t="s">
        <v>213</v>
      </c>
      <c r="Q176" s="73" t="s">
        <v>213</v>
      </c>
      <c r="R176" s="73" t="s">
        <v>213</v>
      </c>
      <c r="S176" s="73" t="s">
        <v>213</v>
      </c>
      <c r="T176" s="74" t="s">
        <v>213</v>
      </c>
      <c r="U176" s="75" t="s">
        <v>213</v>
      </c>
      <c r="V176" s="76" t="s">
        <v>213</v>
      </c>
      <c r="W176" s="77" t="s">
        <v>213</v>
      </c>
      <c r="X176" s="76" t="s">
        <v>213</v>
      </c>
      <c r="Y176" s="74" t="s">
        <v>213</v>
      </c>
      <c r="Z176" s="77" t="s">
        <v>213</v>
      </c>
    </row>
    <row r="177" ht="36" customHeight="1">
      <c r="A177" s="68"/>
      <c r="B177" s="69"/>
      <c r="C177" s="69"/>
      <c r="D177" s="68"/>
      <c r="E177" s="68"/>
      <c r="F177" s="68"/>
      <c r="G177" s="70"/>
      <c r="H177" s="70"/>
      <c r="I177" s="71"/>
      <c r="J177" s="71"/>
      <c r="K177" s="72"/>
      <c r="L177" s="68"/>
      <c r="M177" s="68"/>
      <c r="N177" s="73" t="s">
        <v>213</v>
      </c>
      <c r="O177" s="73" t="s">
        <v>213</v>
      </c>
      <c r="P177" s="73" t="s">
        <v>213</v>
      </c>
      <c r="Q177" s="73" t="s">
        <v>213</v>
      </c>
      <c r="R177" s="73" t="s">
        <v>213</v>
      </c>
      <c r="S177" s="73" t="s">
        <v>213</v>
      </c>
      <c r="T177" s="74" t="s">
        <v>213</v>
      </c>
      <c r="U177" s="75" t="s">
        <v>213</v>
      </c>
      <c r="V177" s="76" t="s">
        <v>213</v>
      </c>
      <c r="W177" s="77" t="s">
        <v>213</v>
      </c>
      <c r="X177" s="76" t="s">
        <v>213</v>
      </c>
      <c r="Y177" s="74" t="s">
        <v>213</v>
      </c>
      <c r="Z177" s="77" t="s">
        <v>213</v>
      </c>
    </row>
    <row r="178" ht="36" customHeight="1">
      <c r="A178" s="68"/>
      <c r="B178" s="69"/>
      <c r="C178" s="69"/>
      <c r="D178" s="68"/>
      <c r="E178" s="68"/>
      <c r="F178" s="68"/>
      <c r="G178" s="70"/>
      <c r="H178" s="70"/>
      <c r="I178" s="71"/>
      <c r="J178" s="71"/>
      <c r="K178" s="72"/>
      <c r="L178" s="68"/>
      <c r="M178" s="68"/>
      <c r="N178" s="73" t="s">
        <v>213</v>
      </c>
      <c r="O178" s="73" t="s">
        <v>213</v>
      </c>
      <c r="P178" s="73" t="s">
        <v>213</v>
      </c>
      <c r="Q178" s="73" t="s">
        <v>213</v>
      </c>
      <c r="R178" s="73" t="s">
        <v>213</v>
      </c>
      <c r="S178" s="73" t="s">
        <v>213</v>
      </c>
      <c r="T178" s="74" t="s">
        <v>213</v>
      </c>
      <c r="U178" s="75" t="s">
        <v>213</v>
      </c>
      <c r="V178" s="76" t="s">
        <v>213</v>
      </c>
      <c r="W178" s="77" t="s">
        <v>213</v>
      </c>
      <c r="X178" s="76" t="s">
        <v>213</v>
      </c>
      <c r="Y178" s="74" t="s">
        <v>213</v>
      </c>
      <c r="Z178" s="77" t="s">
        <v>213</v>
      </c>
    </row>
    <row r="179" ht="36" customHeight="1">
      <c r="A179" s="68"/>
      <c r="B179" s="69"/>
      <c r="C179" s="69"/>
      <c r="D179" s="68"/>
      <c r="E179" s="68"/>
      <c r="F179" s="68"/>
      <c r="G179" s="70"/>
      <c r="H179" s="70"/>
      <c r="I179" s="71"/>
      <c r="J179" s="71"/>
      <c r="K179" s="72"/>
      <c r="L179" s="68"/>
      <c r="M179" s="68"/>
      <c r="N179" s="73" t="s">
        <v>213</v>
      </c>
      <c r="O179" s="73" t="s">
        <v>213</v>
      </c>
      <c r="P179" s="73" t="s">
        <v>213</v>
      </c>
      <c r="Q179" s="73" t="s">
        <v>213</v>
      </c>
      <c r="R179" s="73" t="s">
        <v>213</v>
      </c>
      <c r="S179" s="73" t="s">
        <v>213</v>
      </c>
      <c r="T179" s="74" t="s">
        <v>213</v>
      </c>
      <c r="U179" s="75" t="s">
        <v>213</v>
      </c>
      <c r="V179" s="76" t="s">
        <v>213</v>
      </c>
      <c r="W179" s="77" t="s">
        <v>213</v>
      </c>
      <c r="X179" s="76" t="s">
        <v>213</v>
      </c>
      <c r="Y179" s="74" t="s">
        <v>213</v>
      </c>
      <c r="Z179" s="77" t="s">
        <v>213</v>
      </c>
    </row>
    <row r="180" ht="36" customHeight="1">
      <c r="A180" s="68"/>
      <c r="B180" s="69"/>
      <c r="C180" s="69"/>
      <c r="D180" s="68"/>
      <c r="E180" s="68"/>
      <c r="F180" s="68"/>
      <c r="G180" s="70"/>
      <c r="H180" s="70"/>
      <c r="I180" s="71"/>
      <c r="J180" s="71"/>
      <c r="K180" s="72"/>
      <c r="L180" s="68"/>
      <c r="M180" s="68"/>
      <c r="N180" s="73" t="s">
        <v>213</v>
      </c>
      <c r="O180" s="73" t="s">
        <v>213</v>
      </c>
      <c r="P180" s="73" t="s">
        <v>213</v>
      </c>
      <c r="Q180" s="73" t="s">
        <v>213</v>
      </c>
      <c r="R180" s="73" t="s">
        <v>213</v>
      </c>
      <c r="S180" s="73" t="s">
        <v>213</v>
      </c>
      <c r="T180" s="74" t="s">
        <v>213</v>
      </c>
      <c r="U180" s="75" t="s">
        <v>213</v>
      </c>
      <c r="V180" s="76" t="s">
        <v>213</v>
      </c>
      <c r="W180" s="77" t="s">
        <v>213</v>
      </c>
      <c r="X180" s="76" t="s">
        <v>213</v>
      </c>
      <c r="Y180" s="74" t="s">
        <v>213</v>
      </c>
      <c r="Z180" s="77" t="s">
        <v>213</v>
      </c>
    </row>
    <row r="181" ht="36" customHeight="1">
      <c r="A181" s="68"/>
      <c r="B181" s="69"/>
      <c r="C181" s="69"/>
      <c r="D181" s="68"/>
      <c r="E181" s="68"/>
      <c r="F181" s="68"/>
      <c r="G181" s="70"/>
      <c r="H181" s="70"/>
      <c r="I181" s="71"/>
      <c r="J181" s="71"/>
      <c r="K181" s="72"/>
      <c r="L181" s="68"/>
      <c r="M181" s="68"/>
      <c r="N181" s="73" t="s">
        <v>213</v>
      </c>
      <c r="O181" s="73" t="s">
        <v>213</v>
      </c>
      <c r="P181" s="73" t="s">
        <v>213</v>
      </c>
      <c r="Q181" s="73" t="s">
        <v>213</v>
      </c>
      <c r="R181" s="73" t="s">
        <v>213</v>
      </c>
      <c r="S181" s="73" t="s">
        <v>213</v>
      </c>
      <c r="T181" s="74" t="s">
        <v>213</v>
      </c>
      <c r="U181" s="75" t="s">
        <v>213</v>
      </c>
      <c r="V181" s="76" t="s">
        <v>213</v>
      </c>
      <c r="W181" s="77" t="s">
        <v>213</v>
      </c>
      <c r="X181" s="76" t="s">
        <v>213</v>
      </c>
      <c r="Y181" s="74" t="s">
        <v>213</v>
      </c>
      <c r="Z181" s="77" t="s">
        <v>213</v>
      </c>
    </row>
    <row r="182" ht="36" customHeight="1">
      <c r="A182" s="68"/>
      <c r="B182" s="69"/>
      <c r="C182" s="69"/>
      <c r="D182" s="68"/>
      <c r="E182" s="68"/>
      <c r="F182" s="68"/>
      <c r="G182" s="70"/>
      <c r="H182" s="70"/>
      <c r="I182" s="71"/>
      <c r="J182" s="71"/>
      <c r="K182" s="72"/>
      <c r="L182" s="68"/>
      <c r="M182" s="68"/>
      <c r="N182" s="73" t="s">
        <v>213</v>
      </c>
      <c r="O182" s="73" t="s">
        <v>213</v>
      </c>
      <c r="P182" s="73" t="s">
        <v>213</v>
      </c>
      <c r="Q182" s="73" t="s">
        <v>213</v>
      </c>
      <c r="R182" s="73" t="s">
        <v>213</v>
      </c>
      <c r="S182" s="73" t="s">
        <v>213</v>
      </c>
      <c r="T182" s="74" t="s">
        <v>213</v>
      </c>
      <c r="U182" s="75" t="s">
        <v>213</v>
      </c>
      <c r="V182" s="76" t="s">
        <v>213</v>
      </c>
      <c r="W182" s="77" t="s">
        <v>213</v>
      </c>
      <c r="X182" s="76" t="s">
        <v>213</v>
      </c>
      <c r="Y182" s="74" t="s">
        <v>213</v>
      </c>
      <c r="Z182" s="77" t="s">
        <v>213</v>
      </c>
    </row>
    <row r="183" ht="36" customHeight="1">
      <c r="A183" s="68"/>
      <c r="B183" s="69"/>
      <c r="C183" s="69"/>
      <c r="D183" s="68"/>
      <c r="E183" s="68"/>
      <c r="F183" s="68"/>
      <c r="G183" s="70"/>
      <c r="H183" s="70"/>
      <c r="I183" s="71"/>
      <c r="J183" s="71"/>
      <c r="K183" s="72"/>
      <c r="L183" s="68"/>
      <c r="M183" s="68"/>
      <c r="N183" s="73" t="s">
        <v>213</v>
      </c>
      <c r="O183" s="73" t="s">
        <v>213</v>
      </c>
      <c r="P183" s="73" t="s">
        <v>213</v>
      </c>
      <c r="Q183" s="73" t="s">
        <v>213</v>
      </c>
      <c r="R183" s="73" t="s">
        <v>213</v>
      </c>
      <c r="S183" s="73" t="s">
        <v>213</v>
      </c>
      <c r="T183" s="74" t="s">
        <v>213</v>
      </c>
      <c r="U183" s="75" t="s">
        <v>213</v>
      </c>
      <c r="V183" s="76" t="s">
        <v>213</v>
      </c>
      <c r="W183" s="77" t="s">
        <v>213</v>
      </c>
      <c r="X183" s="76" t="s">
        <v>213</v>
      </c>
      <c r="Y183" s="74" t="s">
        <v>213</v>
      </c>
      <c r="Z183" s="77" t="s">
        <v>213</v>
      </c>
    </row>
    <row r="184" ht="36" customHeight="1">
      <c r="A184" s="68"/>
      <c r="B184" s="69"/>
      <c r="C184" s="69"/>
      <c r="D184" s="68"/>
      <c r="E184" s="68"/>
      <c r="F184" s="68"/>
      <c r="G184" s="70"/>
      <c r="H184" s="70"/>
      <c r="I184" s="71"/>
      <c r="J184" s="71"/>
      <c r="K184" s="72"/>
      <c r="L184" s="68"/>
      <c r="M184" s="68"/>
      <c r="N184" s="73" t="s">
        <v>213</v>
      </c>
      <c r="O184" s="73" t="s">
        <v>213</v>
      </c>
      <c r="P184" s="73" t="s">
        <v>213</v>
      </c>
      <c r="Q184" s="73" t="s">
        <v>213</v>
      </c>
      <c r="R184" s="73" t="s">
        <v>213</v>
      </c>
      <c r="S184" s="73" t="s">
        <v>213</v>
      </c>
      <c r="T184" s="74" t="s">
        <v>213</v>
      </c>
      <c r="U184" s="75" t="s">
        <v>213</v>
      </c>
      <c r="V184" s="76" t="s">
        <v>213</v>
      </c>
      <c r="W184" s="77" t="s">
        <v>213</v>
      </c>
      <c r="X184" s="76" t="s">
        <v>213</v>
      </c>
      <c r="Y184" s="74" t="s">
        <v>213</v>
      </c>
      <c r="Z184" s="77" t="s">
        <v>213</v>
      </c>
    </row>
    <row r="185" ht="36" customHeight="1">
      <c r="A185" s="68"/>
      <c r="B185" s="69"/>
      <c r="C185" s="69"/>
      <c r="D185" s="68"/>
      <c r="E185" s="68"/>
      <c r="F185" s="68"/>
      <c r="G185" s="70"/>
      <c r="H185" s="70"/>
      <c r="I185" s="71"/>
      <c r="J185" s="71"/>
      <c r="K185" s="72"/>
      <c r="L185" s="68"/>
      <c r="M185" s="68"/>
      <c r="N185" s="73" t="s">
        <v>213</v>
      </c>
      <c r="O185" s="73" t="s">
        <v>213</v>
      </c>
      <c r="P185" s="73" t="s">
        <v>213</v>
      </c>
      <c r="Q185" s="73" t="s">
        <v>213</v>
      </c>
      <c r="R185" s="73" t="s">
        <v>213</v>
      </c>
      <c r="S185" s="73" t="s">
        <v>213</v>
      </c>
      <c r="T185" s="74" t="s">
        <v>213</v>
      </c>
      <c r="U185" s="75" t="s">
        <v>213</v>
      </c>
      <c r="V185" s="76" t="s">
        <v>213</v>
      </c>
      <c r="W185" s="77" t="s">
        <v>213</v>
      </c>
      <c r="X185" s="76" t="s">
        <v>213</v>
      </c>
      <c r="Y185" s="74" t="s">
        <v>213</v>
      </c>
      <c r="Z185" s="77" t="s">
        <v>213</v>
      </c>
    </row>
    <row r="186" ht="36" customHeight="1">
      <c r="A186" s="68"/>
      <c r="B186" s="69"/>
      <c r="C186" s="69"/>
      <c r="D186" s="68"/>
      <c r="E186" s="68"/>
      <c r="F186" s="68"/>
      <c r="G186" s="70"/>
      <c r="H186" s="70"/>
      <c r="I186" s="71"/>
      <c r="J186" s="71"/>
      <c r="K186" s="72"/>
      <c r="L186" s="68"/>
      <c r="M186" s="68"/>
      <c r="N186" s="73" t="s">
        <v>213</v>
      </c>
      <c r="O186" s="73" t="s">
        <v>213</v>
      </c>
      <c r="P186" s="73" t="s">
        <v>213</v>
      </c>
      <c r="Q186" s="73" t="s">
        <v>213</v>
      </c>
      <c r="R186" s="73" t="s">
        <v>213</v>
      </c>
      <c r="S186" s="73" t="s">
        <v>213</v>
      </c>
      <c r="T186" s="74" t="s">
        <v>213</v>
      </c>
      <c r="U186" s="75" t="s">
        <v>213</v>
      </c>
      <c r="V186" s="76" t="s">
        <v>213</v>
      </c>
      <c r="W186" s="77" t="s">
        <v>213</v>
      </c>
      <c r="X186" s="76" t="s">
        <v>213</v>
      </c>
      <c r="Y186" s="74" t="s">
        <v>213</v>
      </c>
      <c r="Z186" s="77" t="s">
        <v>213</v>
      </c>
    </row>
    <row r="187" ht="36" customHeight="1">
      <c r="A187" s="68"/>
      <c r="B187" s="69"/>
      <c r="C187" s="69"/>
      <c r="D187" s="68"/>
      <c r="E187" s="68"/>
      <c r="F187" s="68"/>
      <c r="G187" s="70"/>
      <c r="H187" s="70"/>
      <c r="I187" s="71"/>
      <c r="J187" s="71"/>
      <c r="K187" s="72"/>
      <c r="L187" s="68"/>
      <c r="M187" s="68"/>
      <c r="N187" s="73" t="s">
        <v>213</v>
      </c>
      <c r="O187" s="73" t="s">
        <v>213</v>
      </c>
      <c r="P187" s="73" t="s">
        <v>213</v>
      </c>
      <c r="Q187" s="73" t="s">
        <v>213</v>
      </c>
      <c r="R187" s="73" t="s">
        <v>213</v>
      </c>
      <c r="S187" s="73" t="s">
        <v>213</v>
      </c>
      <c r="T187" s="74" t="s">
        <v>213</v>
      </c>
      <c r="U187" s="75" t="s">
        <v>213</v>
      </c>
      <c r="V187" s="76" t="s">
        <v>213</v>
      </c>
      <c r="W187" s="77" t="s">
        <v>213</v>
      </c>
      <c r="X187" s="76" t="s">
        <v>213</v>
      </c>
      <c r="Y187" s="74" t="s">
        <v>213</v>
      </c>
      <c r="Z187" s="77" t="s">
        <v>213</v>
      </c>
    </row>
    <row r="188" ht="36" customHeight="1">
      <c r="A188" s="68"/>
      <c r="B188" s="69"/>
      <c r="C188" s="69"/>
      <c r="D188" s="68"/>
      <c r="E188" s="68"/>
      <c r="F188" s="68"/>
      <c r="G188" s="70"/>
      <c r="H188" s="70"/>
      <c r="I188" s="71"/>
      <c r="J188" s="71"/>
      <c r="K188" s="72"/>
      <c r="L188" s="68"/>
      <c r="M188" s="68"/>
      <c r="N188" s="73" t="s">
        <v>213</v>
      </c>
      <c r="O188" s="73" t="s">
        <v>213</v>
      </c>
      <c r="P188" s="73" t="s">
        <v>213</v>
      </c>
      <c r="Q188" s="73" t="s">
        <v>213</v>
      </c>
      <c r="R188" s="73" t="s">
        <v>213</v>
      </c>
      <c r="S188" s="73" t="s">
        <v>213</v>
      </c>
      <c r="T188" s="74" t="s">
        <v>213</v>
      </c>
      <c r="U188" s="75" t="s">
        <v>213</v>
      </c>
      <c r="V188" s="76" t="s">
        <v>213</v>
      </c>
      <c r="W188" s="77" t="s">
        <v>213</v>
      </c>
      <c r="X188" s="76" t="s">
        <v>213</v>
      </c>
      <c r="Y188" s="74" t="s">
        <v>213</v>
      </c>
      <c r="Z188" s="77" t="s">
        <v>213</v>
      </c>
    </row>
    <row r="189" ht="36" customHeight="1">
      <c r="A189" s="68"/>
      <c r="B189" s="69"/>
      <c r="C189" s="69"/>
      <c r="D189" s="68"/>
      <c r="E189" s="68"/>
      <c r="F189" s="68"/>
      <c r="G189" s="70"/>
      <c r="H189" s="70"/>
      <c r="I189" s="71"/>
      <c r="J189" s="71"/>
      <c r="K189" s="72"/>
      <c r="L189" s="68"/>
      <c r="M189" s="68"/>
      <c r="N189" s="73" t="s">
        <v>213</v>
      </c>
      <c r="O189" s="73" t="s">
        <v>213</v>
      </c>
      <c r="P189" s="73" t="s">
        <v>213</v>
      </c>
      <c r="Q189" s="73" t="s">
        <v>213</v>
      </c>
      <c r="R189" s="73" t="s">
        <v>213</v>
      </c>
      <c r="S189" s="73" t="s">
        <v>213</v>
      </c>
      <c r="T189" s="74" t="s">
        <v>213</v>
      </c>
      <c r="U189" s="75" t="s">
        <v>213</v>
      </c>
      <c r="V189" s="76" t="s">
        <v>213</v>
      </c>
      <c r="W189" s="77" t="s">
        <v>213</v>
      </c>
      <c r="X189" s="76" t="s">
        <v>213</v>
      </c>
      <c r="Y189" s="74" t="s">
        <v>213</v>
      </c>
      <c r="Z189" s="77" t="s">
        <v>213</v>
      </c>
    </row>
    <row r="190" ht="36" customHeight="1">
      <c r="A190" s="68"/>
      <c r="B190" s="69"/>
      <c r="C190" s="69"/>
      <c r="D190" s="68"/>
      <c r="E190" s="68"/>
      <c r="F190" s="68"/>
      <c r="G190" s="70"/>
      <c r="H190" s="70"/>
      <c r="I190" s="71"/>
      <c r="J190" s="71"/>
      <c r="K190" s="72"/>
      <c r="L190" s="68"/>
      <c r="M190" s="68"/>
      <c r="N190" s="73" t="s">
        <v>213</v>
      </c>
      <c r="O190" s="73" t="s">
        <v>213</v>
      </c>
      <c r="P190" s="73" t="s">
        <v>213</v>
      </c>
      <c r="Q190" s="73" t="s">
        <v>213</v>
      </c>
      <c r="R190" s="73" t="s">
        <v>213</v>
      </c>
      <c r="S190" s="73" t="s">
        <v>213</v>
      </c>
      <c r="T190" s="74" t="s">
        <v>213</v>
      </c>
      <c r="U190" s="75" t="s">
        <v>213</v>
      </c>
      <c r="V190" s="76" t="s">
        <v>213</v>
      </c>
      <c r="W190" s="77" t="s">
        <v>213</v>
      </c>
      <c r="X190" s="76" t="s">
        <v>213</v>
      </c>
      <c r="Y190" s="74" t="s">
        <v>213</v>
      </c>
      <c r="Z190" s="77" t="s">
        <v>213</v>
      </c>
    </row>
    <row r="191" ht="36" customHeight="1">
      <c r="A191" s="68"/>
      <c r="B191" s="69"/>
      <c r="C191" s="69"/>
      <c r="D191" s="68"/>
      <c r="E191" s="68"/>
      <c r="F191" s="68"/>
      <c r="G191" s="70"/>
      <c r="H191" s="70"/>
      <c r="I191" s="71"/>
      <c r="J191" s="71"/>
      <c r="K191" s="72"/>
      <c r="L191" s="68"/>
      <c r="M191" s="68"/>
      <c r="N191" s="73" t="s">
        <v>213</v>
      </c>
      <c r="O191" s="73" t="s">
        <v>213</v>
      </c>
      <c r="P191" s="73" t="s">
        <v>213</v>
      </c>
      <c r="Q191" s="73" t="s">
        <v>213</v>
      </c>
      <c r="R191" s="73" t="s">
        <v>213</v>
      </c>
      <c r="S191" s="73" t="s">
        <v>213</v>
      </c>
      <c r="T191" s="74" t="s">
        <v>213</v>
      </c>
      <c r="U191" s="75" t="s">
        <v>213</v>
      </c>
      <c r="V191" s="76" t="s">
        <v>213</v>
      </c>
      <c r="W191" s="77" t="s">
        <v>213</v>
      </c>
      <c r="X191" s="76" t="s">
        <v>213</v>
      </c>
      <c r="Y191" s="74" t="s">
        <v>213</v>
      </c>
      <c r="Z191" s="77" t="s">
        <v>213</v>
      </c>
    </row>
    <row r="192" ht="36" customHeight="1">
      <c r="A192" s="68"/>
      <c r="B192" s="69"/>
      <c r="C192" s="69"/>
      <c r="D192" s="68"/>
      <c r="E192" s="68"/>
      <c r="F192" s="68"/>
      <c r="G192" s="70"/>
      <c r="H192" s="70"/>
      <c r="I192" s="71"/>
      <c r="J192" s="71"/>
      <c r="K192" s="72"/>
      <c r="L192" s="68"/>
      <c r="M192" s="68"/>
      <c r="N192" s="73" t="s">
        <v>213</v>
      </c>
      <c r="O192" s="73" t="s">
        <v>213</v>
      </c>
      <c r="P192" s="73" t="s">
        <v>213</v>
      </c>
      <c r="Q192" s="73" t="s">
        <v>213</v>
      </c>
      <c r="R192" s="73" t="s">
        <v>213</v>
      </c>
      <c r="S192" s="73" t="s">
        <v>213</v>
      </c>
      <c r="T192" s="74" t="s">
        <v>213</v>
      </c>
      <c r="U192" s="75" t="s">
        <v>213</v>
      </c>
      <c r="V192" s="76" t="s">
        <v>213</v>
      </c>
      <c r="W192" s="77" t="s">
        <v>213</v>
      </c>
      <c r="X192" s="76" t="s">
        <v>213</v>
      </c>
      <c r="Y192" s="74" t="s">
        <v>213</v>
      </c>
      <c r="Z192" s="77" t="s">
        <v>213</v>
      </c>
    </row>
    <row r="193" ht="36" customHeight="1">
      <c r="A193" s="68"/>
      <c r="B193" s="69"/>
      <c r="C193" s="69"/>
      <c r="D193" s="68"/>
      <c r="E193" s="68"/>
      <c r="F193" s="68"/>
      <c r="G193" s="70"/>
      <c r="H193" s="70"/>
      <c r="I193" s="71"/>
      <c r="J193" s="71"/>
      <c r="K193" s="72"/>
      <c r="L193" s="68"/>
      <c r="M193" s="68"/>
      <c r="N193" s="73" t="s">
        <v>213</v>
      </c>
      <c r="O193" s="73" t="s">
        <v>213</v>
      </c>
      <c r="P193" s="73" t="s">
        <v>213</v>
      </c>
      <c r="Q193" s="73" t="s">
        <v>213</v>
      </c>
      <c r="R193" s="73" t="s">
        <v>213</v>
      </c>
      <c r="S193" s="73" t="s">
        <v>213</v>
      </c>
      <c r="T193" s="74" t="s">
        <v>213</v>
      </c>
      <c r="U193" s="75" t="s">
        <v>213</v>
      </c>
      <c r="V193" s="76" t="s">
        <v>213</v>
      </c>
      <c r="W193" s="77" t="s">
        <v>213</v>
      </c>
      <c r="X193" s="76" t="s">
        <v>213</v>
      </c>
      <c r="Y193" s="74" t="s">
        <v>213</v>
      </c>
      <c r="Z193" s="77" t="s">
        <v>213</v>
      </c>
    </row>
    <row r="194" ht="36" customHeight="1">
      <c r="A194" s="68"/>
      <c r="B194" s="69"/>
      <c r="C194" s="69"/>
      <c r="D194" s="68"/>
      <c r="E194" s="68"/>
      <c r="F194" s="68"/>
      <c r="G194" s="70"/>
      <c r="H194" s="70"/>
      <c r="I194" s="71"/>
      <c r="J194" s="71"/>
      <c r="K194" s="72"/>
      <c r="L194" s="68"/>
      <c r="M194" s="68"/>
      <c r="N194" s="73" t="s">
        <v>213</v>
      </c>
      <c r="O194" s="73" t="s">
        <v>213</v>
      </c>
      <c r="P194" s="73" t="s">
        <v>213</v>
      </c>
      <c r="Q194" s="73" t="s">
        <v>213</v>
      </c>
      <c r="R194" s="73" t="s">
        <v>213</v>
      </c>
      <c r="S194" s="73" t="s">
        <v>213</v>
      </c>
      <c r="T194" s="74" t="s">
        <v>213</v>
      </c>
      <c r="U194" s="75" t="s">
        <v>213</v>
      </c>
      <c r="V194" s="76" t="s">
        <v>213</v>
      </c>
      <c r="W194" s="77" t="s">
        <v>213</v>
      </c>
      <c r="X194" s="76" t="s">
        <v>213</v>
      </c>
      <c r="Y194" s="74" t="s">
        <v>213</v>
      </c>
      <c r="Z194" s="77" t="s">
        <v>213</v>
      </c>
    </row>
    <row r="195" ht="36" customHeight="1">
      <c r="A195" s="68"/>
      <c r="B195" s="69"/>
      <c r="C195" s="69"/>
      <c r="D195" s="68"/>
      <c r="E195" s="68"/>
      <c r="F195" s="68"/>
      <c r="G195" s="70"/>
      <c r="H195" s="70"/>
      <c r="I195" s="71"/>
      <c r="J195" s="71"/>
      <c r="K195" s="72"/>
      <c r="L195" s="68"/>
      <c r="M195" s="68"/>
      <c r="N195" s="73" t="s">
        <v>213</v>
      </c>
      <c r="O195" s="73" t="s">
        <v>213</v>
      </c>
      <c r="P195" s="73" t="s">
        <v>213</v>
      </c>
      <c r="Q195" s="73" t="s">
        <v>213</v>
      </c>
      <c r="R195" s="73" t="s">
        <v>213</v>
      </c>
      <c r="S195" s="73" t="s">
        <v>213</v>
      </c>
      <c r="T195" s="74" t="s">
        <v>213</v>
      </c>
      <c r="U195" s="75" t="s">
        <v>213</v>
      </c>
      <c r="V195" s="76" t="s">
        <v>213</v>
      </c>
      <c r="W195" s="77" t="s">
        <v>213</v>
      </c>
      <c r="X195" s="76" t="s">
        <v>213</v>
      </c>
      <c r="Y195" s="74" t="s">
        <v>213</v>
      </c>
      <c r="Z195" s="77" t="s">
        <v>213</v>
      </c>
    </row>
    <row r="196" ht="36" customHeight="1">
      <c r="A196" s="68"/>
      <c r="B196" s="69"/>
      <c r="C196" s="69"/>
      <c r="D196" s="68"/>
      <c r="E196" s="68"/>
      <c r="F196" s="68"/>
      <c r="G196" s="70"/>
      <c r="H196" s="70"/>
      <c r="I196" s="71"/>
      <c r="J196" s="71"/>
      <c r="K196" s="72"/>
      <c r="L196" s="68"/>
      <c r="M196" s="68"/>
      <c r="N196" s="73" t="s">
        <v>213</v>
      </c>
      <c r="O196" s="73" t="s">
        <v>213</v>
      </c>
      <c r="P196" s="73" t="s">
        <v>213</v>
      </c>
      <c r="Q196" s="73" t="s">
        <v>213</v>
      </c>
      <c r="R196" s="73" t="s">
        <v>213</v>
      </c>
      <c r="S196" s="73" t="s">
        <v>213</v>
      </c>
      <c r="T196" s="74" t="s">
        <v>213</v>
      </c>
      <c r="U196" s="75" t="s">
        <v>213</v>
      </c>
      <c r="V196" s="76" t="s">
        <v>213</v>
      </c>
      <c r="W196" s="77" t="s">
        <v>213</v>
      </c>
      <c r="X196" s="76" t="s">
        <v>213</v>
      </c>
      <c r="Y196" s="74" t="s">
        <v>213</v>
      </c>
      <c r="Z196" s="77" t="s">
        <v>213</v>
      </c>
    </row>
    <row r="197" ht="36" customHeight="1">
      <c r="A197" s="68"/>
      <c r="B197" s="69"/>
      <c r="C197" s="69"/>
      <c r="D197" s="68"/>
      <c r="E197" s="68"/>
      <c r="F197" s="68"/>
      <c r="G197" s="70"/>
      <c r="H197" s="70"/>
      <c r="I197" s="71"/>
      <c r="J197" s="71"/>
      <c r="K197" s="72"/>
      <c r="L197" s="68"/>
      <c r="M197" s="68"/>
      <c r="N197" s="73" t="s">
        <v>213</v>
      </c>
      <c r="O197" s="73" t="s">
        <v>213</v>
      </c>
      <c r="P197" s="73" t="s">
        <v>213</v>
      </c>
      <c r="Q197" s="73" t="s">
        <v>213</v>
      </c>
      <c r="R197" s="73" t="s">
        <v>213</v>
      </c>
      <c r="S197" s="73" t="s">
        <v>213</v>
      </c>
      <c r="T197" s="74" t="s">
        <v>213</v>
      </c>
      <c r="U197" s="75" t="s">
        <v>213</v>
      </c>
      <c r="V197" s="76" t="s">
        <v>213</v>
      </c>
      <c r="W197" s="77" t="s">
        <v>213</v>
      </c>
      <c r="X197" s="76" t="s">
        <v>213</v>
      </c>
      <c r="Y197" s="74" t="s">
        <v>213</v>
      </c>
      <c r="Z197" s="77" t="s">
        <v>213</v>
      </c>
    </row>
    <row r="198" ht="36" customHeight="1">
      <c r="A198" s="68"/>
      <c r="B198" s="69"/>
      <c r="C198" s="69"/>
      <c r="D198" s="68"/>
      <c r="E198" s="68"/>
      <c r="F198" s="68"/>
      <c r="G198" s="70"/>
      <c r="H198" s="70"/>
      <c r="I198" s="71"/>
      <c r="J198" s="71"/>
      <c r="K198" s="72"/>
      <c r="L198" s="68"/>
      <c r="M198" s="68"/>
      <c r="N198" s="73" t="s">
        <v>213</v>
      </c>
      <c r="O198" s="73" t="s">
        <v>213</v>
      </c>
      <c r="P198" s="73" t="s">
        <v>213</v>
      </c>
      <c r="Q198" s="73" t="s">
        <v>213</v>
      </c>
      <c r="R198" s="73" t="s">
        <v>213</v>
      </c>
      <c r="S198" s="73" t="s">
        <v>213</v>
      </c>
      <c r="T198" s="74" t="s">
        <v>213</v>
      </c>
      <c r="U198" s="75" t="s">
        <v>213</v>
      </c>
      <c r="V198" s="76" t="s">
        <v>213</v>
      </c>
      <c r="W198" s="77" t="s">
        <v>213</v>
      </c>
      <c r="X198" s="76" t="s">
        <v>213</v>
      </c>
      <c r="Y198" s="74" t="s">
        <v>213</v>
      </c>
      <c r="Z198" s="77" t="s">
        <v>213</v>
      </c>
    </row>
    <row r="199" ht="36" customHeight="1">
      <c r="A199" s="68"/>
      <c r="B199" s="69"/>
      <c r="C199" s="69"/>
      <c r="D199" s="68"/>
      <c r="E199" s="68"/>
      <c r="F199" s="68"/>
      <c r="G199" s="70"/>
      <c r="H199" s="70"/>
      <c r="I199" s="71"/>
      <c r="J199" s="71"/>
      <c r="K199" s="72"/>
      <c r="L199" s="68"/>
      <c r="M199" s="68"/>
      <c r="N199" s="73" t="s">
        <v>213</v>
      </c>
      <c r="O199" s="73" t="s">
        <v>213</v>
      </c>
      <c r="P199" s="73" t="s">
        <v>213</v>
      </c>
      <c r="Q199" s="73" t="s">
        <v>213</v>
      </c>
      <c r="R199" s="73" t="s">
        <v>213</v>
      </c>
      <c r="S199" s="73" t="s">
        <v>213</v>
      </c>
      <c r="T199" s="74" t="s">
        <v>213</v>
      </c>
      <c r="U199" s="75" t="s">
        <v>213</v>
      </c>
      <c r="V199" s="76" t="s">
        <v>213</v>
      </c>
      <c r="W199" s="77" t="s">
        <v>213</v>
      </c>
      <c r="X199" s="76" t="s">
        <v>213</v>
      </c>
      <c r="Y199" s="74" t="s">
        <v>213</v>
      </c>
      <c r="Z199" s="77" t="s">
        <v>213</v>
      </c>
    </row>
    <row r="200" ht="36" customHeight="1">
      <c r="A200" s="68"/>
      <c r="B200" s="69"/>
      <c r="C200" s="69"/>
      <c r="D200" s="68"/>
      <c r="E200" s="68"/>
      <c r="F200" s="68"/>
      <c r="G200" s="70"/>
      <c r="H200" s="70"/>
      <c r="I200" s="71"/>
      <c r="J200" s="71"/>
      <c r="K200" s="72"/>
      <c r="L200" s="68"/>
      <c r="M200" s="68"/>
      <c r="N200" s="73" t="s">
        <v>213</v>
      </c>
      <c r="O200" s="73" t="s">
        <v>213</v>
      </c>
      <c r="P200" s="73" t="s">
        <v>213</v>
      </c>
      <c r="Q200" s="73" t="s">
        <v>213</v>
      </c>
      <c r="R200" s="73" t="s">
        <v>213</v>
      </c>
      <c r="S200" s="73" t="s">
        <v>213</v>
      </c>
      <c r="T200" s="74" t="s">
        <v>213</v>
      </c>
      <c r="U200" s="75" t="s">
        <v>213</v>
      </c>
      <c r="V200" s="76" t="s">
        <v>213</v>
      </c>
      <c r="W200" s="77" t="s">
        <v>213</v>
      </c>
      <c r="X200" s="76" t="s">
        <v>213</v>
      </c>
      <c r="Y200" s="74" t="s">
        <v>213</v>
      </c>
      <c r="Z200" s="77" t="s">
        <v>213</v>
      </c>
    </row>
    <row r="201" ht="36" customHeight="1">
      <c r="A201" s="68"/>
      <c r="B201" s="69"/>
      <c r="C201" s="69"/>
      <c r="D201" s="68"/>
      <c r="E201" s="68"/>
      <c r="F201" s="68"/>
      <c r="G201" s="70"/>
      <c r="H201" s="70"/>
      <c r="I201" s="71"/>
      <c r="J201" s="71"/>
      <c r="K201" s="72"/>
      <c r="L201" s="68"/>
      <c r="M201" s="68"/>
      <c r="N201" s="73" t="s">
        <v>213</v>
      </c>
      <c r="O201" s="73" t="s">
        <v>213</v>
      </c>
      <c r="P201" s="73" t="s">
        <v>213</v>
      </c>
      <c r="Q201" s="73" t="s">
        <v>213</v>
      </c>
      <c r="R201" s="73" t="s">
        <v>213</v>
      </c>
      <c r="S201" s="73" t="s">
        <v>213</v>
      </c>
      <c r="T201" s="74" t="s">
        <v>213</v>
      </c>
      <c r="U201" s="75" t="s">
        <v>213</v>
      </c>
      <c r="V201" s="76" t="s">
        <v>213</v>
      </c>
      <c r="W201" s="77" t="s">
        <v>213</v>
      </c>
      <c r="X201" s="76" t="s">
        <v>213</v>
      </c>
      <c r="Y201" s="74" t="s">
        <v>213</v>
      </c>
      <c r="Z201" s="77" t="s">
        <v>213</v>
      </c>
    </row>
    <row r="202" ht="36" customHeight="1">
      <c r="A202" s="68"/>
      <c r="B202" s="69"/>
      <c r="C202" s="69"/>
      <c r="D202" s="68"/>
      <c r="E202" s="68"/>
      <c r="F202" s="68"/>
      <c r="G202" s="70"/>
      <c r="H202" s="70"/>
      <c r="I202" s="71"/>
      <c r="J202" s="71"/>
      <c r="K202" s="72"/>
      <c r="L202" s="68"/>
      <c r="M202" s="68"/>
      <c r="N202" s="73" t="s">
        <v>213</v>
      </c>
      <c r="O202" s="73" t="s">
        <v>213</v>
      </c>
      <c r="P202" s="73" t="s">
        <v>213</v>
      </c>
      <c r="Q202" s="73" t="s">
        <v>213</v>
      </c>
      <c r="R202" s="73" t="s">
        <v>213</v>
      </c>
      <c r="S202" s="73" t="s">
        <v>213</v>
      </c>
      <c r="T202" s="74" t="s">
        <v>213</v>
      </c>
      <c r="U202" s="75" t="s">
        <v>213</v>
      </c>
      <c r="V202" s="76" t="s">
        <v>213</v>
      </c>
      <c r="W202" s="77" t="s">
        <v>213</v>
      </c>
      <c r="X202" s="76" t="s">
        <v>213</v>
      </c>
      <c r="Y202" s="74" t="s">
        <v>213</v>
      </c>
      <c r="Z202" s="77" t="s">
        <v>213</v>
      </c>
    </row>
    <row r="203" ht="36" customHeight="1">
      <c r="A203" s="68"/>
      <c r="B203" s="69"/>
      <c r="C203" s="69"/>
      <c r="D203" s="68"/>
      <c r="E203" s="68"/>
      <c r="F203" s="68"/>
      <c r="G203" s="70"/>
      <c r="H203" s="70"/>
      <c r="I203" s="71"/>
      <c r="J203" s="71"/>
      <c r="K203" s="72"/>
      <c r="L203" s="68"/>
      <c r="M203" s="68"/>
      <c r="N203" s="73" t="s">
        <v>213</v>
      </c>
      <c r="O203" s="73" t="s">
        <v>213</v>
      </c>
      <c r="P203" s="73" t="s">
        <v>213</v>
      </c>
      <c r="Q203" s="73" t="s">
        <v>213</v>
      </c>
      <c r="R203" s="73" t="s">
        <v>213</v>
      </c>
      <c r="S203" s="73" t="s">
        <v>213</v>
      </c>
      <c r="T203" s="74" t="s">
        <v>213</v>
      </c>
      <c r="U203" s="75" t="s">
        <v>213</v>
      </c>
      <c r="V203" s="76" t="s">
        <v>213</v>
      </c>
      <c r="W203" s="77" t="s">
        <v>213</v>
      </c>
      <c r="X203" s="76" t="s">
        <v>213</v>
      </c>
      <c r="Y203" s="74" t="s">
        <v>213</v>
      </c>
      <c r="Z203" s="77" t="s">
        <v>213</v>
      </c>
    </row>
    <row r="204" ht="36" customHeight="1">
      <c r="A204" s="68"/>
      <c r="B204" s="69"/>
      <c r="C204" s="69"/>
      <c r="D204" s="68"/>
      <c r="E204" s="68"/>
      <c r="F204" s="68"/>
      <c r="G204" s="70"/>
      <c r="H204" s="70"/>
      <c r="I204" s="71"/>
      <c r="J204" s="71"/>
      <c r="K204" s="72"/>
      <c r="L204" s="68"/>
      <c r="M204" s="68"/>
      <c r="N204" s="73" t="s">
        <v>213</v>
      </c>
      <c r="O204" s="73" t="s">
        <v>213</v>
      </c>
      <c r="P204" s="73" t="s">
        <v>213</v>
      </c>
      <c r="Q204" s="73" t="s">
        <v>213</v>
      </c>
      <c r="R204" s="73" t="s">
        <v>213</v>
      </c>
      <c r="S204" s="73" t="s">
        <v>213</v>
      </c>
      <c r="T204" s="74" t="s">
        <v>213</v>
      </c>
      <c r="U204" s="75" t="s">
        <v>213</v>
      </c>
      <c r="V204" s="76" t="s">
        <v>213</v>
      </c>
      <c r="W204" s="77" t="s">
        <v>213</v>
      </c>
      <c r="X204" s="76" t="s">
        <v>213</v>
      </c>
      <c r="Y204" s="74" t="s">
        <v>213</v>
      </c>
      <c r="Z204" s="77" t="s">
        <v>213</v>
      </c>
    </row>
    <row r="205" ht="36" customHeight="1">
      <c r="A205" s="68"/>
      <c r="B205" s="69"/>
      <c r="C205" s="69"/>
      <c r="D205" s="68"/>
      <c r="E205" s="68"/>
      <c r="F205" s="68"/>
      <c r="G205" s="70"/>
      <c r="H205" s="70"/>
      <c r="I205" s="71"/>
      <c r="J205" s="71"/>
      <c r="K205" s="72"/>
      <c r="L205" s="68"/>
      <c r="M205" s="68"/>
      <c r="N205" s="73" t="s">
        <v>213</v>
      </c>
      <c r="O205" s="73" t="s">
        <v>213</v>
      </c>
      <c r="P205" s="73" t="s">
        <v>213</v>
      </c>
      <c r="Q205" s="73" t="s">
        <v>213</v>
      </c>
      <c r="R205" s="73" t="s">
        <v>213</v>
      </c>
      <c r="S205" s="73" t="s">
        <v>213</v>
      </c>
      <c r="T205" s="74" t="s">
        <v>213</v>
      </c>
      <c r="U205" s="75" t="s">
        <v>213</v>
      </c>
      <c r="V205" s="76" t="s">
        <v>213</v>
      </c>
      <c r="W205" s="77" t="s">
        <v>213</v>
      </c>
      <c r="X205" s="76" t="s">
        <v>213</v>
      </c>
      <c r="Y205" s="74" t="s">
        <v>213</v>
      </c>
      <c r="Z205" s="77" t="s">
        <v>213</v>
      </c>
    </row>
    <row r="206" ht="36" customHeight="1">
      <c r="A206" s="68"/>
      <c r="B206" s="69"/>
      <c r="C206" s="69"/>
      <c r="D206" s="68"/>
      <c r="E206" s="68"/>
      <c r="F206" s="68"/>
      <c r="G206" s="70"/>
      <c r="H206" s="70"/>
      <c r="I206" s="71"/>
      <c r="J206" s="71"/>
      <c r="K206" s="72"/>
      <c r="L206" s="68"/>
      <c r="M206" s="68"/>
      <c r="N206" s="73" t="s">
        <v>213</v>
      </c>
      <c r="O206" s="73" t="s">
        <v>213</v>
      </c>
      <c r="P206" s="73" t="s">
        <v>213</v>
      </c>
      <c r="Q206" s="73" t="s">
        <v>213</v>
      </c>
      <c r="R206" s="73" t="s">
        <v>213</v>
      </c>
      <c r="S206" s="73" t="s">
        <v>213</v>
      </c>
      <c r="T206" s="74" t="s">
        <v>213</v>
      </c>
      <c r="U206" s="75" t="s">
        <v>213</v>
      </c>
      <c r="V206" s="76" t="s">
        <v>213</v>
      </c>
      <c r="W206" s="77" t="s">
        <v>213</v>
      </c>
      <c r="X206" s="76" t="s">
        <v>213</v>
      </c>
      <c r="Y206" s="74" t="s">
        <v>213</v>
      </c>
      <c r="Z206" s="77" t="s">
        <v>213</v>
      </c>
    </row>
    <row r="207" ht="36" customHeight="1">
      <c r="A207" s="68"/>
      <c r="B207" s="69"/>
      <c r="C207" s="69"/>
      <c r="D207" s="68"/>
      <c r="E207" s="68"/>
      <c r="F207" s="68"/>
      <c r="G207" s="70"/>
      <c r="H207" s="70"/>
      <c r="I207" s="71"/>
      <c r="J207" s="71"/>
      <c r="K207" s="72"/>
      <c r="L207" s="68"/>
      <c r="M207" s="68"/>
      <c r="N207" s="73" t="s">
        <v>213</v>
      </c>
      <c r="O207" s="73" t="s">
        <v>213</v>
      </c>
      <c r="P207" s="73" t="s">
        <v>213</v>
      </c>
      <c r="Q207" s="73" t="s">
        <v>213</v>
      </c>
      <c r="R207" s="73" t="s">
        <v>213</v>
      </c>
      <c r="S207" s="73" t="s">
        <v>213</v>
      </c>
      <c r="T207" s="74" t="s">
        <v>213</v>
      </c>
      <c r="U207" s="75" t="s">
        <v>213</v>
      </c>
      <c r="V207" s="76" t="s">
        <v>213</v>
      </c>
      <c r="W207" s="77" t="s">
        <v>213</v>
      </c>
      <c r="X207" s="76" t="s">
        <v>213</v>
      </c>
      <c r="Y207" s="74" t="s">
        <v>213</v>
      </c>
      <c r="Z207" s="77" t="s">
        <v>213</v>
      </c>
    </row>
    <row r="208" ht="36" customHeight="1">
      <c r="A208" s="68"/>
      <c r="B208" s="69"/>
      <c r="C208" s="69"/>
      <c r="D208" s="68"/>
      <c r="E208" s="68"/>
      <c r="F208" s="68"/>
      <c r="G208" s="70"/>
      <c r="H208" s="70"/>
      <c r="I208" s="71"/>
      <c r="J208" s="71"/>
      <c r="K208" s="72"/>
      <c r="L208" s="68"/>
      <c r="M208" s="68"/>
      <c r="N208" s="73" t="s">
        <v>213</v>
      </c>
      <c r="O208" s="73" t="s">
        <v>213</v>
      </c>
      <c r="P208" s="73" t="s">
        <v>213</v>
      </c>
      <c r="Q208" s="73" t="s">
        <v>213</v>
      </c>
      <c r="R208" s="73" t="s">
        <v>213</v>
      </c>
      <c r="S208" s="73" t="s">
        <v>213</v>
      </c>
      <c r="T208" s="74" t="s">
        <v>213</v>
      </c>
      <c r="U208" s="75" t="s">
        <v>213</v>
      </c>
      <c r="V208" s="76" t="s">
        <v>213</v>
      </c>
      <c r="W208" s="77" t="s">
        <v>213</v>
      </c>
      <c r="X208" s="76" t="s">
        <v>213</v>
      </c>
      <c r="Y208" s="74" t="s">
        <v>213</v>
      </c>
      <c r="Z208" s="77" t="s">
        <v>213</v>
      </c>
    </row>
    <row r="209" ht="36" customHeight="1">
      <c r="A209" s="68"/>
      <c r="B209" s="69"/>
      <c r="C209" s="69"/>
      <c r="D209" s="68"/>
      <c r="E209" s="68"/>
      <c r="F209" s="68"/>
      <c r="G209" s="70"/>
      <c r="H209" s="70"/>
      <c r="I209" s="71"/>
      <c r="J209" s="71"/>
      <c r="K209" s="72"/>
      <c r="L209" s="68"/>
      <c r="M209" s="68"/>
      <c r="N209" s="73" t="s">
        <v>213</v>
      </c>
      <c r="O209" s="73" t="s">
        <v>213</v>
      </c>
      <c r="P209" s="73" t="s">
        <v>213</v>
      </c>
      <c r="Q209" s="73" t="s">
        <v>213</v>
      </c>
      <c r="R209" s="73" t="s">
        <v>213</v>
      </c>
      <c r="S209" s="73" t="s">
        <v>213</v>
      </c>
      <c r="T209" s="74" t="s">
        <v>213</v>
      </c>
      <c r="U209" s="75" t="s">
        <v>213</v>
      </c>
      <c r="V209" s="76" t="s">
        <v>213</v>
      </c>
      <c r="W209" s="77" t="s">
        <v>213</v>
      </c>
      <c r="X209" s="76" t="s">
        <v>213</v>
      </c>
      <c r="Y209" s="74" t="s">
        <v>213</v>
      </c>
      <c r="Z209" s="77" t="s">
        <v>213</v>
      </c>
    </row>
    <row r="210" ht="36" customHeight="1">
      <c r="A210" s="68"/>
      <c r="B210" s="69"/>
      <c r="C210" s="69"/>
      <c r="D210" s="68"/>
      <c r="E210" s="68"/>
      <c r="F210" s="68"/>
      <c r="G210" s="70"/>
      <c r="H210" s="70"/>
      <c r="I210" s="71"/>
      <c r="J210" s="71"/>
      <c r="K210" s="72"/>
      <c r="L210" s="68"/>
      <c r="M210" s="68"/>
      <c r="N210" s="73" t="s">
        <v>213</v>
      </c>
      <c r="O210" s="73" t="s">
        <v>213</v>
      </c>
      <c r="P210" s="73" t="s">
        <v>213</v>
      </c>
      <c r="Q210" s="73" t="s">
        <v>213</v>
      </c>
      <c r="R210" s="73" t="s">
        <v>213</v>
      </c>
      <c r="S210" s="73" t="s">
        <v>213</v>
      </c>
      <c r="T210" s="74" t="s">
        <v>213</v>
      </c>
      <c r="U210" s="75" t="s">
        <v>213</v>
      </c>
      <c r="V210" s="76" t="s">
        <v>213</v>
      </c>
      <c r="W210" s="77" t="s">
        <v>213</v>
      </c>
      <c r="X210" s="76" t="s">
        <v>213</v>
      </c>
      <c r="Y210" s="74" t="s">
        <v>213</v>
      </c>
      <c r="Z210" s="77" t="s">
        <v>213</v>
      </c>
    </row>
    <row r="211" ht="36" customHeight="1">
      <c r="A211" s="68"/>
      <c r="B211" s="69"/>
      <c r="C211" s="69"/>
      <c r="D211" s="68"/>
      <c r="E211" s="68"/>
      <c r="F211" s="68"/>
      <c r="G211" s="70"/>
      <c r="H211" s="70"/>
      <c r="I211" s="71"/>
      <c r="J211" s="71"/>
      <c r="K211" s="72"/>
      <c r="L211" s="68"/>
      <c r="M211" s="68"/>
      <c r="N211" s="73" t="s">
        <v>213</v>
      </c>
      <c r="O211" s="73" t="s">
        <v>213</v>
      </c>
      <c r="P211" s="73" t="s">
        <v>213</v>
      </c>
      <c r="Q211" s="73" t="s">
        <v>213</v>
      </c>
      <c r="R211" s="73" t="s">
        <v>213</v>
      </c>
      <c r="S211" s="73" t="s">
        <v>213</v>
      </c>
      <c r="T211" s="74" t="s">
        <v>213</v>
      </c>
      <c r="U211" s="75" t="s">
        <v>213</v>
      </c>
      <c r="V211" s="76" t="s">
        <v>213</v>
      </c>
      <c r="W211" s="77" t="s">
        <v>213</v>
      </c>
      <c r="X211" s="76" t="s">
        <v>213</v>
      </c>
      <c r="Y211" s="74" t="s">
        <v>213</v>
      </c>
      <c r="Z211" s="77" t="s">
        <v>213</v>
      </c>
    </row>
    <row r="212" ht="36" customHeight="1">
      <c r="A212" s="68"/>
      <c r="B212" s="69"/>
      <c r="C212" s="69"/>
      <c r="D212" s="68"/>
      <c r="E212" s="68"/>
      <c r="F212" s="68"/>
      <c r="G212" s="70"/>
      <c r="H212" s="70"/>
      <c r="I212" s="71"/>
      <c r="J212" s="71"/>
      <c r="K212" s="72"/>
      <c r="L212" s="68"/>
      <c r="M212" s="68"/>
      <c r="N212" s="73" t="s">
        <v>213</v>
      </c>
      <c r="O212" s="73" t="s">
        <v>213</v>
      </c>
      <c r="P212" s="73" t="s">
        <v>213</v>
      </c>
      <c r="Q212" s="73" t="s">
        <v>213</v>
      </c>
      <c r="R212" s="73" t="s">
        <v>213</v>
      </c>
      <c r="S212" s="73" t="s">
        <v>213</v>
      </c>
      <c r="T212" s="74" t="s">
        <v>213</v>
      </c>
      <c r="U212" s="75" t="s">
        <v>213</v>
      </c>
      <c r="V212" s="76" t="s">
        <v>213</v>
      </c>
      <c r="W212" s="77" t="s">
        <v>213</v>
      </c>
      <c r="X212" s="76" t="s">
        <v>213</v>
      </c>
      <c r="Y212" s="74" t="s">
        <v>213</v>
      </c>
      <c r="Z212" s="77" t="s">
        <v>213</v>
      </c>
    </row>
    <row r="213" ht="36" customHeight="1">
      <c r="A213" s="68"/>
      <c r="B213" s="69"/>
      <c r="C213" s="69"/>
      <c r="D213" s="68"/>
      <c r="E213" s="68"/>
      <c r="F213" s="68"/>
      <c r="G213" s="70"/>
      <c r="H213" s="70"/>
      <c r="I213" s="71"/>
      <c r="J213" s="71"/>
      <c r="K213" s="72"/>
      <c r="L213" s="68"/>
      <c r="M213" s="68"/>
      <c r="N213" s="73" t="s">
        <v>213</v>
      </c>
      <c r="O213" s="73" t="s">
        <v>213</v>
      </c>
      <c r="P213" s="73" t="s">
        <v>213</v>
      </c>
      <c r="Q213" s="73" t="s">
        <v>213</v>
      </c>
      <c r="R213" s="73" t="s">
        <v>213</v>
      </c>
      <c r="S213" s="73" t="s">
        <v>213</v>
      </c>
      <c r="T213" s="74" t="s">
        <v>213</v>
      </c>
      <c r="U213" s="75" t="s">
        <v>213</v>
      </c>
      <c r="V213" s="76" t="s">
        <v>213</v>
      </c>
      <c r="W213" s="77" t="s">
        <v>213</v>
      </c>
      <c r="X213" s="76" t="s">
        <v>213</v>
      </c>
      <c r="Y213" s="74" t="s">
        <v>213</v>
      </c>
      <c r="Z213" s="77" t="s">
        <v>213</v>
      </c>
    </row>
    <row r="214" ht="36" customHeight="1">
      <c r="A214" s="68"/>
      <c r="B214" s="69"/>
      <c r="C214" s="69"/>
      <c r="D214" s="68"/>
      <c r="E214" s="68"/>
      <c r="F214" s="68"/>
      <c r="G214" s="70"/>
      <c r="H214" s="70"/>
      <c r="I214" s="71"/>
      <c r="J214" s="71"/>
      <c r="K214" s="72"/>
      <c r="L214" s="68"/>
      <c r="M214" s="68"/>
      <c r="N214" s="73" t="s">
        <v>213</v>
      </c>
      <c r="O214" s="73" t="s">
        <v>213</v>
      </c>
      <c r="P214" s="73" t="s">
        <v>213</v>
      </c>
      <c r="Q214" s="73" t="s">
        <v>213</v>
      </c>
      <c r="R214" s="73" t="s">
        <v>213</v>
      </c>
      <c r="S214" s="73" t="s">
        <v>213</v>
      </c>
      <c r="T214" s="74" t="s">
        <v>213</v>
      </c>
      <c r="U214" s="75" t="s">
        <v>213</v>
      </c>
      <c r="V214" s="76" t="s">
        <v>213</v>
      </c>
      <c r="W214" s="77" t="s">
        <v>213</v>
      </c>
      <c r="X214" s="76" t="s">
        <v>213</v>
      </c>
      <c r="Y214" s="74" t="s">
        <v>213</v>
      </c>
      <c r="Z214" s="77" t="s">
        <v>213</v>
      </c>
    </row>
    <row r="215" ht="36" customHeight="1">
      <c r="A215" s="68"/>
      <c r="B215" s="69"/>
      <c r="C215" s="69"/>
      <c r="D215" s="68"/>
      <c r="E215" s="68"/>
      <c r="F215" s="68"/>
      <c r="G215" s="70"/>
      <c r="H215" s="70"/>
      <c r="I215" s="71"/>
      <c r="J215" s="71"/>
      <c r="K215" s="72"/>
      <c r="L215" s="68"/>
      <c r="M215" s="68"/>
      <c r="N215" s="73" t="s">
        <v>213</v>
      </c>
      <c r="O215" s="73" t="s">
        <v>213</v>
      </c>
      <c r="P215" s="73" t="s">
        <v>213</v>
      </c>
      <c r="Q215" s="73" t="s">
        <v>213</v>
      </c>
      <c r="R215" s="73" t="s">
        <v>213</v>
      </c>
      <c r="S215" s="73" t="s">
        <v>213</v>
      </c>
      <c r="T215" s="74" t="s">
        <v>213</v>
      </c>
      <c r="U215" s="75" t="s">
        <v>213</v>
      </c>
      <c r="V215" s="76" t="s">
        <v>213</v>
      </c>
      <c r="W215" s="77" t="s">
        <v>213</v>
      </c>
      <c r="X215" s="76" t="s">
        <v>213</v>
      </c>
      <c r="Y215" s="74" t="s">
        <v>213</v>
      </c>
      <c r="Z215" s="77" t="s">
        <v>213</v>
      </c>
    </row>
    <row r="216" ht="36" customHeight="1">
      <c r="A216" s="68"/>
      <c r="B216" s="69"/>
      <c r="C216" s="69"/>
      <c r="D216" s="68"/>
      <c r="E216" s="68"/>
      <c r="F216" s="68"/>
      <c r="G216" s="70"/>
      <c r="H216" s="70"/>
      <c r="I216" s="71"/>
      <c r="J216" s="71"/>
      <c r="K216" s="72"/>
      <c r="L216" s="68"/>
      <c r="M216" s="68"/>
      <c r="N216" s="73" t="s">
        <v>213</v>
      </c>
      <c r="O216" s="73" t="s">
        <v>213</v>
      </c>
      <c r="P216" s="73" t="s">
        <v>213</v>
      </c>
      <c r="Q216" s="73" t="s">
        <v>213</v>
      </c>
      <c r="R216" s="73" t="s">
        <v>213</v>
      </c>
      <c r="S216" s="73" t="s">
        <v>213</v>
      </c>
      <c r="T216" s="74" t="s">
        <v>213</v>
      </c>
      <c r="U216" s="75" t="s">
        <v>213</v>
      </c>
      <c r="V216" s="76" t="s">
        <v>213</v>
      </c>
      <c r="W216" s="77" t="s">
        <v>213</v>
      </c>
      <c r="X216" s="76" t="s">
        <v>213</v>
      </c>
      <c r="Y216" s="74" t="s">
        <v>213</v>
      </c>
      <c r="Z216" s="77" t="s">
        <v>213</v>
      </c>
    </row>
    <row r="217" ht="36" customHeight="1">
      <c r="A217" s="68"/>
      <c r="B217" s="69"/>
      <c r="C217" s="69"/>
      <c r="D217" s="68"/>
      <c r="E217" s="68"/>
      <c r="F217" s="68"/>
      <c r="G217" s="70"/>
      <c r="H217" s="70"/>
      <c r="I217" s="71"/>
      <c r="J217" s="71"/>
      <c r="K217" s="72"/>
      <c r="L217" s="68"/>
      <c r="M217" s="68"/>
      <c r="N217" s="73" t="s">
        <v>213</v>
      </c>
      <c r="O217" s="73" t="s">
        <v>213</v>
      </c>
      <c r="P217" s="73" t="s">
        <v>213</v>
      </c>
      <c r="Q217" s="73" t="s">
        <v>213</v>
      </c>
      <c r="R217" s="73" t="s">
        <v>213</v>
      </c>
      <c r="S217" s="73" t="s">
        <v>213</v>
      </c>
      <c r="T217" s="74" t="s">
        <v>213</v>
      </c>
      <c r="U217" s="75" t="s">
        <v>213</v>
      </c>
      <c r="V217" s="76" t="s">
        <v>213</v>
      </c>
      <c r="W217" s="77" t="s">
        <v>213</v>
      </c>
      <c r="X217" s="76" t="s">
        <v>213</v>
      </c>
      <c r="Y217" s="74" t="s">
        <v>213</v>
      </c>
      <c r="Z217" s="77" t="s">
        <v>213</v>
      </c>
    </row>
    <row r="218" ht="36" customHeight="1">
      <c r="A218" s="68"/>
      <c r="B218" s="69"/>
      <c r="C218" s="69"/>
      <c r="D218" s="68"/>
      <c r="E218" s="68"/>
      <c r="F218" s="68"/>
      <c r="G218" s="70"/>
      <c r="H218" s="70"/>
      <c r="I218" s="71"/>
      <c r="J218" s="71"/>
      <c r="K218" s="72"/>
      <c r="L218" s="68"/>
      <c r="M218" s="68"/>
      <c r="N218" s="73" t="s">
        <v>213</v>
      </c>
      <c r="O218" s="73" t="s">
        <v>213</v>
      </c>
      <c r="P218" s="73" t="s">
        <v>213</v>
      </c>
      <c r="Q218" s="73" t="s">
        <v>213</v>
      </c>
      <c r="R218" s="73" t="s">
        <v>213</v>
      </c>
      <c r="S218" s="73" t="s">
        <v>213</v>
      </c>
      <c r="T218" s="74" t="s">
        <v>213</v>
      </c>
      <c r="U218" s="75" t="s">
        <v>213</v>
      </c>
      <c r="V218" s="76" t="s">
        <v>213</v>
      </c>
      <c r="W218" s="77" t="s">
        <v>213</v>
      </c>
      <c r="X218" s="76" t="s">
        <v>213</v>
      </c>
      <c r="Y218" s="74" t="s">
        <v>213</v>
      </c>
      <c r="Z218" s="77" t="s">
        <v>213</v>
      </c>
    </row>
    <row r="219" ht="36" customHeight="1">
      <c r="A219" s="68"/>
      <c r="B219" s="69"/>
      <c r="C219" s="69"/>
      <c r="D219" s="68"/>
      <c r="E219" s="68"/>
      <c r="F219" s="68"/>
      <c r="G219" s="70"/>
      <c r="H219" s="70"/>
      <c r="I219" s="71"/>
      <c r="J219" s="71"/>
      <c r="K219" s="72"/>
      <c r="L219" s="68"/>
      <c r="M219" s="68"/>
      <c r="N219" s="73" t="s">
        <v>213</v>
      </c>
      <c r="O219" s="73" t="s">
        <v>213</v>
      </c>
      <c r="P219" s="73" t="s">
        <v>213</v>
      </c>
      <c r="Q219" s="73" t="s">
        <v>213</v>
      </c>
      <c r="R219" s="73" t="s">
        <v>213</v>
      </c>
      <c r="S219" s="73" t="s">
        <v>213</v>
      </c>
      <c r="T219" s="74" t="s">
        <v>213</v>
      </c>
      <c r="U219" s="75" t="s">
        <v>213</v>
      </c>
      <c r="V219" s="76" t="s">
        <v>213</v>
      </c>
      <c r="W219" s="77" t="s">
        <v>213</v>
      </c>
      <c r="X219" s="76" t="s">
        <v>213</v>
      </c>
      <c r="Y219" s="74" t="s">
        <v>213</v>
      </c>
      <c r="Z219" s="77" t="s">
        <v>213</v>
      </c>
    </row>
    <row r="220" ht="36" customHeight="1">
      <c r="A220" s="68"/>
      <c r="B220" s="69"/>
      <c r="C220" s="69"/>
      <c r="D220" s="68"/>
      <c r="E220" s="68"/>
      <c r="F220" s="68"/>
      <c r="G220" s="70"/>
      <c r="H220" s="70"/>
      <c r="I220" s="71"/>
      <c r="J220" s="71"/>
      <c r="K220" s="72"/>
      <c r="L220" s="68"/>
      <c r="M220" s="68"/>
      <c r="N220" s="73" t="s">
        <v>213</v>
      </c>
      <c r="O220" s="73" t="s">
        <v>213</v>
      </c>
      <c r="P220" s="73" t="s">
        <v>213</v>
      </c>
      <c r="Q220" s="73" t="s">
        <v>213</v>
      </c>
      <c r="R220" s="73" t="s">
        <v>213</v>
      </c>
      <c r="S220" s="73" t="s">
        <v>213</v>
      </c>
      <c r="T220" s="74" t="s">
        <v>213</v>
      </c>
      <c r="U220" s="75" t="s">
        <v>213</v>
      </c>
      <c r="V220" s="76" t="s">
        <v>213</v>
      </c>
      <c r="W220" s="77" t="s">
        <v>213</v>
      </c>
      <c r="X220" s="76" t="s">
        <v>213</v>
      </c>
      <c r="Y220" s="74" t="s">
        <v>213</v>
      </c>
      <c r="Z220" s="77" t="s">
        <v>213</v>
      </c>
    </row>
    <row r="221" ht="36" customHeight="1">
      <c r="A221" s="68"/>
      <c r="B221" s="69"/>
      <c r="C221" s="69"/>
      <c r="D221" s="68"/>
      <c r="E221" s="68"/>
      <c r="F221" s="68"/>
      <c r="G221" s="70"/>
      <c r="H221" s="70"/>
      <c r="I221" s="71"/>
      <c r="J221" s="71"/>
      <c r="K221" s="72"/>
      <c r="L221" s="68"/>
      <c r="M221" s="68"/>
      <c r="N221" s="73" t="s">
        <v>213</v>
      </c>
      <c r="O221" s="73" t="s">
        <v>213</v>
      </c>
      <c r="P221" s="73" t="s">
        <v>213</v>
      </c>
      <c r="Q221" s="73" t="s">
        <v>213</v>
      </c>
      <c r="R221" s="73" t="s">
        <v>213</v>
      </c>
      <c r="S221" s="73" t="s">
        <v>213</v>
      </c>
      <c r="T221" s="74" t="s">
        <v>213</v>
      </c>
      <c r="U221" s="75" t="s">
        <v>213</v>
      </c>
      <c r="V221" s="76" t="s">
        <v>213</v>
      </c>
      <c r="W221" s="77" t="s">
        <v>213</v>
      </c>
      <c r="X221" s="76" t="s">
        <v>213</v>
      </c>
      <c r="Y221" s="74" t="s">
        <v>213</v>
      </c>
      <c r="Z221" s="77" t="s">
        <v>213</v>
      </c>
    </row>
    <row r="222" ht="36" customHeight="1">
      <c r="A222" s="68"/>
      <c r="B222" s="69"/>
      <c r="C222" s="69"/>
      <c r="D222" s="68"/>
      <c r="E222" s="68"/>
      <c r="F222" s="68"/>
      <c r="G222" s="70"/>
      <c r="H222" s="70"/>
      <c r="I222" s="71"/>
      <c r="J222" s="71"/>
      <c r="K222" s="72"/>
      <c r="L222" s="68"/>
      <c r="M222" s="68"/>
      <c r="N222" s="73" t="s">
        <v>213</v>
      </c>
      <c r="O222" s="73" t="s">
        <v>213</v>
      </c>
      <c r="P222" s="73" t="s">
        <v>213</v>
      </c>
      <c r="Q222" s="73" t="s">
        <v>213</v>
      </c>
      <c r="R222" s="73" t="s">
        <v>213</v>
      </c>
      <c r="S222" s="73" t="s">
        <v>213</v>
      </c>
      <c r="T222" s="74" t="s">
        <v>213</v>
      </c>
      <c r="U222" s="75" t="s">
        <v>213</v>
      </c>
      <c r="V222" s="76" t="s">
        <v>213</v>
      </c>
      <c r="W222" s="77" t="s">
        <v>213</v>
      </c>
      <c r="X222" s="76" t="s">
        <v>213</v>
      </c>
      <c r="Y222" s="74" t="s">
        <v>213</v>
      </c>
      <c r="Z222" s="77" t="s">
        <v>213</v>
      </c>
    </row>
    <row r="223" ht="36" customHeight="1">
      <c r="A223" s="68"/>
      <c r="B223" s="69"/>
      <c r="C223" s="69"/>
      <c r="D223" s="68"/>
      <c r="E223" s="68"/>
      <c r="F223" s="68"/>
      <c r="G223" s="70"/>
      <c r="H223" s="70"/>
      <c r="I223" s="71"/>
      <c r="J223" s="71"/>
      <c r="K223" s="72"/>
      <c r="L223" s="68"/>
      <c r="M223" s="68"/>
      <c r="N223" s="73" t="s">
        <v>213</v>
      </c>
      <c r="O223" s="73" t="s">
        <v>213</v>
      </c>
      <c r="P223" s="73" t="s">
        <v>213</v>
      </c>
      <c r="Q223" s="73" t="s">
        <v>213</v>
      </c>
      <c r="R223" s="73" t="s">
        <v>213</v>
      </c>
      <c r="S223" s="73" t="s">
        <v>213</v>
      </c>
      <c r="T223" s="74" t="s">
        <v>213</v>
      </c>
      <c r="U223" s="75" t="s">
        <v>213</v>
      </c>
      <c r="V223" s="76" t="s">
        <v>213</v>
      </c>
      <c r="W223" s="77" t="s">
        <v>213</v>
      </c>
      <c r="X223" s="76" t="s">
        <v>213</v>
      </c>
      <c r="Y223" s="74" t="s">
        <v>213</v>
      </c>
      <c r="Z223" s="77" t="s">
        <v>213</v>
      </c>
    </row>
    <row r="224" ht="36" customHeight="1">
      <c r="A224" s="68"/>
      <c r="B224" s="69"/>
      <c r="C224" s="69"/>
      <c r="D224" s="68"/>
      <c r="E224" s="68"/>
      <c r="F224" s="68"/>
      <c r="G224" s="70"/>
      <c r="H224" s="70"/>
      <c r="I224" s="71"/>
      <c r="J224" s="71"/>
      <c r="K224" s="72"/>
      <c r="L224" s="68"/>
      <c r="M224" s="68"/>
      <c r="N224" s="73" t="s">
        <v>213</v>
      </c>
      <c r="O224" s="73" t="s">
        <v>213</v>
      </c>
      <c r="P224" s="73" t="s">
        <v>213</v>
      </c>
      <c r="Q224" s="73" t="s">
        <v>213</v>
      </c>
      <c r="R224" s="73" t="s">
        <v>213</v>
      </c>
      <c r="S224" s="73" t="s">
        <v>213</v>
      </c>
      <c r="T224" s="74" t="s">
        <v>213</v>
      </c>
      <c r="U224" s="75" t="s">
        <v>213</v>
      </c>
      <c r="V224" s="76" t="s">
        <v>213</v>
      </c>
      <c r="W224" s="77" t="s">
        <v>213</v>
      </c>
      <c r="X224" s="76" t="s">
        <v>213</v>
      </c>
      <c r="Y224" s="74" t="s">
        <v>213</v>
      </c>
      <c r="Z224" s="77" t="s">
        <v>213</v>
      </c>
    </row>
    <row r="225" ht="36" customHeight="1">
      <c r="A225" s="68"/>
      <c r="B225" s="69"/>
      <c r="C225" s="69"/>
      <c r="D225" s="68"/>
      <c r="E225" s="68"/>
      <c r="F225" s="68"/>
      <c r="G225" s="70"/>
      <c r="H225" s="70"/>
      <c r="I225" s="71"/>
      <c r="J225" s="71"/>
      <c r="K225" s="72"/>
      <c r="L225" s="68"/>
      <c r="M225" s="68"/>
      <c r="N225" s="73" t="s">
        <v>213</v>
      </c>
      <c r="O225" s="73" t="s">
        <v>213</v>
      </c>
      <c r="P225" s="73" t="s">
        <v>213</v>
      </c>
      <c r="Q225" s="73" t="s">
        <v>213</v>
      </c>
      <c r="R225" s="73" t="s">
        <v>213</v>
      </c>
      <c r="S225" s="73" t="s">
        <v>213</v>
      </c>
      <c r="T225" s="74" t="s">
        <v>213</v>
      </c>
      <c r="U225" s="75" t="s">
        <v>213</v>
      </c>
      <c r="V225" s="76" t="s">
        <v>213</v>
      </c>
      <c r="W225" s="77" t="s">
        <v>213</v>
      </c>
      <c r="X225" s="76" t="s">
        <v>213</v>
      </c>
      <c r="Y225" s="74" t="s">
        <v>213</v>
      </c>
      <c r="Z225" s="77" t="s">
        <v>213</v>
      </c>
    </row>
    <row r="226" ht="36" customHeight="1">
      <c r="A226" s="68"/>
      <c r="B226" s="69"/>
      <c r="C226" s="69"/>
      <c r="D226" s="68"/>
      <c r="E226" s="68"/>
      <c r="F226" s="68"/>
      <c r="G226" s="70"/>
      <c r="H226" s="70"/>
      <c r="I226" s="71"/>
      <c r="J226" s="71"/>
      <c r="K226" s="72"/>
      <c r="L226" s="68"/>
      <c r="M226" s="68"/>
      <c r="N226" s="73" t="s">
        <v>213</v>
      </c>
      <c r="O226" s="73" t="s">
        <v>213</v>
      </c>
      <c r="P226" s="73" t="s">
        <v>213</v>
      </c>
      <c r="Q226" s="73" t="s">
        <v>213</v>
      </c>
      <c r="R226" s="73" t="s">
        <v>213</v>
      </c>
      <c r="S226" s="73" t="s">
        <v>213</v>
      </c>
      <c r="T226" s="74" t="s">
        <v>213</v>
      </c>
      <c r="U226" s="75" t="s">
        <v>213</v>
      </c>
      <c r="V226" s="76" t="s">
        <v>213</v>
      </c>
      <c r="W226" s="77" t="s">
        <v>213</v>
      </c>
      <c r="X226" s="76" t="s">
        <v>213</v>
      </c>
      <c r="Y226" s="74" t="s">
        <v>213</v>
      </c>
      <c r="Z226" s="77" t="s">
        <v>213</v>
      </c>
    </row>
    <row r="227" ht="36" customHeight="1">
      <c r="A227" s="68"/>
      <c r="B227" s="69"/>
      <c r="C227" s="69"/>
      <c r="D227" s="68"/>
      <c r="E227" s="68"/>
      <c r="F227" s="68"/>
      <c r="G227" s="70"/>
      <c r="H227" s="70"/>
      <c r="I227" s="71"/>
      <c r="J227" s="71"/>
      <c r="K227" s="72"/>
      <c r="L227" s="68"/>
      <c r="M227" s="68"/>
      <c r="N227" s="73" t="s">
        <v>213</v>
      </c>
      <c r="O227" s="73" t="s">
        <v>213</v>
      </c>
      <c r="P227" s="73" t="s">
        <v>213</v>
      </c>
      <c r="Q227" s="73" t="s">
        <v>213</v>
      </c>
      <c r="R227" s="73" t="s">
        <v>213</v>
      </c>
      <c r="S227" s="73" t="s">
        <v>213</v>
      </c>
      <c r="T227" s="74" t="s">
        <v>213</v>
      </c>
      <c r="U227" s="75" t="s">
        <v>213</v>
      </c>
      <c r="V227" s="76" t="s">
        <v>213</v>
      </c>
      <c r="W227" s="77" t="s">
        <v>213</v>
      </c>
      <c r="X227" s="76" t="s">
        <v>213</v>
      </c>
      <c r="Y227" s="74" t="s">
        <v>213</v>
      </c>
      <c r="Z227" s="77" t="s">
        <v>213</v>
      </c>
    </row>
    <row r="228" ht="36" customHeight="1">
      <c r="A228" s="68"/>
      <c r="B228" s="69"/>
      <c r="C228" s="69"/>
      <c r="D228" s="68"/>
      <c r="E228" s="68"/>
      <c r="F228" s="68"/>
      <c r="G228" s="70"/>
      <c r="H228" s="70"/>
      <c r="I228" s="71"/>
      <c r="J228" s="71"/>
      <c r="K228" s="72"/>
      <c r="L228" s="68"/>
      <c r="M228" s="68"/>
      <c r="N228" s="73" t="s">
        <v>213</v>
      </c>
      <c r="O228" s="73" t="s">
        <v>213</v>
      </c>
      <c r="P228" s="73" t="s">
        <v>213</v>
      </c>
      <c r="Q228" s="73" t="s">
        <v>213</v>
      </c>
      <c r="R228" s="73" t="s">
        <v>213</v>
      </c>
      <c r="S228" s="73" t="s">
        <v>213</v>
      </c>
      <c r="T228" s="74" t="s">
        <v>213</v>
      </c>
      <c r="U228" s="75" t="s">
        <v>213</v>
      </c>
      <c r="V228" s="76" t="s">
        <v>213</v>
      </c>
      <c r="W228" s="77" t="s">
        <v>213</v>
      </c>
      <c r="X228" s="76" t="s">
        <v>213</v>
      </c>
      <c r="Y228" s="74" t="s">
        <v>213</v>
      </c>
      <c r="Z228" s="77" t="s">
        <v>213</v>
      </c>
    </row>
    <row r="229" ht="36" customHeight="1">
      <c r="A229" s="68"/>
      <c r="B229" s="69"/>
      <c r="C229" s="69"/>
      <c r="D229" s="68"/>
      <c r="E229" s="68"/>
      <c r="F229" s="68"/>
      <c r="G229" s="70"/>
      <c r="H229" s="70"/>
      <c r="I229" s="71"/>
      <c r="J229" s="71"/>
      <c r="K229" s="72"/>
      <c r="L229" s="68"/>
      <c r="M229" s="68"/>
      <c r="N229" s="73" t="s">
        <v>213</v>
      </c>
      <c r="O229" s="73" t="s">
        <v>213</v>
      </c>
      <c r="P229" s="73" t="s">
        <v>213</v>
      </c>
      <c r="Q229" s="73" t="s">
        <v>213</v>
      </c>
      <c r="R229" s="73" t="s">
        <v>213</v>
      </c>
      <c r="S229" s="73" t="s">
        <v>213</v>
      </c>
      <c r="T229" s="74" t="s">
        <v>213</v>
      </c>
      <c r="U229" s="75" t="s">
        <v>213</v>
      </c>
      <c r="V229" s="76" t="s">
        <v>213</v>
      </c>
      <c r="W229" s="77" t="s">
        <v>213</v>
      </c>
      <c r="X229" s="76" t="s">
        <v>213</v>
      </c>
      <c r="Y229" s="74" t="s">
        <v>213</v>
      </c>
      <c r="Z229" s="77" t="s">
        <v>213</v>
      </c>
    </row>
    <row r="230" ht="36" customHeight="1">
      <c r="A230" s="68"/>
      <c r="B230" s="69"/>
      <c r="C230" s="69"/>
      <c r="D230" s="68"/>
      <c r="E230" s="68"/>
      <c r="F230" s="68"/>
      <c r="G230" s="70"/>
      <c r="H230" s="70"/>
      <c r="I230" s="71"/>
      <c r="J230" s="71"/>
      <c r="K230" s="72"/>
      <c r="L230" s="68"/>
      <c r="M230" s="68"/>
      <c r="N230" s="73" t="s">
        <v>213</v>
      </c>
      <c r="O230" s="73" t="s">
        <v>213</v>
      </c>
      <c r="P230" s="73" t="s">
        <v>213</v>
      </c>
      <c r="Q230" s="73" t="s">
        <v>213</v>
      </c>
      <c r="R230" s="73" t="s">
        <v>213</v>
      </c>
      <c r="S230" s="73" t="s">
        <v>213</v>
      </c>
      <c r="T230" s="74" t="s">
        <v>213</v>
      </c>
      <c r="U230" s="75" t="s">
        <v>213</v>
      </c>
      <c r="V230" s="76" t="s">
        <v>213</v>
      </c>
      <c r="W230" s="77" t="s">
        <v>213</v>
      </c>
      <c r="X230" s="76" t="s">
        <v>213</v>
      </c>
      <c r="Y230" s="74" t="s">
        <v>213</v>
      </c>
      <c r="Z230" s="77" t="s">
        <v>213</v>
      </c>
    </row>
    <row r="231" ht="36" customHeight="1">
      <c r="A231" s="68"/>
      <c r="B231" s="69"/>
      <c r="C231" s="69"/>
      <c r="D231" s="68"/>
      <c r="E231" s="68"/>
      <c r="F231" s="68"/>
      <c r="G231" s="70"/>
      <c r="H231" s="70"/>
      <c r="I231" s="71"/>
      <c r="J231" s="71"/>
      <c r="K231" s="72"/>
      <c r="L231" s="68"/>
      <c r="M231" s="68"/>
      <c r="N231" s="73" t="s">
        <v>213</v>
      </c>
      <c r="O231" s="73" t="s">
        <v>213</v>
      </c>
      <c r="P231" s="73" t="s">
        <v>213</v>
      </c>
      <c r="Q231" s="73" t="s">
        <v>213</v>
      </c>
      <c r="R231" s="73" t="s">
        <v>213</v>
      </c>
      <c r="S231" s="73" t="s">
        <v>213</v>
      </c>
      <c r="T231" s="74" t="s">
        <v>213</v>
      </c>
      <c r="U231" s="75" t="s">
        <v>213</v>
      </c>
      <c r="V231" s="76" t="s">
        <v>213</v>
      </c>
      <c r="W231" s="77" t="s">
        <v>213</v>
      </c>
      <c r="X231" s="76" t="s">
        <v>213</v>
      </c>
      <c r="Y231" s="74" t="s">
        <v>213</v>
      </c>
      <c r="Z231" s="77" t="s">
        <v>213</v>
      </c>
    </row>
    <row r="232" ht="36" customHeight="1">
      <c r="A232" s="68"/>
      <c r="B232" s="69"/>
      <c r="C232" s="69"/>
      <c r="D232" s="68"/>
      <c r="E232" s="68"/>
      <c r="F232" s="68"/>
      <c r="G232" s="70"/>
      <c r="H232" s="70"/>
      <c r="I232" s="71"/>
      <c r="J232" s="71"/>
      <c r="K232" s="72"/>
      <c r="L232" s="68"/>
      <c r="M232" s="68"/>
      <c r="N232" s="73" t="s">
        <v>213</v>
      </c>
      <c r="O232" s="73" t="s">
        <v>213</v>
      </c>
      <c r="P232" s="73" t="s">
        <v>213</v>
      </c>
      <c r="Q232" s="73" t="s">
        <v>213</v>
      </c>
      <c r="R232" s="73" t="s">
        <v>213</v>
      </c>
      <c r="S232" s="73" t="s">
        <v>213</v>
      </c>
      <c r="T232" s="74" t="s">
        <v>213</v>
      </c>
      <c r="U232" s="75" t="s">
        <v>213</v>
      </c>
      <c r="V232" s="76" t="s">
        <v>213</v>
      </c>
      <c r="W232" s="77" t="s">
        <v>213</v>
      </c>
      <c r="X232" s="76" t="s">
        <v>213</v>
      </c>
      <c r="Y232" s="74" t="s">
        <v>213</v>
      </c>
      <c r="Z232" s="77" t="s">
        <v>213</v>
      </c>
    </row>
    <row r="233" ht="36" customHeight="1">
      <c r="A233" s="68"/>
      <c r="B233" s="69"/>
      <c r="C233" s="69"/>
      <c r="D233" s="68"/>
      <c r="E233" s="68"/>
      <c r="F233" s="68"/>
      <c r="G233" s="70"/>
      <c r="H233" s="70"/>
      <c r="I233" s="71"/>
      <c r="J233" s="71"/>
      <c r="K233" s="72"/>
      <c r="L233" s="68"/>
      <c r="M233" s="68"/>
      <c r="N233" s="73" t="s">
        <v>213</v>
      </c>
      <c r="O233" s="73" t="s">
        <v>213</v>
      </c>
      <c r="P233" s="73" t="s">
        <v>213</v>
      </c>
      <c r="Q233" s="73" t="s">
        <v>213</v>
      </c>
      <c r="R233" s="73" t="s">
        <v>213</v>
      </c>
      <c r="S233" s="73" t="s">
        <v>213</v>
      </c>
      <c r="T233" s="74" t="s">
        <v>213</v>
      </c>
      <c r="U233" s="75" t="s">
        <v>213</v>
      </c>
      <c r="V233" s="76" t="s">
        <v>213</v>
      </c>
      <c r="W233" s="77" t="s">
        <v>213</v>
      </c>
      <c r="X233" s="76" t="s">
        <v>213</v>
      </c>
      <c r="Y233" s="74" t="s">
        <v>213</v>
      </c>
      <c r="Z233" s="77" t="s">
        <v>213</v>
      </c>
    </row>
    <row r="234" ht="36" customHeight="1">
      <c r="A234" s="68"/>
      <c r="B234" s="69"/>
      <c r="C234" s="69"/>
      <c r="D234" s="68"/>
      <c r="E234" s="68"/>
      <c r="F234" s="68"/>
      <c r="G234" s="70"/>
      <c r="H234" s="70"/>
      <c r="I234" s="71"/>
      <c r="J234" s="71"/>
      <c r="K234" s="72"/>
      <c r="L234" s="68"/>
      <c r="M234" s="68"/>
      <c r="N234" s="73" t="s">
        <v>213</v>
      </c>
      <c r="O234" s="73" t="s">
        <v>213</v>
      </c>
      <c r="P234" s="73" t="s">
        <v>213</v>
      </c>
      <c r="Q234" s="73" t="s">
        <v>213</v>
      </c>
      <c r="R234" s="73" t="s">
        <v>213</v>
      </c>
      <c r="S234" s="73" t="s">
        <v>213</v>
      </c>
      <c r="T234" s="74" t="s">
        <v>213</v>
      </c>
      <c r="U234" s="75" t="s">
        <v>213</v>
      </c>
      <c r="V234" s="76" t="s">
        <v>213</v>
      </c>
      <c r="W234" s="77" t="s">
        <v>213</v>
      </c>
      <c r="X234" s="76" t="s">
        <v>213</v>
      </c>
      <c r="Y234" s="74" t="s">
        <v>213</v>
      </c>
      <c r="Z234" s="77" t="s">
        <v>213</v>
      </c>
    </row>
    <row r="235" ht="36" customHeight="1">
      <c r="A235" s="68"/>
      <c r="B235" s="69"/>
      <c r="C235" s="69"/>
      <c r="D235" s="68"/>
      <c r="E235" s="68"/>
      <c r="F235" s="68"/>
      <c r="G235" s="70"/>
      <c r="H235" s="70"/>
      <c r="I235" s="71"/>
      <c r="J235" s="71"/>
      <c r="K235" s="72"/>
      <c r="L235" s="68"/>
      <c r="M235" s="68"/>
      <c r="N235" s="73" t="s">
        <v>213</v>
      </c>
      <c r="O235" s="73" t="s">
        <v>213</v>
      </c>
      <c r="P235" s="73" t="s">
        <v>213</v>
      </c>
      <c r="Q235" s="73" t="s">
        <v>213</v>
      </c>
      <c r="R235" s="73" t="s">
        <v>213</v>
      </c>
      <c r="S235" s="73" t="s">
        <v>213</v>
      </c>
      <c r="T235" s="74" t="s">
        <v>213</v>
      </c>
      <c r="U235" s="75" t="s">
        <v>213</v>
      </c>
      <c r="V235" s="76" t="s">
        <v>213</v>
      </c>
      <c r="W235" s="77" t="s">
        <v>213</v>
      </c>
      <c r="X235" s="76" t="s">
        <v>213</v>
      </c>
      <c r="Y235" s="74" t="s">
        <v>213</v>
      </c>
      <c r="Z235" s="77" t="s">
        <v>213</v>
      </c>
    </row>
    <row r="236" ht="36" customHeight="1">
      <c r="A236" s="68"/>
      <c r="B236" s="69"/>
      <c r="C236" s="69"/>
      <c r="D236" s="68"/>
      <c r="E236" s="68"/>
      <c r="F236" s="68"/>
      <c r="G236" s="70"/>
      <c r="H236" s="70"/>
      <c r="I236" s="71"/>
      <c r="J236" s="71"/>
      <c r="K236" s="72"/>
      <c r="L236" s="68"/>
      <c r="M236" s="68"/>
      <c r="N236" s="73" t="s">
        <v>213</v>
      </c>
      <c r="O236" s="73" t="s">
        <v>213</v>
      </c>
      <c r="P236" s="73" t="s">
        <v>213</v>
      </c>
      <c r="Q236" s="73" t="s">
        <v>213</v>
      </c>
      <c r="R236" s="73" t="s">
        <v>213</v>
      </c>
      <c r="S236" s="73" t="s">
        <v>213</v>
      </c>
      <c r="T236" s="74" t="s">
        <v>213</v>
      </c>
      <c r="U236" s="75" t="s">
        <v>213</v>
      </c>
      <c r="V236" s="76" t="s">
        <v>213</v>
      </c>
      <c r="W236" s="77" t="s">
        <v>213</v>
      </c>
      <c r="X236" s="76" t="s">
        <v>213</v>
      </c>
      <c r="Y236" s="74" t="s">
        <v>213</v>
      </c>
      <c r="Z236" s="77" t="s">
        <v>213</v>
      </c>
    </row>
    <row r="237" ht="36" customHeight="1">
      <c r="A237" s="68"/>
      <c r="B237" s="69"/>
      <c r="C237" s="69"/>
      <c r="D237" s="68"/>
      <c r="E237" s="68"/>
      <c r="F237" s="68"/>
      <c r="G237" s="70"/>
      <c r="H237" s="70"/>
      <c r="I237" s="71"/>
      <c r="J237" s="71"/>
      <c r="K237" s="72"/>
      <c r="L237" s="68"/>
      <c r="M237" s="68"/>
      <c r="N237" s="73" t="s">
        <v>213</v>
      </c>
      <c r="O237" s="73" t="s">
        <v>213</v>
      </c>
      <c r="P237" s="73" t="s">
        <v>213</v>
      </c>
      <c r="Q237" s="73" t="s">
        <v>213</v>
      </c>
      <c r="R237" s="73" t="s">
        <v>213</v>
      </c>
      <c r="S237" s="73" t="s">
        <v>213</v>
      </c>
      <c r="T237" s="74" t="s">
        <v>213</v>
      </c>
      <c r="U237" s="75" t="s">
        <v>213</v>
      </c>
      <c r="V237" s="76" t="s">
        <v>213</v>
      </c>
      <c r="W237" s="77" t="s">
        <v>213</v>
      </c>
      <c r="X237" s="76" t="s">
        <v>213</v>
      </c>
      <c r="Y237" s="74" t="s">
        <v>213</v>
      </c>
      <c r="Z237" s="77" t="s">
        <v>213</v>
      </c>
    </row>
    <row r="238" ht="36" customHeight="1">
      <c r="A238" s="68"/>
      <c r="B238" s="69"/>
      <c r="C238" s="69"/>
      <c r="D238" s="68"/>
      <c r="E238" s="68"/>
      <c r="F238" s="68"/>
      <c r="G238" s="70"/>
      <c r="H238" s="70"/>
      <c r="I238" s="71"/>
      <c r="J238" s="71"/>
      <c r="K238" s="72"/>
      <c r="L238" s="68"/>
      <c r="M238" s="68"/>
      <c r="N238" s="73" t="s">
        <v>213</v>
      </c>
      <c r="O238" s="73" t="s">
        <v>213</v>
      </c>
      <c r="P238" s="73" t="s">
        <v>213</v>
      </c>
      <c r="Q238" s="73" t="s">
        <v>213</v>
      </c>
      <c r="R238" s="73" t="s">
        <v>213</v>
      </c>
      <c r="S238" s="73" t="s">
        <v>213</v>
      </c>
      <c r="T238" s="74" t="s">
        <v>213</v>
      </c>
      <c r="U238" s="75" t="s">
        <v>213</v>
      </c>
      <c r="V238" s="76" t="s">
        <v>213</v>
      </c>
      <c r="W238" s="77" t="s">
        <v>213</v>
      </c>
      <c r="X238" s="76" t="s">
        <v>213</v>
      </c>
      <c r="Y238" s="74" t="s">
        <v>213</v>
      </c>
      <c r="Z238" s="77" t="s">
        <v>213</v>
      </c>
    </row>
    <row r="239" ht="36" customHeight="1">
      <c r="A239" s="68"/>
      <c r="B239" s="69"/>
      <c r="C239" s="69"/>
      <c r="D239" s="68"/>
      <c r="E239" s="68"/>
      <c r="F239" s="68"/>
      <c r="G239" s="70"/>
      <c r="H239" s="70"/>
      <c r="I239" s="71"/>
      <c r="J239" s="71"/>
      <c r="K239" s="72"/>
      <c r="L239" s="68"/>
      <c r="M239" s="68"/>
      <c r="N239" s="73" t="s">
        <v>213</v>
      </c>
      <c r="O239" s="73" t="s">
        <v>213</v>
      </c>
      <c r="P239" s="73" t="s">
        <v>213</v>
      </c>
      <c r="Q239" s="73" t="s">
        <v>213</v>
      </c>
      <c r="R239" s="73" t="s">
        <v>213</v>
      </c>
      <c r="S239" s="73" t="s">
        <v>213</v>
      </c>
      <c r="T239" s="74" t="s">
        <v>213</v>
      </c>
      <c r="U239" s="75" t="s">
        <v>213</v>
      </c>
      <c r="V239" s="76" t="s">
        <v>213</v>
      </c>
      <c r="W239" s="77" t="s">
        <v>213</v>
      </c>
      <c r="X239" s="76" t="s">
        <v>213</v>
      </c>
      <c r="Y239" s="74" t="s">
        <v>213</v>
      </c>
      <c r="Z239" s="77" t="s">
        <v>213</v>
      </c>
    </row>
    <row r="240" ht="36" customHeight="1">
      <c r="A240" s="68"/>
      <c r="B240" s="69"/>
      <c r="C240" s="69"/>
      <c r="D240" s="68"/>
      <c r="E240" s="68"/>
      <c r="F240" s="68"/>
      <c r="G240" s="70"/>
      <c r="H240" s="70"/>
      <c r="I240" s="71"/>
      <c r="J240" s="71"/>
      <c r="K240" s="72"/>
      <c r="L240" s="68"/>
      <c r="M240" s="68"/>
      <c r="N240" s="73" t="s">
        <v>213</v>
      </c>
      <c r="O240" s="73" t="s">
        <v>213</v>
      </c>
      <c r="P240" s="73" t="s">
        <v>213</v>
      </c>
      <c r="Q240" s="73" t="s">
        <v>213</v>
      </c>
      <c r="R240" s="73" t="s">
        <v>213</v>
      </c>
      <c r="S240" s="73" t="s">
        <v>213</v>
      </c>
      <c r="T240" s="74" t="s">
        <v>213</v>
      </c>
      <c r="U240" s="75" t="s">
        <v>213</v>
      </c>
      <c r="V240" s="76" t="s">
        <v>213</v>
      </c>
      <c r="W240" s="77" t="s">
        <v>213</v>
      </c>
      <c r="X240" s="76" t="s">
        <v>213</v>
      </c>
      <c r="Y240" s="74" t="s">
        <v>213</v>
      </c>
      <c r="Z240" s="77" t="s">
        <v>213</v>
      </c>
    </row>
    <row r="241" ht="36" customHeight="1">
      <c r="A241" s="68"/>
      <c r="B241" s="69"/>
      <c r="C241" s="69"/>
      <c r="D241" s="68"/>
      <c r="E241" s="68"/>
      <c r="F241" s="68"/>
      <c r="G241" s="70"/>
      <c r="H241" s="70"/>
      <c r="I241" s="71"/>
      <c r="J241" s="71"/>
      <c r="K241" s="72"/>
      <c r="L241" s="68"/>
      <c r="M241" s="68"/>
      <c r="N241" s="73" t="s">
        <v>213</v>
      </c>
      <c r="O241" s="73" t="s">
        <v>213</v>
      </c>
      <c r="P241" s="73" t="s">
        <v>213</v>
      </c>
      <c r="Q241" s="73" t="s">
        <v>213</v>
      </c>
      <c r="R241" s="73" t="s">
        <v>213</v>
      </c>
      <c r="S241" s="73" t="s">
        <v>213</v>
      </c>
      <c r="T241" s="74" t="s">
        <v>213</v>
      </c>
      <c r="U241" s="75" t="s">
        <v>213</v>
      </c>
      <c r="V241" s="76" t="s">
        <v>213</v>
      </c>
      <c r="W241" s="77" t="s">
        <v>213</v>
      </c>
      <c r="X241" s="76" t="s">
        <v>213</v>
      </c>
      <c r="Y241" s="74" t="s">
        <v>213</v>
      </c>
      <c r="Z241" s="77" t="s">
        <v>213</v>
      </c>
    </row>
    <row r="242" ht="36" customHeight="1">
      <c r="A242" s="68"/>
      <c r="B242" s="69"/>
      <c r="C242" s="69"/>
      <c r="D242" s="68"/>
      <c r="E242" s="68"/>
      <c r="F242" s="68"/>
      <c r="G242" s="70"/>
      <c r="H242" s="70"/>
      <c r="I242" s="71"/>
      <c r="J242" s="71"/>
      <c r="K242" s="72"/>
      <c r="L242" s="68"/>
      <c r="M242" s="68"/>
      <c r="N242" s="73" t="s">
        <v>213</v>
      </c>
      <c r="O242" s="73" t="s">
        <v>213</v>
      </c>
      <c r="P242" s="73" t="s">
        <v>213</v>
      </c>
      <c r="Q242" s="73" t="s">
        <v>213</v>
      </c>
      <c r="R242" s="73" t="s">
        <v>213</v>
      </c>
      <c r="S242" s="73" t="s">
        <v>213</v>
      </c>
      <c r="T242" s="74" t="s">
        <v>213</v>
      </c>
      <c r="U242" s="75" t="s">
        <v>213</v>
      </c>
      <c r="V242" s="76" t="s">
        <v>213</v>
      </c>
      <c r="W242" s="77" t="s">
        <v>213</v>
      </c>
      <c r="X242" s="76" t="s">
        <v>213</v>
      </c>
      <c r="Y242" s="74" t="s">
        <v>213</v>
      </c>
      <c r="Z242" s="77" t="s">
        <v>213</v>
      </c>
    </row>
    <row r="243" ht="36" customHeight="1">
      <c r="A243" s="68"/>
      <c r="B243" s="69"/>
      <c r="C243" s="69"/>
      <c r="D243" s="68"/>
      <c r="E243" s="68"/>
      <c r="F243" s="68"/>
      <c r="G243" s="70"/>
      <c r="H243" s="70"/>
      <c r="I243" s="71"/>
      <c r="J243" s="71"/>
      <c r="K243" s="72"/>
      <c r="L243" s="68"/>
      <c r="M243" s="68"/>
      <c r="N243" s="73" t="s">
        <v>213</v>
      </c>
      <c r="O243" s="73" t="s">
        <v>213</v>
      </c>
      <c r="P243" s="73" t="s">
        <v>213</v>
      </c>
      <c r="Q243" s="73" t="s">
        <v>213</v>
      </c>
      <c r="R243" s="73" t="s">
        <v>213</v>
      </c>
      <c r="S243" s="73" t="s">
        <v>213</v>
      </c>
      <c r="T243" s="74" t="s">
        <v>213</v>
      </c>
      <c r="U243" s="75" t="s">
        <v>213</v>
      </c>
      <c r="V243" s="76" t="s">
        <v>213</v>
      </c>
      <c r="W243" s="77" t="s">
        <v>213</v>
      </c>
      <c r="X243" s="76" t="s">
        <v>213</v>
      </c>
      <c r="Y243" s="74" t="s">
        <v>213</v>
      </c>
      <c r="Z243" s="77" t="s">
        <v>213</v>
      </c>
    </row>
    <row r="244" ht="36" customHeight="1">
      <c r="A244" s="68"/>
      <c r="B244" s="69"/>
      <c r="C244" s="69"/>
      <c r="D244" s="68"/>
      <c r="E244" s="68"/>
      <c r="F244" s="68"/>
      <c r="G244" s="70"/>
      <c r="H244" s="70"/>
      <c r="I244" s="71"/>
      <c r="J244" s="71"/>
      <c r="K244" s="72"/>
      <c r="L244" s="68"/>
      <c r="M244" s="68"/>
      <c r="N244" s="73" t="s">
        <v>213</v>
      </c>
      <c r="O244" s="73" t="s">
        <v>213</v>
      </c>
      <c r="P244" s="73" t="s">
        <v>213</v>
      </c>
      <c r="Q244" s="73" t="s">
        <v>213</v>
      </c>
      <c r="R244" s="73" t="s">
        <v>213</v>
      </c>
      <c r="S244" s="73" t="s">
        <v>213</v>
      </c>
      <c r="T244" s="74" t="s">
        <v>213</v>
      </c>
      <c r="U244" s="75" t="s">
        <v>213</v>
      </c>
      <c r="V244" s="76" t="s">
        <v>213</v>
      </c>
      <c r="W244" s="77" t="s">
        <v>213</v>
      </c>
      <c r="X244" s="76" t="s">
        <v>213</v>
      </c>
      <c r="Y244" s="74" t="s">
        <v>213</v>
      </c>
      <c r="Z244" s="77" t="s">
        <v>213</v>
      </c>
    </row>
    <row r="245" ht="36" customHeight="1">
      <c r="A245" s="68"/>
      <c r="B245" s="69"/>
      <c r="C245" s="69"/>
      <c r="D245" s="68"/>
      <c r="E245" s="68"/>
      <c r="F245" s="68"/>
      <c r="G245" s="70"/>
      <c r="H245" s="70"/>
      <c r="I245" s="71"/>
      <c r="J245" s="71"/>
      <c r="K245" s="72"/>
      <c r="L245" s="68"/>
      <c r="M245" s="68"/>
      <c r="N245" s="73" t="s">
        <v>213</v>
      </c>
      <c r="O245" s="73" t="s">
        <v>213</v>
      </c>
      <c r="P245" s="73" t="s">
        <v>213</v>
      </c>
      <c r="Q245" s="73" t="s">
        <v>213</v>
      </c>
      <c r="R245" s="73" t="s">
        <v>213</v>
      </c>
      <c r="S245" s="73" t="s">
        <v>213</v>
      </c>
      <c r="T245" s="74" t="s">
        <v>213</v>
      </c>
      <c r="U245" s="75" t="s">
        <v>213</v>
      </c>
      <c r="V245" s="76" t="s">
        <v>213</v>
      </c>
      <c r="W245" s="77" t="s">
        <v>213</v>
      </c>
      <c r="X245" s="76" t="s">
        <v>213</v>
      </c>
      <c r="Y245" s="74" t="s">
        <v>213</v>
      </c>
      <c r="Z245" s="77" t="s">
        <v>213</v>
      </c>
    </row>
    <row r="246" ht="36" customHeight="1">
      <c r="A246" s="68"/>
      <c r="B246" s="69"/>
      <c r="C246" s="69"/>
      <c r="D246" s="68"/>
      <c r="E246" s="68"/>
      <c r="F246" s="68"/>
      <c r="G246" s="70"/>
      <c r="H246" s="70"/>
      <c r="I246" s="71"/>
      <c r="J246" s="71"/>
      <c r="K246" s="72"/>
      <c r="L246" s="68"/>
      <c r="M246" s="68"/>
      <c r="N246" s="73" t="s">
        <v>213</v>
      </c>
      <c r="O246" s="73" t="s">
        <v>213</v>
      </c>
      <c r="P246" s="73" t="s">
        <v>213</v>
      </c>
      <c r="Q246" s="73" t="s">
        <v>213</v>
      </c>
      <c r="R246" s="73" t="s">
        <v>213</v>
      </c>
      <c r="S246" s="73" t="s">
        <v>213</v>
      </c>
      <c r="T246" s="74" t="s">
        <v>213</v>
      </c>
      <c r="U246" s="75" t="s">
        <v>213</v>
      </c>
      <c r="V246" s="76" t="s">
        <v>213</v>
      </c>
      <c r="W246" s="77" t="s">
        <v>213</v>
      </c>
      <c r="X246" s="76" t="s">
        <v>213</v>
      </c>
      <c r="Y246" s="74" t="s">
        <v>213</v>
      </c>
      <c r="Z246" s="77" t="s">
        <v>213</v>
      </c>
    </row>
    <row r="247" ht="36" customHeight="1">
      <c r="A247" s="68"/>
      <c r="B247" s="69"/>
      <c r="C247" s="69"/>
      <c r="D247" s="68"/>
      <c r="E247" s="68"/>
      <c r="F247" s="68"/>
      <c r="G247" s="70"/>
      <c r="H247" s="70"/>
      <c r="I247" s="71"/>
      <c r="J247" s="71"/>
      <c r="K247" s="72"/>
      <c r="L247" s="68"/>
      <c r="M247" s="68"/>
      <c r="N247" s="73" t="s">
        <v>213</v>
      </c>
      <c r="O247" s="73" t="s">
        <v>213</v>
      </c>
      <c r="P247" s="73" t="s">
        <v>213</v>
      </c>
      <c r="Q247" s="73" t="s">
        <v>213</v>
      </c>
      <c r="R247" s="73" t="s">
        <v>213</v>
      </c>
      <c r="S247" s="73" t="s">
        <v>213</v>
      </c>
      <c r="T247" s="74" t="s">
        <v>213</v>
      </c>
      <c r="U247" s="75" t="s">
        <v>213</v>
      </c>
      <c r="V247" s="76" t="s">
        <v>213</v>
      </c>
      <c r="W247" s="77" t="s">
        <v>213</v>
      </c>
      <c r="X247" s="76" t="s">
        <v>213</v>
      </c>
      <c r="Y247" s="74" t="s">
        <v>213</v>
      </c>
      <c r="Z247" s="77" t="s">
        <v>213</v>
      </c>
    </row>
    <row r="248" ht="36" customHeight="1">
      <c r="A248" s="68"/>
      <c r="B248" s="69"/>
      <c r="C248" s="69"/>
      <c r="D248" s="68"/>
      <c r="E248" s="68"/>
      <c r="F248" s="68"/>
      <c r="G248" s="70"/>
      <c r="H248" s="70"/>
      <c r="I248" s="71"/>
      <c r="J248" s="71"/>
      <c r="K248" s="72"/>
      <c r="L248" s="68"/>
      <c r="M248" s="68"/>
      <c r="N248" s="73" t="s">
        <v>213</v>
      </c>
      <c r="O248" s="73" t="s">
        <v>213</v>
      </c>
      <c r="P248" s="73" t="s">
        <v>213</v>
      </c>
      <c r="Q248" s="73" t="s">
        <v>213</v>
      </c>
      <c r="R248" s="73" t="s">
        <v>213</v>
      </c>
      <c r="S248" s="73" t="s">
        <v>213</v>
      </c>
      <c r="T248" s="74" t="s">
        <v>213</v>
      </c>
      <c r="U248" s="75" t="s">
        <v>213</v>
      </c>
      <c r="V248" s="76" t="s">
        <v>213</v>
      </c>
      <c r="W248" s="77" t="s">
        <v>213</v>
      </c>
      <c r="X248" s="76" t="s">
        <v>213</v>
      </c>
      <c r="Y248" s="74" t="s">
        <v>213</v>
      </c>
      <c r="Z248" s="77" t="s">
        <v>213</v>
      </c>
    </row>
    <row r="249" ht="36" customHeight="1">
      <c r="A249" s="68"/>
      <c r="B249" s="69"/>
      <c r="C249" s="69"/>
      <c r="D249" s="68"/>
      <c r="E249" s="68"/>
      <c r="F249" s="68"/>
      <c r="G249" s="70"/>
      <c r="H249" s="70"/>
      <c r="I249" s="71"/>
      <c r="J249" s="71"/>
      <c r="K249" s="72"/>
      <c r="L249" s="68"/>
      <c r="M249" s="68"/>
      <c r="N249" s="73" t="s">
        <v>213</v>
      </c>
      <c r="O249" s="73" t="s">
        <v>213</v>
      </c>
      <c r="P249" s="73" t="s">
        <v>213</v>
      </c>
      <c r="Q249" s="73" t="s">
        <v>213</v>
      </c>
      <c r="R249" s="73" t="s">
        <v>213</v>
      </c>
      <c r="S249" s="73" t="s">
        <v>213</v>
      </c>
      <c r="T249" s="74" t="s">
        <v>213</v>
      </c>
      <c r="U249" s="75" t="s">
        <v>213</v>
      </c>
      <c r="V249" s="76" t="s">
        <v>213</v>
      </c>
      <c r="W249" s="77" t="s">
        <v>213</v>
      </c>
      <c r="X249" s="76" t="s">
        <v>213</v>
      </c>
      <c r="Y249" s="74" t="s">
        <v>213</v>
      </c>
      <c r="Z249" s="77" t="s">
        <v>213</v>
      </c>
    </row>
    <row r="250" ht="36" customHeight="1">
      <c r="A250" s="68"/>
      <c r="B250" s="69"/>
      <c r="C250" s="69"/>
      <c r="D250" s="68"/>
      <c r="E250" s="68"/>
      <c r="F250" s="68"/>
      <c r="G250" s="70"/>
      <c r="H250" s="70"/>
      <c r="I250" s="71"/>
      <c r="J250" s="71"/>
      <c r="K250" s="72"/>
      <c r="L250" s="68"/>
      <c r="M250" s="68"/>
      <c r="N250" s="73" t="s">
        <v>213</v>
      </c>
      <c r="O250" s="73" t="s">
        <v>213</v>
      </c>
      <c r="P250" s="73" t="s">
        <v>213</v>
      </c>
      <c r="Q250" s="73" t="s">
        <v>213</v>
      </c>
      <c r="R250" s="73" t="s">
        <v>213</v>
      </c>
      <c r="S250" s="73" t="s">
        <v>213</v>
      </c>
      <c r="T250" s="74" t="s">
        <v>213</v>
      </c>
      <c r="U250" s="75" t="s">
        <v>213</v>
      </c>
      <c r="V250" s="76" t="s">
        <v>213</v>
      </c>
      <c r="W250" s="77" t="s">
        <v>213</v>
      </c>
      <c r="X250" s="76" t="s">
        <v>213</v>
      </c>
      <c r="Y250" s="74" t="s">
        <v>213</v>
      </c>
      <c r="Z250" s="77" t="s">
        <v>213</v>
      </c>
    </row>
    <row r="251" ht="36" customHeight="1">
      <c r="A251" s="68"/>
      <c r="B251" s="69"/>
      <c r="C251" s="69"/>
      <c r="D251" s="68"/>
      <c r="E251" s="68"/>
      <c r="F251" s="68"/>
      <c r="G251" s="70"/>
      <c r="H251" s="70"/>
      <c r="I251" s="71"/>
      <c r="J251" s="71"/>
      <c r="K251" s="72"/>
      <c r="L251" s="68"/>
      <c r="M251" s="68"/>
      <c r="N251" s="73" t="s">
        <v>213</v>
      </c>
      <c r="O251" s="73" t="s">
        <v>213</v>
      </c>
      <c r="P251" s="73" t="s">
        <v>213</v>
      </c>
      <c r="Q251" s="73" t="s">
        <v>213</v>
      </c>
      <c r="R251" s="73" t="s">
        <v>213</v>
      </c>
      <c r="S251" s="73" t="s">
        <v>213</v>
      </c>
      <c r="T251" s="74" t="s">
        <v>213</v>
      </c>
      <c r="U251" s="75" t="s">
        <v>213</v>
      </c>
      <c r="V251" s="76" t="s">
        <v>213</v>
      </c>
      <c r="W251" s="77" t="s">
        <v>213</v>
      </c>
      <c r="X251" s="76" t="s">
        <v>213</v>
      </c>
      <c r="Y251" s="74" t="s">
        <v>213</v>
      </c>
      <c r="Z251" s="77" t="s">
        <v>213</v>
      </c>
    </row>
    <row r="252" ht="36" customHeight="1">
      <c r="A252" s="68"/>
      <c r="B252" s="69"/>
      <c r="C252" s="69"/>
      <c r="D252" s="68"/>
      <c r="E252" s="68"/>
      <c r="F252" s="68"/>
      <c r="G252" s="70"/>
      <c r="H252" s="70"/>
      <c r="I252" s="71"/>
      <c r="J252" s="71"/>
      <c r="K252" s="72"/>
      <c r="L252" s="68"/>
      <c r="M252" s="68"/>
      <c r="N252" s="73" t="s">
        <v>213</v>
      </c>
      <c r="O252" s="73" t="s">
        <v>213</v>
      </c>
      <c r="P252" s="73" t="s">
        <v>213</v>
      </c>
      <c r="Q252" s="73" t="s">
        <v>213</v>
      </c>
      <c r="R252" s="73" t="s">
        <v>213</v>
      </c>
      <c r="S252" s="73" t="s">
        <v>213</v>
      </c>
      <c r="T252" s="74" t="s">
        <v>213</v>
      </c>
      <c r="U252" s="75" t="s">
        <v>213</v>
      </c>
      <c r="V252" s="76" t="s">
        <v>213</v>
      </c>
      <c r="W252" s="77" t="s">
        <v>213</v>
      </c>
      <c r="X252" s="76" t="s">
        <v>213</v>
      </c>
      <c r="Y252" s="74" t="s">
        <v>213</v>
      </c>
      <c r="Z252" s="77" t="s">
        <v>213</v>
      </c>
    </row>
    <row r="253" ht="36" customHeight="1">
      <c r="A253" s="68"/>
      <c r="B253" s="69"/>
      <c r="C253" s="69"/>
      <c r="D253" s="68"/>
      <c r="E253" s="68"/>
      <c r="F253" s="68"/>
      <c r="G253" s="70"/>
      <c r="H253" s="70"/>
      <c r="I253" s="71"/>
      <c r="J253" s="71"/>
      <c r="K253" s="72"/>
      <c r="L253" s="68"/>
      <c r="M253" s="68"/>
      <c r="N253" s="73" t="s">
        <v>213</v>
      </c>
      <c r="O253" s="73" t="s">
        <v>213</v>
      </c>
      <c r="P253" s="73" t="s">
        <v>213</v>
      </c>
      <c r="Q253" s="73" t="s">
        <v>213</v>
      </c>
      <c r="R253" s="73" t="s">
        <v>213</v>
      </c>
      <c r="S253" s="73" t="s">
        <v>213</v>
      </c>
      <c r="T253" s="74" t="s">
        <v>213</v>
      </c>
      <c r="U253" s="75" t="s">
        <v>213</v>
      </c>
      <c r="V253" s="76" t="s">
        <v>213</v>
      </c>
      <c r="W253" s="77" t="s">
        <v>213</v>
      </c>
      <c r="X253" s="76" t="s">
        <v>213</v>
      </c>
      <c r="Y253" s="74" t="s">
        <v>213</v>
      </c>
      <c r="Z253" s="77" t="s">
        <v>213</v>
      </c>
    </row>
    <row r="254" ht="36" customHeight="1">
      <c r="A254" s="68"/>
      <c r="B254" s="69"/>
      <c r="C254" s="69"/>
      <c r="D254" s="68"/>
      <c r="E254" s="68"/>
      <c r="F254" s="68"/>
      <c r="G254" s="70"/>
      <c r="H254" s="70"/>
      <c r="I254" s="71"/>
      <c r="J254" s="71"/>
      <c r="K254" s="72"/>
      <c r="L254" s="68"/>
      <c r="M254" s="68"/>
      <c r="N254" s="73" t="s">
        <v>213</v>
      </c>
      <c r="O254" s="73" t="s">
        <v>213</v>
      </c>
      <c r="P254" s="73" t="s">
        <v>213</v>
      </c>
      <c r="Q254" s="73" t="s">
        <v>213</v>
      </c>
      <c r="R254" s="73" t="s">
        <v>213</v>
      </c>
      <c r="S254" s="73" t="s">
        <v>213</v>
      </c>
      <c r="T254" s="74" t="s">
        <v>213</v>
      </c>
      <c r="U254" s="75" t="s">
        <v>213</v>
      </c>
      <c r="V254" s="76" t="s">
        <v>213</v>
      </c>
      <c r="W254" s="77" t="s">
        <v>213</v>
      </c>
      <c r="X254" s="76" t="s">
        <v>213</v>
      </c>
      <c r="Y254" s="74" t="s">
        <v>213</v>
      </c>
      <c r="Z254" s="77" t="s">
        <v>213</v>
      </c>
    </row>
    <row r="255" ht="36" customHeight="1">
      <c r="A255" s="68"/>
      <c r="B255" s="69"/>
      <c r="C255" s="69"/>
      <c r="D255" s="68"/>
      <c r="E255" s="68"/>
      <c r="F255" s="68"/>
      <c r="G255" s="70"/>
      <c r="H255" s="70"/>
      <c r="I255" s="71"/>
      <c r="J255" s="71"/>
      <c r="K255" s="72"/>
      <c r="L255" s="68"/>
      <c r="M255" s="68"/>
      <c r="N255" s="73" t="s">
        <v>213</v>
      </c>
      <c r="O255" s="73" t="s">
        <v>213</v>
      </c>
      <c r="P255" s="73" t="s">
        <v>213</v>
      </c>
      <c r="Q255" s="73" t="s">
        <v>213</v>
      </c>
      <c r="R255" s="73" t="s">
        <v>213</v>
      </c>
      <c r="S255" s="73" t="s">
        <v>213</v>
      </c>
      <c r="T255" s="74" t="s">
        <v>213</v>
      </c>
      <c r="U255" s="75" t="s">
        <v>213</v>
      </c>
      <c r="V255" s="76" t="s">
        <v>213</v>
      </c>
      <c r="W255" s="77" t="s">
        <v>213</v>
      </c>
      <c r="X255" s="76" t="s">
        <v>213</v>
      </c>
      <c r="Y255" s="74" t="s">
        <v>213</v>
      </c>
      <c r="Z255" s="77" t="s">
        <v>213</v>
      </c>
    </row>
    <row r="256" ht="36" customHeight="1">
      <c r="A256" s="68"/>
      <c r="B256" s="69"/>
      <c r="C256" s="69"/>
      <c r="D256" s="68"/>
      <c r="E256" s="68"/>
      <c r="F256" s="68"/>
      <c r="G256" s="70"/>
      <c r="H256" s="70"/>
      <c r="I256" s="71"/>
      <c r="J256" s="71"/>
      <c r="K256" s="72"/>
      <c r="L256" s="68"/>
      <c r="M256" s="68"/>
      <c r="N256" s="73" t="s">
        <v>213</v>
      </c>
      <c r="O256" s="73" t="s">
        <v>213</v>
      </c>
      <c r="P256" s="73" t="s">
        <v>213</v>
      </c>
      <c r="Q256" s="73" t="s">
        <v>213</v>
      </c>
      <c r="R256" s="73" t="s">
        <v>213</v>
      </c>
      <c r="S256" s="73" t="s">
        <v>213</v>
      </c>
      <c r="T256" s="74" t="s">
        <v>213</v>
      </c>
      <c r="U256" s="75" t="s">
        <v>213</v>
      </c>
      <c r="V256" s="76" t="s">
        <v>213</v>
      </c>
      <c r="W256" s="77" t="s">
        <v>213</v>
      </c>
      <c r="X256" s="76" t="s">
        <v>213</v>
      </c>
      <c r="Y256" s="74" t="s">
        <v>213</v>
      </c>
      <c r="Z256" s="77" t="s">
        <v>213</v>
      </c>
    </row>
    <row r="257" ht="36" customHeight="1">
      <c r="A257" s="68"/>
      <c r="B257" s="69"/>
      <c r="C257" s="69"/>
      <c r="D257" s="68"/>
      <c r="E257" s="68"/>
      <c r="F257" s="68"/>
      <c r="G257" s="70"/>
      <c r="H257" s="70"/>
      <c r="I257" s="71"/>
      <c r="J257" s="71"/>
      <c r="K257" s="72"/>
      <c r="L257" s="68"/>
      <c r="M257" s="68"/>
      <c r="N257" s="73" t="s">
        <v>213</v>
      </c>
      <c r="O257" s="73" t="s">
        <v>213</v>
      </c>
      <c r="P257" s="73" t="s">
        <v>213</v>
      </c>
      <c r="Q257" s="73" t="s">
        <v>213</v>
      </c>
      <c r="R257" s="73" t="s">
        <v>213</v>
      </c>
      <c r="S257" s="73" t="s">
        <v>213</v>
      </c>
      <c r="T257" s="74" t="s">
        <v>213</v>
      </c>
      <c r="U257" s="75" t="s">
        <v>213</v>
      </c>
      <c r="V257" s="76" t="s">
        <v>213</v>
      </c>
      <c r="W257" s="77" t="s">
        <v>213</v>
      </c>
      <c r="X257" s="76" t="s">
        <v>213</v>
      </c>
      <c r="Y257" s="74" t="s">
        <v>213</v>
      </c>
      <c r="Z257" s="77" t="s">
        <v>213</v>
      </c>
    </row>
    <row r="258" ht="36" customHeight="1">
      <c r="A258" s="68"/>
      <c r="B258" s="69"/>
      <c r="C258" s="69"/>
      <c r="D258" s="68"/>
      <c r="E258" s="68"/>
      <c r="F258" s="68"/>
      <c r="G258" s="70"/>
      <c r="H258" s="70"/>
      <c r="I258" s="71"/>
      <c r="J258" s="71"/>
      <c r="K258" s="72"/>
      <c r="L258" s="68"/>
      <c r="M258" s="68"/>
      <c r="N258" s="73" t="s">
        <v>213</v>
      </c>
      <c r="O258" s="73" t="s">
        <v>213</v>
      </c>
      <c r="P258" s="73" t="s">
        <v>213</v>
      </c>
      <c r="Q258" s="73" t="s">
        <v>213</v>
      </c>
      <c r="R258" s="73" t="s">
        <v>213</v>
      </c>
      <c r="S258" s="73" t="s">
        <v>213</v>
      </c>
      <c r="T258" s="74" t="s">
        <v>213</v>
      </c>
      <c r="U258" s="75" t="s">
        <v>213</v>
      </c>
      <c r="V258" s="76" t="s">
        <v>213</v>
      </c>
      <c r="W258" s="77" t="s">
        <v>213</v>
      </c>
      <c r="X258" s="76" t="s">
        <v>213</v>
      </c>
      <c r="Y258" s="74" t="s">
        <v>213</v>
      </c>
      <c r="Z258" s="77" t="s">
        <v>213</v>
      </c>
    </row>
    <row r="259" ht="36" customHeight="1">
      <c r="A259" s="68"/>
      <c r="B259" s="69"/>
      <c r="C259" s="69"/>
      <c r="D259" s="68"/>
      <c r="E259" s="68"/>
      <c r="F259" s="68"/>
      <c r="G259" s="70"/>
      <c r="H259" s="70"/>
      <c r="I259" s="71"/>
      <c r="J259" s="71"/>
      <c r="K259" s="72"/>
      <c r="L259" s="68"/>
      <c r="M259" s="68"/>
      <c r="N259" s="73" t="s">
        <v>213</v>
      </c>
      <c r="O259" s="73" t="s">
        <v>213</v>
      </c>
      <c r="P259" s="73" t="s">
        <v>213</v>
      </c>
      <c r="Q259" s="73" t="s">
        <v>213</v>
      </c>
      <c r="R259" s="73" t="s">
        <v>213</v>
      </c>
      <c r="S259" s="73" t="s">
        <v>213</v>
      </c>
      <c r="T259" s="74" t="s">
        <v>213</v>
      </c>
      <c r="U259" s="75" t="s">
        <v>213</v>
      </c>
      <c r="V259" s="76" t="s">
        <v>213</v>
      </c>
      <c r="W259" s="77" t="s">
        <v>213</v>
      </c>
      <c r="X259" s="76" t="s">
        <v>213</v>
      </c>
      <c r="Y259" s="74" t="s">
        <v>213</v>
      </c>
      <c r="Z259" s="77" t="s">
        <v>213</v>
      </c>
    </row>
    <row r="260" ht="36" customHeight="1">
      <c r="A260" s="68"/>
      <c r="B260" s="69"/>
      <c r="C260" s="69"/>
      <c r="D260" s="68"/>
      <c r="E260" s="68"/>
      <c r="F260" s="68"/>
      <c r="G260" s="70"/>
      <c r="H260" s="70"/>
      <c r="I260" s="71"/>
      <c r="J260" s="71"/>
      <c r="K260" s="72"/>
      <c r="L260" s="68"/>
      <c r="M260" s="68"/>
      <c r="N260" s="73" t="s">
        <v>213</v>
      </c>
      <c r="O260" s="73" t="s">
        <v>213</v>
      </c>
      <c r="P260" s="73" t="s">
        <v>213</v>
      </c>
      <c r="Q260" s="73" t="s">
        <v>213</v>
      </c>
      <c r="R260" s="73" t="s">
        <v>213</v>
      </c>
      <c r="S260" s="73" t="s">
        <v>213</v>
      </c>
      <c r="T260" s="74" t="s">
        <v>213</v>
      </c>
      <c r="U260" s="75" t="s">
        <v>213</v>
      </c>
      <c r="V260" s="76" t="s">
        <v>213</v>
      </c>
      <c r="W260" s="77" t="s">
        <v>213</v>
      </c>
      <c r="X260" s="76" t="s">
        <v>213</v>
      </c>
      <c r="Y260" s="74" t="s">
        <v>213</v>
      </c>
      <c r="Z260" s="77" t="s">
        <v>213</v>
      </c>
    </row>
    <row r="261" ht="36" customHeight="1">
      <c r="A261" s="68"/>
      <c r="B261" s="69"/>
      <c r="C261" s="69"/>
      <c r="D261" s="68"/>
      <c r="E261" s="68"/>
      <c r="F261" s="68"/>
      <c r="G261" s="70"/>
      <c r="H261" s="70"/>
      <c r="I261" s="71"/>
      <c r="J261" s="71"/>
      <c r="K261" s="72"/>
      <c r="L261" s="68"/>
      <c r="M261" s="68"/>
      <c r="N261" s="73" t="s">
        <v>213</v>
      </c>
      <c r="O261" s="73" t="s">
        <v>213</v>
      </c>
      <c r="P261" s="73" t="s">
        <v>213</v>
      </c>
      <c r="Q261" s="73" t="s">
        <v>213</v>
      </c>
      <c r="R261" s="73" t="s">
        <v>213</v>
      </c>
      <c r="S261" s="73" t="s">
        <v>213</v>
      </c>
      <c r="T261" s="74" t="s">
        <v>213</v>
      </c>
      <c r="U261" s="75" t="s">
        <v>213</v>
      </c>
      <c r="V261" s="76" t="s">
        <v>213</v>
      </c>
      <c r="W261" s="77" t="s">
        <v>213</v>
      </c>
      <c r="X261" s="76" t="s">
        <v>213</v>
      </c>
      <c r="Y261" s="74" t="s">
        <v>213</v>
      </c>
      <c r="Z261" s="77" t="s">
        <v>213</v>
      </c>
    </row>
    <row r="262" ht="36" customHeight="1">
      <c r="A262" s="68"/>
      <c r="B262" s="69"/>
      <c r="C262" s="69"/>
      <c r="D262" s="68"/>
      <c r="E262" s="68"/>
      <c r="F262" s="68"/>
      <c r="G262" s="70"/>
      <c r="H262" s="70"/>
      <c r="I262" s="71"/>
      <c r="J262" s="71"/>
      <c r="K262" s="72"/>
      <c r="L262" s="68"/>
      <c r="M262" s="68"/>
      <c r="N262" s="73" t="s">
        <v>213</v>
      </c>
      <c r="O262" s="73" t="s">
        <v>213</v>
      </c>
      <c r="P262" s="73" t="s">
        <v>213</v>
      </c>
      <c r="Q262" s="73" t="s">
        <v>213</v>
      </c>
      <c r="R262" s="73" t="s">
        <v>213</v>
      </c>
      <c r="S262" s="73" t="s">
        <v>213</v>
      </c>
      <c r="T262" s="74" t="s">
        <v>213</v>
      </c>
      <c r="U262" s="75" t="s">
        <v>213</v>
      </c>
      <c r="V262" s="76" t="s">
        <v>213</v>
      </c>
      <c r="W262" s="77" t="s">
        <v>213</v>
      </c>
      <c r="X262" s="76" t="s">
        <v>213</v>
      </c>
      <c r="Y262" s="74" t="s">
        <v>213</v>
      </c>
      <c r="Z262" s="77" t="s">
        <v>213</v>
      </c>
    </row>
    <row r="263" ht="36" customHeight="1">
      <c r="A263" s="68"/>
      <c r="B263" s="69"/>
      <c r="C263" s="69"/>
      <c r="D263" s="68"/>
      <c r="E263" s="68"/>
      <c r="F263" s="68"/>
      <c r="G263" s="70"/>
      <c r="H263" s="70"/>
      <c r="I263" s="71"/>
      <c r="J263" s="71"/>
      <c r="K263" s="72"/>
      <c r="L263" s="68"/>
      <c r="M263" s="68"/>
      <c r="N263" s="73" t="s">
        <v>213</v>
      </c>
      <c r="O263" s="73" t="s">
        <v>213</v>
      </c>
      <c r="P263" s="73" t="s">
        <v>213</v>
      </c>
      <c r="Q263" s="73" t="s">
        <v>213</v>
      </c>
      <c r="R263" s="73" t="s">
        <v>213</v>
      </c>
      <c r="S263" s="73" t="s">
        <v>213</v>
      </c>
      <c r="T263" s="74" t="s">
        <v>213</v>
      </c>
      <c r="U263" s="75" t="s">
        <v>213</v>
      </c>
      <c r="V263" s="76" t="s">
        <v>213</v>
      </c>
      <c r="W263" s="77" t="s">
        <v>213</v>
      </c>
      <c r="X263" s="76" t="s">
        <v>213</v>
      </c>
      <c r="Y263" s="74" t="s">
        <v>213</v>
      </c>
      <c r="Z263" s="77" t="s">
        <v>213</v>
      </c>
    </row>
    <row r="264" ht="36" customHeight="1">
      <c r="A264" s="68"/>
      <c r="B264" s="69"/>
      <c r="C264" s="69"/>
      <c r="D264" s="68"/>
      <c r="E264" s="68"/>
      <c r="F264" s="68"/>
      <c r="G264" s="70"/>
      <c r="H264" s="70"/>
      <c r="I264" s="71"/>
      <c r="J264" s="71"/>
      <c r="K264" s="72"/>
      <c r="L264" s="68"/>
      <c r="M264" s="68"/>
      <c r="N264" s="73" t="s">
        <v>213</v>
      </c>
      <c r="O264" s="73" t="s">
        <v>213</v>
      </c>
      <c r="P264" s="73" t="s">
        <v>213</v>
      </c>
      <c r="Q264" s="73" t="s">
        <v>213</v>
      </c>
      <c r="R264" s="73" t="s">
        <v>213</v>
      </c>
      <c r="S264" s="73" t="s">
        <v>213</v>
      </c>
      <c r="T264" s="74" t="s">
        <v>213</v>
      </c>
      <c r="U264" s="75" t="s">
        <v>213</v>
      </c>
      <c r="V264" s="76" t="s">
        <v>213</v>
      </c>
      <c r="W264" s="77" t="s">
        <v>213</v>
      </c>
      <c r="X264" s="76" t="s">
        <v>213</v>
      </c>
      <c r="Y264" s="74" t="s">
        <v>213</v>
      </c>
      <c r="Z264" s="77" t="s">
        <v>213</v>
      </c>
    </row>
    <row r="265" ht="36" customHeight="1">
      <c r="A265" s="68"/>
      <c r="B265" s="69"/>
      <c r="C265" s="69"/>
      <c r="D265" s="68"/>
      <c r="E265" s="68"/>
      <c r="F265" s="68"/>
      <c r="G265" s="70"/>
      <c r="H265" s="70"/>
      <c r="I265" s="71"/>
      <c r="J265" s="71"/>
      <c r="K265" s="72"/>
      <c r="L265" s="68"/>
      <c r="M265" s="68"/>
      <c r="N265" s="73" t="s">
        <v>213</v>
      </c>
      <c r="O265" s="73" t="s">
        <v>213</v>
      </c>
      <c r="P265" s="73" t="s">
        <v>213</v>
      </c>
      <c r="Q265" s="73" t="s">
        <v>213</v>
      </c>
      <c r="R265" s="73" t="s">
        <v>213</v>
      </c>
      <c r="S265" s="73" t="s">
        <v>213</v>
      </c>
      <c r="T265" s="74" t="s">
        <v>213</v>
      </c>
      <c r="U265" s="75" t="s">
        <v>213</v>
      </c>
      <c r="V265" s="76" t="s">
        <v>213</v>
      </c>
      <c r="W265" s="77" t="s">
        <v>213</v>
      </c>
      <c r="X265" s="76" t="s">
        <v>213</v>
      </c>
      <c r="Y265" s="74" t="s">
        <v>213</v>
      </c>
      <c r="Z265" s="77" t="s">
        <v>213</v>
      </c>
    </row>
    <row r="266" ht="36" customHeight="1">
      <c r="A266" s="68"/>
      <c r="B266" s="69"/>
      <c r="C266" s="69"/>
      <c r="D266" s="68"/>
      <c r="E266" s="68"/>
      <c r="F266" s="68"/>
      <c r="G266" s="70"/>
      <c r="H266" s="70"/>
      <c r="I266" s="71"/>
      <c r="J266" s="71"/>
      <c r="K266" s="72"/>
      <c r="L266" s="68"/>
      <c r="M266" s="68"/>
      <c r="N266" s="73" t="s">
        <v>213</v>
      </c>
      <c r="O266" s="73" t="s">
        <v>213</v>
      </c>
      <c r="P266" s="73" t="s">
        <v>213</v>
      </c>
      <c r="Q266" s="73" t="s">
        <v>213</v>
      </c>
      <c r="R266" s="73" t="s">
        <v>213</v>
      </c>
      <c r="S266" s="73" t="s">
        <v>213</v>
      </c>
      <c r="T266" s="74" t="s">
        <v>213</v>
      </c>
      <c r="U266" s="75" t="s">
        <v>213</v>
      </c>
      <c r="V266" s="76" t="s">
        <v>213</v>
      </c>
      <c r="W266" s="77" t="s">
        <v>213</v>
      </c>
      <c r="X266" s="76" t="s">
        <v>213</v>
      </c>
      <c r="Y266" s="74" t="s">
        <v>213</v>
      </c>
      <c r="Z266" s="77" t="s">
        <v>213</v>
      </c>
    </row>
    <row r="267" ht="36" customHeight="1">
      <c r="A267" s="68"/>
      <c r="B267" s="69"/>
      <c r="C267" s="69"/>
      <c r="D267" s="68"/>
      <c r="E267" s="68"/>
      <c r="F267" s="68"/>
      <c r="G267" s="70"/>
      <c r="H267" s="70"/>
      <c r="I267" s="71"/>
      <c r="J267" s="71"/>
      <c r="K267" s="72"/>
      <c r="L267" s="68"/>
      <c r="M267" s="68"/>
      <c r="N267" s="73" t="s">
        <v>213</v>
      </c>
      <c r="O267" s="73" t="s">
        <v>213</v>
      </c>
      <c r="P267" s="73" t="s">
        <v>213</v>
      </c>
      <c r="Q267" s="73" t="s">
        <v>213</v>
      </c>
      <c r="R267" s="73" t="s">
        <v>213</v>
      </c>
      <c r="S267" s="73" t="s">
        <v>213</v>
      </c>
      <c r="T267" s="74" t="s">
        <v>213</v>
      </c>
      <c r="U267" s="75" t="s">
        <v>213</v>
      </c>
      <c r="V267" s="76" t="s">
        <v>213</v>
      </c>
      <c r="W267" s="77" t="s">
        <v>213</v>
      </c>
      <c r="X267" s="76" t="s">
        <v>213</v>
      </c>
      <c r="Y267" s="74" t="s">
        <v>213</v>
      </c>
      <c r="Z267" s="77" t="s">
        <v>213</v>
      </c>
    </row>
    <row r="268" ht="36" customHeight="1">
      <c r="A268" s="68"/>
      <c r="B268" s="69"/>
      <c r="C268" s="69"/>
      <c r="D268" s="68"/>
      <c r="E268" s="68"/>
      <c r="F268" s="68"/>
      <c r="G268" s="70"/>
      <c r="H268" s="70"/>
      <c r="I268" s="71"/>
      <c r="J268" s="71"/>
      <c r="K268" s="72"/>
      <c r="L268" s="68"/>
      <c r="M268" s="68"/>
      <c r="N268" s="73" t="s">
        <v>213</v>
      </c>
      <c r="O268" s="73" t="s">
        <v>213</v>
      </c>
      <c r="P268" s="73" t="s">
        <v>213</v>
      </c>
      <c r="Q268" s="73" t="s">
        <v>213</v>
      </c>
      <c r="R268" s="73" t="s">
        <v>213</v>
      </c>
      <c r="S268" s="73" t="s">
        <v>213</v>
      </c>
      <c r="T268" s="74" t="s">
        <v>213</v>
      </c>
      <c r="U268" s="75" t="s">
        <v>213</v>
      </c>
      <c r="V268" s="76" t="s">
        <v>213</v>
      </c>
      <c r="W268" s="77" t="s">
        <v>213</v>
      </c>
      <c r="X268" s="76" t="s">
        <v>213</v>
      </c>
      <c r="Y268" s="74" t="s">
        <v>213</v>
      </c>
      <c r="Z268" s="77" t="s">
        <v>213</v>
      </c>
    </row>
    <row r="269" ht="36" customHeight="1">
      <c r="A269" s="68"/>
      <c r="B269" s="69"/>
      <c r="C269" s="69"/>
      <c r="D269" s="68"/>
      <c r="E269" s="68"/>
      <c r="F269" s="68"/>
      <c r="G269" s="70"/>
      <c r="H269" s="70"/>
      <c r="I269" s="71"/>
      <c r="J269" s="71"/>
      <c r="K269" s="72"/>
      <c r="L269" s="68"/>
      <c r="M269" s="68"/>
      <c r="N269" s="73" t="s">
        <v>213</v>
      </c>
      <c r="O269" s="73" t="s">
        <v>213</v>
      </c>
      <c r="P269" s="73" t="s">
        <v>213</v>
      </c>
      <c r="Q269" s="73" t="s">
        <v>213</v>
      </c>
      <c r="R269" s="73" t="s">
        <v>213</v>
      </c>
      <c r="S269" s="73" t="s">
        <v>213</v>
      </c>
      <c r="T269" s="74" t="s">
        <v>213</v>
      </c>
      <c r="U269" s="75" t="s">
        <v>213</v>
      </c>
      <c r="V269" s="76" t="s">
        <v>213</v>
      </c>
      <c r="W269" s="77" t="s">
        <v>213</v>
      </c>
      <c r="X269" s="76" t="s">
        <v>213</v>
      </c>
      <c r="Y269" s="74" t="s">
        <v>213</v>
      </c>
      <c r="Z269" s="77" t="s">
        <v>213</v>
      </c>
    </row>
    <row r="270" ht="36" customHeight="1">
      <c r="A270" s="68"/>
      <c r="B270" s="69"/>
      <c r="C270" s="69"/>
      <c r="D270" s="68"/>
      <c r="E270" s="68"/>
      <c r="F270" s="68"/>
      <c r="G270" s="70"/>
      <c r="H270" s="70"/>
      <c r="I270" s="71"/>
      <c r="J270" s="71"/>
      <c r="K270" s="72"/>
      <c r="L270" s="68"/>
      <c r="M270" s="68"/>
      <c r="N270" s="73" t="s">
        <v>213</v>
      </c>
      <c r="O270" s="73" t="s">
        <v>213</v>
      </c>
      <c r="P270" s="73" t="s">
        <v>213</v>
      </c>
      <c r="Q270" s="73" t="s">
        <v>213</v>
      </c>
      <c r="R270" s="73" t="s">
        <v>213</v>
      </c>
      <c r="S270" s="73" t="s">
        <v>213</v>
      </c>
      <c r="T270" s="74" t="s">
        <v>213</v>
      </c>
      <c r="U270" s="75" t="s">
        <v>213</v>
      </c>
      <c r="V270" s="76" t="s">
        <v>213</v>
      </c>
      <c r="W270" s="77" t="s">
        <v>213</v>
      </c>
      <c r="X270" s="76" t="s">
        <v>213</v>
      </c>
      <c r="Y270" s="74" t="s">
        <v>213</v>
      </c>
      <c r="Z270" s="77" t="s">
        <v>213</v>
      </c>
    </row>
    <row r="271" ht="36" customHeight="1">
      <c r="A271" s="68"/>
      <c r="B271" s="69"/>
      <c r="C271" s="69"/>
      <c r="D271" s="68"/>
      <c r="E271" s="68"/>
      <c r="F271" s="68"/>
      <c r="G271" s="70"/>
      <c r="H271" s="70"/>
      <c r="I271" s="71"/>
      <c r="J271" s="71"/>
      <c r="K271" s="72"/>
      <c r="L271" s="68"/>
      <c r="M271" s="68"/>
      <c r="N271" s="73" t="s">
        <v>213</v>
      </c>
      <c r="O271" s="73" t="s">
        <v>213</v>
      </c>
      <c r="P271" s="73" t="s">
        <v>213</v>
      </c>
      <c r="Q271" s="73" t="s">
        <v>213</v>
      </c>
      <c r="R271" s="73" t="s">
        <v>213</v>
      </c>
      <c r="S271" s="73" t="s">
        <v>213</v>
      </c>
      <c r="T271" s="74" t="s">
        <v>213</v>
      </c>
      <c r="U271" s="75" t="s">
        <v>213</v>
      </c>
      <c r="V271" s="76" t="s">
        <v>213</v>
      </c>
      <c r="W271" s="77" t="s">
        <v>213</v>
      </c>
      <c r="X271" s="76" t="s">
        <v>213</v>
      </c>
      <c r="Y271" s="74" t="s">
        <v>213</v>
      </c>
      <c r="Z271" s="77" t="s">
        <v>213</v>
      </c>
    </row>
    <row r="272" ht="36" customHeight="1">
      <c r="A272" s="68"/>
      <c r="B272" s="69"/>
      <c r="C272" s="69"/>
      <c r="D272" s="68"/>
      <c r="E272" s="68"/>
      <c r="F272" s="68"/>
      <c r="G272" s="70"/>
      <c r="H272" s="70"/>
      <c r="I272" s="71"/>
      <c r="J272" s="71"/>
      <c r="K272" s="72"/>
      <c r="L272" s="68"/>
      <c r="M272" s="68"/>
      <c r="N272" s="73" t="s">
        <v>213</v>
      </c>
      <c r="O272" s="73" t="s">
        <v>213</v>
      </c>
      <c r="P272" s="73" t="s">
        <v>213</v>
      </c>
      <c r="Q272" s="73" t="s">
        <v>213</v>
      </c>
      <c r="R272" s="73" t="s">
        <v>213</v>
      </c>
      <c r="S272" s="73" t="s">
        <v>213</v>
      </c>
      <c r="T272" s="74" t="s">
        <v>213</v>
      </c>
      <c r="U272" s="75" t="s">
        <v>213</v>
      </c>
      <c r="V272" s="76" t="s">
        <v>213</v>
      </c>
      <c r="W272" s="77" t="s">
        <v>213</v>
      </c>
      <c r="X272" s="76" t="s">
        <v>213</v>
      </c>
      <c r="Y272" s="74" t="s">
        <v>213</v>
      </c>
      <c r="Z272" s="77" t="s">
        <v>213</v>
      </c>
    </row>
    <row r="273" ht="36" customHeight="1">
      <c r="A273" s="68"/>
      <c r="B273" s="69"/>
      <c r="C273" s="69"/>
      <c r="D273" s="68"/>
      <c r="E273" s="68"/>
      <c r="F273" s="68"/>
      <c r="G273" s="70"/>
      <c r="H273" s="70"/>
      <c r="I273" s="71"/>
      <c r="J273" s="71"/>
      <c r="K273" s="72"/>
      <c r="L273" s="68"/>
      <c r="M273" s="68"/>
      <c r="N273" s="73" t="s">
        <v>213</v>
      </c>
      <c r="O273" s="73" t="s">
        <v>213</v>
      </c>
      <c r="P273" s="73" t="s">
        <v>213</v>
      </c>
      <c r="Q273" s="73" t="s">
        <v>213</v>
      </c>
      <c r="R273" s="73" t="s">
        <v>213</v>
      </c>
      <c r="S273" s="73" t="s">
        <v>213</v>
      </c>
      <c r="T273" s="74" t="s">
        <v>213</v>
      </c>
      <c r="U273" s="75" t="s">
        <v>213</v>
      </c>
      <c r="V273" s="76" t="s">
        <v>213</v>
      </c>
      <c r="W273" s="77" t="s">
        <v>213</v>
      </c>
      <c r="X273" s="76" t="s">
        <v>213</v>
      </c>
      <c r="Y273" s="74" t="s">
        <v>213</v>
      </c>
      <c r="Z273" s="77" t="s">
        <v>213</v>
      </c>
    </row>
    <row r="274" ht="36" customHeight="1">
      <c r="A274" s="68"/>
      <c r="B274" s="69"/>
      <c r="C274" s="69"/>
      <c r="D274" s="68"/>
      <c r="E274" s="68"/>
      <c r="F274" s="68"/>
      <c r="G274" s="70"/>
      <c r="H274" s="70"/>
      <c r="I274" s="71"/>
      <c r="J274" s="71"/>
      <c r="K274" s="72"/>
      <c r="L274" s="68"/>
      <c r="M274" s="68"/>
      <c r="N274" s="73" t="s">
        <v>213</v>
      </c>
      <c r="O274" s="73" t="s">
        <v>213</v>
      </c>
      <c r="P274" s="73" t="s">
        <v>213</v>
      </c>
      <c r="Q274" s="73" t="s">
        <v>213</v>
      </c>
      <c r="R274" s="73" t="s">
        <v>213</v>
      </c>
      <c r="S274" s="73" t="s">
        <v>213</v>
      </c>
      <c r="T274" s="74" t="s">
        <v>213</v>
      </c>
      <c r="U274" s="75" t="s">
        <v>213</v>
      </c>
      <c r="V274" s="76" t="s">
        <v>213</v>
      </c>
      <c r="W274" s="77" t="s">
        <v>213</v>
      </c>
      <c r="X274" s="76" t="s">
        <v>213</v>
      </c>
      <c r="Y274" s="74" t="s">
        <v>213</v>
      </c>
      <c r="Z274" s="77" t="s">
        <v>213</v>
      </c>
    </row>
    <row r="275" ht="36" customHeight="1">
      <c r="A275" s="68"/>
      <c r="B275" s="69"/>
      <c r="C275" s="69"/>
      <c r="D275" s="68"/>
      <c r="E275" s="68"/>
      <c r="F275" s="68"/>
      <c r="G275" s="70"/>
      <c r="H275" s="70"/>
      <c r="I275" s="71"/>
      <c r="J275" s="71"/>
      <c r="K275" s="72"/>
      <c r="L275" s="68"/>
      <c r="M275" s="68"/>
      <c r="N275" s="73" t="s">
        <v>213</v>
      </c>
      <c r="O275" s="73" t="s">
        <v>213</v>
      </c>
      <c r="P275" s="73" t="s">
        <v>213</v>
      </c>
      <c r="Q275" s="73" t="s">
        <v>213</v>
      </c>
      <c r="R275" s="73" t="s">
        <v>213</v>
      </c>
      <c r="S275" s="73" t="s">
        <v>213</v>
      </c>
      <c r="T275" s="74" t="s">
        <v>213</v>
      </c>
      <c r="U275" s="75" t="s">
        <v>213</v>
      </c>
      <c r="V275" s="76" t="s">
        <v>213</v>
      </c>
      <c r="W275" s="77" t="s">
        <v>213</v>
      </c>
      <c r="X275" s="76" t="s">
        <v>213</v>
      </c>
      <c r="Y275" s="74" t="s">
        <v>213</v>
      </c>
      <c r="Z275" s="77" t="s">
        <v>213</v>
      </c>
    </row>
    <row r="276" ht="36" customHeight="1">
      <c r="A276" s="68"/>
      <c r="B276" s="69"/>
      <c r="C276" s="69"/>
      <c r="D276" s="68"/>
      <c r="E276" s="68"/>
      <c r="F276" s="68"/>
      <c r="G276" s="70"/>
      <c r="H276" s="70"/>
      <c r="I276" s="71"/>
      <c r="J276" s="71"/>
      <c r="K276" s="72"/>
      <c r="L276" s="68"/>
      <c r="M276" s="68"/>
      <c r="N276" s="73" t="s">
        <v>213</v>
      </c>
      <c r="O276" s="73" t="s">
        <v>213</v>
      </c>
      <c r="P276" s="73" t="s">
        <v>213</v>
      </c>
      <c r="Q276" s="73" t="s">
        <v>213</v>
      </c>
      <c r="R276" s="73" t="s">
        <v>213</v>
      </c>
      <c r="S276" s="73" t="s">
        <v>213</v>
      </c>
      <c r="T276" s="74" t="s">
        <v>213</v>
      </c>
      <c r="U276" s="75" t="s">
        <v>213</v>
      </c>
      <c r="V276" s="76" t="s">
        <v>213</v>
      </c>
      <c r="W276" s="77" t="s">
        <v>213</v>
      </c>
      <c r="X276" s="76" t="s">
        <v>213</v>
      </c>
      <c r="Y276" s="74" t="s">
        <v>213</v>
      </c>
      <c r="Z276" s="77" t="s">
        <v>213</v>
      </c>
    </row>
    <row r="277" ht="36" customHeight="1">
      <c r="A277" s="68"/>
      <c r="B277" s="69"/>
      <c r="C277" s="69"/>
      <c r="D277" s="68"/>
      <c r="E277" s="68"/>
      <c r="F277" s="68"/>
      <c r="G277" s="70"/>
      <c r="H277" s="70"/>
      <c r="I277" s="71"/>
      <c r="J277" s="71"/>
      <c r="K277" s="72"/>
      <c r="L277" s="68"/>
      <c r="M277" s="68"/>
      <c r="N277" s="73" t="s">
        <v>213</v>
      </c>
      <c r="O277" s="73" t="s">
        <v>213</v>
      </c>
      <c r="P277" s="73" t="s">
        <v>213</v>
      </c>
      <c r="Q277" s="73" t="s">
        <v>213</v>
      </c>
      <c r="R277" s="73" t="s">
        <v>213</v>
      </c>
      <c r="S277" s="73" t="s">
        <v>213</v>
      </c>
      <c r="T277" s="74" t="s">
        <v>213</v>
      </c>
      <c r="U277" s="75" t="s">
        <v>213</v>
      </c>
      <c r="V277" s="76" t="s">
        <v>213</v>
      </c>
      <c r="W277" s="77" t="s">
        <v>213</v>
      </c>
      <c r="X277" s="76" t="s">
        <v>213</v>
      </c>
      <c r="Y277" s="74" t="s">
        <v>213</v>
      </c>
      <c r="Z277" s="77" t="s">
        <v>213</v>
      </c>
    </row>
    <row r="278" ht="36" customHeight="1">
      <c r="A278" s="68"/>
      <c r="B278" s="69"/>
      <c r="C278" s="69"/>
      <c r="D278" s="68"/>
      <c r="E278" s="68"/>
      <c r="F278" s="68"/>
      <c r="G278" s="70"/>
      <c r="H278" s="70"/>
      <c r="I278" s="71"/>
      <c r="J278" s="71"/>
      <c r="K278" s="72"/>
      <c r="L278" s="68"/>
      <c r="M278" s="68"/>
      <c r="N278" s="73" t="s">
        <v>213</v>
      </c>
      <c r="O278" s="73" t="s">
        <v>213</v>
      </c>
      <c r="P278" s="73" t="s">
        <v>213</v>
      </c>
      <c r="Q278" s="73" t="s">
        <v>213</v>
      </c>
      <c r="R278" s="73" t="s">
        <v>213</v>
      </c>
      <c r="S278" s="73" t="s">
        <v>213</v>
      </c>
      <c r="T278" s="74" t="s">
        <v>213</v>
      </c>
      <c r="U278" s="75" t="s">
        <v>213</v>
      </c>
      <c r="V278" s="76" t="s">
        <v>213</v>
      </c>
      <c r="W278" s="77" t="s">
        <v>213</v>
      </c>
      <c r="X278" s="76" t="s">
        <v>213</v>
      </c>
      <c r="Y278" s="74" t="s">
        <v>213</v>
      </c>
      <c r="Z278" s="77" t="s">
        <v>213</v>
      </c>
    </row>
    <row r="279" ht="36" customHeight="1">
      <c r="A279" s="68"/>
      <c r="B279" s="69"/>
      <c r="C279" s="69"/>
      <c r="D279" s="68"/>
      <c r="E279" s="68"/>
      <c r="F279" s="68"/>
      <c r="G279" s="70"/>
      <c r="H279" s="70"/>
      <c r="I279" s="71"/>
      <c r="J279" s="71"/>
      <c r="K279" s="72"/>
      <c r="L279" s="68"/>
      <c r="M279" s="68"/>
      <c r="N279" s="73" t="s">
        <v>213</v>
      </c>
      <c r="O279" s="73" t="s">
        <v>213</v>
      </c>
      <c r="P279" s="73" t="s">
        <v>213</v>
      </c>
      <c r="Q279" s="73" t="s">
        <v>213</v>
      </c>
      <c r="R279" s="73" t="s">
        <v>213</v>
      </c>
      <c r="S279" s="73" t="s">
        <v>213</v>
      </c>
      <c r="T279" s="74" t="s">
        <v>213</v>
      </c>
      <c r="U279" s="75" t="s">
        <v>213</v>
      </c>
      <c r="V279" s="76" t="s">
        <v>213</v>
      </c>
      <c r="W279" s="77" t="s">
        <v>213</v>
      </c>
      <c r="X279" s="76" t="s">
        <v>213</v>
      </c>
      <c r="Y279" s="74" t="s">
        <v>213</v>
      </c>
      <c r="Z279" s="77" t="s">
        <v>213</v>
      </c>
    </row>
    <row r="280" ht="36" customHeight="1">
      <c r="A280" s="68"/>
      <c r="B280" s="69"/>
      <c r="C280" s="69"/>
      <c r="D280" s="68"/>
      <c r="E280" s="68"/>
      <c r="F280" s="68"/>
      <c r="G280" s="70"/>
      <c r="H280" s="70"/>
      <c r="I280" s="71"/>
      <c r="J280" s="71"/>
      <c r="K280" s="72"/>
      <c r="L280" s="68"/>
      <c r="M280" s="68"/>
      <c r="N280" s="73" t="s">
        <v>213</v>
      </c>
      <c r="O280" s="73" t="s">
        <v>213</v>
      </c>
      <c r="P280" s="73" t="s">
        <v>213</v>
      </c>
      <c r="Q280" s="73" t="s">
        <v>213</v>
      </c>
      <c r="R280" s="73" t="s">
        <v>213</v>
      </c>
      <c r="S280" s="73" t="s">
        <v>213</v>
      </c>
      <c r="T280" s="74" t="s">
        <v>213</v>
      </c>
      <c r="U280" s="75" t="s">
        <v>213</v>
      </c>
      <c r="V280" s="76" t="s">
        <v>213</v>
      </c>
      <c r="W280" s="77" t="s">
        <v>213</v>
      </c>
      <c r="X280" s="76" t="s">
        <v>213</v>
      </c>
      <c r="Y280" s="74" t="s">
        <v>213</v>
      </c>
      <c r="Z280" s="77" t="s">
        <v>213</v>
      </c>
    </row>
    <row r="281" ht="36" customHeight="1">
      <c r="A281" s="68"/>
      <c r="B281" s="69"/>
      <c r="C281" s="69"/>
      <c r="D281" s="68"/>
      <c r="E281" s="68"/>
      <c r="F281" s="68"/>
      <c r="G281" s="70"/>
      <c r="H281" s="70"/>
      <c r="I281" s="71"/>
      <c r="J281" s="71"/>
      <c r="K281" s="72"/>
      <c r="L281" s="68"/>
      <c r="M281" s="68"/>
      <c r="N281" s="73" t="s">
        <v>213</v>
      </c>
      <c r="O281" s="73" t="s">
        <v>213</v>
      </c>
      <c r="P281" s="73" t="s">
        <v>213</v>
      </c>
      <c r="Q281" s="73" t="s">
        <v>213</v>
      </c>
      <c r="R281" s="73" t="s">
        <v>213</v>
      </c>
      <c r="S281" s="73" t="s">
        <v>213</v>
      </c>
      <c r="T281" s="74" t="s">
        <v>213</v>
      </c>
      <c r="U281" s="75" t="s">
        <v>213</v>
      </c>
      <c r="V281" s="76" t="s">
        <v>213</v>
      </c>
      <c r="W281" s="77" t="s">
        <v>213</v>
      </c>
      <c r="X281" s="76" t="s">
        <v>213</v>
      </c>
      <c r="Y281" s="74" t="s">
        <v>213</v>
      </c>
      <c r="Z281" s="77" t="s">
        <v>213</v>
      </c>
    </row>
    <row r="282" ht="36" customHeight="1">
      <c r="A282" s="68"/>
      <c r="B282" s="69"/>
      <c r="C282" s="69"/>
      <c r="D282" s="68"/>
      <c r="E282" s="68"/>
      <c r="F282" s="68"/>
      <c r="G282" s="70"/>
      <c r="H282" s="70"/>
      <c r="I282" s="71"/>
      <c r="J282" s="71"/>
      <c r="K282" s="72"/>
      <c r="L282" s="68"/>
      <c r="M282" s="68"/>
      <c r="N282" s="73" t="s">
        <v>213</v>
      </c>
      <c r="O282" s="73" t="s">
        <v>213</v>
      </c>
      <c r="P282" s="73" t="s">
        <v>213</v>
      </c>
      <c r="Q282" s="73" t="s">
        <v>213</v>
      </c>
      <c r="R282" s="73" t="s">
        <v>213</v>
      </c>
      <c r="S282" s="73" t="s">
        <v>213</v>
      </c>
      <c r="T282" s="74" t="s">
        <v>213</v>
      </c>
      <c r="U282" s="75" t="s">
        <v>213</v>
      </c>
      <c r="V282" s="76" t="s">
        <v>213</v>
      </c>
      <c r="W282" s="77" t="s">
        <v>213</v>
      </c>
      <c r="X282" s="76" t="s">
        <v>213</v>
      </c>
      <c r="Y282" s="74" t="s">
        <v>213</v>
      </c>
      <c r="Z282" s="77" t="s">
        <v>213</v>
      </c>
    </row>
    <row r="283" ht="36" customHeight="1">
      <c r="A283" s="68"/>
      <c r="B283" s="69"/>
      <c r="C283" s="69"/>
      <c r="D283" s="68"/>
      <c r="E283" s="68"/>
      <c r="F283" s="68"/>
      <c r="G283" s="70"/>
      <c r="H283" s="70"/>
      <c r="I283" s="71"/>
      <c r="J283" s="71"/>
      <c r="K283" s="72"/>
      <c r="L283" s="68"/>
      <c r="M283" s="68"/>
      <c r="N283" s="73" t="s">
        <v>213</v>
      </c>
      <c r="O283" s="73" t="s">
        <v>213</v>
      </c>
      <c r="P283" s="73" t="s">
        <v>213</v>
      </c>
      <c r="Q283" s="73" t="s">
        <v>213</v>
      </c>
      <c r="R283" s="73" t="s">
        <v>213</v>
      </c>
      <c r="S283" s="73" t="s">
        <v>213</v>
      </c>
      <c r="T283" s="74" t="s">
        <v>213</v>
      </c>
      <c r="U283" s="75" t="s">
        <v>213</v>
      </c>
      <c r="V283" s="76" t="s">
        <v>213</v>
      </c>
      <c r="W283" s="77" t="s">
        <v>213</v>
      </c>
      <c r="X283" s="76" t="s">
        <v>213</v>
      </c>
      <c r="Y283" s="74" t="s">
        <v>213</v>
      </c>
      <c r="Z283" s="77" t="s">
        <v>213</v>
      </c>
    </row>
    <row r="284" ht="36" customHeight="1">
      <c r="A284" s="68"/>
      <c r="B284" s="69"/>
      <c r="C284" s="69"/>
      <c r="D284" s="68"/>
      <c r="E284" s="68"/>
      <c r="F284" s="68"/>
      <c r="G284" s="70"/>
      <c r="H284" s="70"/>
      <c r="I284" s="71"/>
      <c r="J284" s="71"/>
      <c r="K284" s="72"/>
      <c r="L284" s="68"/>
      <c r="M284" s="68"/>
      <c r="N284" s="73" t="s">
        <v>213</v>
      </c>
      <c r="O284" s="73" t="s">
        <v>213</v>
      </c>
      <c r="P284" s="73" t="s">
        <v>213</v>
      </c>
      <c r="Q284" s="73" t="s">
        <v>213</v>
      </c>
      <c r="R284" s="73" t="s">
        <v>213</v>
      </c>
      <c r="S284" s="73" t="s">
        <v>213</v>
      </c>
      <c r="T284" s="74" t="s">
        <v>213</v>
      </c>
      <c r="U284" s="75" t="s">
        <v>213</v>
      </c>
      <c r="V284" s="76" t="s">
        <v>213</v>
      </c>
      <c r="W284" s="77" t="s">
        <v>213</v>
      </c>
      <c r="X284" s="76" t="s">
        <v>213</v>
      </c>
      <c r="Y284" s="74" t="s">
        <v>213</v>
      </c>
      <c r="Z284" s="77" t="s">
        <v>213</v>
      </c>
    </row>
    <row r="285" ht="36" customHeight="1">
      <c r="A285" s="68"/>
      <c r="B285" s="69"/>
      <c r="C285" s="69"/>
      <c r="D285" s="68"/>
      <c r="E285" s="68"/>
      <c r="F285" s="68"/>
      <c r="G285" s="70"/>
      <c r="H285" s="70"/>
      <c r="I285" s="71"/>
      <c r="J285" s="71"/>
      <c r="K285" s="72"/>
      <c r="L285" s="68"/>
      <c r="M285" s="68"/>
      <c r="N285" s="73" t="s">
        <v>213</v>
      </c>
      <c r="O285" s="73" t="s">
        <v>213</v>
      </c>
      <c r="P285" s="73" t="s">
        <v>213</v>
      </c>
      <c r="Q285" s="73" t="s">
        <v>213</v>
      </c>
      <c r="R285" s="73" t="s">
        <v>213</v>
      </c>
      <c r="S285" s="73" t="s">
        <v>213</v>
      </c>
      <c r="T285" s="74" t="s">
        <v>213</v>
      </c>
      <c r="U285" s="75" t="s">
        <v>213</v>
      </c>
      <c r="V285" s="76" t="s">
        <v>213</v>
      </c>
      <c r="W285" s="77" t="s">
        <v>213</v>
      </c>
      <c r="X285" s="76" t="s">
        <v>213</v>
      </c>
      <c r="Y285" s="74" t="s">
        <v>213</v>
      </c>
      <c r="Z285" s="77" t="s">
        <v>213</v>
      </c>
    </row>
    <row r="286" ht="36" customHeight="1">
      <c r="A286" s="68"/>
      <c r="B286" s="69"/>
      <c r="C286" s="69"/>
      <c r="D286" s="68"/>
      <c r="E286" s="68"/>
      <c r="F286" s="68"/>
      <c r="G286" s="70"/>
      <c r="H286" s="70"/>
      <c r="I286" s="71"/>
      <c r="J286" s="71"/>
      <c r="K286" s="72"/>
      <c r="L286" s="68"/>
      <c r="M286" s="68"/>
      <c r="N286" s="73" t="s">
        <v>213</v>
      </c>
      <c r="O286" s="73" t="s">
        <v>213</v>
      </c>
      <c r="P286" s="73" t="s">
        <v>213</v>
      </c>
      <c r="Q286" s="73" t="s">
        <v>213</v>
      </c>
      <c r="R286" s="73" t="s">
        <v>213</v>
      </c>
      <c r="S286" s="73" t="s">
        <v>213</v>
      </c>
      <c r="T286" s="74" t="s">
        <v>213</v>
      </c>
      <c r="U286" s="75" t="s">
        <v>213</v>
      </c>
      <c r="V286" s="76" t="s">
        <v>213</v>
      </c>
      <c r="W286" s="77" t="s">
        <v>213</v>
      </c>
      <c r="X286" s="76" t="s">
        <v>213</v>
      </c>
      <c r="Y286" s="74" t="s">
        <v>213</v>
      </c>
      <c r="Z286" s="77" t="s">
        <v>213</v>
      </c>
    </row>
    <row r="287" ht="36" customHeight="1">
      <c r="A287" s="68"/>
      <c r="B287" s="69"/>
      <c r="C287" s="69"/>
      <c r="D287" s="68"/>
      <c r="E287" s="68"/>
      <c r="F287" s="68"/>
      <c r="G287" s="70"/>
      <c r="H287" s="70"/>
      <c r="I287" s="71"/>
      <c r="J287" s="71"/>
      <c r="K287" s="72"/>
      <c r="L287" s="68"/>
      <c r="M287" s="68"/>
      <c r="N287" s="73" t="s">
        <v>213</v>
      </c>
      <c r="O287" s="73" t="s">
        <v>213</v>
      </c>
      <c r="P287" s="73" t="s">
        <v>213</v>
      </c>
      <c r="Q287" s="73" t="s">
        <v>213</v>
      </c>
      <c r="R287" s="73" t="s">
        <v>213</v>
      </c>
      <c r="S287" s="73" t="s">
        <v>213</v>
      </c>
      <c r="T287" s="74" t="s">
        <v>213</v>
      </c>
      <c r="U287" s="75" t="s">
        <v>213</v>
      </c>
      <c r="V287" s="76" t="s">
        <v>213</v>
      </c>
      <c r="W287" s="77" t="s">
        <v>213</v>
      </c>
      <c r="X287" s="76" t="s">
        <v>213</v>
      </c>
      <c r="Y287" s="74" t="s">
        <v>213</v>
      </c>
      <c r="Z287" s="77" t="s">
        <v>213</v>
      </c>
    </row>
    <row r="288" ht="36" customHeight="1">
      <c r="A288" s="68"/>
      <c r="B288" s="69"/>
      <c r="C288" s="69"/>
      <c r="D288" s="68"/>
      <c r="E288" s="68"/>
      <c r="F288" s="68"/>
      <c r="G288" s="70"/>
      <c r="H288" s="70"/>
      <c r="I288" s="71"/>
      <c r="J288" s="71"/>
      <c r="K288" s="72"/>
      <c r="L288" s="68"/>
      <c r="M288" s="68"/>
      <c r="N288" s="73" t="s">
        <v>213</v>
      </c>
      <c r="O288" s="73" t="s">
        <v>213</v>
      </c>
      <c r="P288" s="73" t="s">
        <v>213</v>
      </c>
      <c r="Q288" s="73" t="s">
        <v>213</v>
      </c>
      <c r="R288" s="73" t="s">
        <v>213</v>
      </c>
      <c r="S288" s="73" t="s">
        <v>213</v>
      </c>
      <c r="T288" s="74" t="s">
        <v>213</v>
      </c>
      <c r="U288" s="75" t="s">
        <v>213</v>
      </c>
      <c r="V288" s="76" t="s">
        <v>213</v>
      </c>
      <c r="W288" s="77" t="s">
        <v>213</v>
      </c>
      <c r="X288" s="76" t="s">
        <v>213</v>
      </c>
      <c r="Y288" s="74" t="s">
        <v>213</v>
      </c>
      <c r="Z288" s="77" t="s">
        <v>213</v>
      </c>
    </row>
    <row r="289" ht="36" customHeight="1">
      <c r="A289" s="68"/>
      <c r="B289" s="69"/>
      <c r="C289" s="69"/>
      <c r="D289" s="68"/>
      <c r="E289" s="68"/>
      <c r="F289" s="68"/>
      <c r="G289" s="70"/>
      <c r="H289" s="70"/>
      <c r="I289" s="71"/>
      <c r="J289" s="71"/>
      <c r="K289" s="72"/>
      <c r="L289" s="68"/>
      <c r="M289" s="68"/>
      <c r="N289" s="73" t="s">
        <v>213</v>
      </c>
      <c r="O289" s="73" t="s">
        <v>213</v>
      </c>
      <c r="P289" s="73" t="s">
        <v>213</v>
      </c>
      <c r="Q289" s="73" t="s">
        <v>213</v>
      </c>
      <c r="R289" s="73" t="s">
        <v>213</v>
      </c>
      <c r="S289" s="73" t="s">
        <v>213</v>
      </c>
      <c r="T289" s="74" t="s">
        <v>213</v>
      </c>
      <c r="U289" s="75" t="s">
        <v>213</v>
      </c>
      <c r="V289" s="76" t="s">
        <v>213</v>
      </c>
      <c r="W289" s="77" t="s">
        <v>213</v>
      </c>
      <c r="X289" s="76" t="s">
        <v>213</v>
      </c>
      <c r="Y289" s="74" t="s">
        <v>213</v>
      </c>
      <c r="Z289" s="77" t="s">
        <v>213</v>
      </c>
    </row>
    <row r="290" ht="36" customHeight="1">
      <c r="A290" s="68"/>
      <c r="B290" s="69"/>
      <c r="C290" s="69"/>
      <c r="D290" s="68"/>
      <c r="E290" s="68"/>
      <c r="F290" s="68"/>
      <c r="G290" s="70"/>
      <c r="H290" s="70"/>
      <c r="I290" s="71"/>
      <c r="J290" s="71"/>
      <c r="K290" s="72"/>
      <c r="L290" s="68"/>
      <c r="M290" s="68"/>
      <c r="N290" s="73" t="s">
        <v>213</v>
      </c>
      <c r="O290" s="73" t="s">
        <v>213</v>
      </c>
      <c r="P290" s="73" t="s">
        <v>213</v>
      </c>
      <c r="Q290" s="73" t="s">
        <v>213</v>
      </c>
      <c r="R290" s="73" t="s">
        <v>213</v>
      </c>
      <c r="S290" s="73" t="s">
        <v>213</v>
      </c>
      <c r="T290" s="74" t="s">
        <v>213</v>
      </c>
      <c r="U290" s="75" t="s">
        <v>213</v>
      </c>
      <c r="V290" s="76" t="s">
        <v>213</v>
      </c>
      <c r="W290" s="77" t="s">
        <v>213</v>
      </c>
      <c r="X290" s="76" t="s">
        <v>213</v>
      </c>
      <c r="Y290" s="74" t="s">
        <v>213</v>
      </c>
      <c r="Z290" s="77" t="s">
        <v>213</v>
      </c>
    </row>
    <row r="291" ht="36" customHeight="1">
      <c r="A291" s="68"/>
      <c r="B291" s="69"/>
      <c r="C291" s="69"/>
      <c r="D291" s="68"/>
      <c r="E291" s="68"/>
      <c r="F291" s="68"/>
      <c r="G291" s="70"/>
      <c r="H291" s="70"/>
      <c r="I291" s="71"/>
      <c r="J291" s="71"/>
      <c r="K291" s="72"/>
      <c r="L291" s="68"/>
      <c r="M291" s="68"/>
      <c r="N291" s="73" t="s">
        <v>213</v>
      </c>
      <c r="O291" s="73" t="s">
        <v>213</v>
      </c>
      <c r="P291" s="73" t="s">
        <v>213</v>
      </c>
      <c r="Q291" s="73" t="s">
        <v>213</v>
      </c>
      <c r="R291" s="73" t="s">
        <v>213</v>
      </c>
      <c r="S291" s="73" t="s">
        <v>213</v>
      </c>
      <c r="T291" s="74" t="s">
        <v>213</v>
      </c>
      <c r="U291" s="75" t="s">
        <v>213</v>
      </c>
      <c r="V291" s="76" t="s">
        <v>213</v>
      </c>
      <c r="W291" s="77" t="s">
        <v>213</v>
      </c>
      <c r="X291" s="76" t="s">
        <v>213</v>
      </c>
      <c r="Y291" s="74" t="s">
        <v>213</v>
      </c>
      <c r="Z291" s="77" t="s">
        <v>213</v>
      </c>
    </row>
    <row r="292" ht="36" customHeight="1">
      <c r="A292" s="68"/>
      <c r="B292" s="69"/>
      <c r="C292" s="69"/>
      <c r="D292" s="68"/>
      <c r="E292" s="68"/>
      <c r="F292" s="68"/>
      <c r="G292" s="70"/>
      <c r="H292" s="70"/>
      <c r="I292" s="71"/>
      <c r="J292" s="71"/>
      <c r="K292" s="72"/>
      <c r="L292" s="68"/>
      <c r="M292" s="68"/>
      <c r="N292" s="73" t="s">
        <v>213</v>
      </c>
      <c r="O292" s="73" t="s">
        <v>213</v>
      </c>
      <c r="P292" s="73" t="s">
        <v>213</v>
      </c>
      <c r="Q292" s="73" t="s">
        <v>213</v>
      </c>
      <c r="R292" s="73" t="s">
        <v>213</v>
      </c>
      <c r="S292" s="73" t="s">
        <v>213</v>
      </c>
      <c r="T292" s="74" t="s">
        <v>213</v>
      </c>
      <c r="U292" s="75" t="s">
        <v>213</v>
      </c>
      <c r="V292" s="76" t="s">
        <v>213</v>
      </c>
      <c r="W292" s="77" t="s">
        <v>213</v>
      </c>
      <c r="X292" s="76" t="s">
        <v>213</v>
      </c>
      <c r="Y292" s="74" t="s">
        <v>213</v>
      </c>
      <c r="Z292" s="77" t="s">
        <v>213</v>
      </c>
    </row>
    <row r="293" ht="36" customHeight="1">
      <c r="A293" s="68"/>
      <c r="B293" s="69"/>
      <c r="C293" s="69"/>
      <c r="D293" s="68"/>
      <c r="E293" s="68"/>
      <c r="F293" s="68"/>
      <c r="G293" s="70"/>
      <c r="H293" s="70"/>
      <c r="I293" s="71"/>
      <c r="J293" s="71"/>
      <c r="K293" s="72"/>
      <c r="L293" s="68"/>
      <c r="M293" s="68"/>
      <c r="N293" s="73" t="s">
        <v>213</v>
      </c>
      <c r="O293" s="73" t="s">
        <v>213</v>
      </c>
      <c r="P293" s="73" t="s">
        <v>213</v>
      </c>
      <c r="Q293" s="73" t="s">
        <v>213</v>
      </c>
      <c r="R293" s="73" t="s">
        <v>213</v>
      </c>
      <c r="S293" s="73" t="s">
        <v>213</v>
      </c>
      <c r="T293" s="74" t="s">
        <v>213</v>
      </c>
      <c r="U293" s="75" t="s">
        <v>213</v>
      </c>
      <c r="V293" s="76" t="s">
        <v>213</v>
      </c>
      <c r="W293" s="77" t="s">
        <v>213</v>
      </c>
      <c r="X293" s="76" t="s">
        <v>213</v>
      </c>
      <c r="Y293" s="74" t="s">
        <v>213</v>
      </c>
      <c r="Z293" s="77" t="s">
        <v>213</v>
      </c>
    </row>
    <row r="294" ht="36" customHeight="1">
      <c r="A294" s="68"/>
      <c r="B294" s="69"/>
      <c r="C294" s="69"/>
      <c r="D294" s="68"/>
      <c r="E294" s="68"/>
      <c r="F294" s="68"/>
      <c r="G294" s="70"/>
      <c r="H294" s="70"/>
      <c r="I294" s="71"/>
      <c r="J294" s="71"/>
      <c r="K294" s="72"/>
      <c r="L294" s="68"/>
      <c r="M294" s="68"/>
      <c r="N294" s="73" t="s">
        <v>213</v>
      </c>
      <c r="O294" s="73" t="s">
        <v>213</v>
      </c>
      <c r="P294" s="73" t="s">
        <v>213</v>
      </c>
      <c r="Q294" s="73" t="s">
        <v>213</v>
      </c>
      <c r="R294" s="73" t="s">
        <v>213</v>
      </c>
      <c r="S294" s="73" t="s">
        <v>213</v>
      </c>
      <c r="T294" s="74" t="s">
        <v>213</v>
      </c>
      <c r="U294" s="75" t="s">
        <v>213</v>
      </c>
      <c r="V294" s="76" t="s">
        <v>213</v>
      </c>
      <c r="W294" s="77" t="s">
        <v>213</v>
      </c>
      <c r="X294" s="76" t="s">
        <v>213</v>
      </c>
      <c r="Y294" s="74" t="s">
        <v>213</v>
      </c>
      <c r="Z294" s="77" t="s">
        <v>213</v>
      </c>
    </row>
    <row r="295" ht="36" customHeight="1">
      <c r="A295" s="68"/>
      <c r="B295" s="69"/>
      <c r="C295" s="69"/>
      <c r="D295" s="68"/>
      <c r="E295" s="68"/>
      <c r="F295" s="68"/>
      <c r="G295" s="70"/>
      <c r="H295" s="70"/>
      <c r="I295" s="71"/>
      <c r="J295" s="71"/>
      <c r="K295" s="72"/>
      <c r="L295" s="68"/>
      <c r="M295" s="68"/>
      <c r="N295" s="73" t="s">
        <v>213</v>
      </c>
      <c r="O295" s="73" t="s">
        <v>213</v>
      </c>
      <c r="P295" s="73" t="s">
        <v>213</v>
      </c>
      <c r="Q295" s="73" t="s">
        <v>213</v>
      </c>
      <c r="R295" s="73" t="s">
        <v>213</v>
      </c>
      <c r="S295" s="73" t="s">
        <v>213</v>
      </c>
      <c r="T295" s="74" t="s">
        <v>213</v>
      </c>
      <c r="U295" s="75" t="s">
        <v>213</v>
      </c>
      <c r="V295" s="76" t="s">
        <v>213</v>
      </c>
      <c r="W295" s="77" t="s">
        <v>213</v>
      </c>
      <c r="X295" s="76" t="s">
        <v>213</v>
      </c>
      <c r="Y295" s="74" t="s">
        <v>213</v>
      </c>
      <c r="Z295" s="77" t="s">
        <v>213</v>
      </c>
    </row>
    <row r="296" ht="36" customHeight="1">
      <c r="A296" s="68"/>
      <c r="B296" s="69"/>
      <c r="C296" s="69"/>
      <c r="D296" s="68"/>
      <c r="E296" s="68"/>
      <c r="F296" s="68"/>
      <c r="G296" s="70"/>
      <c r="H296" s="70"/>
      <c r="I296" s="71"/>
      <c r="J296" s="71"/>
      <c r="K296" s="72"/>
      <c r="L296" s="68"/>
      <c r="M296" s="68"/>
      <c r="N296" s="73" t="s">
        <v>213</v>
      </c>
      <c r="O296" s="73" t="s">
        <v>213</v>
      </c>
      <c r="P296" s="73" t="s">
        <v>213</v>
      </c>
      <c r="Q296" s="73" t="s">
        <v>213</v>
      </c>
      <c r="R296" s="73" t="s">
        <v>213</v>
      </c>
      <c r="S296" s="73" t="s">
        <v>213</v>
      </c>
      <c r="T296" s="74" t="s">
        <v>213</v>
      </c>
      <c r="U296" s="75" t="s">
        <v>213</v>
      </c>
      <c r="V296" s="76" t="s">
        <v>213</v>
      </c>
      <c r="W296" s="77" t="s">
        <v>213</v>
      </c>
      <c r="X296" s="76" t="s">
        <v>213</v>
      </c>
      <c r="Y296" s="74" t="s">
        <v>213</v>
      </c>
      <c r="Z296" s="77" t="s">
        <v>213</v>
      </c>
    </row>
    <row r="297" ht="36" customHeight="1">
      <c r="A297" s="68"/>
      <c r="B297" s="69"/>
      <c r="C297" s="69"/>
      <c r="D297" s="68"/>
      <c r="E297" s="68"/>
      <c r="F297" s="68"/>
      <c r="G297" s="70"/>
      <c r="H297" s="70"/>
      <c r="I297" s="71"/>
      <c r="J297" s="71"/>
      <c r="K297" s="72"/>
      <c r="L297" s="68"/>
      <c r="M297" s="68"/>
      <c r="N297" s="73" t="s">
        <v>213</v>
      </c>
      <c r="O297" s="73" t="s">
        <v>213</v>
      </c>
      <c r="P297" s="73" t="s">
        <v>213</v>
      </c>
      <c r="Q297" s="73" t="s">
        <v>213</v>
      </c>
      <c r="R297" s="73" t="s">
        <v>213</v>
      </c>
      <c r="S297" s="73" t="s">
        <v>213</v>
      </c>
      <c r="T297" s="74" t="s">
        <v>213</v>
      </c>
      <c r="U297" s="75" t="s">
        <v>213</v>
      </c>
      <c r="V297" s="76" t="s">
        <v>213</v>
      </c>
      <c r="W297" s="77" t="s">
        <v>213</v>
      </c>
      <c r="X297" s="76" t="s">
        <v>213</v>
      </c>
      <c r="Y297" s="74" t="s">
        <v>213</v>
      </c>
      <c r="Z297" s="77" t="s">
        <v>213</v>
      </c>
    </row>
    <row r="298" ht="36" customHeight="1">
      <c r="A298" s="68"/>
      <c r="B298" s="69"/>
      <c r="C298" s="69"/>
      <c r="D298" s="68"/>
      <c r="E298" s="68"/>
      <c r="F298" s="68"/>
      <c r="G298" s="70"/>
      <c r="H298" s="70"/>
      <c r="I298" s="71"/>
      <c r="J298" s="71"/>
      <c r="K298" s="72"/>
      <c r="L298" s="68"/>
      <c r="M298" s="68"/>
      <c r="N298" s="73" t="s">
        <v>213</v>
      </c>
      <c r="O298" s="73" t="s">
        <v>213</v>
      </c>
      <c r="P298" s="73" t="s">
        <v>213</v>
      </c>
      <c r="Q298" s="73" t="s">
        <v>213</v>
      </c>
      <c r="R298" s="73" t="s">
        <v>213</v>
      </c>
      <c r="S298" s="73" t="s">
        <v>213</v>
      </c>
      <c r="T298" s="74" t="s">
        <v>213</v>
      </c>
      <c r="U298" s="75" t="s">
        <v>213</v>
      </c>
      <c r="V298" s="76" t="s">
        <v>213</v>
      </c>
      <c r="W298" s="77" t="s">
        <v>213</v>
      </c>
      <c r="X298" s="76" t="s">
        <v>213</v>
      </c>
      <c r="Y298" s="74" t="s">
        <v>213</v>
      </c>
      <c r="Z298" s="77" t="s">
        <v>213</v>
      </c>
    </row>
    <row r="299" ht="36" customHeight="1">
      <c r="A299" s="68"/>
      <c r="B299" s="69"/>
      <c r="C299" s="69"/>
      <c r="D299" s="68"/>
      <c r="E299" s="68"/>
      <c r="F299" s="68"/>
      <c r="G299" s="70"/>
      <c r="H299" s="70"/>
      <c r="I299" s="71"/>
      <c r="J299" s="71"/>
      <c r="K299" s="72"/>
      <c r="L299" s="68"/>
      <c r="M299" s="68"/>
      <c r="N299" s="73" t="s">
        <v>213</v>
      </c>
      <c r="O299" s="73" t="s">
        <v>213</v>
      </c>
      <c r="P299" s="73" t="s">
        <v>213</v>
      </c>
      <c r="Q299" s="73" t="s">
        <v>213</v>
      </c>
      <c r="R299" s="73" t="s">
        <v>213</v>
      </c>
      <c r="S299" s="73" t="s">
        <v>213</v>
      </c>
      <c r="T299" s="74" t="s">
        <v>213</v>
      </c>
      <c r="U299" s="75" t="s">
        <v>213</v>
      </c>
      <c r="V299" s="76" t="s">
        <v>213</v>
      </c>
      <c r="W299" s="77" t="s">
        <v>213</v>
      </c>
      <c r="X299" s="76" t="s">
        <v>213</v>
      </c>
      <c r="Y299" s="74" t="s">
        <v>213</v>
      </c>
      <c r="Z299" s="77" t="s">
        <v>213</v>
      </c>
    </row>
    <row r="300" ht="36" customHeight="1">
      <c r="A300" s="68"/>
      <c r="B300" s="69"/>
      <c r="C300" s="69"/>
      <c r="D300" s="68"/>
      <c r="E300" s="68"/>
      <c r="F300" s="68"/>
      <c r="G300" s="70"/>
      <c r="H300" s="70"/>
      <c r="I300" s="71"/>
      <c r="J300" s="71"/>
      <c r="K300" s="72"/>
      <c r="L300" s="68"/>
      <c r="M300" s="68"/>
      <c r="N300" s="73" t="s">
        <v>213</v>
      </c>
      <c r="O300" s="73" t="s">
        <v>213</v>
      </c>
      <c r="P300" s="73" t="s">
        <v>213</v>
      </c>
      <c r="Q300" s="73" t="s">
        <v>213</v>
      </c>
      <c r="R300" s="73" t="s">
        <v>213</v>
      </c>
      <c r="S300" s="73" t="s">
        <v>213</v>
      </c>
      <c r="T300" s="74" t="s">
        <v>213</v>
      </c>
      <c r="U300" s="75" t="s">
        <v>213</v>
      </c>
      <c r="V300" s="76" t="s">
        <v>213</v>
      </c>
      <c r="W300" s="77" t="s">
        <v>213</v>
      </c>
      <c r="X300" s="76" t="s">
        <v>213</v>
      </c>
      <c r="Y300" s="74" t="s">
        <v>213</v>
      </c>
      <c r="Z300" s="77" t="s">
        <v>213</v>
      </c>
    </row>
    <row r="301" ht="36" customHeight="1">
      <c r="A301" s="68"/>
      <c r="B301" s="69"/>
      <c r="C301" s="69"/>
      <c r="D301" s="68"/>
      <c r="E301" s="68"/>
      <c r="F301" s="68"/>
      <c r="G301" s="70"/>
      <c r="H301" s="70"/>
      <c r="I301" s="71"/>
      <c r="J301" s="71"/>
      <c r="K301" s="72"/>
      <c r="L301" s="68"/>
      <c r="M301" s="68"/>
      <c r="N301" s="73" t="s">
        <v>213</v>
      </c>
      <c r="O301" s="73" t="s">
        <v>213</v>
      </c>
      <c r="P301" s="73" t="s">
        <v>213</v>
      </c>
      <c r="Q301" s="73" t="s">
        <v>213</v>
      </c>
      <c r="R301" s="73" t="s">
        <v>213</v>
      </c>
      <c r="S301" s="73" t="s">
        <v>213</v>
      </c>
      <c r="T301" s="74" t="s">
        <v>213</v>
      </c>
      <c r="U301" s="75" t="s">
        <v>213</v>
      </c>
      <c r="V301" s="76" t="s">
        <v>213</v>
      </c>
      <c r="W301" s="77" t="s">
        <v>213</v>
      </c>
      <c r="X301" s="76" t="s">
        <v>213</v>
      </c>
      <c r="Y301" s="74" t="s">
        <v>213</v>
      </c>
      <c r="Z301" s="77" t="s">
        <v>213</v>
      </c>
    </row>
    <row r="302" ht="36" customHeight="1">
      <c r="A302" s="68"/>
      <c r="B302" s="69"/>
      <c r="C302" s="69"/>
      <c r="D302" s="68"/>
      <c r="E302" s="68"/>
      <c r="F302" s="68"/>
      <c r="G302" s="70"/>
      <c r="H302" s="70"/>
      <c r="I302" s="71"/>
      <c r="J302" s="71"/>
      <c r="K302" s="72"/>
      <c r="L302" s="68"/>
      <c r="M302" s="68"/>
      <c r="N302" s="73" t="s">
        <v>213</v>
      </c>
      <c r="O302" s="73" t="s">
        <v>213</v>
      </c>
      <c r="P302" s="73" t="s">
        <v>213</v>
      </c>
      <c r="Q302" s="73" t="s">
        <v>213</v>
      </c>
      <c r="R302" s="73" t="s">
        <v>213</v>
      </c>
      <c r="S302" s="73" t="s">
        <v>213</v>
      </c>
      <c r="T302" s="74" t="s">
        <v>213</v>
      </c>
      <c r="U302" s="75" t="s">
        <v>213</v>
      </c>
      <c r="V302" s="76" t="s">
        <v>213</v>
      </c>
      <c r="W302" s="77" t="s">
        <v>213</v>
      </c>
      <c r="X302" s="76" t="s">
        <v>213</v>
      </c>
      <c r="Y302" s="74" t="s">
        <v>213</v>
      </c>
      <c r="Z302" s="77" t="s">
        <v>213</v>
      </c>
    </row>
    <row r="303" ht="36" customHeight="1">
      <c r="A303" s="68"/>
      <c r="B303" s="69"/>
      <c r="C303" s="69"/>
      <c r="D303" s="68"/>
      <c r="E303" s="68"/>
      <c r="F303" s="68"/>
      <c r="G303" s="70"/>
      <c r="H303" s="70"/>
      <c r="I303" s="71"/>
      <c r="J303" s="71"/>
      <c r="K303" s="72"/>
      <c r="L303" s="68"/>
      <c r="M303" s="68"/>
      <c r="N303" s="73" t="s">
        <v>213</v>
      </c>
      <c r="O303" s="73" t="s">
        <v>213</v>
      </c>
      <c r="P303" s="73" t="s">
        <v>213</v>
      </c>
      <c r="Q303" s="73" t="s">
        <v>213</v>
      </c>
      <c r="R303" s="73" t="s">
        <v>213</v>
      </c>
      <c r="S303" s="73" t="s">
        <v>213</v>
      </c>
      <c r="T303" s="74" t="s">
        <v>213</v>
      </c>
      <c r="U303" s="75" t="s">
        <v>213</v>
      </c>
      <c r="V303" s="76" t="s">
        <v>213</v>
      </c>
      <c r="W303" s="77" t="s">
        <v>213</v>
      </c>
      <c r="X303" s="76" t="s">
        <v>213</v>
      </c>
      <c r="Y303" s="74" t="s">
        <v>213</v>
      </c>
      <c r="Z303" s="77" t="s">
        <v>213</v>
      </c>
    </row>
    <row r="304" ht="36" customHeight="1">
      <c r="A304" s="68"/>
      <c r="B304" s="69"/>
      <c r="C304" s="69"/>
      <c r="D304" s="68"/>
      <c r="E304" s="68"/>
      <c r="F304" s="68"/>
      <c r="G304" s="70"/>
      <c r="H304" s="70"/>
      <c r="I304" s="71"/>
      <c r="J304" s="71"/>
      <c r="K304" s="72"/>
      <c r="L304" s="68"/>
      <c r="M304" s="68"/>
      <c r="N304" s="73" t="s">
        <v>213</v>
      </c>
      <c r="O304" s="73" t="s">
        <v>213</v>
      </c>
      <c r="P304" s="73" t="s">
        <v>213</v>
      </c>
      <c r="Q304" s="73" t="s">
        <v>213</v>
      </c>
      <c r="R304" s="73" t="s">
        <v>213</v>
      </c>
      <c r="S304" s="73" t="s">
        <v>213</v>
      </c>
      <c r="T304" s="74" t="s">
        <v>213</v>
      </c>
      <c r="U304" s="75" t="s">
        <v>213</v>
      </c>
      <c r="V304" s="76" t="s">
        <v>213</v>
      </c>
      <c r="W304" s="77" t="s">
        <v>213</v>
      </c>
      <c r="X304" s="76" t="s">
        <v>213</v>
      </c>
      <c r="Y304" s="74" t="s">
        <v>213</v>
      </c>
      <c r="Z304" s="77" t="s">
        <v>213</v>
      </c>
    </row>
    <row r="305" ht="36" customHeight="1">
      <c r="A305" s="68"/>
      <c r="B305" s="69"/>
      <c r="C305" s="69"/>
      <c r="D305" s="68"/>
      <c r="E305" s="68"/>
      <c r="F305" s="68"/>
      <c r="G305" s="70"/>
      <c r="H305" s="70"/>
      <c r="I305" s="71"/>
      <c r="J305" s="71"/>
      <c r="K305" s="72"/>
      <c r="L305" s="68"/>
      <c r="M305" s="68"/>
      <c r="N305" s="73" t="s">
        <v>213</v>
      </c>
      <c r="O305" s="73" t="s">
        <v>213</v>
      </c>
      <c r="P305" s="73" t="s">
        <v>213</v>
      </c>
      <c r="Q305" s="73" t="s">
        <v>213</v>
      </c>
      <c r="R305" s="73" t="s">
        <v>213</v>
      </c>
      <c r="S305" s="73" t="s">
        <v>213</v>
      </c>
      <c r="T305" s="74" t="s">
        <v>213</v>
      </c>
      <c r="U305" s="75" t="s">
        <v>213</v>
      </c>
      <c r="V305" s="76" t="s">
        <v>213</v>
      </c>
      <c r="W305" s="77" t="s">
        <v>213</v>
      </c>
      <c r="X305" s="76" t="s">
        <v>213</v>
      </c>
      <c r="Y305" s="74" t="s">
        <v>213</v>
      </c>
      <c r="Z305" s="77" t="s">
        <v>213</v>
      </c>
    </row>
    <row r="306" ht="36" customHeight="1">
      <c r="A306" s="68"/>
      <c r="B306" s="69"/>
      <c r="C306" s="69"/>
      <c r="D306" s="68"/>
      <c r="E306" s="68"/>
      <c r="F306" s="68"/>
      <c r="G306" s="70"/>
      <c r="H306" s="70"/>
      <c r="I306" s="71"/>
      <c r="J306" s="71"/>
      <c r="K306" s="72"/>
      <c r="L306" s="68"/>
      <c r="M306" s="68"/>
      <c r="N306" s="73" t="s">
        <v>213</v>
      </c>
      <c r="O306" s="73" t="s">
        <v>213</v>
      </c>
      <c r="P306" s="73" t="s">
        <v>213</v>
      </c>
      <c r="Q306" s="73" t="s">
        <v>213</v>
      </c>
      <c r="R306" s="73" t="s">
        <v>213</v>
      </c>
      <c r="S306" s="73" t="s">
        <v>213</v>
      </c>
      <c r="T306" s="74" t="s">
        <v>213</v>
      </c>
      <c r="U306" s="75" t="s">
        <v>213</v>
      </c>
      <c r="V306" s="76" t="s">
        <v>213</v>
      </c>
      <c r="W306" s="77" t="s">
        <v>213</v>
      </c>
      <c r="X306" s="76" t="s">
        <v>213</v>
      </c>
      <c r="Y306" s="74" t="s">
        <v>213</v>
      </c>
      <c r="Z306" s="77" t="s">
        <v>213</v>
      </c>
    </row>
    <row r="307" ht="36" customHeight="1">
      <c r="A307" s="68"/>
      <c r="B307" s="69"/>
      <c r="C307" s="69"/>
      <c r="D307" s="68"/>
      <c r="E307" s="68"/>
      <c r="F307" s="68"/>
      <c r="G307" s="70"/>
      <c r="H307" s="70"/>
      <c r="I307" s="71"/>
      <c r="J307" s="71"/>
      <c r="K307" s="72"/>
      <c r="L307" s="68"/>
      <c r="M307" s="68"/>
      <c r="N307" s="73" t="s">
        <v>213</v>
      </c>
      <c r="O307" s="73" t="s">
        <v>213</v>
      </c>
      <c r="P307" s="73" t="s">
        <v>213</v>
      </c>
      <c r="Q307" s="73" t="s">
        <v>213</v>
      </c>
      <c r="R307" s="73" t="s">
        <v>213</v>
      </c>
      <c r="S307" s="73" t="s">
        <v>213</v>
      </c>
      <c r="T307" s="74" t="s">
        <v>213</v>
      </c>
      <c r="U307" s="75" t="s">
        <v>213</v>
      </c>
      <c r="V307" s="76" t="s">
        <v>213</v>
      </c>
      <c r="W307" s="77" t="s">
        <v>213</v>
      </c>
      <c r="X307" s="76" t="s">
        <v>213</v>
      </c>
      <c r="Y307" s="74" t="s">
        <v>213</v>
      </c>
      <c r="Z307" s="77" t="s">
        <v>213</v>
      </c>
    </row>
    <row r="308" ht="36" customHeight="1">
      <c r="A308" s="68"/>
      <c r="B308" s="69"/>
      <c r="C308" s="69"/>
      <c r="D308" s="68"/>
      <c r="E308" s="68"/>
      <c r="F308" s="68"/>
      <c r="G308" s="70"/>
      <c r="H308" s="70"/>
      <c r="I308" s="71"/>
      <c r="J308" s="71"/>
      <c r="K308" s="72"/>
      <c r="L308" s="68"/>
      <c r="M308" s="68"/>
      <c r="N308" s="73" t="s">
        <v>213</v>
      </c>
      <c r="O308" s="73" t="s">
        <v>213</v>
      </c>
      <c r="P308" s="73" t="s">
        <v>213</v>
      </c>
      <c r="Q308" s="73" t="s">
        <v>213</v>
      </c>
      <c r="R308" s="73" t="s">
        <v>213</v>
      </c>
      <c r="S308" s="73" t="s">
        <v>213</v>
      </c>
      <c r="T308" s="74" t="s">
        <v>213</v>
      </c>
      <c r="U308" s="75" t="s">
        <v>213</v>
      </c>
      <c r="V308" s="76" t="s">
        <v>213</v>
      </c>
      <c r="W308" s="77" t="s">
        <v>213</v>
      </c>
      <c r="X308" s="76" t="s">
        <v>213</v>
      </c>
      <c r="Y308" s="74" t="s">
        <v>213</v>
      </c>
      <c r="Z308" s="77" t="s">
        <v>213</v>
      </c>
    </row>
    <row r="309" ht="36" customHeight="1">
      <c r="A309" s="68"/>
      <c r="B309" s="69"/>
      <c r="C309" s="69"/>
      <c r="D309" s="68"/>
      <c r="E309" s="68"/>
      <c r="F309" s="68"/>
      <c r="G309" s="70"/>
      <c r="H309" s="70"/>
      <c r="I309" s="71"/>
      <c r="J309" s="71"/>
      <c r="K309" s="72"/>
      <c r="L309" s="68"/>
      <c r="M309" s="68"/>
      <c r="N309" s="73" t="s">
        <v>213</v>
      </c>
      <c r="O309" s="73" t="s">
        <v>213</v>
      </c>
      <c r="P309" s="73" t="s">
        <v>213</v>
      </c>
      <c r="Q309" s="73" t="s">
        <v>213</v>
      </c>
      <c r="R309" s="73" t="s">
        <v>213</v>
      </c>
      <c r="S309" s="73" t="s">
        <v>213</v>
      </c>
      <c r="T309" s="74" t="s">
        <v>213</v>
      </c>
      <c r="U309" s="75" t="s">
        <v>213</v>
      </c>
      <c r="V309" s="76" t="s">
        <v>213</v>
      </c>
      <c r="W309" s="77" t="s">
        <v>213</v>
      </c>
      <c r="X309" s="76" t="s">
        <v>213</v>
      </c>
      <c r="Y309" s="74" t="s">
        <v>213</v>
      </c>
      <c r="Z309" s="77" t="s">
        <v>213</v>
      </c>
    </row>
    <row r="310" ht="36" customHeight="1">
      <c r="A310" s="68"/>
      <c r="B310" s="69"/>
      <c r="C310" s="69"/>
      <c r="D310" s="68"/>
      <c r="E310" s="68"/>
      <c r="F310" s="68"/>
      <c r="G310" s="70"/>
      <c r="H310" s="70"/>
      <c r="I310" s="71"/>
      <c r="J310" s="71"/>
      <c r="K310" s="72"/>
      <c r="L310" s="68"/>
      <c r="M310" s="68"/>
      <c r="N310" s="73" t="s">
        <v>213</v>
      </c>
      <c r="O310" s="73" t="s">
        <v>213</v>
      </c>
      <c r="P310" s="73" t="s">
        <v>213</v>
      </c>
      <c r="Q310" s="73" t="s">
        <v>213</v>
      </c>
      <c r="R310" s="73" t="s">
        <v>213</v>
      </c>
      <c r="S310" s="73" t="s">
        <v>213</v>
      </c>
      <c r="T310" s="74" t="s">
        <v>213</v>
      </c>
      <c r="U310" s="75" t="s">
        <v>213</v>
      </c>
      <c r="V310" s="76" t="s">
        <v>213</v>
      </c>
      <c r="W310" s="77" t="s">
        <v>213</v>
      </c>
      <c r="X310" s="76" t="s">
        <v>213</v>
      </c>
      <c r="Y310" s="74" t="s">
        <v>213</v>
      </c>
      <c r="Z310" s="77" t="s">
        <v>213</v>
      </c>
    </row>
    <row r="311" ht="36" customHeight="1">
      <c r="A311" s="68"/>
      <c r="B311" s="69"/>
      <c r="C311" s="69"/>
      <c r="D311" s="68"/>
      <c r="E311" s="68"/>
      <c r="F311" s="68"/>
      <c r="G311" s="70"/>
      <c r="H311" s="70"/>
      <c r="I311" s="71"/>
      <c r="J311" s="71"/>
      <c r="K311" s="72"/>
      <c r="L311" s="68"/>
      <c r="M311" s="68"/>
      <c r="N311" s="73" t="s">
        <v>213</v>
      </c>
      <c r="O311" s="73" t="s">
        <v>213</v>
      </c>
      <c r="P311" s="73" t="s">
        <v>213</v>
      </c>
      <c r="Q311" s="73" t="s">
        <v>213</v>
      </c>
      <c r="R311" s="73" t="s">
        <v>213</v>
      </c>
      <c r="S311" s="73" t="s">
        <v>213</v>
      </c>
      <c r="T311" s="74" t="s">
        <v>213</v>
      </c>
      <c r="U311" s="75" t="s">
        <v>213</v>
      </c>
      <c r="V311" s="76" t="s">
        <v>213</v>
      </c>
      <c r="W311" s="77" t="s">
        <v>213</v>
      </c>
      <c r="X311" s="76" t="s">
        <v>213</v>
      </c>
      <c r="Y311" s="74" t="s">
        <v>213</v>
      </c>
      <c r="Z311" s="77" t="s">
        <v>213</v>
      </c>
    </row>
    <row r="312" ht="36" customHeight="1">
      <c r="A312" s="68"/>
      <c r="B312" s="69"/>
      <c r="C312" s="69"/>
      <c r="D312" s="68"/>
      <c r="E312" s="68"/>
      <c r="F312" s="68"/>
      <c r="G312" s="70"/>
      <c r="H312" s="70"/>
      <c r="I312" s="71"/>
      <c r="J312" s="71"/>
      <c r="K312" s="72"/>
      <c r="L312" s="68"/>
      <c r="M312" s="68"/>
      <c r="N312" s="73" t="s">
        <v>213</v>
      </c>
      <c r="O312" s="73" t="s">
        <v>213</v>
      </c>
      <c r="P312" s="73" t="s">
        <v>213</v>
      </c>
      <c r="Q312" s="73" t="s">
        <v>213</v>
      </c>
      <c r="R312" s="73" t="s">
        <v>213</v>
      </c>
      <c r="S312" s="73" t="s">
        <v>213</v>
      </c>
      <c r="T312" s="74" t="s">
        <v>213</v>
      </c>
      <c r="U312" s="75" t="s">
        <v>213</v>
      </c>
      <c r="V312" s="76" t="s">
        <v>213</v>
      </c>
      <c r="W312" s="77" t="s">
        <v>213</v>
      </c>
      <c r="X312" s="76" t="s">
        <v>213</v>
      </c>
      <c r="Y312" s="74" t="s">
        <v>213</v>
      </c>
      <c r="Z312" s="77" t="s">
        <v>213</v>
      </c>
    </row>
    <row r="313" ht="36" customHeight="1">
      <c r="A313" s="68"/>
      <c r="B313" s="69"/>
      <c r="C313" s="69"/>
      <c r="D313" s="68"/>
      <c r="E313" s="68"/>
      <c r="F313" s="68"/>
      <c r="G313" s="70"/>
      <c r="H313" s="70"/>
      <c r="I313" s="71"/>
      <c r="J313" s="71"/>
      <c r="K313" s="72"/>
      <c r="L313" s="68"/>
      <c r="M313" s="68"/>
      <c r="N313" s="73" t="s">
        <v>213</v>
      </c>
      <c r="O313" s="73" t="s">
        <v>213</v>
      </c>
      <c r="P313" s="73" t="s">
        <v>213</v>
      </c>
      <c r="Q313" s="73" t="s">
        <v>213</v>
      </c>
      <c r="R313" s="73" t="s">
        <v>213</v>
      </c>
      <c r="S313" s="73" t="s">
        <v>213</v>
      </c>
      <c r="T313" s="74" t="s">
        <v>213</v>
      </c>
      <c r="U313" s="75" t="s">
        <v>213</v>
      </c>
      <c r="V313" s="76" t="s">
        <v>213</v>
      </c>
      <c r="W313" s="77" t="s">
        <v>213</v>
      </c>
      <c r="X313" s="76" t="s">
        <v>213</v>
      </c>
      <c r="Y313" s="74" t="s">
        <v>213</v>
      </c>
      <c r="Z313" s="77" t="s">
        <v>213</v>
      </c>
    </row>
    <row r="314" ht="36" customHeight="1">
      <c r="A314" s="68"/>
      <c r="B314" s="69"/>
      <c r="C314" s="69"/>
      <c r="D314" s="68"/>
      <c r="E314" s="68"/>
      <c r="F314" s="68"/>
      <c r="G314" s="70"/>
      <c r="H314" s="70"/>
      <c r="I314" s="71"/>
      <c r="J314" s="71"/>
      <c r="K314" s="72"/>
      <c r="L314" s="68"/>
      <c r="M314" s="68"/>
      <c r="N314" s="73" t="s">
        <v>213</v>
      </c>
      <c r="O314" s="73" t="s">
        <v>213</v>
      </c>
      <c r="P314" s="73" t="s">
        <v>213</v>
      </c>
      <c r="Q314" s="73" t="s">
        <v>213</v>
      </c>
      <c r="R314" s="73" t="s">
        <v>213</v>
      </c>
      <c r="S314" s="73" t="s">
        <v>213</v>
      </c>
      <c r="T314" s="74" t="s">
        <v>213</v>
      </c>
      <c r="U314" s="75" t="s">
        <v>213</v>
      </c>
      <c r="V314" s="76" t="s">
        <v>213</v>
      </c>
      <c r="W314" s="77" t="s">
        <v>213</v>
      </c>
      <c r="X314" s="76" t="s">
        <v>213</v>
      </c>
      <c r="Y314" s="74" t="s">
        <v>213</v>
      </c>
      <c r="Z314" s="77" t="s">
        <v>213</v>
      </c>
    </row>
    <row r="315" ht="36" customHeight="1">
      <c r="A315" s="68"/>
      <c r="B315" s="69"/>
      <c r="C315" s="69"/>
      <c r="D315" s="68"/>
      <c r="E315" s="68"/>
      <c r="F315" s="68"/>
      <c r="G315" s="70"/>
      <c r="H315" s="70"/>
      <c r="I315" s="71"/>
      <c r="J315" s="71"/>
      <c r="K315" s="72"/>
      <c r="L315" s="68"/>
      <c r="M315" s="68"/>
      <c r="N315" s="73" t="s">
        <v>213</v>
      </c>
      <c r="O315" s="73" t="s">
        <v>213</v>
      </c>
      <c r="P315" s="73" t="s">
        <v>213</v>
      </c>
      <c r="Q315" s="73" t="s">
        <v>213</v>
      </c>
      <c r="R315" s="73" t="s">
        <v>213</v>
      </c>
      <c r="S315" s="73" t="s">
        <v>213</v>
      </c>
      <c r="T315" s="74" t="s">
        <v>213</v>
      </c>
      <c r="U315" s="75" t="s">
        <v>213</v>
      </c>
      <c r="V315" s="76" t="s">
        <v>213</v>
      </c>
      <c r="W315" s="77" t="s">
        <v>213</v>
      </c>
      <c r="X315" s="76" t="s">
        <v>213</v>
      </c>
      <c r="Y315" s="74" t="s">
        <v>213</v>
      </c>
      <c r="Z315" s="77" t="s">
        <v>213</v>
      </c>
    </row>
    <row r="316" ht="36" customHeight="1">
      <c r="A316" s="68"/>
      <c r="B316" s="69"/>
      <c r="C316" s="69"/>
      <c r="D316" s="68"/>
      <c r="E316" s="68"/>
      <c r="F316" s="68"/>
      <c r="G316" s="70"/>
      <c r="H316" s="70"/>
      <c r="I316" s="71"/>
      <c r="J316" s="71"/>
      <c r="K316" s="72"/>
      <c r="L316" s="68"/>
      <c r="M316" s="68"/>
      <c r="N316" s="73" t="s">
        <v>213</v>
      </c>
      <c r="O316" s="73" t="s">
        <v>213</v>
      </c>
      <c r="P316" s="73" t="s">
        <v>213</v>
      </c>
      <c r="Q316" s="73" t="s">
        <v>213</v>
      </c>
      <c r="R316" s="73" t="s">
        <v>213</v>
      </c>
      <c r="S316" s="73" t="s">
        <v>213</v>
      </c>
      <c r="T316" s="74" t="s">
        <v>213</v>
      </c>
      <c r="U316" s="75" t="s">
        <v>213</v>
      </c>
      <c r="V316" s="76" t="s">
        <v>213</v>
      </c>
      <c r="W316" s="77" t="s">
        <v>213</v>
      </c>
      <c r="X316" s="76" t="s">
        <v>213</v>
      </c>
      <c r="Y316" s="74" t="s">
        <v>213</v>
      </c>
      <c r="Z316" s="77" t="s">
        <v>213</v>
      </c>
    </row>
    <row r="317" ht="36" customHeight="1">
      <c r="A317" s="68"/>
      <c r="B317" s="69"/>
      <c r="C317" s="69"/>
      <c r="D317" s="68"/>
      <c r="E317" s="68"/>
      <c r="F317" s="68"/>
      <c r="G317" s="70"/>
      <c r="H317" s="70"/>
      <c r="I317" s="71"/>
      <c r="J317" s="71"/>
      <c r="K317" s="72"/>
      <c r="L317" s="68"/>
      <c r="M317" s="68"/>
      <c r="N317" s="73" t="s">
        <v>213</v>
      </c>
      <c r="O317" s="73" t="s">
        <v>213</v>
      </c>
      <c r="P317" s="73" t="s">
        <v>213</v>
      </c>
      <c r="Q317" s="73" t="s">
        <v>213</v>
      </c>
      <c r="R317" s="73" t="s">
        <v>213</v>
      </c>
      <c r="S317" s="73" t="s">
        <v>213</v>
      </c>
      <c r="T317" s="74" t="s">
        <v>213</v>
      </c>
      <c r="U317" s="75" t="s">
        <v>213</v>
      </c>
      <c r="V317" s="76" t="s">
        <v>213</v>
      </c>
      <c r="W317" s="77" t="s">
        <v>213</v>
      </c>
      <c r="X317" s="76" t="s">
        <v>213</v>
      </c>
      <c r="Y317" s="74" t="s">
        <v>213</v>
      </c>
      <c r="Z317" s="77" t="s">
        <v>213</v>
      </c>
    </row>
    <row r="318" ht="36" customHeight="1">
      <c r="A318" s="68"/>
      <c r="B318" s="69"/>
      <c r="C318" s="69"/>
      <c r="D318" s="68"/>
      <c r="E318" s="68"/>
      <c r="F318" s="68"/>
      <c r="G318" s="70"/>
      <c r="H318" s="70"/>
      <c r="I318" s="71"/>
      <c r="J318" s="71"/>
      <c r="K318" s="72"/>
      <c r="L318" s="68"/>
      <c r="M318" s="68"/>
      <c r="N318" s="73" t="s">
        <v>213</v>
      </c>
      <c r="O318" s="73" t="s">
        <v>213</v>
      </c>
      <c r="P318" s="73" t="s">
        <v>213</v>
      </c>
      <c r="Q318" s="73" t="s">
        <v>213</v>
      </c>
      <c r="R318" s="73" t="s">
        <v>213</v>
      </c>
      <c r="S318" s="73" t="s">
        <v>213</v>
      </c>
      <c r="T318" s="74" t="s">
        <v>213</v>
      </c>
      <c r="U318" s="75" t="s">
        <v>213</v>
      </c>
      <c r="V318" s="76" t="s">
        <v>213</v>
      </c>
      <c r="W318" s="77" t="s">
        <v>213</v>
      </c>
      <c r="X318" s="76" t="s">
        <v>213</v>
      </c>
      <c r="Y318" s="74" t="s">
        <v>213</v>
      </c>
      <c r="Z318" s="77" t="s">
        <v>213</v>
      </c>
    </row>
    <row r="319" ht="36" customHeight="1">
      <c r="A319" s="68"/>
      <c r="B319" s="69"/>
      <c r="C319" s="69"/>
      <c r="D319" s="68"/>
      <c r="E319" s="68"/>
      <c r="F319" s="68"/>
      <c r="G319" s="70"/>
      <c r="H319" s="70"/>
      <c r="I319" s="71"/>
      <c r="J319" s="71"/>
      <c r="K319" s="72"/>
      <c r="L319" s="68"/>
      <c r="M319" s="68"/>
      <c r="N319" s="73" t="s">
        <v>213</v>
      </c>
      <c r="O319" s="73" t="s">
        <v>213</v>
      </c>
      <c r="P319" s="73" t="s">
        <v>213</v>
      </c>
      <c r="Q319" s="73" t="s">
        <v>213</v>
      </c>
      <c r="R319" s="73" t="s">
        <v>213</v>
      </c>
      <c r="S319" s="73" t="s">
        <v>213</v>
      </c>
      <c r="T319" s="74" t="s">
        <v>213</v>
      </c>
      <c r="U319" s="75" t="s">
        <v>213</v>
      </c>
      <c r="V319" s="76" t="s">
        <v>213</v>
      </c>
      <c r="W319" s="77" t="s">
        <v>213</v>
      </c>
      <c r="X319" s="76" t="s">
        <v>213</v>
      </c>
      <c r="Y319" s="74" t="s">
        <v>213</v>
      </c>
      <c r="Z319" s="77" t="s">
        <v>213</v>
      </c>
    </row>
    <row r="320" ht="36" customHeight="1">
      <c r="A320" s="68"/>
      <c r="B320" s="69"/>
      <c r="C320" s="69"/>
      <c r="D320" s="68"/>
      <c r="E320" s="68"/>
      <c r="F320" s="68"/>
      <c r="G320" s="70"/>
      <c r="H320" s="70"/>
      <c r="I320" s="71"/>
      <c r="J320" s="71"/>
      <c r="K320" s="72"/>
      <c r="L320" s="68"/>
      <c r="M320" s="68"/>
      <c r="N320" s="73" t="s">
        <v>213</v>
      </c>
      <c r="O320" s="73" t="s">
        <v>213</v>
      </c>
      <c r="P320" s="73" t="s">
        <v>213</v>
      </c>
      <c r="Q320" s="73" t="s">
        <v>213</v>
      </c>
      <c r="R320" s="73" t="s">
        <v>213</v>
      </c>
      <c r="S320" s="73" t="s">
        <v>213</v>
      </c>
      <c r="T320" s="74" t="s">
        <v>213</v>
      </c>
      <c r="U320" s="75" t="s">
        <v>213</v>
      </c>
      <c r="V320" s="76" t="s">
        <v>213</v>
      </c>
      <c r="W320" s="77" t="s">
        <v>213</v>
      </c>
      <c r="X320" s="76" t="s">
        <v>213</v>
      </c>
      <c r="Y320" s="74" t="s">
        <v>213</v>
      </c>
      <c r="Z320" s="77" t="s">
        <v>213</v>
      </c>
    </row>
    <row r="321" ht="36" customHeight="1">
      <c r="A321" s="68"/>
      <c r="B321" s="69"/>
      <c r="C321" s="69"/>
      <c r="D321" s="68"/>
      <c r="E321" s="68"/>
      <c r="F321" s="68"/>
      <c r="G321" s="70"/>
      <c r="H321" s="70"/>
      <c r="I321" s="71"/>
      <c r="J321" s="71"/>
      <c r="K321" s="72"/>
      <c r="L321" s="68"/>
      <c r="M321" s="68"/>
      <c r="N321" s="73" t="s">
        <v>213</v>
      </c>
      <c r="O321" s="73" t="s">
        <v>213</v>
      </c>
      <c r="P321" s="73" t="s">
        <v>213</v>
      </c>
      <c r="Q321" s="73" t="s">
        <v>213</v>
      </c>
      <c r="R321" s="73" t="s">
        <v>213</v>
      </c>
      <c r="S321" s="73" t="s">
        <v>213</v>
      </c>
      <c r="T321" s="74" t="s">
        <v>213</v>
      </c>
      <c r="U321" s="75" t="s">
        <v>213</v>
      </c>
      <c r="V321" s="76" t="s">
        <v>213</v>
      </c>
      <c r="W321" s="77" t="s">
        <v>213</v>
      </c>
      <c r="X321" s="76" t="s">
        <v>213</v>
      </c>
      <c r="Y321" s="74" t="s">
        <v>213</v>
      </c>
      <c r="Z321" s="77" t="s">
        <v>213</v>
      </c>
    </row>
    <row r="322" ht="36" customHeight="1">
      <c r="A322" s="68"/>
      <c r="B322" s="69"/>
      <c r="C322" s="69"/>
      <c r="D322" s="68"/>
      <c r="E322" s="68"/>
      <c r="F322" s="68"/>
      <c r="G322" s="70"/>
      <c r="H322" s="70"/>
      <c r="I322" s="71"/>
      <c r="J322" s="71"/>
      <c r="K322" s="72"/>
      <c r="L322" s="68"/>
      <c r="M322" s="68"/>
      <c r="N322" s="73" t="s">
        <v>213</v>
      </c>
      <c r="O322" s="73" t="s">
        <v>213</v>
      </c>
      <c r="P322" s="73" t="s">
        <v>213</v>
      </c>
      <c r="Q322" s="73" t="s">
        <v>213</v>
      </c>
      <c r="R322" s="73" t="s">
        <v>213</v>
      </c>
      <c r="S322" s="73" t="s">
        <v>213</v>
      </c>
      <c r="T322" s="74" t="s">
        <v>213</v>
      </c>
      <c r="U322" s="75" t="s">
        <v>213</v>
      </c>
      <c r="V322" s="76" t="s">
        <v>213</v>
      </c>
      <c r="W322" s="77" t="s">
        <v>213</v>
      </c>
      <c r="X322" s="76" t="s">
        <v>213</v>
      </c>
      <c r="Y322" s="74" t="s">
        <v>213</v>
      </c>
      <c r="Z322" s="77" t="s">
        <v>213</v>
      </c>
    </row>
    <row r="323" ht="36" customHeight="1">
      <c r="A323" s="68"/>
      <c r="B323" s="69"/>
      <c r="C323" s="69"/>
      <c r="D323" s="68"/>
      <c r="E323" s="68"/>
      <c r="F323" s="68"/>
      <c r="G323" s="70"/>
      <c r="H323" s="70"/>
      <c r="I323" s="71"/>
      <c r="J323" s="71"/>
      <c r="K323" s="72"/>
      <c r="L323" s="68"/>
      <c r="M323" s="68"/>
      <c r="N323" s="73" t="s">
        <v>213</v>
      </c>
      <c r="O323" s="73" t="s">
        <v>213</v>
      </c>
      <c r="P323" s="73" t="s">
        <v>213</v>
      </c>
      <c r="Q323" s="73" t="s">
        <v>213</v>
      </c>
      <c r="R323" s="73" t="s">
        <v>213</v>
      </c>
      <c r="S323" s="73" t="s">
        <v>213</v>
      </c>
      <c r="T323" s="74" t="s">
        <v>213</v>
      </c>
      <c r="U323" s="75" t="s">
        <v>213</v>
      </c>
      <c r="V323" s="76" t="s">
        <v>213</v>
      </c>
      <c r="W323" s="77" t="s">
        <v>213</v>
      </c>
      <c r="X323" s="76" t="s">
        <v>213</v>
      </c>
      <c r="Y323" s="74" t="s">
        <v>213</v>
      </c>
      <c r="Z323" s="77" t="s">
        <v>213</v>
      </c>
    </row>
    <row r="324" ht="36" customHeight="1">
      <c r="A324" s="68"/>
      <c r="B324" s="69"/>
      <c r="C324" s="69"/>
      <c r="D324" s="68"/>
      <c r="E324" s="68"/>
      <c r="F324" s="68"/>
      <c r="G324" s="70"/>
      <c r="H324" s="70"/>
      <c r="I324" s="71"/>
      <c r="J324" s="71"/>
      <c r="K324" s="72"/>
      <c r="L324" s="68"/>
      <c r="M324" s="68"/>
      <c r="N324" s="73" t="s">
        <v>213</v>
      </c>
      <c r="O324" s="73" t="s">
        <v>213</v>
      </c>
      <c r="P324" s="73" t="s">
        <v>213</v>
      </c>
      <c r="Q324" s="73" t="s">
        <v>213</v>
      </c>
      <c r="R324" s="73" t="s">
        <v>213</v>
      </c>
      <c r="S324" s="73" t="s">
        <v>213</v>
      </c>
      <c r="T324" s="74" t="s">
        <v>213</v>
      </c>
      <c r="U324" s="75" t="s">
        <v>213</v>
      </c>
      <c r="V324" s="76" t="s">
        <v>213</v>
      </c>
      <c r="W324" s="77" t="s">
        <v>213</v>
      </c>
      <c r="X324" s="76" t="s">
        <v>213</v>
      </c>
      <c r="Y324" s="74" t="s">
        <v>213</v>
      </c>
      <c r="Z324" s="77" t="s">
        <v>213</v>
      </c>
    </row>
    <row r="325" ht="36" customHeight="1">
      <c r="A325" s="68"/>
      <c r="B325" s="69"/>
      <c r="C325" s="69"/>
      <c r="D325" s="68"/>
      <c r="E325" s="68"/>
      <c r="F325" s="68"/>
      <c r="G325" s="70"/>
      <c r="H325" s="70"/>
      <c r="I325" s="71"/>
      <c r="J325" s="71"/>
      <c r="K325" s="72"/>
      <c r="L325" s="68"/>
      <c r="M325" s="68"/>
      <c r="N325" s="73" t="s">
        <v>213</v>
      </c>
      <c r="O325" s="73" t="s">
        <v>213</v>
      </c>
      <c r="P325" s="73" t="s">
        <v>213</v>
      </c>
      <c r="Q325" s="73" t="s">
        <v>213</v>
      </c>
      <c r="R325" s="73" t="s">
        <v>213</v>
      </c>
      <c r="S325" s="73" t="s">
        <v>213</v>
      </c>
      <c r="T325" s="74" t="s">
        <v>213</v>
      </c>
      <c r="U325" s="75" t="s">
        <v>213</v>
      </c>
      <c r="V325" s="76" t="s">
        <v>213</v>
      </c>
      <c r="W325" s="77" t="s">
        <v>213</v>
      </c>
      <c r="X325" s="76" t="s">
        <v>213</v>
      </c>
      <c r="Y325" s="74" t="s">
        <v>213</v>
      </c>
      <c r="Z325" s="77" t="s">
        <v>213</v>
      </c>
    </row>
    <row r="326" ht="36" customHeight="1">
      <c r="A326" s="68"/>
      <c r="B326" s="69"/>
      <c r="C326" s="69"/>
      <c r="D326" s="68"/>
      <c r="E326" s="68"/>
      <c r="F326" s="68"/>
      <c r="G326" s="70"/>
      <c r="H326" s="70"/>
      <c r="I326" s="71"/>
      <c r="J326" s="71"/>
      <c r="K326" s="72"/>
      <c r="L326" s="68"/>
      <c r="M326" s="68"/>
      <c r="N326" s="73" t="s">
        <v>213</v>
      </c>
      <c r="O326" s="73" t="s">
        <v>213</v>
      </c>
      <c r="P326" s="73" t="s">
        <v>213</v>
      </c>
      <c r="Q326" s="73" t="s">
        <v>213</v>
      </c>
      <c r="R326" s="73" t="s">
        <v>213</v>
      </c>
      <c r="S326" s="73" t="s">
        <v>213</v>
      </c>
      <c r="T326" s="74" t="s">
        <v>213</v>
      </c>
      <c r="U326" s="75" t="s">
        <v>213</v>
      </c>
      <c r="V326" s="76" t="s">
        <v>213</v>
      </c>
      <c r="W326" s="77" t="s">
        <v>213</v>
      </c>
      <c r="X326" s="76" t="s">
        <v>213</v>
      </c>
      <c r="Y326" s="74" t="s">
        <v>213</v>
      </c>
      <c r="Z326" s="77" t="s">
        <v>213</v>
      </c>
    </row>
    <row r="327" ht="36" customHeight="1">
      <c r="A327" s="68"/>
      <c r="B327" s="69"/>
      <c r="C327" s="69"/>
      <c r="D327" s="68"/>
      <c r="E327" s="68"/>
      <c r="F327" s="68"/>
      <c r="G327" s="70"/>
      <c r="H327" s="70"/>
      <c r="I327" s="71"/>
      <c r="J327" s="71"/>
      <c r="K327" s="72"/>
      <c r="L327" s="68"/>
      <c r="M327" s="68"/>
      <c r="N327" s="73" t="s">
        <v>213</v>
      </c>
      <c r="O327" s="73" t="s">
        <v>213</v>
      </c>
      <c r="P327" s="73" t="s">
        <v>213</v>
      </c>
      <c r="Q327" s="73" t="s">
        <v>213</v>
      </c>
      <c r="R327" s="73" t="s">
        <v>213</v>
      </c>
      <c r="S327" s="73" t="s">
        <v>213</v>
      </c>
      <c r="T327" s="74" t="s">
        <v>213</v>
      </c>
      <c r="U327" s="75" t="s">
        <v>213</v>
      </c>
      <c r="V327" s="76" t="s">
        <v>213</v>
      </c>
      <c r="W327" s="77" t="s">
        <v>213</v>
      </c>
      <c r="X327" s="76" t="s">
        <v>213</v>
      </c>
      <c r="Y327" s="74" t="s">
        <v>213</v>
      </c>
      <c r="Z327" s="77" t="s">
        <v>213</v>
      </c>
    </row>
    <row r="328" ht="36" customHeight="1">
      <c r="A328" s="68"/>
      <c r="B328" s="69"/>
      <c r="C328" s="69"/>
      <c r="D328" s="68"/>
      <c r="E328" s="68"/>
      <c r="F328" s="68"/>
      <c r="G328" s="70"/>
      <c r="H328" s="70"/>
      <c r="I328" s="71"/>
      <c r="J328" s="71"/>
      <c r="K328" s="72"/>
      <c r="L328" s="68"/>
      <c r="M328" s="68"/>
      <c r="N328" s="73" t="s">
        <v>213</v>
      </c>
      <c r="O328" s="73" t="s">
        <v>213</v>
      </c>
      <c r="P328" s="73" t="s">
        <v>213</v>
      </c>
      <c r="Q328" s="73" t="s">
        <v>213</v>
      </c>
      <c r="R328" s="73" t="s">
        <v>213</v>
      </c>
      <c r="S328" s="73" t="s">
        <v>213</v>
      </c>
      <c r="T328" s="74" t="s">
        <v>213</v>
      </c>
      <c r="U328" s="75" t="s">
        <v>213</v>
      </c>
      <c r="V328" s="76" t="s">
        <v>213</v>
      </c>
      <c r="W328" s="77" t="s">
        <v>213</v>
      </c>
      <c r="X328" s="76" t="s">
        <v>213</v>
      </c>
      <c r="Y328" s="74" t="s">
        <v>213</v>
      </c>
      <c r="Z328" s="77" t="s">
        <v>213</v>
      </c>
    </row>
    <row r="329" ht="36" customHeight="1">
      <c r="A329" s="68"/>
      <c r="B329" s="69"/>
      <c r="C329" s="69"/>
      <c r="D329" s="68"/>
      <c r="E329" s="68"/>
      <c r="F329" s="68"/>
      <c r="G329" s="70"/>
      <c r="H329" s="70"/>
      <c r="I329" s="71"/>
      <c r="J329" s="71"/>
      <c r="K329" s="72"/>
      <c r="L329" s="68"/>
      <c r="M329" s="68"/>
      <c r="N329" s="73" t="s">
        <v>213</v>
      </c>
      <c r="O329" s="73" t="s">
        <v>213</v>
      </c>
      <c r="P329" s="73" t="s">
        <v>213</v>
      </c>
      <c r="Q329" s="73" t="s">
        <v>213</v>
      </c>
      <c r="R329" s="73" t="s">
        <v>213</v>
      </c>
      <c r="S329" s="73" t="s">
        <v>213</v>
      </c>
      <c r="T329" s="74" t="s">
        <v>213</v>
      </c>
      <c r="U329" s="75" t="s">
        <v>213</v>
      </c>
      <c r="V329" s="76" t="s">
        <v>213</v>
      </c>
      <c r="W329" s="77" t="s">
        <v>213</v>
      </c>
      <c r="X329" s="76" t="s">
        <v>213</v>
      </c>
      <c r="Y329" s="74" t="s">
        <v>213</v>
      </c>
      <c r="Z329" s="77" t="s">
        <v>213</v>
      </c>
    </row>
    <row r="330" ht="36" customHeight="1">
      <c r="A330" s="68"/>
      <c r="B330" s="69"/>
      <c r="C330" s="69"/>
      <c r="D330" s="68"/>
      <c r="E330" s="68"/>
      <c r="F330" s="68"/>
      <c r="G330" s="70"/>
      <c r="H330" s="70"/>
      <c r="I330" s="71"/>
      <c r="J330" s="71"/>
      <c r="K330" s="72"/>
      <c r="L330" s="68"/>
      <c r="M330" s="68"/>
      <c r="N330" s="73" t="s">
        <v>213</v>
      </c>
      <c r="O330" s="73" t="s">
        <v>213</v>
      </c>
      <c r="P330" s="73" t="s">
        <v>213</v>
      </c>
      <c r="Q330" s="73" t="s">
        <v>213</v>
      </c>
      <c r="R330" s="73" t="s">
        <v>213</v>
      </c>
      <c r="S330" s="73" t="s">
        <v>213</v>
      </c>
      <c r="T330" s="74" t="s">
        <v>213</v>
      </c>
      <c r="U330" s="75" t="s">
        <v>213</v>
      </c>
      <c r="V330" s="76" t="s">
        <v>213</v>
      </c>
      <c r="W330" s="77" t="s">
        <v>213</v>
      </c>
      <c r="X330" s="76" t="s">
        <v>213</v>
      </c>
      <c r="Y330" s="74" t="s">
        <v>213</v>
      </c>
      <c r="Z330" s="77" t="s">
        <v>213</v>
      </c>
    </row>
    <row r="331" ht="36" customHeight="1">
      <c r="A331" s="68"/>
      <c r="B331" s="69"/>
      <c r="C331" s="69"/>
      <c r="D331" s="68"/>
      <c r="E331" s="68"/>
      <c r="F331" s="68"/>
      <c r="G331" s="70"/>
      <c r="H331" s="70"/>
      <c r="I331" s="71"/>
      <c r="J331" s="71"/>
      <c r="K331" s="72"/>
      <c r="L331" s="68"/>
      <c r="M331" s="68"/>
      <c r="N331" s="73" t="s">
        <v>213</v>
      </c>
      <c r="O331" s="73" t="s">
        <v>213</v>
      </c>
      <c r="P331" s="73" t="s">
        <v>213</v>
      </c>
      <c r="Q331" s="73" t="s">
        <v>213</v>
      </c>
      <c r="R331" s="73" t="s">
        <v>213</v>
      </c>
      <c r="S331" s="73" t="s">
        <v>213</v>
      </c>
      <c r="T331" s="74" t="s">
        <v>213</v>
      </c>
      <c r="U331" s="75" t="s">
        <v>213</v>
      </c>
      <c r="V331" s="76" t="s">
        <v>213</v>
      </c>
      <c r="W331" s="77" t="s">
        <v>213</v>
      </c>
      <c r="X331" s="76" t="s">
        <v>213</v>
      </c>
      <c r="Y331" s="74" t="s">
        <v>213</v>
      </c>
      <c r="Z331" s="77" t="s">
        <v>213</v>
      </c>
    </row>
    <row r="332" ht="36" customHeight="1">
      <c r="A332" s="68"/>
      <c r="B332" s="69"/>
      <c r="C332" s="69"/>
      <c r="D332" s="68"/>
      <c r="E332" s="68"/>
      <c r="F332" s="68"/>
      <c r="G332" s="70"/>
      <c r="H332" s="70"/>
      <c r="I332" s="71"/>
      <c r="J332" s="71"/>
      <c r="K332" s="72"/>
      <c r="L332" s="68"/>
      <c r="M332" s="68"/>
      <c r="N332" s="73" t="s">
        <v>213</v>
      </c>
      <c r="O332" s="73" t="s">
        <v>213</v>
      </c>
      <c r="P332" s="73" t="s">
        <v>213</v>
      </c>
      <c r="Q332" s="73" t="s">
        <v>213</v>
      </c>
      <c r="R332" s="73" t="s">
        <v>213</v>
      </c>
      <c r="S332" s="73" t="s">
        <v>213</v>
      </c>
      <c r="T332" s="74" t="s">
        <v>213</v>
      </c>
      <c r="U332" s="75" t="s">
        <v>213</v>
      </c>
      <c r="V332" s="76" t="s">
        <v>213</v>
      </c>
      <c r="W332" s="77" t="s">
        <v>213</v>
      </c>
      <c r="X332" s="76" t="s">
        <v>213</v>
      </c>
      <c r="Y332" s="74" t="s">
        <v>213</v>
      </c>
      <c r="Z332" s="77" t="s">
        <v>213</v>
      </c>
    </row>
    <row r="333" ht="36" customHeight="1">
      <c r="A333" s="68"/>
      <c r="B333" s="69"/>
      <c r="C333" s="69"/>
      <c r="D333" s="68"/>
      <c r="E333" s="68"/>
      <c r="F333" s="68"/>
      <c r="G333" s="70"/>
      <c r="H333" s="70"/>
      <c r="I333" s="71"/>
      <c r="J333" s="71"/>
      <c r="K333" s="72"/>
      <c r="L333" s="68"/>
      <c r="M333" s="68"/>
      <c r="N333" s="73" t="s">
        <v>213</v>
      </c>
      <c r="O333" s="73" t="s">
        <v>213</v>
      </c>
      <c r="P333" s="73" t="s">
        <v>213</v>
      </c>
      <c r="Q333" s="73" t="s">
        <v>213</v>
      </c>
      <c r="R333" s="73" t="s">
        <v>213</v>
      </c>
      <c r="S333" s="73" t="s">
        <v>213</v>
      </c>
      <c r="T333" s="74" t="s">
        <v>213</v>
      </c>
      <c r="U333" s="75" t="s">
        <v>213</v>
      </c>
      <c r="V333" s="76" t="s">
        <v>213</v>
      </c>
      <c r="W333" s="77" t="s">
        <v>213</v>
      </c>
      <c r="X333" s="76" t="s">
        <v>213</v>
      </c>
      <c r="Y333" s="74" t="s">
        <v>213</v>
      </c>
      <c r="Z333" s="77" t="s">
        <v>213</v>
      </c>
    </row>
    <row r="334" ht="36" customHeight="1">
      <c r="A334" s="68"/>
      <c r="B334" s="69"/>
      <c r="C334" s="69"/>
      <c r="D334" s="68"/>
      <c r="E334" s="68"/>
      <c r="F334" s="68"/>
      <c r="G334" s="70"/>
      <c r="H334" s="70"/>
      <c r="I334" s="71"/>
      <c r="J334" s="71"/>
      <c r="K334" s="72"/>
      <c r="L334" s="68"/>
      <c r="M334" s="68"/>
      <c r="N334" s="73" t="s">
        <v>213</v>
      </c>
      <c r="O334" s="73" t="s">
        <v>213</v>
      </c>
      <c r="P334" s="73" t="s">
        <v>213</v>
      </c>
      <c r="Q334" s="73" t="s">
        <v>213</v>
      </c>
      <c r="R334" s="73" t="s">
        <v>213</v>
      </c>
      <c r="S334" s="73" t="s">
        <v>213</v>
      </c>
      <c r="T334" s="74" t="s">
        <v>213</v>
      </c>
      <c r="U334" s="75" t="s">
        <v>213</v>
      </c>
      <c r="V334" s="76" t="s">
        <v>213</v>
      </c>
      <c r="W334" s="77" t="s">
        <v>213</v>
      </c>
      <c r="X334" s="76" t="s">
        <v>213</v>
      </c>
      <c r="Y334" s="74" t="s">
        <v>213</v>
      </c>
      <c r="Z334" s="77" t="s">
        <v>213</v>
      </c>
    </row>
    <row r="335" ht="36" customHeight="1">
      <c r="A335" s="68"/>
      <c r="B335" s="69"/>
      <c r="C335" s="69"/>
      <c r="D335" s="68"/>
      <c r="E335" s="68"/>
      <c r="F335" s="68"/>
      <c r="G335" s="70"/>
      <c r="H335" s="70"/>
      <c r="I335" s="71"/>
      <c r="J335" s="71"/>
      <c r="K335" s="72"/>
      <c r="L335" s="68"/>
      <c r="M335" s="68"/>
      <c r="N335" s="73" t="s">
        <v>213</v>
      </c>
      <c r="O335" s="73" t="s">
        <v>213</v>
      </c>
      <c r="P335" s="73" t="s">
        <v>213</v>
      </c>
      <c r="Q335" s="73" t="s">
        <v>213</v>
      </c>
      <c r="R335" s="73" t="s">
        <v>213</v>
      </c>
      <c r="S335" s="73" t="s">
        <v>213</v>
      </c>
      <c r="T335" s="74" t="s">
        <v>213</v>
      </c>
      <c r="U335" s="75" t="s">
        <v>213</v>
      </c>
      <c r="V335" s="76" t="s">
        <v>213</v>
      </c>
      <c r="W335" s="77" t="s">
        <v>213</v>
      </c>
      <c r="X335" s="76" t="s">
        <v>213</v>
      </c>
      <c r="Y335" s="74" t="s">
        <v>213</v>
      </c>
      <c r="Z335" s="77" t="s">
        <v>213</v>
      </c>
    </row>
    <row r="336" ht="36" customHeight="1">
      <c r="A336" s="68"/>
      <c r="B336" s="69"/>
      <c r="C336" s="69"/>
      <c r="D336" s="68"/>
      <c r="E336" s="68"/>
      <c r="F336" s="68"/>
      <c r="G336" s="70"/>
      <c r="H336" s="70"/>
      <c r="I336" s="71"/>
      <c r="J336" s="71"/>
      <c r="K336" s="72"/>
      <c r="L336" s="68"/>
      <c r="M336" s="68"/>
      <c r="N336" s="73" t="s">
        <v>213</v>
      </c>
      <c r="O336" s="73" t="s">
        <v>213</v>
      </c>
      <c r="P336" s="73" t="s">
        <v>213</v>
      </c>
      <c r="Q336" s="73" t="s">
        <v>213</v>
      </c>
      <c r="R336" s="73" t="s">
        <v>213</v>
      </c>
      <c r="S336" s="73" t="s">
        <v>213</v>
      </c>
      <c r="T336" s="74" t="s">
        <v>213</v>
      </c>
      <c r="U336" s="75" t="s">
        <v>213</v>
      </c>
      <c r="V336" s="76" t="s">
        <v>213</v>
      </c>
      <c r="W336" s="77" t="s">
        <v>213</v>
      </c>
      <c r="X336" s="76" t="s">
        <v>213</v>
      </c>
      <c r="Y336" s="74" t="s">
        <v>213</v>
      </c>
      <c r="Z336" s="77" t="s">
        <v>213</v>
      </c>
    </row>
    <row r="337" ht="36" customHeight="1">
      <c r="A337" s="68"/>
      <c r="B337" s="69"/>
      <c r="C337" s="69"/>
      <c r="D337" s="68"/>
      <c r="E337" s="68"/>
      <c r="F337" s="68"/>
      <c r="G337" s="70"/>
      <c r="H337" s="70"/>
      <c r="I337" s="71"/>
      <c r="J337" s="71"/>
      <c r="K337" s="72"/>
      <c r="L337" s="68"/>
      <c r="M337" s="68"/>
      <c r="N337" s="73" t="s">
        <v>213</v>
      </c>
      <c r="O337" s="73" t="s">
        <v>213</v>
      </c>
      <c r="P337" s="73" t="s">
        <v>213</v>
      </c>
      <c r="Q337" s="73" t="s">
        <v>213</v>
      </c>
      <c r="R337" s="73" t="s">
        <v>213</v>
      </c>
      <c r="S337" s="73" t="s">
        <v>213</v>
      </c>
      <c r="T337" s="74" t="s">
        <v>213</v>
      </c>
      <c r="U337" s="75" t="s">
        <v>213</v>
      </c>
      <c r="V337" s="76" t="s">
        <v>213</v>
      </c>
      <c r="W337" s="77" t="s">
        <v>213</v>
      </c>
      <c r="X337" s="76" t="s">
        <v>213</v>
      </c>
      <c r="Y337" s="74" t="s">
        <v>213</v>
      </c>
      <c r="Z337" s="77" t="s">
        <v>213</v>
      </c>
    </row>
    <row r="338" ht="36" customHeight="1">
      <c r="A338" s="68"/>
      <c r="B338" s="69"/>
      <c r="C338" s="69"/>
      <c r="D338" s="68"/>
      <c r="E338" s="68"/>
      <c r="F338" s="68"/>
      <c r="G338" s="70"/>
      <c r="H338" s="70"/>
      <c r="I338" s="71"/>
      <c r="J338" s="71"/>
      <c r="K338" s="72"/>
      <c r="L338" s="68"/>
      <c r="M338" s="68"/>
      <c r="N338" s="73" t="s">
        <v>213</v>
      </c>
      <c r="O338" s="73" t="s">
        <v>213</v>
      </c>
      <c r="P338" s="73" t="s">
        <v>213</v>
      </c>
      <c r="Q338" s="73" t="s">
        <v>213</v>
      </c>
      <c r="R338" s="73" t="s">
        <v>213</v>
      </c>
      <c r="S338" s="73" t="s">
        <v>213</v>
      </c>
      <c r="T338" s="74" t="s">
        <v>213</v>
      </c>
      <c r="U338" s="75" t="s">
        <v>213</v>
      </c>
      <c r="V338" s="76" t="s">
        <v>213</v>
      </c>
      <c r="W338" s="77" t="s">
        <v>213</v>
      </c>
      <c r="X338" s="76" t="s">
        <v>213</v>
      </c>
      <c r="Y338" s="74" t="s">
        <v>213</v>
      </c>
      <c r="Z338" s="77" t="s">
        <v>213</v>
      </c>
    </row>
    <row r="339" ht="36" customHeight="1">
      <c r="A339" s="68"/>
      <c r="B339" s="69"/>
      <c r="C339" s="69"/>
      <c r="D339" s="68"/>
      <c r="E339" s="68"/>
      <c r="F339" s="68"/>
      <c r="G339" s="70"/>
      <c r="H339" s="70"/>
      <c r="I339" s="71"/>
      <c r="J339" s="71"/>
      <c r="K339" s="72"/>
      <c r="L339" s="68"/>
      <c r="M339" s="68"/>
      <c r="N339" s="73" t="s">
        <v>213</v>
      </c>
      <c r="O339" s="73" t="s">
        <v>213</v>
      </c>
      <c r="P339" s="73" t="s">
        <v>213</v>
      </c>
      <c r="Q339" s="73" t="s">
        <v>213</v>
      </c>
      <c r="R339" s="73" t="s">
        <v>213</v>
      </c>
      <c r="S339" s="73" t="s">
        <v>213</v>
      </c>
      <c r="T339" s="74" t="s">
        <v>213</v>
      </c>
      <c r="U339" s="75" t="s">
        <v>213</v>
      </c>
      <c r="V339" s="76" t="s">
        <v>213</v>
      </c>
      <c r="W339" s="77" t="s">
        <v>213</v>
      </c>
      <c r="X339" s="76" t="s">
        <v>213</v>
      </c>
      <c r="Y339" s="74" t="s">
        <v>213</v>
      </c>
      <c r="Z339" s="77" t="s">
        <v>213</v>
      </c>
    </row>
    <row r="340" ht="36" customHeight="1">
      <c r="A340" s="68"/>
      <c r="B340" s="69"/>
      <c r="C340" s="69"/>
      <c r="D340" s="68"/>
      <c r="E340" s="68"/>
      <c r="F340" s="68"/>
      <c r="G340" s="70"/>
      <c r="H340" s="70"/>
      <c r="I340" s="71"/>
      <c r="J340" s="71"/>
      <c r="K340" s="72"/>
      <c r="L340" s="68"/>
      <c r="M340" s="68"/>
      <c r="N340" s="73" t="s">
        <v>213</v>
      </c>
      <c r="O340" s="73" t="s">
        <v>213</v>
      </c>
      <c r="P340" s="73" t="s">
        <v>213</v>
      </c>
      <c r="Q340" s="73" t="s">
        <v>213</v>
      </c>
      <c r="R340" s="73" t="s">
        <v>213</v>
      </c>
      <c r="S340" s="73" t="s">
        <v>213</v>
      </c>
      <c r="T340" s="74" t="s">
        <v>213</v>
      </c>
      <c r="U340" s="75" t="s">
        <v>213</v>
      </c>
      <c r="V340" s="76" t="s">
        <v>213</v>
      </c>
      <c r="W340" s="77" t="s">
        <v>213</v>
      </c>
      <c r="X340" s="76" t="s">
        <v>213</v>
      </c>
      <c r="Y340" s="74" t="s">
        <v>213</v>
      </c>
      <c r="Z340" s="77" t="s">
        <v>213</v>
      </c>
    </row>
    <row r="341" ht="36" customHeight="1">
      <c r="A341" s="68"/>
      <c r="B341" s="69"/>
      <c r="C341" s="69"/>
      <c r="D341" s="68"/>
      <c r="E341" s="68"/>
      <c r="F341" s="68"/>
      <c r="G341" s="70"/>
      <c r="H341" s="70"/>
      <c r="I341" s="71"/>
      <c r="J341" s="71"/>
      <c r="K341" s="72"/>
      <c r="L341" s="68"/>
      <c r="M341" s="68"/>
      <c r="N341" s="73" t="s">
        <v>213</v>
      </c>
      <c r="O341" s="73" t="s">
        <v>213</v>
      </c>
      <c r="P341" s="73" t="s">
        <v>213</v>
      </c>
      <c r="Q341" s="73" t="s">
        <v>213</v>
      </c>
      <c r="R341" s="73" t="s">
        <v>213</v>
      </c>
      <c r="S341" s="73" t="s">
        <v>213</v>
      </c>
      <c r="T341" s="74" t="s">
        <v>213</v>
      </c>
      <c r="U341" s="75" t="s">
        <v>213</v>
      </c>
      <c r="V341" s="76" t="s">
        <v>213</v>
      </c>
      <c r="W341" s="77" t="s">
        <v>213</v>
      </c>
      <c r="X341" s="76" t="s">
        <v>213</v>
      </c>
      <c r="Y341" s="74" t="s">
        <v>213</v>
      </c>
      <c r="Z341" s="77" t="s">
        <v>213</v>
      </c>
    </row>
    <row r="342" ht="36" customHeight="1">
      <c r="A342" s="68"/>
      <c r="B342" s="69"/>
      <c r="C342" s="69"/>
      <c r="D342" s="68"/>
      <c r="E342" s="68"/>
      <c r="F342" s="68"/>
      <c r="G342" s="70"/>
      <c r="H342" s="70"/>
      <c r="I342" s="71"/>
      <c r="J342" s="71"/>
      <c r="K342" s="72"/>
      <c r="L342" s="68"/>
      <c r="M342" s="68"/>
      <c r="N342" s="73" t="s">
        <v>213</v>
      </c>
      <c r="O342" s="73" t="s">
        <v>213</v>
      </c>
      <c r="P342" s="73" t="s">
        <v>213</v>
      </c>
      <c r="Q342" s="73" t="s">
        <v>213</v>
      </c>
      <c r="R342" s="73" t="s">
        <v>213</v>
      </c>
      <c r="S342" s="73" t="s">
        <v>213</v>
      </c>
      <c r="T342" s="74" t="s">
        <v>213</v>
      </c>
      <c r="U342" s="75" t="s">
        <v>213</v>
      </c>
      <c r="V342" s="76" t="s">
        <v>213</v>
      </c>
      <c r="W342" s="77" t="s">
        <v>213</v>
      </c>
      <c r="X342" s="76" t="s">
        <v>213</v>
      </c>
      <c r="Y342" s="74" t="s">
        <v>213</v>
      </c>
      <c r="Z342" s="77" t="s">
        <v>213</v>
      </c>
    </row>
    <row r="343" ht="36" customHeight="1">
      <c r="A343" s="68"/>
      <c r="B343" s="69"/>
      <c r="C343" s="69"/>
      <c r="D343" s="68"/>
      <c r="E343" s="68"/>
      <c r="F343" s="68"/>
      <c r="G343" s="70"/>
      <c r="H343" s="70"/>
      <c r="I343" s="71"/>
      <c r="J343" s="71"/>
      <c r="K343" s="72"/>
      <c r="L343" s="68"/>
      <c r="M343" s="68"/>
      <c r="N343" s="73" t="s">
        <v>213</v>
      </c>
      <c r="O343" s="73" t="s">
        <v>213</v>
      </c>
      <c r="P343" s="73" t="s">
        <v>213</v>
      </c>
      <c r="Q343" s="73" t="s">
        <v>213</v>
      </c>
      <c r="R343" s="73" t="s">
        <v>213</v>
      </c>
      <c r="S343" s="73" t="s">
        <v>213</v>
      </c>
      <c r="T343" s="74" t="s">
        <v>213</v>
      </c>
      <c r="U343" s="75" t="s">
        <v>213</v>
      </c>
      <c r="V343" s="76" t="s">
        <v>213</v>
      </c>
      <c r="W343" s="77" t="s">
        <v>213</v>
      </c>
      <c r="X343" s="76" t="s">
        <v>213</v>
      </c>
      <c r="Y343" s="74" t="s">
        <v>213</v>
      </c>
      <c r="Z343" s="77" t="s">
        <v>213</v>
      </c>
    </row>
    <row r="344" ht="36" customHeight="1">
      <c r="A344" s="68"/>
      <c r="B344" s="69"/>
      <c r="C344" s="69"/>
      <c r="D344" s="68"/>
      <c r="E344" s="68"/>
      <c r="F344" s="68"/>
      <c r="G344" s="70"/>
      <c r="H344" s="70"/>
      <c r="I344" s="71"/>
      <c r="J344" s="71"/>
      <c r="K344" s="72"/>
      <c r="L344" s="68"/>
      <c r="M344" s="68"/>
      <c r="N344" s="73" t="s">
        <v>213</v>
      </c>
      <c r="O344" s="73" t="s">
        <v>213</v>
      </c>
      <c r="P344" s="73" t="s">
        <v>213</v>
      </c>
      <c r="Q344" s="73" t="s">
        <v>213</v>
      </c>
      <c r="R344" s="73" t="s">
        <v>213</v>
      </c>
      <c r="S344" s="73" t="s">
        <v>213</v>
      </c>
      <c r="T344" s="74" t="s">
        <v>213</v>
      </c>
      <c r="U344" s="75" t="s">
        <v>213</v>
      </c>
      <c r="V344" s="76" t="s">
        <v>213</v>
      </c>
      <c r="W344" s="77" t="s">
        <v>213</v>
      </c>
      <c r="X344" s="76" t="s">
        <v>213</v>
      </c>
      <c r="Y344" s="74" t="s">
        <v>213</v>
      </c>
      <c r="Z344" s="77" t="s">
        <v>213</v>
      </c>
    </row>
    <row r="345" ht="36" customHeight="1">
      <c r="A345" s="68"/>
      <c r="B345" s="69"/>
      <c r="C345" s="69"/>
      <c r="D345" s="68"/>
      <c r="E345" s="68"/>
      <c r="F345" s="68"/>
      <c r="G345" s="70"/>
      <c r="H345" s="70"/>
      <c r="I345" s="71"/>
      <c r="J345" s="71"/>
      <c r="K345" s="72"/>
      <c r="L345" s="68"/>
      <c r="M345" s="68"/>
      <c r="N345" s="73" t="s">
        <v>213</v>
      </c>
      <c r="O345" s="73" t="s">
        <v>213</v>
      </c>
      <c r="P345" s="73" t="s">
        <v>213</v>
      </c>
      <c r="Q345" s="73" t="s">
        <v>213</v>
      </c>
      <c r="R345" s="73" t="s">
        <v>213</v>
      </c>
      <c r="S345" s="73" t="s">
        <v>213</v>
      </c>
      <c r="T345" s="74" t="s">
        <v>213</v>
      </c>
      <c r="U345" s="75" t="s">
        <v>213</v>
      </c>
      <c r="V345" s="76" t="s">
        <v>213</v>
      </c>
      <c r="W345" s="77" t="s">
        <v>213</v>
      </c>
      <c r="X345" s="76" t="s">
        <v>213</v>
      </c>
      <c r="Y345" s="74" t="s">
        <v>213</v>
      </c>
      <c r="Z345" s="77" t="s">
        <v>213</v>
      </c>
    </row>
    <row r="346" ht="36" customHeight="1">
      <c r="A346" s="68"/>
      <c r="B346" s="69"/>
      <c r="C346" s="69"/>
      <c r="D346" s="68"/>
      <c r="E346" s="68"/>
      <c r="F346" s="68"/>
      <c r="G346" s="70"/>
      <c r="H346" s="70"/>
      <c r="I346" s="71"/>
      <c r="J346" s="71"/>
      <c r="K346" s="72"/>
      <c r="L346" s="68"/>
      <c r="M346" s="68"/>
      <c r="N346" s="73" t="s">
        <v>213</v>
      </c>
      <c r="O346" s="73" t="s">
        <v>213</v>
      </c>
      <c r="P346" s="73" t="s">
        <v>213</v>
      </c>
      <c r="Q346" s="73" t="s">
        <v>213</v>
      </c>
      <c r="R346" s="73" t="s">
        <v>213</v>
      </c>
      <c r="S346" s="73" t="s">
        <v>213</v>
      </c>
      <c r="T346" s="74" t="s">
        <v>213</v>
      </c>
      <c r="U346" s="75" t="s">
        <v>213</v>
      </c>
      <c r="V346" s="76" t="s">
        <v>213</v>
      </c>
      <c r="W346" s="77" t="s">
        <v>213</v>
      </c>
      <c r="X346" s="76" t="s">
        <v>213</v>
      </c>
      <c r="Y346" s="74" t="s">
        <v>213</v>
      </c>
      <c r="Z346" s="77" t="s">
        <v>213</v>
      </c>
    </row>
    <row r="347" ht="36" customHeight="1">
      <c r="A347" s="68"/>
      <c r="B347" s="69"/>
      <c r="C347" s="69"/>
      <c r="D347" s="68"/>
      <c r="E347" s="68"/>
      <c r="F347" s="68"/>
      <c r="G347" s="70"/>
      <c r="H347" s="70"/>
      <c r="I347" s="71"/>
      <c r="J347" s="71"/>
      <c r="K347" s="72"/>
      <c r="L347" s="68"/>
      <c r="M347" s="68"/>
      <c r="N347" s="73" t="s">
        <v>213</v>
      </c>
      <c r="O347" s="73" t="s">
        <v>213</v>
      </c>
      <c r="P347" s="73" t="s">
        <v>213</v>
      </c>
      <c r="Q347" s="73" t="s">
        <v>213</v>
      </c>
      <c r="R347" s="73" t="s">
        <v>213</v>
      </c>
      <c r="S347" s="73" t="s">
        <v>213</v>
      </c>
      <c r="T347" s="74" t="s">
        <v>213</v>
      </c>
      <c r="U347" s="75" t="s">
        <v>213</v>
      </c>
      <c r="V347" s="76" t="s">
        <v>213</v>
      </c>
      <c r="W347" s="77" t="s">
        <v>213</v>
      </c>
      <c r="X347" s="76" t="s">
        <v>213</v>
      </c>
      <c r="Y347" s="74" t="s">
        <v>213</v>
      </c>
      <c r="Z347" s="77" t="s">
        <v>213</v>
      </c>
    </row>
    <row r="348" ht="36" customHeight="1">
      <c r="A348" s="68"/>
      <c r="B348" s="69"/>
      <c r="C348" s="69"/>
      <c r="D348" s="68"/>
      <c r="E348" s="68"/>
      <c r="F348" s="68"/>
      <c r="G348" s="70"/>
      <c r="H348" s="70"/>
      <c r="I348" s="71"/>
      <c r="J348" s="71"/>
      <c r="K348" s="72"/>
      <c r="L348" s="68"/>
      <c r="M348" s="68"/>
      <c r="N348" s="73" t="s">
        <v>213</v>
      </c>
      <c r="O348" s="73" t="s">
        <v>213</v>
      </c>
      <c r="P348" s="73" t="s">
        <v>213</v>
      </c>
      <c r="Q348" s="73" t="s">
        <v>213</v>
      </c>
      <c r="R348" s="73" t="s">
        <v>213</v>
      </c>
      <c r="S348" s="73" t="s">
        <v>213</v>
      </c>
      <c r="T348" s="74" t="s">
        <v>213</v>
      </c>
      <c r="U348" s="75" t="s">
        <v>213</v>
      </c>
      <c r="V348" s="76" t="s">
        <v>213</v>
      </c>
      <c r="W348" s="77" t="s">
        <v>213</v>
      </c>
      <c r="X348" s="76" t="s">
        <v>213</v>
      </c>
      <c r="Y348" s="74" t="s">
        <v>213</v>
      </c>
      <c r="Z348" s="77" t="s">
        <v>213</v>
      </c>
    </row>
    <row r="349" ht="36" customHeight="1">
      <c r="A349" s="68"/>
      <c r="B349" s="69"/>
      <c r="C349" s="69"/>
      <c r="D349" s="68"/>
      <c r="E349" s="68"/>
      <c r="F349" s="68"/>
      <c r="G349" s="70"/>
      <c r="H349" s="70"/>
      <c r="I349" s="71"/>
      <c r="J349" s="71"/>
      <c r="K349" s="72"/>
      <c r="L349" s="68"/>
      <c r="M349" s="68"/>
      <c r="N349" s="73" t="s">
        <v>213</v>
      </c>
      <c r="O349" s="73" t="s">
        <v>213</v>
      </c>
      <c r="P349" s="73" t="s">
        <v>213</v>
      </c>
      <c r="Q349" s="73" t="s">
        <v>213</v>
      </c>
      <c r="R349" s="73" t="s">
        <v>213</v>
      </c>
      <c r="S349" s="73" t="s">
        <v>213</v>
      </c>
      <c r="T349" s="74" t="s">
        <v>213</v>
      </c>
      <c r="U349" s="75" t="s">
        <v>213</v>
      </c>
      <c r="V349" s="76" t="s">
        <v>213</v>
      </c>
      <c r="W349" s="77" t="s">
        <v>213</v>
      </c>
      <c r="X349" s="76" t="s">
        <v>213</v>
      </c>
      <c r="Y349" s="74" t="s">
        <v>213</v>
      </c>
      <c r="Z349" s="77" t="s">
        <v>213</v>
      </c>
    </row>
    <row r="350" ht="36" customHeight="1">
      <c r="A350" s="68"/>
      <c r="B350" s="69"/>
      <c r="C350" s="69"/>
      <c r="D350" s="68"/>
      <c r="E350" s="68"/>
      <c r="F350" s="68"/>
      <c r="G350" s="70"/>
      <c r="H350" s="70"/>
      <c r="I350" s="71"/>
      <c r="J350" s="71"/>
      <c r="K350" s="72"/>
      <c r="L350" s="68"/>
      <c r="M350" s="68"/>
      <c r="N350" s="73" t="s">
        <v>213</v>
      </c>
      <c r="O350" s="73" t="s">
        <v>213</v>
      </c>
      <c r="P350" s="73" t="s">
        <v>213</v>
      </c>
      <c r="Q350" s="73" t="s">
        <v>213</v>
      </c>
      <c r="R350" s="73" t="s">
        <v>213</v>
      </c>
      <c r="S350" s="73" t="s">
        <v>213</v>
      </c>
      <c r="T350" s="74" t="s">
        <v>213</v>
      </c>
      <c r="U350" s="75" t="s">
        <v>213</v>
      </c>
      <c r="V350" s="76" t="s">
        <v>213</v>
      </c>
      <c r="W350" s="77" t="s">
        <v>213</v>
      </c>
      <c r="X350" s="76" t="s">
        <v>213</v>
      </c>
      <c r="Y350" s="74" t="s">
        <v>213</v>
      </c>
      <c r="Z350" s="77" t="s">
        <v>213</v>
      </c>
    </row>
    <row r="351" ht="36" customHeight="1">
      <c r="A351" s="68"/>
      <c r="B351" s="69"/>
      <c r="C351" s="69"/>
      <c r="D351" s="68"/>
      <c r="E351" s="68"/>
      <c r="F351" s="68"/>
      <c r="G351" s="70"/>
      <c r="H351" s="70"/>
      <c r="I351" s="71"/>
      <c r="J351" s="71"/>
      <c r="K351" s="72"/>
      <c r="L351" s="68"/>
      <c r="M351" s="68"/>
      <c r="N351" s="73" t="s">
        <v>213</v>
      </c>
      <c r="O351" s="73" t="s">
        <v>213</v>
      </c>
      <c r="P351" s="73" t="s">
        <v>213</v>
      </c>
      <c r="Q351" s="73" t="s">
        <v>213</v>
      </c>
      <c r="R351" s="73" t="s">
        <v>213</v>
      </c>
      <c r="S351" s="73" t="s">
        <v>213</v>
      </c>
      <c r="T351" s="74" t="s">
        <v>213</v>
      </c>
      <c r="U351" s="75" t="s">
        <v>213</v>
      </c>
      <c r="V351" s="76" t="s">
        <v>213</v>
      </c>
      <c r="W351" s="77" t="s">
        <v>213</v>
      </c>
      <c r="X351" s="76" t="s">
        <v>213</v>
      </c>
      <c r="Y351" s="74" t="s">
        <v>213</v>
      </c>
      <c r="Z351" s="77" t="s">
        <v>213</v>
      </c>
    </row>
    <row r="352" ht="36" customHeight="1">
      <c r="A352" s="68"/>
      <c r="B352" s="69"/>
      <c r="C352" s="69"/>
      <c r="D352" s="68"/>
      <c r="E352" s="68"/>
      <c r="F352" s="68"/>
      <c r="G352" s="70"/>
      <c r="H352" s="70"/>
      <c r="I352" s="71"/>
      <c r="J352" s="71"/>
      <c r="K352" s="72"/>
      <c r="L352" s="68"/>
      <c r="M352" s="68"/>
      <c r="N352" s="73" t="s">
        <v>213</v>
      </c>
      <c r="O352" s="73" t="s">
        <v>213</v>
      </c>
      <c r="P352" s="73" t="s">
        <v>213</v>
      </c>
      <c r="Q352" s="73" t="s">
        <v>213</v>
      </c>
      <c r="R352" s="73" t="s">
        <v>213</v>
      </c>
      <c r="S352" s="73" t="s">
        <v>213</v>
      </c>
      <c r="T352" s="74" t="s">
        <v>213</v>
      </c>
      <c r="U352" s="75" t="s">
        <v>213</v>
      </c>
      <c r="V352" s="76" t="s">
        <v>213</v>
      </c>
      <c r="W352" s="77" t="s">
        <v>213</v>
      </c>
      <c r="X352" s="76" t="s">
        <v>213</v>
      </c>
      <c r="Y352" s="74" t="s">
        <v>213</v>
      </c>
      <c r="Z352" s="77" t="s">
        <v>213</v>
      </c>
    </row>
    <row r="353" ht="36" customHeight="1">
      <c r="A353" s="68"/>
      <c r="B353" s="69"/>
      <c r="C353" s="69"/>
      <c r="D353" s="68"/>
      <c r="E353" s="68"/>
      <c r="F353" s="68"/>
      <c r="G353" s="70"/>
      <c r="H353" s="70"/>
      <c r="I353" s="71"/>
      <c r="J353" s="71"/>
      <c r="K353" s="72"/>
      <c r="L353" s="68"/>
      <c r="M353" s="68"/>
      <c r="N353" s="73" t="s">
        <v>213</v>
      </c>
      <c r="O353" s="73" t="s">
        <v>213</v>
      </c>
      <c r="P353" s="73" t="s">
        <v>213</v>
      </c>
      <c r="Q353" s="73" t="s">
        <v>213</v>
      </c>
      <c r="R353" s="73" t="s">
        <v>213</v>
      </c>
      <c r="S353" s="73" t="s">
        <v>213</v>
      </c>
      <c r="T353" s="74" t="s">
        <v>213</v>
      </c>
      <c r="U353" s="75" t="s">
        <v>213</v>
      </c>
      <c r="V353" s="76" t="s">
        <v>213</v>
      </c>
      <c r="W353" s="77" t="s">
        <v>213</v>
      </c>
      <c r="X353" s="76" t="s">
        <v>213</v>
      </c>
      <c r="Y353" s="74" t="s">
        <v>213</v>
      </c>
      <c r="Z353" s="77" t="s">
        <v>213</v>
      </c>
    </row>
    <row r="354" ht="36" customHeight="1">
      <c r="A354" s="68"/>
      <c r="B354" s="69"/>
      <c r="C354" s="69"/>
      <c r="D354" s="68"/>
      <c r="E354" s="68"/>
      <c r="F354" s="68"/>
      <c r="G354" s="70"/>
      <c r="H354" s="70"/>
      <c r="I354" s="71"/>
      <c r="J354" s="71"/>
      <c r="K354" s="72"/>
      <c r="L354" s="68"/>
      <c r="M354" s="68"/>
      <c r="N354" s="73" t="s">
        <v>213</v>
      </c>
      <c r="O354" s="73" t="s">
        <v>213</v>
      </c>
      <c r="P354" s="73" t="s">
        <v>213</v>
      </c>
      <c r="Q354" s="73" t="s">
        <v>213</v>
      </c>
      <c r="R354" s="73" t="s">
        <v>213</v>
      </c>
      <c r="S354" s="73" t="s">
        <v>213</v>
      </c>
      <c r="T354" s="74" t="s">
        <v>213</v>
      </c>
      <c r="U354" s="75" t="s">
        <v>213</v>
      </c>
      <c r="V354" s="76" t="s">
        <v>213</v>
      </c>
      <c r="W354" s="77" t="s">
        <v>213</v>
      </c>
      <c r="X354" s="76" t="s">
        <v>213</v>
      </c>
      <c r="Y354" s="74" t="s">
        <v>213</v>
      </c>
      <c r="Z354" s="77" t="s">
        <v>213</v>
      </c>
    </row>
    <row r="355" ht="36" customHeight="1">
      <c r="A355" s="68"/>
      <c r="B355" s="69"/>
      <c r="C355" s="69"/>
      <c r="D355" s="68"/>
      <c r="E355" s="68"/>
      <c r="F355" s="68"/>
      <c r="G355" s="70"/>
      <c r="H355" s="70"/>
      <c r="I355" s="71"/>
      <c r="J355" s="71"/>
      <c r="K355" s="72"/>
      <c r="L355" s="68"/>
      <c r="M355" s="68"/>
      <c r="N355" s="73" t="s">
        <v>213</v>
      </c>
      <c r="O355" s="73" t="s">
        <v>213</v>
      </c>
      <c r="P355" s="73" t="s">
        <v>213</v>
      </c>
      <c r="Q355" s="73" t="s">
        <v>213</v>
      </c>
      <c r="R355" s="73" t="s">
        <v>213</v>
      </c>
      <c r="S355" s="73" t="s">
        <v>213</v>
      </c>
      <c r="T355" s="74" t="s">
        <v>213</v>
      </c>
      <c r="U355" s="75" t="s">
        <v>213</v>
      </c>
      <c r="V355" s="76" t="s">
        <v>213</v>
      </c>
      <c r="W355" s="77" t="s">
        <v>213</v>
      </c>
      <c r="X355" s="76" t="s">
        <v>213</v>
      </c>
      <c r="Y355" s="74" t="s">
        <v>213</v>
      </c>
      <c r="Z355" s="77" t="s">
        <v>213</v>
      </c>
    </row>
    <row r="356" ht="36" customHeight="1">
      <c r="A356" s="68"/>
      <c r="B356" s="69"/>
      <c r="C356" s="69"/>
      <c r="D356" s="68"/>
      <c r="E356" s="68"/>
      <c r="F356" s="68"/>
      <c r="G356" s="70"/>
      <c r="H356" s="70"/>
      <c r="I356" s="71"/>
      <c r="J356" s="71"/>
      <c r="K356" s="72"/>
      <c r="L356" s="68"/>
      <c r="M356" s="68"/>
      <c r="N356" s="73" t="s">
        <v>213</v>
      </c>
      <c r="O356" s="73" t="s">
        <v>213</v>
      </c>
      <c r="P356" s="73" t="s">
        <v>213</v>
      </c>
      <c r="Q356" s="73" t="s">
        <v>213</v>
      </c>
      <c r="R356" s="73" t="s">
        <v>213</v>
      </c>
      <c r="S356" s="73" t="s">
        <v>213</v>
      </c>
      <c r="T356" s="74" t="s">
        <v>213</v>
      </c>
      <c r="U356" s="75" t="s">
        <v>213</v>
      </c>
      <c r="V356" s="76" t="s">
        <v>213</v>
      </c>
      <c r="W356" s="77" t="s">
        <v>213</v>
      </c>
      <c r="X356" s="76" t="s">
        <v>213</v>
      </c>
      <c r="Y356" s="74" t="s">
        <v>213</v>
      </c>
      <c r="Z356" s="77" t="s">
        <v>213</v>
      </c>
    </row>
    <row r="357" ht="36" customHeight="1">
      <c r="A357" s="68"/>
      <c r="B357" s="69"/>
      <c r="C357" s="69"/>
      <c r="D357" s="68"/>
      <c r="E357" s="68"/>
      <c r="F357" s="68"/>
      <c r="G357" s="70"/>
      <c r="H357" s="70"/>
      <c r="I357" s="71"/>
      <c r="J357" s="71"/>
      <c r="K357" s="72"/>
      <c r="L357" s="68"/>
      <c r="M357" s="68"/>
      <c r="N357" s="73" t="s">
        <v>213</v>
      </c>
      <c r="O357" s="73" t="s">
        <v>213</v>
      </c>
      <c r="P357" s="73" t="s">
        <v>213</v>
      </c>
      <c r="Q357" s="73" t="s">
        <v>213</v>
      </c>
      <c r="R357" s="73" t="s">
        <v>213</v>
      </c>
      <c r="S357" s="73" t="s">
        <v>213</v>
      </c>
      <c r="T357" s="74" t="s">
        <v>213</v>
      </c>
      <c r="U357" s="75" t="s">
        <v>213</v>
      </c>
      <c r="V357" s="76" t="s">
        <v>213</v>
      </c>
      <c r="W357" s="77" t="s">
        <v>213</v>
      </c>
      <c r="X357" s="76" t="s">
        <v>213</v>
      </c>
      <c r="Y357" s="74" t="s">
        <v>213</v>
      </c>
      <c r="Z357" s="77" t="s">
        <v>213</v>
      </c>
    </row>
    <row r="358" ht="36" customHeight="1">
      <c r="A358" s="68"/>
      <c r="B358" s="69"/>
      <c r="C358" s="69"/>
      <c r="D358" s="68"/>
      <c r="E358" s="68"/>
      <c r="F358" s="68"/>
      <c r="G358" s="70"/>
      <c r="H358" s="70"/>
      <c r="I358" s="71"/>
      <c r="J358" s="71"/>
      <c r="K358" s="72"/>
      <c r="L358" s="68"/>
      <c r="M358" s="68"/>
      <c r="N358" s="73" t="s">
        <v>213</v>
      </c>
      <c r="O358" s="73" t="s">
        <v>213</v>
      </c>
      <c r="P358" s="73" t="s">
        <v>213</v>
      </c>
      <c r="Q358" s="73" t="s">
        <v>213</v>
      </c>
      <c r="R358" s="73" t="s">
        <v>213</v>
      </c>
      <c r="S358" s="73" t="s">
        <v>213</v>
      </c>
      <c r="T358" s="74" t="s">
        <v>213</v>
      </c>
      <c r="U358" s="75" t="s">
        <v>213</v>
      </c>
      <c r="V358" s="76" t="s">
        <v>213</v>
      </c>
      <c r="W358" s="77" t="s">
        <v>213</v>
      </c>
      <c r="X358" s="76" t="s">
        <v>213</v>
      </c>
      <c r="Y358" s="74" t="s">
        <v>213</v>
      </c>
      <c r="Z358" s="77" t="s">
        <v>213</v>
      </c>
    </row>
    <row r="359" ht="36" customHeight="1">
      <c r="A359" s="68"/>
      <c r="B359" s="69"/>
      <c r="C359" s="69"/>
      <c r="D359" s="68"/>
      <c r="E359" s="68"/>
      <c r="F359" s="68"/>
      <c r="G359" s="70"/>
      <c r="H359" s="70"/>
      <c r="I359" s="71"/>
      <c r="J359" s="71"/>
      <c r="K359" s="72"/>
      <c r="L359" s="68"/>
      <c r="M359" s="68"/>
      <c r="N359" s="73" t="s">
        <v>213</v>
      </c>
      <c r="O359" s="73" t="s">
        <v>213</v>
      </c>
      <c r="P359" s="73" t="s">
        <v>213</v>
      </c>
      <c r="Q359" s="73" t="s">
        <v>213</v>
      </c>
      <c r="R359" s="73" t="s">
        <v>213</v>
      </c>
      <c r="S359" s="73" t="s">
        <v>213</v>
      </c>
      <c r="T359" s="74" t="s">
        <v>213</v>
      </c>
      <c r="U359" s="75" t="s">
        <v>213</v>
      </c>
      <c r="V359" s="76" t="s">
        <v>213</v>
      </c>
      <c r="W359" s="77" t="s">
        <v>213</v>
      </c>
      <c r="X359" s="76" t="s">
        <v>213</v>
      </c>
      <c r="Y359" s="74" t="s">
        <v>213</v>
      </c>
      <c r="Z359" s="77" t="s">
        <v>213</v>
      </c>
    </row>
    <row r="360" ht="36" customHeight="1">
      <c r="A360" s="68"/>
      <c r="B360" s="69"/>
      <c r="C360" s="69"/>
      <c r="D360" s="68"/>
      <c r="E360" s="68"/>
      <c r="F360" s="68"/>
      <c r="G360" s="70"/>
      <c r="H360" s="70"/>
      <c r="I360" s="71"/>
      <c r="J360" s="71"/>
      <c r="K360" s="72"/>
      <c r="L360" s="68"/>
      <c r="M360" s="68"/>
      <c r="N360" s="73" t="s">
        <v>213</v>
      </c>
      <c r="O360" s="73" t="s">
        <v>213</v>
      </c>
      <c r="P360" s="73" t="s">
        <v>213</v>
      </c>
      <c r="Q360" s="73" t="s">
        <v>213</v>
      </c>
      <c r="R360" s="73" t="s">
        <v>213</v>
      </c>
      <c r="S360" s="73" t="s">
        <v>213</v>
      </c>
      <c r="T360" s="74" t="s">
        <v>213</v>
      </c>
      <c r="U360" s="75" t="s">
        <v>213</v>
      </c>
      <c r="V360" s="76" t="s">
        <v>213</v>
      </c>
      <c r="W360" s="77" t="s">
        <v>213</v>
      </c>
      <c r="X360" s="76" t="s">
        <v>213</v>
      </c>
      <c r="Y360" s="74" t="s">
        <v>213</v>
      </c>
      <c r="Z360" s="77" t="s">
        <v>213</v>
      </c>
    </row>
    <row r="361" ht="36" customHeight="1">
      <c r="A361" s="68"/>
      <c r="B361" s="69"/>
      <c r="C361" s="69"/>
      <c r="D361" s="68"/>
      <c r="E361" s="68"/>
      <c r="F361" s="68"/>
      <c r="G361" s="70"/>
      <c r="H361" s="70"/>
      <c r="I361" s="71"/>
      <c r="J361" s="71"/>
      <c r="K361" s="72"/>
      <c r="L361" s="68"/>
      <c r="M361" s="68"/>
      <c r="N361" s="73" t="s">
        <v>213</v>
      </c>
      <c r="O361" s="73" t="s">
        <v>213</v>
      </c>
      <c r="P361" s="73" t="s">
        <v>213</v>
      </c>
      <c r="Q361" s="73" t="s">
        <v>213</v>
      </c>
      <c r="R361" s="73" t="s">
        <v>213</v>
      </c>
      <c r="S361" s="73" t="s">
        <v>213</v>
      </c>
      <c r="T361" s="74" t="s">
        <v>213</v>
      </c>
      <c r="U361" s="75" t="s">
        <v>213</v>
      </c>
      <c r="V361" s="76" t="s">
        <v>213</v>
      </c>
      <c r="W361" s="77" t="s">
        <v>213</v>
      </c>
      <c r="X361" s="76" t="s">
        <v>213</v>
      </c>
      <c r="Y361" s="74" t="s">
        <v>213</v>
      </c>
      <c r="Z361" s="77" t="s">
        <v>213</v>
      </c>
    </row>
    <row r="362" ht="36" customHeight="1">
      <c r="A362" s="68"/>
      <c r="B362" s="69"/>
      <c r="C362" s="69"/>
      <c r="D362" s="68"/>
      <c r="E362" s="68"/>
      <c r="F362" s="68"/>
      <c r="G362" s="70"/>
      <c r="H362" s="70"/>
      <c r="I362" s="71"/>
      <c r="J362" s="71"/>
      <c r="K362" s="72"/>
      <c r="L362" s="68"/>
      <c r="M362" s="68"/>
      <c r="N362" s="73" t="s">
        <v>213</v>
      </c>
      <c r="O362" s="73" t="s">
        <v>213</v>
      </c>
      <c r="P362" s="73" t="s">
        <v>213</v>
      </c>
      <c r="Q362" s="73" t="s">
        <v>213</v>
      </c>
      <c r="R362" s="73" t="s">
        <v>213</v>
      </c>
      <c r="S362" s="73" t="s">
        <v>213</v>
      </c>
      <c r="T362" s="74" t="s">
        <v>213</v>
      </c>
      <c r="U362" s="75" t="s">
        <v>213</v>
      </c>
      <c r="V362" s="76" t="s">
        <v>213</v>
      </c>
      <c r="W362" s="77" t="s">
        <v>213</v>
      </c>
      <c r="X362" s="76" t="s">
        <v>213</v>
      </c>
      <c r="Y362" s="74" t="s">
        <v>213</v>
      </c>
      <c r="Z362" s="77" t="s">
        <v>213</v>
      </c>
    </row>
    <row r="363" ht="36" customHeight="1">
      <c r="A363" s="68"/>
      <c r="B363" s="69"/>
      <c r="C363" s="69"/>
      <c r="D363" s="68"/>
      <c r="E363" s="68"/>
      <c r="F363" s="68"/>
      <c r="G363" s="70"/>
      <c r="H363" s="70"/>
      <c r="I363" s="71"/>
      <c r="J363" s="71"/>
      <c r="K363" s="72"/>
      <c r="L363" s="68"/>
      <c r="M363" s="68"/>
      <c r="N363" s="73" t="s">
        <v>213</v>
      </c>
      <c r="O363" s="73" t="s">
        <v>213</v>
      </c>
      <c r="P363" s="73" t="s">
        <v>213</v>
      </c>
      <c r="Q363" s="73" t="s">
        <v>213</v>
      </c>
      <c r="R363" s="73" t="s">
        <v>213</v>
      </c>
      <c r="S363" s="73" t="s">
        <v>213</v>
      </c>
      <c r="T363" s="74" t="s">
        <v>213</v>
      </c>
      <c r="U363" s="75" t="s">
        <v>213</v>
      </c>
      <c r="V363" s="76" t="s">
        <v>213</v>
      </c>
      <c r="W363" s="77" t="s">
        <v>213</v>
      </c>
      <c r="X363" s="76" t="s">
        <v>213</v>
      </c>
      <c r="Y363" s="74" t="s">
        <v>213</v>
      </c>
      <c r="Z363" s="77" t="s">
        <v>213</v>
      </c>
    </row>
    <row r="364" ht="36" customHeight="1">
      <c r="A364" s="68"/>
      <c r="B364" s="69"/>
      <c r="C364" s="69"/>
      <c r="D364" s="68"/>
      <c r="E364" s="68"/>
      <c r="F364" s="68"/>
      <c r="G364" s="70"/>
      <c r="H364" s="70"/>
      <c r="I364" s="71"/>
      <c r="J364" s="71"/>
      <c r="K364" s="72"/>
      <c r="L364" s="68"/>
      <c r="M364" s="68"/>
      <c r="N364" s="73" t="s">
        <v>213</v>
      </c>
      <c r="O364" s="73" t="s">
        <v>213</v>
      </c>
      <c r="P364" s="73" t="s">
        <v>213</v>
      </c>
      <c r="Q364" s="73" t="s">
        <v>213</v>
      </c>
      <c r="R364" s="73" t="s">
        <v>213</v>
      </c>
      <c r="S364" s="73" t="s">
        <v>213</v>
      </c>
      <c r="T364" s="74" t="s">
        <v>213</v>
      </c>
      <c r="U364" s="75" t="s">
        <v>213</v>
      </c>
      <c r="V364" s="76" t="s">
        <v>213</v>
      </c>
      <c r="W364" s="77" t="s">
        <v>213</v>
      </c>
      <c r="X364" s="76" t="s">
        <v>213</v>
      </c>
      <c r="Y364" s="74" t="s">
        <v>213</v>
      </c>
      <c r="Z364" s="77" t="s">
        <v>213</v>
      </c>
    </row>
    <row r="365" ht="36" customHeight="1">
      <c r="A365" s="68"/>
      <c r="B365" s="69"/>
      <c r="C365" s="69"/>
      <c r="D365" s="68"/>
      <c r="E365" s="68"/>
      <c r="F365" s="68"/>
      <c r="G365" s="70"/>
      <c r="H365" s="70"/>
      <c r="I365" s="71"/>
      <c r="J365" s="71"/>
      <c r="K365" s="72"/>
      <c r="L365" s="68"/>
      <c r="M365" s="68"/>
      <c r="N365" s="73" t="s">
        <v>213</v>
      </c>
      <c r="O365" s="73" t="s">
        <v>213</v>
      </c>
      <c r="P365" s="73" t="s">
        <v>213</v>
      </c>
      <c r="Q365" s="73" t="s">
        <v>213</v>
      </c>
      <c r="R365" s="73" t="s">
        <v>213</v>
      </c>
      <c r="S365" s="73" t="s">
        <v>213</v>
      </c>
      <c r="T365" s="74" t="s">
        <v>213</v>
      </c>
      <c r="U365" s="75" t="s">
        <v>213</v>
      </c>
      <c r="V365" s="76" t="s">
        <v>213</v>
      </c>
      <c r="W365" s="77" t="s">
        <v>213</v>
      </c>
      <c r="X365" s="76" t="s">
        <v>213</v>
      </c>
      <c r="Y365" s="74" t="s">
        <v>213</v>
      </c>
      <c r="Z365" s="77" t="s">
        <v>213</v>
      </c>
    </row>
    <row r="366" ht="36" customHeight="1">
      <c r="A366" s="68"/>
      <c r="B366" s="69"/>
      <c r="C366" s="69"/>
      <c r="D366" s="68"/>
      <c r="E366" s="68"/>
      <c r="F366" s="68"/>
      <c r="G366" s="70"/>
      <c r="H366" s="70"/>
      <c r="I366" s="71"/>
      <c r="J366" s="71"/>
      <c r="K366" s="72"/>
      <c r="L366" s="68"/>
      <c r="M366" s="68"/>
      <c r="N366" s="73" t="s">
        <v>213</v>
      </c>
      <c r="O366" s="73" t="s">
        <v>213</v>
      </c>
      <c r="P366" s="73" t="s">
        <v>213</v>
      </c>
      <c r="Q366" s="73" t="s">
        <v>213</v>
      </c>
      <c r="R366" s="73" t="s">
        <v>213</v>
      </c>
      <c r="S366" s="73" t="s">
        <v>213</v>
      </c>
      <c r="T366" s="74" t="s">
        <v>213</v>
      </c>
      <c r="U366" s="75" t="s">
        <v>213</v>
      </c>
      <c r="V366" s="76" t="s">
        <v>213</v>
      </c>
      <c r="W366" s="77" t="s">
        <v>213</v>
      </c>
      <c r="X366" s="76" t="s">
        <v>213</v>
      </c>
      <c r="Y366" s="74" t="s">
        <v>213</v>
      </c>
      <c r="Z366" s="77" t="s">
        <v>213</v>
      </c>
    </row>
    <row r="367" ht="36" customHeight="1">
      <c r="A367" s="68"/>
      <c r="B367" s="69"/>
      <c r="C367" s="69"/>
      <c r="D367" s="68"/>
      <c r="E367" s="68"/>
      <c r="F367" s="68"/>
      <c r="G367" s="70"/>
      <c r="H367" s="70"/>
      <c r="I367" s="71"/>
      <c r="J367" s="71"/>
      <c r="K367" s="72"/>
      <c r="L367" s="68"/>
      <c r="M367" s="68"/>
      <c r="N367" s="73" t="s">
        <v>213</v>
      </c>
      <c r="O367" s="73" t="s">
        <v>213</v>
      </c>
      <c r="P367" s="73" t="s">
        <v>213</v>
      </c>
      <c r="Q367" s="73" t="s">
        <v>213</v>
      </c>
      <c r="R367" s="73" t="s">
        <v>213</v>
      </c>
      <c r="S367" s="73" t="s">
        <v>213</v>
      </c>
      <c r="T367" s="74" t="s">
        <v>213</v>
      </c>
      <c r="U367" s="75" t="s">
        <v>213</v>
      </c>
      <c r="V367" s="76" t="s">
        <v>213</v>
      </c>
      <c r="W367" s="77" t="s">
        <v>213</v>
      </c>
      <c r="X367" s="76" t="s">
        <v>213</v>
      </c>
      <c r="Y367" s="74" t="s">
        <v>213</v>
      </c>
      <c r="Z367" s="77" t="s">
        <v>213</v>
      </c>
    </row>
    <row r="368" ht="36" customHeight="1">
      <c r="A368" s="68"/>
      <c r="B368" s="69"/>
      <c r="C368" s="69"/>
      <c r="D368" s="68"/>
      <c r="E368" s="68"/>
      <c r="F368" s="68"/>
      <c r="G368" s="70"/>
      <c r="H368" s="70"/>
      <c r="I368" s="71"/>
      <c r="J368" s="71"/>
      <c r="K368" s="72"/>
      <c r="L368" s="68"/>
      <c r="M368" s="68"/>
      <c r="N368" s="73" t="s">
        <v>213</v>
      </c>
      <c r="O368" s="73" t="s">
        <v>213</v>
      </c>
      <c r="P368" s="73" t="s">
        <v>213</v>
      </c>
      <c r="Q368" s="73" t="s">
        <v>213</v>
      </c>
      <c r="R368" s="73" t="s">
        <v>213</v>
      </c>
      <c r="S368" s="73" t="s">
        <v>213</v>
      </c>
      <c r="T368" s="74" t="s">
        <v>213</v>
      </c>
      <c r="U368" s="75" t="s">
        <v>213</v>
      </c>
      <c r="V368" s="76" t="s">
        <v>213</v>
      </c>
      <c r="W368" s="77" t="s">
        <v>213</v>
      </c>
      <c r="X368" s="76" t="s">
        <v>213</v>
      </c>
      <c r="Y368" s="74" t="s">
        <v>213</v>
      </c>
      <c r="Z368" s="77" t="s">
        <v>213</v>
      </c>
    </row>
    <row r="369" ht="36" customHeight="1">
      <c r="A369" s="68"/>
      <c r="B369" s="69"/>
      <c r="C369" s="69"/>
      <c r="D369" s="68"/>
      <c r="E369" s="68"/>
      <c r="F369" s="68"/>
      <c r="G369" s="70"/>
      <c r="H369" s="70"/>
      <c r="I369" s="71"/>
      <c r="J369" s="71"/>
      <c r="K369" s="72"/>
      <c r="L369" s="68"/>
      <c r="M369" s="68"/>
      <c r="N369" s="73" t="s">
        <v>213</v>
      </c>
      <c r="O369" s="73" t="s">
        <v>213</v>
      </c>
      <c r="P369" s="73" t="s">
        <v>213</v>
      </c>
      <c r="Q369" s="73" t="s">
        <v>213</v>
      </c>
      <c r="R369" s="73" t="s">
        <v>213</v>
      </c>
      <c r="S369" s="73" t="s">
        <v>213</v>
      </c>
      <c r="T369" s="74" t="s">
        <v>213</v>
      </c>
      <c r="U369" s="75" t="s">
        <v>213</v>
      </c>
      <c r="V369" s="76" t="s">
        <v>213</v>
      </c>
      <c r="W369" s="77" t="s">
        <v>213</v>
      </c>
      <c r="X369" s="76" t="s">
        <v>213</v>
      </c>
      <c r="Y369" s="74" t="s">
        <v>213</v>
      </c>
      <c r="Z369" s="77" t="s">
        <v>213</v>
      </c>
    </row>
    <row r="370" ht="36" customHeight="1">
      <c r="A370" s="68"/>
      <c r="B370" s="69"/>
      <c r="C370" s="69"/>
      <c r="D370" s="68"/>
      <c r="E370" s="68"/>
      <c r="F370" s="68"/>
      <c r="G370" s="70"/>
      <c r="H370" s="70"/>
      <c r="I370" s="71"/>
      <c r="J370" s="71"/>
      <c r="K370" s="72"/>
      <c r="L370" s="68"/>
      <c r="M370" s="68"/>
      <c r="N370" s="73" t="s">
        <v>213</v>
      </c>
      <c r="O370" s="73" t="s">
        <v>213</v>
      </c>
      <c r="P370" s="73" t="s">
        <v>213</v>
      </c>
      <c r="Q370" s="73" t="s">
        <v>213</v>
      </c>
      <c r="R370" s="73" t="s">
        <v>213</v>
      </c>
      <c r="S370" s="73" t="s">
        <v>213</v>
      </c>
      <c r="T370" s="74" t="s">
        <v>213</v>
      </c>
      <c r="U370" s="75" t="s">
        <v>213</v>
      </c>
      <c r="V370" s="76" t="s">
        <v>213</v>
      </c>
      <c r="W370" s="77" t="s">
        <v>213</v>
      </c>
      <c r="X370" s="76" t="s">
        <v>213</v>
      </c>
      <c r="Y370" s="74" t="s">
        <v>213</v>
      </c>
      <c r="Z370" s="77" t="s">
        <v>213</v>
      </c>
    </row>
    <row r="371" ht="36" customHeight="1">
      <c r="A371" s="68"/>
      <c r="B371" s="69"/>
      <c r="C371" s="69"/>
      <c r="D371" s="68"/>
      <c r="E371" s="68"/>
      <c r="F371" s="68"/>
      <c r="G371" s="70"/>
      <c r="H371" s="70"/>
      <c r="I371" s="71"/>
      <c r="J371" s="71"/>
      <c r="K371" s="72"/>
      <c r="L371" s="68"/>
      <c r="M371" s="68"/>
      <c r="N371" s="73" t="s">
        <v>213</v>
      </c>
      <c r="O371" s="73" t="s">
        <v>213</v>
      </c>
      <c r="P371" s="73" t="s">
        <v>213</v>
      </c>
      <c r="Q371" s="73" t="s">
        <v>213</v>
      </c>
      <c r="R371" s="73" t="s">
        <v>213</v>
      </c>
      <c r="S371" s="73" t="s">
        <v>213</v>
      </c>
      <c r="T371" s="74" t="s">
        <v>213</v>
      </c>
      <c r="U371" s="75" t="s">
        <v>213</v>
      </c>
      <c r="V371" s="76" t="s">
        <v>213</v>
      </c>
      <c r="W371" s="77" t="s">
        <v>213</v>
      </c>
      <c r="X371" s="76" t="s">
        <v>213</v>
      </c>
      <c r="Y371" s="74" t="s">
        <v>213</v>
      </c>
      <c r="Z371" s="77" t="s">
        <v>213</v>
      </c>
    </row>
    <row r="372" ht="36" customHeight="1">
      <c r="A372" s="68"/>
      <c r="B372" s="69"/>
      <c r="C372" s="69"/>
      <c r="D372" s="68"/>
      <c r="E372" s="68"/>
      <c r="F372" s="68"/>
      <c r="G372" s="70"/>
      <c r="H372" s="70"/>
      <c r="I372" s="71"/>
      <c r="J372" s="71"/>
      <c r="K372" s="72"/>
      <c r="L372" s="68"/>
      <c r="M372" s="68"/>
      <c r="N372" s="73" t="s">
        <v>213</v>
      </c>
      <c r="O372" s="73" t="s">
        <v>213</v>
      </c>
      <c r="P372" s="73" t="s">
        <v>213</v>
      </c>
      <c r="Q372" s="73" t="s">
        <v>213</v>
      </c>
      <c r="R372" s="73" t="s">
        <v>213</v>
      </c>
      <c r="S372" s="73" t="s">
        <v>213</v>
      </c>
      <c r="T372" s="74" t="s">
        <v>213</v>
      </c>
      <c r="U372" s="75" t="s">
        <v>213</v>
      </c>
      <c r="V372" s="76" t="s">
        <v>213</v>
      </c>
      <c r="W372" s="77" t="s">
        <v>213</v>
      </c>
      <c r="X372" s="76" t="s">
        <v>213</v>
      </c>
      <c r="Y372" s="74" t="s">
        <v>213</v>
      </c>
      <c r="Z372" s="77" t="s">
        <v>213</v>
      </c>
    </row>
    <row r="373" ht="36" customHeight="1">
      <c r="A373" s="68"/>
      <c r="B373" s="69"/>
      <c r="C373" s="69"/>
      <c r="D373" s="68"/>
      <c r="E373" s="68"/>
      <c r="F373" s="68"/>
      <c r="G373" s="70"/>
      <c r="H373" s="70"/>
      <c r="I373" s="71"/>
      <c r="J373" s="71"/>
      <c r="K373" s="72"/>
      <c r="L373" s="68"/>
      <c r="M373" s="68"/>
      <c r="N373" s="73" t="s">
        <v>213</v>
      </c>
      <c r="O373" s="73" t="s">
        <v>213</v>
      </c>
      <c r="P373" s="73" t="s">
        <v>213</v>
      </c>
      <c r="Q373" s="73" t="s">
        <v>213</v>
      </c>
      <c r="R373" s="73" t="s">
        <v>213</v>
      </c>
      <c r="S373" s="73" t="s">
        <v>213</v>
      </c>
      <c r="T373" s="74" t="s">
        <v>213</v>
      </c>
      <c r="U373" s="75" t="s">
        <v>213</v>
      </c>
      <c r="V373" s="76" t="s">
        <v>213</v>
      </c>
      <c r="W373" s="77" t="s">
        <v>213</v>
      </c>
      <c r="X373" s="76" t="s">
        <v>213</v>
      </c>
      <c r="Y373" s="74" t="s">
        <v>213</v>
      </c>
      <c r="Z373" s="77" t="s">
        <v>213</v>
      </c>
    </row>
    <row r="374" ht="36" customHeight="1">
      <c r="A374" s="68"/>
      <c r="B374" s="69"/>
      <c r="C374" s="69"/>
      <c r="D374" s="68"/>
      <c r="E374" s="68"/>
      <c r="F374" s="68"/>
      <c r="G374" s="70"/>
      <c r="H374" s="70"/>
      <c r="I374" s="71"/>
      <c r="J374" s="71"/>
      <c r="K374" s="72"/>
      <c r="L374" s="68"/>
      <c r="M374" s="68"/>
      <c r="N374" s="73" t="s">
        <v>213</v>
      </c>
      <c r="O374" s="73" t="s">
        <v>213</v>
      </c>
      <c r="P374" s="73" t="s">
        <v>213</v>
      </c>
      <c r="Q374" s="73" t="s">
        <v>213</v>
      </c>
      <c r="R374" s="73" t="s">
        <v>213</v>
      </c>
      <c r="S374" s="73" t="s">
        <v>213</v>
      </c>
      <c r="T374" s="74" t="s">
        <v>213</v>
      </c>
      <c r="U374" s="75" t="s">
        <v>213</v>
      </c>
      <c r="V374" s="76" t="s">
        <v>213</v>
      </c>
      <c r="W374" s="77" t="s">
        <v>213</v>
      </c>
      <c r="X374" s="76" t="s">
        <v>213</v>
      </c>
      <c r="Y374" s="74" t="s">
        <v>213</v>
      </c>
      <c r="Z374" s="77" t="s">
        <v>213</v>
      </c>
    </row>
    <row r="375" ht="36" customHeight="1">
      <c r="A375" s="68"/>
      <c r="B375" s="69"/>
      <c r="C375" s="69"/>
      <c r="D375" s="68"/>
      <c r="E375" s="68"/>
      <c r="F375" s="68"/>
      <c r="G375" s="70"/>
      <c r="H375" s="70"/>
      <c r="I375" s="71"/>
      <c r="J375" s="71"/>
      <c r="K375" s="72"/>
      <c r="L375" s="68"/>
      <c r="M375" s="68"/>
      <c r="N375" s="73" t="s">
        <v>213</v>
      </c>
      <c r="O375" s="73" t="s">
        <v>213</v>
      </c>
      <c r="P375" s="73" t="s">
        <v>213</v>
      </c>
      <c r="Q375" s="73" t="s">
        <v>213</v>
      </c>
      <c r="R375" s="73" t="s">
        <v>213</v>
      </c>
      <c r="S375" s="73" t="s">
        <v>213</v>
      </c>
      <c r="T375" s="74" t="s">
        <v>213</v>
      </c>
      <c r="U375" s="75" t="s">
        <v>213</v>
      </c>
      <c r="V375" s="76" t="s">
        <v>213</v>
      </c>
      <c r="W375" s="77" t="s">
        <v>213</v>
      </c>
      <c r="X375" s="76" t="s">
        <v>213</v>
      </c>
      <c r="Y375" s="74" t="s">
        <v>213</v>
      </c>
      <c r="Z375" s="77" t="s">
        <v>213</v>
      </c>
    </row>
    <row r="376" ht="36" customHeight="1">
      <c r="A376" s="68"/>
      <c r="B376" s="69"/>
      <c r="C376" s="69"/>
      <c r="D376" s="68"/>
      <c r="E376" s="68"/>
      <c r="F376" s="68"/>
      <c r="G376" s="70"/>
      <c r="H376" s="70"/>
      <c r="I376" s="71"/>
      <c r="J376" s="71"/>
      <c r="K376" s="72"/>
      <c r="L376" s="68"/>
      <c r="M376" s="68"/>
      <c r="N376" s="73" t="s">
        <v>213</v>
      </c>
      <c r="O376" s="73" t="s">
        <v>213</v>
      </c>
      <c r="P376" s="73" t="s">
        <v>213</v>
      </c>
      <c r="Q376" s="73" t="s">
        <v>213</v>
      </c>
      <c r="R376" s="73" t="s">
        <v>213</v>
      </c>
      <c r="S376" s="73" t="s">
        <v>213</v>
      </c>
      <c r="T376" s="74" t="s">
        <v>213</v>
      </c>
      <c r="U376" s="75" t="s">
        <v>213</v>
      </c>
      <c r="V376" s="76" t="s">
        <v>213</v>
      </c>
      <c r="W376" s="77" t="s">
        <v>213</v>
      </c>
      <c r="X376" s="76" t="s">
        <v>213</v>
      </c>
      <c r="Y376" s="74" t="s">
        <v>213</v>
      </c>
      <c r="Z376" s="77" t="s">
        <v>213</v>
      </c>
    </row>
    <row r="377" ht="36" customHeight="1">
      <c r="A377" s="68"/>
      <c r="B377" s="69"/>
      <c r="C377" s="69"/>
      <c r="D377" s="68"/>
      <c r="E377" s="68"/>
      <c r="F377" s="68"/>
      <c r="G377" s="70"/>
      <c r="H377" s="70"/>
      <c r="I377" s="71"/>
      <c r="J377" s="71"/>
      <c r="K377" s="72"/>
      <c r="L377" s="68"/>
      <c r="M377" s="68"/>
      <c r="N377" s="73" t="s">
        <v>213</v>
      </c>
      <c r="O377" s="73" t="s">
        <v>213</v>
      </c>
      <c r="P377" s="73" t="s">
        <v>213</v>
      </c>
      <c r="Q377" s="73" t="s">
        <v>213</v>
      </c>
      <c r="R377" s="73" t="s">
        <v>213</v>
      </c>
      <c r="S377" s="73" t="s">
        <v>213</v>
      </c>
      <c r="T377" s="74" t="s">
        <v>213</v>
      </c>
      <c r="U377" s="75" t="s">
        <v>213</v>
      </c>
      <c r="V377" s="76" t="s">
        <v>213</v>
      </c>
      <c r="W377" s="77" t="s">
        <v>213</v>
      </c>
      <c r="X377" s="76" t="s">
        <v>213</v>
      </c>
      <c r="Y377" s="74" t="s">
        <v>213</v>
      </c>
      <c r="Z377" s="77" t="s">
        <v>213</v>
      </c>
    </row>
    <row r="378" ht="36" customHeight="1">
      <c r="A378" s="68"/>
      <c r="B378" s="69"/>
      <c r="C378" s="69"/>
      <c r="D378" s="68"/>
      <c r="E378" s="68"/>
      <c r="F378" s="68"/>
      <c r="G378" s="70"/>
      <c r="H378" s="70"/>
      <c r="I378" s="71"/>
      <c r="J378" s="71"/>
      <c r="K378" s="72"/>
      <c r="L378" s="68"/>
      <c r="M378" s="68"/>
      <c r="N378" s="73" t="s">
        <v>213</v>
      </c>
      <c r="O378" s="73" t="s">
        <v>213</v>
      </c>
      <c r="P378" s="73" t="s">
        <v>213</v>
      </c>
      <c r="Q378" s="73" t="s">
        <v>213</v>
      </c>
      <c r="R378" s="73" t="s">
        <v>213</v>
      </c>
      <c r="S378" s="73" t="s">
        <v>213</v>
      </c>
      <c r="T378" s="74" t="s">
        <v>213</v>
      </c>
      <c r="U378" s="75" t="s">
        <v>213</v>
      </c>
      <c r="V378" s="76" t="s">
        <v>213</v>
      </c>
      <c r="W378" s="77" t="s">
        <v>213</v>
      </c>
      <c r="X378" s="76" t="s">
        <v>213</v>
      </c>
      <c r="Y378" s="74" t="s">
        <v>213</v>
      </c>
      <c r="Z378" s="77" t="s">
        <v>213</v>
      </c>
    </row>
    <row r="379" ht="36" customHeight="1">
      <c r="A379" s="68"/>
      <c r="B379" s="69"/>
      <c r="C379" s="69"/>
      <c r="D379" s="68"/>
      <c r="E379" s="68"/>
      <c r="F379" s="68"/>
      <c r="G379" s="70"/>
      <c r="H379" s="70"/>
      <c r="I379" s="71"/>
      <c r="J379" s="71"/>
      <c r="K379" s="72"/>
      <c r="L379" s="68"/>
      <c r="M379" s="68"/>
      <c r="N379" s="73" t="s">
        <v>213</v>
      </c>
      <c r="O379" s="73" t="s">
        <v>213</v>
      </c>
      <c r="P379" s="73" t="s">
        <v>213</v>
      </c>
      <c r="Q379" s="73" t="s">
        <v>213</v>
      </c>
      <c r="R379" s="73" t="s">
        <v>213</v>
      </c>
      <c r="S379" s="73" t="s">
        <v>213</v>
      </c>
      <c r="T379" s="74" t="s">
        <v>213</v>
      </c>
      <c r="U379" s="75" t="s">
        <v>213</v>
      </c>
      <c r="V379" s="76" t="s">
        <v>213</v>
      </c>
      <c r="W379" s="77" t="s">
        <v>213</v>
      </c>
      <c r="X379" s="76" t="s">
        <v>213</v>
      </c>
      <c r="Y379" s="74" t="s">
        <v>213</v>
      </c>
      <c r="Z379" s="77" t="s">
        <v>213</v>
      </c>
    </row>
    <row r="380" ht="36" customHeight="1">
      <c r="A380" s="68"/>
      <c r="B380" s="69"/>
      <c r="C380" s="69"/>
      <c r="D380" s="68"/>
      <c r="E380" s="68"/>
      <c r="F380" s="68"/>
      <c r="G380" s="70"/>
      <c r="H380" s="70"/>
      <c r="I380" s="71"/>
      <c r="J380" s="71"/>
      <c r="K380" s="72"/>
      <c r="L380" s="68"/>
      <c r="M380" s="68"/>
      <c r="N380" s="73" t="s">
        <v>213</v>
      </c>
      <c r="O380" s="73" t="s">
        <v>213</v>
      </c>
      <c r="P380" s="73" t="s">
        <v>213</v>
      </c>
      <c r="Q380" s="73" t="s">
        <v>213</v>
      </c>
      <c r="R380" s="73" t="s">
        <v>213</v>
      </c>
      <c r="S380" s="73" t="s">
        <v>213</v>
      </c>
      <c r="T380" s="74" t="s">
        <v>213</v>
      </c>
      <c r="U380" s="75" t="s">
        <v>213</v>
      </c>
      <c r="V380" s="76" t="s">
        <v>213</v>
      </c>
      <c r="W380" s="77" t="s">
        <v>213</v>
      </c>
      <c r="X380" s="76" t="s">
        <v>213</v>
      </c>
      <c r="Y380" s="74" t="s">
        <v>213</v>
      </c>
      <c r="Z380" s="77" t="s">
        <v>213</v>
      </c>
    </row>
    <row r="381" ht="36" customHeight="1">
      <c r="A381" s="68"/>
      <c r="B381" s="69"/>
      <c r="C381" s="69"/>
      <c r="D381" s="68"/>
      <c r="E381" s="68"/>
      <c r="F381" s="68"/>
      <c r="G381" s="70"/>
      <c r="H381" s="70"/>
      <c r="I381" s="71"/>
      <c r="J381" s="71"/>
      <c r="K381" s="72"/>
      <c r="L381" s="68"/>
      <c r="M381" s="68"/>
      <c r="N381" s="73" t="s">
        <v>213</v>
      </c>
      <c r="O381" s="73" t="s">
        <v>213</v>
      </c>
      <c r="P381" s="73" t="s">
        <v>213</v>
      </c>
      <c r="Q381" s="73" t="s">
        <v>213</v>
      </c>
      <c r="R381" s="73" t="s">
        <v>213</v>
      </c>
      <c r="S381" s="73" t="s">
        <v>213</v>
      </c>
      <c r="T381" s="74" t="s">
        <v>213</v>
      </c>
      <c r="U381" s="75" t="s">
        <v>213</v>
      </c>
      <c r="V381" s="76" t="s">
        <v>213</v>
      </c>
      <c r="W381" s="77" t="s">
        <v>213</v>
      </c>
      <c r="X381" s="76" t="s">
        <v>213</v>
      </c>
      <c r="Y381" s="74" t="s">
        <v>213</v>
      </c>
      <c r="Z381" s="77" t="s">
        <v>213</v>
      </c>
    </row>
    <row r="382" ht="36" customHeight="1">
      <c r="A382" s="68"/>
      <c r="B382" s="69"/>
      <c r="C382" s="69"/>
      <c r="D382" s="68"/>
      <c r="E382" s="68"/>
      <c r="F382" s="68"/>
      <c r="G382" s="70"/>
      <c r="H382" s="70"/>
      <c r="I382" s="71"/>
      <c r="J382" s="71"/>
      <c r="K382" s="72"/>
      <c r="L382" s="68"/>
      <c r="M382" s="68"/>
      <c r="N382" s="73" t="s">
        <v>213</v>
      </c>
      <c r="O382" s="73" t="s">
        <v>213</v>
      </c>
      <c r="P382" s="73" t="s">
        <v>213</v>
      </c>
      <c r="Q382" s="73" t="s">
        <v>213</v>
      </c>
      <c r="R382" s="73" t="s">
        <v>213</v>
      </c>
      <c r="S382" s="73" t="s">
        <v>213</v>
      </c>
      <c r="T382" s="74" t="s">
        <v>213</v>
      </c>
      <c r="U382" s="75" t="s">
        <v>213</v>
      </c>
      <c r="V382" s="76" t="s">
        <v>213</v>
      </c>
      <c r="W382" s="77" t="s">
        <v>213</v>
      </c>
      <c r="X382" s="76" t="s">
        <v>213</v>
      </c>
      <c r="Y382" s="74" t="s">
        <v>213</v>
      </c>
      <c r="Z382" s="77" t="s">
        <v>213</v>
      </c>
    </row>
    <row r="383" ht="36" customHeight="1">
      <c r="A383" s="68"/>
      <c r="B383" s="69"/>
      <c r="C383" s="69"/>
      <c r="D383" s="68"/>
      <c r="E383" s="68"/>
      <c r="F383" s="68"/>
      <c r="G383" s="70"/>
      <c r="H383" s="70"/>
      <c r="I383" s="71"/>
      <c r="J383" s="71"/>
      <c r="K383" s="72"/>
      <c r="L383" s="68"/>
      <c r="M383" s="68"/>
      <c r="N383" s="73" t="s">
        <v>213</v>
      </c>
      <c r="O383" s="73" t="s">
        <v>213</v>
      </c>
      <c r="P383" s="73" t="s">
        <v>213</v>
      </c>
      <c r="Q383" s="73" t="s">
        <v>213</v>
      </c>
      <c r="R383" s="73" t="s">
        <v>213</v>
      </c>
      <c r="S383" s="73" t="s">
        <v>213</v>
      </c>
      <c r="T383" s="74" t="s">
        <v>213</v>
      </c>
      <c r="U383" s="75" t="s">
        <v>213</v>
      </c>
      <c r="V383" s="76" t="s">
        <v>213</v>
      </c>
      <c r="W383" s="77" t="s">
        <v>213</v>
      </c>
      <c r="X383" s="76" t="s">
        <v>213</v>
      </c>
      <c r="Y383" s="74" t="s">
        <v>213</v>
      </c>
      <c r="Z383" s="77" t="s">
        <v>213</v>
      </c>
    </row>
    <row r="384" ht="36" customHeight="1">
      <c r="A384" s="68"/>
      <c r="B384" s="69"/>
      <c r="C384" s="69"/>
      <c r="D384" s="68"/>
      <c r="E384" s="68"/>
      <c r="F384" s="68"/>
      <c r="G384" s="70"/>
      <c r="H384" s="70"/>
      <c r="I384" s="71"/>
      <c r="J384" s="71"/>
      <c r="K384" s="72"/>
      <c r="L384" s="68"/>
      <c r="M384" s="68"/>
      <c r="N384" s="73" t="s">
        <v>213</v>
      </c>
      <c r="O384" s="73" t="s">
        <v>213</v>
      </c>
      <c r="P384" s="73" t="s">
        <v>213</v>
      </c>
      <c r="Q384" s="73" t="s">
        <v>213</v>
      </c>
      <c r="R384" s="73" t="s">
        <v>213</v>
      </c>
      <c r="S384" s="73" t="s">
        <v>213</v>
      </c>
      <c r="T384" s="74" t="s">
        <v>213</v>
      </c>
      <c r="U384" s="75" t="s">
        <v>213</v>
      </c>
      <c r="V384" s="76" t="s">
        <v>213</v>
      </c>
      <c r="W384" s="77" t="s">
        <v>213</v>
      </c>
      <c r="X384" s="76" t="s">
        <v>213</v>
      </c>
      <c r="Y384" s="74" t="s">
        <v>213</v>
      </c>
      <c r="Z384" s="77" t="s">
        <v>213</v>
      </c>
    </row>
    <row r="385" ht="36" customHeight="1">
      <c r="A385" s="68"/>
      <c r="B385" s="69"/>
      <c r="C385" s="69"/>
      <c r="D385" s="68"/>
      <c r="E385" s="68"/>
      <c r="F385" s="68"/>
      <c r="G385" s="70"/>
      <c r="H385" s="70"/>
      <c r="I385" s="71"/>
      <c r="J385" s="71"/>
      <c r="K385" s="72"/>
      <c r="L385" s="68"/>
      <c r="M385" s="68"/>
      <c r="N385" s="73" t="s">
        <v>213</v>
      </c>
      <c r="O385" s="73" t="s">
        <v>213</v>
      </c>
      <c r="P385" s="73" t="s">
        <v>213</v>
      </c>
      <c r="Q385" s="73" t="s">
        <v>213</v>
      </c>
      <c r="R385" s="73" t="s">
        <v>213</v>
      </c>
      <c r="S385" s="73" t="s">
        <v>213</v>
      </c>
      <c r="T385" s="74" t="s">
        <v>213</v>
      </c>
      <c r="U385" s="75" t="s">
        <v>213</v>
      </c>
      <c r="V385" s="76" t="s">
        <v>213</v>
      </c>
      <c r="W385" s="77" t="s">
        <v>213</v>
      </c>
      <c r="X385" s="76" t="s">
        <v>213</v>
      </c>
      <c r="Y385" s="74" t="s">
        <v>213</v>
      </c>
      <c r="Z385" s="77" t="s">
        <v>213</v>
      </c>
    </row>
    <row r="386" ht="36" customHeight="1">
      <c r="A386" s="68"/>
      <c r="B386" s="69"/>
      <c r="C386" s="69"/>
      <c r="D386" s="68"/>
      <c r="E386" s="68"/>
      <c r="F386" s="68"/>
      <c r="G386" s="70"/>
      <c r="H386" s="70"/>
      <c r="I386" s="71"/>
      <c r="J386" s="71"/>
      <c r="K386" s="72"/>
      <c r="L386" s="68"/>
      <c r="M386" s="68"/>
      <c r="N386" s="73" t="s">
        <v>213</v>
      </c>
      <c r="O386" s="73" t="s">
        <v>213</v>
      </c>
      <c r="P386" s="73" t="s">
        <v>213</v>
      </c>
      <c r="Q386" s="73" t="s">
        <v>213</v>
      </c>
      <c r="R386" s="73" t="s">
        <v>213</v>
      </c>
      <c r="S386" s="73" t="s">
        <v>213</v>
      </c>
      <c r="T386" s="74" t="s">
        <v>213</v>
      </c>
      <c r="U386" s="75" t="s">
        <v>213</v>
      </c>
      <c r="V386" s="76" t="s">
        <v>213</v>
      </c>
      <c r="W386" s="77" t="s">
        <v>213</v>
      </c>
      <c r="X386" s="76" t="s">
        <v>213</v>
      </c>
      <c r="Y386" s="74" t="s">
        <v>213</v>
      </c>
      <c r="Z386" s="77" t="s">
        <v>213</v>
      </c>
    </row>
    <row r="387" ht="36" customHeight="1">
      <c r="A387" s="68"/>
      <c r="B387" s="69"/>
      <c r="C387" s="69"/>
      <c r="D387" s="68"/>
      <c r="E387" s="68"/>
      <c r="F387" s="68"/>
      <c r="G387" s="70"/>
      <c r="H387" s="70"/>
      <c r="I387" s="71"/>
      <c r="J387" s="71"/>
      <c r="K387" s="72"/>
      <c r="L387" s="68"/>
      <c r="M387" s="68"/>
      <c r="N387" s="73" t="s">
        <v>213</v>
      </c>
      <c r="O387" s="73" t="s">
        <v>213</v>
      </c>
      <c r="P387" s="73" t="s">
        <v>213</v>
      </c>
      <c r="Q387" s="73" t="s">
        <v>213</v>
      </c>
      <c r="R387" s="73" t="s">
        <v>213</v>
      </c>
      <c r="S387" s="73" t="s">
        <v>213</v>
      </c>
      <c r="T387" s="74" t="s">
        <v>213</v>
      </c>
      <c r="U387" s="75" t="s">
        <v>213</v>
      </c>
      <c r="V387" s="76" t="s">
        <v>213</v>
      </c>
      <c r="W387" s="77" t="s">
        <v>213</v>
      </c>
      <c r="X387" s="76" t="s">
        <v>213</v>
      </c>
      <c r="Y387" s="74" t="s">
        <v>213</v>
      </c>
      <c r="Z387" s="77" t="s">
        <v>213</v>
      </c>
    </row>
    <row r="388" ht="36" customHeight="1">
      <c r="A388" s="68"/>
      <c r="B388" s="69"/>
      <c r="C388" s="69"/>
      <c r="D388" s="68"/>
      <c r="E388" s="68"/>
      <c r="F388" s="68"/>
      <c r="G388" s="70"/>
      <c r="H388" s="70"/>
      <c r="I388" s="71"/>
      <c r="J388" s="71"/>
      <c r="K388" s="72"/>
      <c r="L388" s="68"/>
      <c r="M388" s="68"/>
      <c r="N388" s="73" t="s">
        <v>213</v>
      </c>
      <c r="O388" s="73" t="s">
        <v>213</v>
      </c>
      <c r="P388" s="73" t="s">
        <v>213</v>
      </c>
      <c r="Q388" s="73" t="s">
        <v>213</v>
      </c>
      <c r="R388" s="73" t="s">
        <v>213</v>
      </c>
      <c r="S388" s="73" t="s">
        <v>213</v>
      </c>
      <c r="T388" s="74" t="s">
        <v>213</v>
      </c>
      <c r="U388" s="75" t="s">
        <v>213</v>
      </c>
      <c r="V388" s="76" t="s">
        <v>213</v>
      </c>
      <c r="W388" s="77" t="s">
        <v>213</v>
      </c>
      <c r="X388" s="76" t="s">
        <v>213</v>
      </c>
      <c r="Y388" s="74" t="s">
        <v>213</v>
      </c>
      <c r="Z388" s="77" t="s">
        <v>213</v>
      </c>
    </row>
    <row r="389" ht="36" customHeight="1">
      <c r="A389" s="68"/>
      <c r="B389" s="69"/>
      <c r="C389" s="69"/>
      <c r="D389" s="68"/>
      <c r="E389" s="68"/>
      <c r="F389" s="68"/>
      <c r="G389" s="70"/>
      <c r="H389" s="70"/>
      <c r="I389" s="71"/>
      <c r="J389" s="71"/>
      <c r="K389" s="72"/>
      <c r="L389" s="68"/>
      <c r="M389" s="68"/>
      <c r="N389" s="73" t="s">
        <v>213</v>
      </c>
      <c r="O389" s="73" t="s">
        <v>213</v>
      </c>
      <c r="P389" s="73" t="s">
        <v>213</v>
      </c>
      <c r="Q389" s="73" t="s">
        <v>213</v>
      </c>
      <c r="R389" s="73" t="s">
        <v>213</v>
      </c>
      <c r="S389" s="73" t="s">
        <v>213</v>
      </c>
      <c r="T389" s="74" t="s">
        <v>213</v>
      </c>
      <c r="U389" s="75" t="s">
        <v>213</v>
      </c>
      <c r="V389" s="76" t="s">
        <v>213</v>
      </c>
      <c r="W389" s="77" t="s">
        <v>213</v>
      </c>
      <c r="X389" s="76" t="s">
        <v>213</v>
      </c>
      <c r="Y389" s="74" t="s">
        <v>213</v>
      </c>
      <c r="Z389" s="77" t="s">
        <v>213</v>
      </c>
    </row>
    <row r="390" ht="36" customHeight="1">
      <c r="A390" s="68"/>
      <c r="B390" s="69"/>
      <c r="C390" s="69"/>
      <c r="D390" s="68"/>
      <c r="E390" s="68"/>
      <c r="F390" s="68"/>
      <c r="G390" s="70"/>
      <c r="H390" s="70"/>
      <c r="I390" s="71"/>
      <c r="J390" s="71"/>
      <c r="K390" s="72"/>
      <c r="L390" s="68"/>
      <c r="M390" s="68"/>
      <c r="N390" s="73" t="s">
        <v>213</v>
      </c>
      <c r="O390" s="73" t="s">
        <v>213</v>
      </c>
      <c r="P390" s="73" t="s">
        <v>213</v>
      </c>
      <c r="Q390" s="73" t="s">
        <v>213</v>
      </c>
      <c r="R390" s="73" t="s">
        <v>213</v>
      </c>
      <c r="S390" s="73" t="s">
        <v>213</v>
      </c>
      <c r="T390" s="74" t="s">
        <v>213</v>
      </c>
      <c r="U390" s="75" t="s">
        <v>213</v>
      </c>
      <c r="V390" s="76" t="s">
        <v>213</v>
      </c>
      <c r="W390" s="77" t="s">
        <v>213</v>
      </c>
      <c r="X390" s="76" t="s">
        <v>213</v>
      </c>
      <c r="Y390" s="74" t="s">
        <v>213</v>
      </c>
      <c r="Z390" s="77" t="s">
        <v>213</v>
      </c>
    </row>
    <row r="391" ht="36" customHeight="1">
      <c r="A391" s="68"/>
      <c r="B391" s="69"/>
      <c r="C391" s="69"/>
      <c r="D391" s="68"/>
      <c r="E391" s="68"/>
      <c r="F391" s="68"/>
      <c r="G391" s="70"/>
      <c r="H391" s="70"/>
      <c r="I391" s="71"/>
      <c r="J391" s="71"/>
      <c r="K391" s="72"/>
      <c r="L391" s="68"/>
      <c r="M391" s="68"/>
      <c r="N391" s="73" t="s">
        <v>213</v>
      </c>
      <c r="O391" s="73" t="s">
        <v>213</v>
      </c>
      <c r="P391" s="73" t="s">
        <v>213</v>
      </c>
      <c r="Q391" s="73" t="s">
        <v>213</v>
      </c>
      <c r="R391" s="73" t="s">
        <v>213</v>
      </c>
      <c r="S391" s="73" t="s">
        <v>213</v>
      </c>
      <c r="T391" s="74" t="s">
        <v>213</v>
      </c>
      <c r="U391" s="75" t="s">
        <v>213</v>
      </c>
      <c r="V391" s="76" t="s">
        <v>213</v>
      </c>
      <c r="W391" s="77" t="s">
        <v>213</v>
      </c>
      <c r="X391" s="76" t="s">
        <v>213</v>
      </c>
      <c r="Y391" s="74" t="s">
        <v>213</v>
      </c>
      <c r="Z391" s="77" t="s">
        <v>213</v>
      </c>
    </row>
    <row r="392" ht="36" customHeight="1">
      <c r="A392" s="68"/>
      <c r="B392" s="69"/>
      <c r="C392" s="69"/>
      <c r="D392" s="68"/>
      <c r="E392" s="68"/>
      <c r="F392" s="68"/>
      <c r="G392" s="70"/>
      <c r="H392" s="70"/>
      <c r="I392" s="71"/>
      <c r="J392" s="71"/>
      <c r="K392" s="72"/>
      <c r="L392" s="68"/>
      <c r="M392" s="68"/>
      <c r="N392" s="73" t="s">
        <v>213</v>
      </c>
      <c r="O392" s="73" t="s">
        <v>213</v>
      </c>
      <c r="P392" s="73" t="s">
        <v>213</v>
      </c>
      <c r="Q392" s="73" t="s">
        <v>213</v>
      </c>
      <c r="R392" s="73" t="s">
        <v>213</v>
      </c>
      <c r="S392" s="73" t="s">
        <v>213</v>
      </c>
      <c r="T392" s="74" t="s">
        <v>213</v>
      </c>
      <c r="U392" s="75" t="s">
        <v>213</v>
      </c>
      <c r="V392" s="76" t="s">
        <v>213</v>
      </c>
      <c r="W392" s="77" t="s">
        <v>213</v>
      </c>
      <c r="X392" s="76" t="s">
        <v>213</v>
      </c>
      <c r="Y392" s="74" t="s">
        <v>213</v>
      </c>
      <c r="Z392" s="77" t="s">
        <v>213</v>
      </c>
    </row>
    <row r="393" ht="36" customHeight="1">
      <c r="A393" s="68"/>
      <c r="B393" s="69"/>
      <c r="C393" s="69"/>
      <c r="D393" s="68"/>
      <c r="E393" s="68"/>
      <c r="F393" s="68"/>
      <c r="G393" s="70"/>
      <c r="H393" s="70"/>
      <c r="I393" s="71"/>
      <c r="J393" s="71"/>
      <c r="K393" s="72"/>
      <c r="L393" s="68"/>
      <c r="M393" s="68"/>
      <c r="N393" s="73" t="s">
        <v>213</v>
      </c>
      <c r="O393" s="73" t="s">
        <v>213</v>
      </c>
      <c r="P393" s="73" t="s">
        <v>213</v>
      </c>
      <c r="Q393" s="73" t="s">
        <v>213</v>
      </c>
      <c r="R393" s="73" t="s">
        <v>213</v>
      </c>
      <c r="S393" s="73" t="s">
        <v>213</v>
      </c>
      <c r="T393" s="74" t="s">
        <v>213</v>
      </c>
      <c r="U393" s="75" t="s">
        <v>213</v>
      </c>
      <c r="V393" s="76" t="s">
        <v>213</v>
      </c>
      <c r="W393" s="77" t="s">
        <v>213</v>
      </c>
      <c r="X393" s="76" t="s">
        <v>213</v>
      </c>
      <c r="Y393" s="74" t="s">
        <v>213</v>
      </c>
      <c r="Z393" s="77" t="s">
        <v>213</v>
      </c>
    </row>
    <row r="394" ht="36" customHeight="1">
      <c r="A394" s="68"/>
      <c r="B394" s="69"/>
      <c r="C394" s="69"/>
      <c r="D394" s="68"/>
      <c r="E394" s="68"/>
      <c r="F394" s="68"/>
      <c r="G394" s="70"/>
      <c r="H394" s="70"/>
      <c r="I394" s="71"/>
      <c r="J394" s="71"/>
      <c r="K394" s="72"/>
      <c r="L394" s="68"/>
      <c r="M394" s="68"/>
      <c r="N394" s="73" t="s">
        <v>213</v>
      </c>
      <c r="O394" s="73" t="s">
        <v>213</v>
      </c>
      <c r="P394" s="73" t="s">
        <v>213</v>
      </c>
      <c r="Q394" s="73" t="s">
        <v>213</v>
      </c>
      <c r="R394" s="73" t="s">
        <v>213</v>
      </c>
      <c r="S394" s="73" t="s">
        <v>213</v>
      </c>
      <c r="T394" s="74" t="s">
        <v>213</v>
      </c>
      <c r="U394" s="75" t="s">
        <v>213</v>
      </c>
      <c r="V394" s="76" t="s">
        <v>213</v>
      </c>
      <c r="W394" s="77" t="s">
        <v>213</v>
      </c>
      <c r="X394" s="76" t="s">
        <v>213</v>
      </c>
      <c r="Y394" s="74" t="s">
        <v>213</v>
      </c>
      <c r="Z394" s="77" t="s">
        <v>213</v>
      </c>
    </row>
    <row r="395" ht="36" customHeight="1">
      <c r="A395" s="68"/>
      <c r="B395" s="69"/>
      <c r="C395" s="69"/>
      <c r="D395" s="68"/>
      <c r="E395" s="68"/>
      <c r="F395" s="68"/>
      <c r="G395" s="70"/>
      <c r="H395" s="70"/>
      <c r="I395" s="71"/>
      <c r="J395" s="71"/>
      <c r="K395" s="72"/>
      <c r="L395" s="68"/>
      <c r="M395" s="68"/>
      <c r="N395" s="73" t="s">
        <v>213</v>
      </c>
      <c r="O395" s="73" t="s">
        <v>213</v>
      </c>
      <c r="P395" s="73" t="s">
        <v>213</v>
      </c>
      <c r="Q395" s="73" t="s">
        <v>213</v>
      </c>
      <c r="R395" s="73" t="s">
        <v>213</v>
      </c>
      <c r="S395" s="73" t="s">
        <v>213</v>
      </c>
      <c r="T395" s="74" t="s">
        <v>213</v>
      </c>
      <c r="U395" s="75" t="s">
        <v>213</v>
      </c>
      <c r="V395" s="76" t="s">
        <v>213</v>
      </c>
      <c r="W395" s="77" t="s">
        <v>213</v>
      </c>
      <c r="X395" s="76" t="s">
        <v>213</v>
      </c>
      <c r="Y395" s="74" t="s">
        <v>213</v>
      </c>
      <c r="Z395" s="77" t="s">
        <v>213</v>
      </c>
    </row>
    <row r="396" ht="36" customHeight="1">
      <c r="A396" s="68"/>
      <c r="B396" s="69"/>
      <c r="C396" s="69"/>
      <c r="D396" s="68"/>
      <c r="E396" s="68"/>
      <c r="F396" s="68"/>
      <c r="G396" s="70"/>
      <c r="H396" s="70"/>
      <c r="I396" s="71"/>
      <c r="J396" s="71"/>
      <c r="K396" s="72"/>
      <c r="L396" s="68"/>
      <c r="M396" s="68"/>
      <c r="N396" s="73" t="s">
        <v>213</v>
      </c>
      <c r="O396" s="73" t="s">
        <v>213</v>
      </c>
      <c r="P396" s="73" t="s">
        <v>213</v>
      </c>
      <c r="Q396" s="73" t="s">
        <v>213</v>
      </c>
      <c r="R396" s="73" t="s">
        <v>213</v>
      </c>
      <c r="S396" s="73" t="s">
        <v>213</v>
      </c>
      <c r="T396" s="74" t="s">
        <v>213</v>
      </c>
      <c r="U396" s="75" t="s">
        <v>213</v>
      </c>
      <c r="V396" s="76" t="s">
        <v>213</v>
      </c>
      <c r="W396" s="77" t="s">
        <v>213</v>
      </c>
      <c r="X396" s="76" t="s">
        <v>213</v>
      </c>
      <c r="Y396" s="74" t="s">
        <v>213</v>
      </c>
      <c r="Z396" s="77" t="s">
        <v>213</v>
      </c>
    </row>
    <row r="397" ht="36" customHeight="1">
      <c r="A397" s="68"/>
      <c r="B397" s="69"/>
      <c r="C397" s="69"/>
      <c r="D397" s="68"/>
      <c r="E397" s="68"/>
      <c r="F397" s="68"/>
      <c r="G397" s="70"/>
      <c r="H397" s="70"/>
      <c r="I397" s="71"/>
      <c r="J397" s="71"/>
      <c r="K397" s="72"/>
      <c r="L397" s="68"/>
      <c r="M397" s="68"/>
      <c r="N397" s="73" t="s">
        <v>213</v>
      </c>
      <c r="O397" s="73" t="s">
        <v>213</v>
      </c>
      <c r="P397" s="73" t="s">
        <v>213</v>
      </c>
      <c r="Q397" s="73" t="s">
        <v>213</v>
      </c>
      <c r="R397" s="73" t="s">
        <v>213</v>
      </c>
      <c r="S397" s="73" t="s">
        <v>213</v>
      </c>
      <c r="T397" s="74" t="s">
        <v>213</v>
      </c>
      <c r="U397" s="75" t="s">
        <v>213</v>
      </c>
      <c r="V397" s="76" t="s">
        <v>213</v>
      </c>
      <c r="W397" s="77" t="s">
        <v>213</v>
      </c>
      <c r="X397" s="76" t="s">
        <v>213</v>
      </c>
      <c r="Y397" s="74" t="s">
        <v>213</v>
      </c>
      <c r="Z397" s="77" t="s">
        <v>213</v>
      </c>
    </row>
    <row r="398" ht="36" customHeight="1">
      <c r="A398" s="68"/>
      <c r="B398" s="69"/>
      <c r="C398" s="69"/>
      <c r="D398" s="68"/>
      <c r="E398" s="68"/>
      <c r="F398" s="68"/>
      <c r="G398" s="70"/>
      <c r="H398" s="70"/>
      <c r="I398" s="71"/>
      <c r="J398" s="71"/>
      <c r="K398" s="72"/>
      <c r="L398" s="68"/>
      <c r="M398" s="68"/>
      <c r="N398" s="73" t="s">
        <v>213</v>
      </c>
      <c r="O398" s="73" t="s">
        <v>213</v>
      </c>
      <c r="P398" s="73" t="s">
        <v>213</v>
      </c>
      <c r="Q398" s="73" t="s">
        <v>213</v>
      </c>
      <c r="R398" s="73" t="s">
        <v>213</v>
      </c>
      <c r="S398" s="73" t="s">
        <v>213</v>
      </c>
      <c r="T398" s="74" t="s">
        <v>213</v>
      </c>
      <c r="U398" s="75" t="s">
        <v>213</v>
      </c>
      <c r="V398" s="76" t="s">
        <v>213</v>
      </c>
      <c r="W398" s="77" t="s">
        <v>213</v>
      </c>
      <c r="X398" s="76" t="s">
        <v>213</v>
      </c>
      <c r="Y398" s="74" t="s">
        <v>213</v>
      </c>
      <c r="Z398" s="77" t="s">
        <v>213</v>
      </c>
    </row>
    <row r="399" ht="36" customHeight="1">
      <c r="A399" s="68"/>
      <c r="B399" s="69"/>
      <c r="C399" s="69"/>
      <c r="D399" s="68"/>
      <c r="E399" s="68"/>
      <c r="F399" s="68"/>
      <c r="G399" s="70"/>
      <c r="H399" s="70"/>
      <c r="I399" s="71"/>
      <c r="J399" s="71"/>
      <c r="K399" s="72"/>
      <c r="L399" s="68"/>
      <c r="M399" s="68"/>
      <c r="N399" s="73" t="s">
        <v>213</v>
      </c>
      <c r="O399" s="73" t="s">
        <v>213</v>
      </c>
      <c r="P399" s="73" t="s">
        <v>213</v>
      </c>
      <c r="Q399" s="73" t="s">
        <v>213</v>
      </c>
      <c r="R399" s="73" t="s">
        <v>213</v>
      </c>
      <c r="S399" s="73" t="s">
        <v>213</v>
      </c>
      <c r="T399" s="74" t="s">
        <v>213</v>
      </c>
      <c r="U399" s="75" t="s">
        <v>213</v>
      </c>
      <c r="V399" s="76" t="s">
        <v>213</v>
      </c>
      <c r="W399" s="77" t="s">
        <v>213</v>
      </c>
      <c r="X399" s="76" t="s">
        <v>213</v>
      </c>
      <c r="Y399" s="74" t="s">
        <v>213</v>
      </c>
      <c r="Z399" s="77" t="s">
        <v>213</v>
      </c>
    </row>
    <row r="400" ht="36" customHeight="1">
      <c r="A400" s="68"/>
      <c r="B400" s="69"/>
      <c r="C400" s="69"/>
      <c r="D400" s="68"/>
      <c r="E400" s="68"/>
      <c r="F400" s="68"/>
      <c r="G400" s="70"/>
      <c r="H400" s="70"/>
      <c r="I400" s="71"/>
      <c r="J400" s="71"/>
      <c r="K400" s="72"/>
      <c r="L400" s="68"/>
      <c r="M400" s="68"/>
      <c r="N400" s="73" t="s">
        <v>213</v>
      </c>
      <c r="O400" s="73" t="s">
        <v>213</v>
      </c>
      <c r="P400" s="73" t="s">
        <v>213</v>
      </c>
      <c r="Q400" s="73" t="s">
        <v>213</v>
      </c>
      <c r="R400" s="73" t="s">
        <v>213</v>
      </c>
      <c r="S400" s="73" t="s">
        <v>213</v>
      </c>
      <c r="T400" s="74" t="s">
        <v>213</v>
      </c>
      <c r="U400" s="75" t="s">
        <v>213</v>
      </c>
      <c r="V400" s="76" t="s">
        <v>213</v>
      </c>
      <c r="W400" s="77" t="s">
        <v>213</v>
      </c>
      <c r="X400" s="76" t="s">
        <v>213</v>
      </c>
      <c r="Y400" s="74" t="s">
        <v>213</v>
      </c>
      <c r="Z400" s="77" t="s">
        <v>213</v>
      </c>
    </row>
    <row r="401" ht="36" customHeight="1">
      <c r="A401" s="68"/>
      <c r="B401" s="69"/>
      <c r="C401" s="69"/>
      <c r="D401" s="68"/>
      <c r="E401" s="68"/>
      <c r="F401" s="68"/>
      <c r="G401" s="70"/>
      <c r="H401" s="70"/>
      <c r="I401" s="71"/>
      <c r="J401" s="71"/>
      <c r="K401" s="72"/>
      <c r="L401" s="68"/>
      <c r="M401" s="68"/>
      <c r="N401" s="73" t="s">
        <v>213</v>
      </c>
      <c r="O401" s="73" t="s">
        <v>213</v>
      </c>
      <c r="P401" s="73" t="s">
        <v>213</v>
      </c>
      <c r="Q401" s="73" t="s">
        <v>213</v>
      </c>
      <c r="R401" s="73" t="s">
        <v>213</v>
      </c>
      <c r="S401" s="73" t="s">
        <v>213</v>
      </c>
      <c r="T401" s="74" t="s">
        <v>213</v>
      </c>
      <c r="U401" s="75" t="s">
        <v>213</v>
      </c>
      <c r="V401" s="76" t="s">
        <v>213</v>
      </c>
      <c r="W401" s="77" t="s">
        <v>213</v>
      </c>
      <c r="X401" s="76" t="s">
        <v>213</v>
      </c>
      <c r="Y401" s="74" t="s">
        <v>213</v>
      </c>
      <c r="Z401" s="77" t="s">
        <v>213</v>
      </c>
    </row>
    <row r="402" ht="36" customHeight="1">
      <c r="A402" s="68"/>
      <c r="B402" s="69"/>
      <c r="C402" s="69"/>
      <c r="D402" s="68"/>
      <c r="E402" s="68"/>
      <c r="F402" s="68"/>
      <c r="G402" s="70"/>
      <c r="H402" s="70"/>
      <c r="I402" s="71"/>
      <c r="J402" s="71"/>
      <c r="K402" s="72"/>
      <c r="L402" s="68"/>
      <c r="M402" s="68"/>
      <c r="N402" s="73" t="s">
        <v>213</v>
      </c>
      <c r="O402" s="73" t="s">
        <v>213</v>
      </c>
      <c r="P402" s="73" t="s">
        <v>213</v>
      </c>
      <c r="Q402" s="73" t="s">
        <v>213</v>
      </c>
      <c r="R402" s="73" t="s">
        <v>213</v>
      </c>
      <c r="S402" s="73" t="s">
        <v>213</v>
      </c>
      <c r="T402" s="74" t="s">
        <v>213</v>
      </c>
      <c r="U402" s="75" t="s">
        <v>213</v>
      </c>
      <c r="V402" s="76" t="s">
        <v>213</v>
      </c>
      <c r="W402" s="77" t="s">
        <v>213</v>
      </c>
      <c r="X402" s="76" t="s">
        <v>213</v>
      </c>
      <c r="Y402" s="74" t="s">
        <v>213</v>
      </c>
      <c r="Z402" s="77" t="s">
        <v>213</v>
      </c>
    </row>
    <row r="403" ht="36" customHeight="1">
      <c r="A403" s="68"/>
      <c r="B403" s="69"/>
      <c r="C403" s="69"/>
      <c r="D403" s="68"/>
      <c r="E403" s="68"/>
      <c r="F403" s="68"/>
      <c r="G403" s="70"/>
      <c r="H403" s="70"/>
      <c r="I403" s="71"/>
      <c r="J403" s="71"/>
      <c r="K403" s="72"/>
      <c r="L403" s="68"/>
      <c r="M403" s="68"/>
      <c r="N403" s="73" t="s">
        <v>213</v>
      </c>
      <c r="O403" s="73" t="s">
        <v>213</v>
      </c>
      <c r="P403" s="73" t="s">
        <v>213</v>
      </c>
      <c r="Q403" s="73" t="s">
        <v>213</v>
      </c>
      <c r="R403" s="73" t="s">
        <v>213</v>
      </c>
      <c r="S403" s="73" t="s">
        <v>213</v>
      </c>
      <c r="T403" s="74" t="s">
        <v>213</v>
      </c>
      <c r="U403" s="75" t="s">
        <v>213</v>
      </c>
      <c r="V403" s="76" t="s">
        <v>213</v>
      </c>
      <c r="W403" s="77" t="s">
        <v>213</v>
      </c>
      <c r="X403" s="76" t="s">
        <v>213</v>
      </c>
      <c r="Y403" s="74" t="s">
        <v>213</v>
      </c>
      <c r="Z403" s="77" t="s">
        <v>213</v>
      </c>
    </row>
    <row r="404" ht="36" customHeight="1">
      <c r="A404" s="68"/>
      <c r="B404" s="69"/>
      <c r="C404" s="69"/>
      <c r="D404" s="68"/>
      <c r="E404" s="68"/>
      <c r="F404" s="68"/>
      <c r="G404" s="70"/>
      <c r="H404" s="70"/>
      <c r="I404" s="71"/>
      <c r="J404" s="71"/>
      <c r="K404" s="72"/>
      <c r="L404" s="68"/>
      <c r="M404" s="68"/>
      <c r="N404" s="73" t="s">
        <v>213</v>
      </c>
      <c r="O404" s="73" t="s">
        <v>213</v>
      </c>
      <c r="P404" s="73" t="s">
        <v>213</v>
      </c>
      <c r="Q404" s="73" t="s">
        <v>213</v>
      </c>
      <c r="R404" s="73" t="s">
        <v>213</v>
      </c>
      <c r="S404" s="73" t="s">
        <v>213</v>
      </c>
      <c r="T404" s="74" t="s">
        <v>213</v>
      </c>
      <c r="U404" s="75" t="s">
        <v>213</v>
      </c>
      <c r="V404" s="76" t="s">
        <v>213</v>
      </c>
      <c r="W404" s="77" t="s">
        <v>213</v>
      </c>
      <c r="X404" s="76" t="s">
        <v>213</v>
      </c>
      <c r="Y404" s="74" t="s">
        <v>213</v>
      </c>
      <c r="Z404" s="77" t="s">
        <v>213</v>
      </c>
    </row>
    <row r="405" ht="36" customHeight="1">
      <c r="A405" s="68"/>
      <c r="B405" s="69"/>
      <c r="C405" s="69"/>
      <c r="D405" s="68"/>
      <c r="E405" s="68"/>
      <c r="F405" s="68"/>
      <c r="G405" s="70"/>
      <c r="H405" s="70"/>
      <c r="I405" s="71"/>
      <c r="J405" s="71"/>
      <c r="K405" s="72"/>
      <c r="L405" s="68"/>
      <c r="M405" s="68"/>
      <c r="N405" s="73" t="s">
        <v>213</v>
      </c>
      <c r="O405" s="73" t="s">
        <v>213</v>
      </c>
      <c r="P405" s="73" t="s">
        <v>213</v>
      </c>
      <c r="Q405" s="73" t="s">
        <v>213</v>
      </c>
      <c r="R405" s="73" t="s">
        <v>213</v>
      </c>
      <c r="S405" s="73" t="s">
        <v>213</v>
      </c>
      <c r="T405" s="74" t="s">
        <v>213</v>
      </c>
      <c r="U405" s="75" t="s">
        <v>213</v>
      </c>
      <c r="V405" s="76" t="s">
        <v>213</v>
      </c>
      <c r="W405" s="77" t="s">
        <v>213</v>
      </c>
      <c r="X405" s="76" t="s">
        <v>213</v>
      </c>
      <c r="Y405" s="74" t="s">
        <v>213</v>
      </c>
      <c r="Z405" s="77" t="s">
        <v>213</v>
      </c>
    </row>
    <row r="406" ht="36" customHeight="1">
      <c r="A406" s="68"/>
      <c r="B406" s="69"/>
      <c r="C406" s="69"/>
      <c r="D406" s="68"/>
      <c r="E406" s="68"/>
      <c r="F406" s="68"/>
      <c r="G406" s="70"/>
      <c r="H406" s="70"/>
      <c r="I406" s="71"/>
      <c r="J406" s="71"/>
      <c r="K406" s="72"/>
      <c r="L406" s="68"/>
      <c r="M406" s="68"/>
      <c r="N406" s="73" t="s">
        <v>213</v>
      </c>
      <c r="O406" s="73" t="s">
        <v>213</v>
      </c>
      <c r="P406" s="73" t="s">
        <v>213</v>
      </c>
      <c r="Q406" s="73" t="s">
        <v>213</v>
      </c>
      <c r="R406" s="73" t="s">
        <v>213</v>
      </c>
      <c r="S406" s="73" t="s">
        <v>213</v>
      </c>
      <c r="T406" s="74" t="s">
        <v>213</v>
      </c>
      <c r="U406" s="75" t="s">
        <v>213</v>
      </c>
      <c r="V406" s="76" t="s">
        <v>213</v>
      </c>
      <c r="W406" s="77" t="s">
        <v>213</v>
      </c>
      <c r="X406" s="76" t="s">
        <v>213</v>
      </c>
      <c r="Y406" s="74" t="s">
        <v>213</v>
      </c>
      <c r="Z406" s="77" t="s">
        <v>213</v>
      </c>
    </row>
    <row r="407" ht="36" customHeight="1">
      <c r="A407" s="68"/>
      <c r="B407" s="69"/>
      <c r="C407" s="69"/>
      <c r="D407" s="68"/>
      <c r="E407" s="68"/>
      <c r="F407" s="68"/>
      <c r="G407" s="70"/>
      <c r="H407" s="70"/>
      <c r="I407" s="71"/>
      <c r="J407" s="71"/>
      <c r="K407" s="72"/>
      <c r="L407" s="68"/>
      <c r="M407" s="68"/>
      <c r="N407" s="73" t="s">
        <v>213</v>
      </c>
      <c r="O407" s="73" t="s">
        <v>213</v>
      </c>
      <c r="P407" s="73" t="s">
        <v>213</v>
      </c>
      <c r="Q407" s="73" t="s">
        <v>213</v>
      </c>
      <c r="R407" s="73" t="s">
        <v>213</v>
      </c>
      <c r="S407" s="73" t="s">
        <v>213</v>
      </c>
      <c r="T407" s="74" t="s">
        <v>213</v>
      </c>
      <c r="U407" s="75" t="s">
        <v>213</v>
      </c>
      <c r="V407" s="76" t="s">
        <v>213</v>
      </c>
      <c r="W407" s="77" t="s">
        <v>213</v>
      </c>
      <c r="X407" s="76" t="s">
        <v>213</v>
      </c>
      <c r="Y407" s="74" t="s">
        <v>213</v>
      </c>
      <c r="Z407" s="77" t="s">
        <v>213</v>
      </c>
    </row>
    <row r="408" ht="36" customHeight="1">
      <c r="A408" s="68"/>
      <c r="B408" s="69"/>
      <c r="C408" s="69"/>
      <c r="D408" s="68"/>
      <c r="E408" s="68"/>
      <c r="F408" s="68"/>
      <c r="G408" s="70"/>
      <c r="H408" s="70"/>
      <c r="I408" s="71"/>
      <c r="J408" s="71"/>
      <c r="K408" s="72"/>
      <c r="L408" s="68"/>
      <c r="M408" s="68"/>
      <c r="N408" s="73" t="s">
        <v>213</v>
      </c>
      <c r="O408" s="73" t="s">
        <v>213</v>
      </c>
      <c r="P408" s="73" t="s">
        <v>213</v>
      </c>
      <c r="Q408" s="73" t="s">
        <v>213</v>
      </c>
      <c r="R408" s="73" t="s">
        <v>213</v>
      </c>
      <c r="S408" s="73" t="s">
        <v>213</v>
      </c>
      <c r="T408" s="74" t="s">
        <v>213</v>
      </c>
      <c r="U408" s="75" t="s">
        <v>213</v>
      </c>
      <c r="V408" s="76" t="s">
        <v>213</v>
      </c>
      <c r="W408" s="77" t="s">
        <v>213</v>
      </c>
      <c r="X408" s="76" t="s">
        <v>213</v>
      </c>
      <c r="Y408" s="74" t="s">
        <v>213</v>
      </c>
      <c r="Z408" s="77" t="s">
        <v>213</v>
      </c>
    </row>
    <row r="409" ht="36" customHeight="1">
      <c r="A409" s="68"/>
      <c r="B409" s="69"/>
      <c r="C409" s="69"/>
      <c r="D409" s="68"/>
      <c r="E409" s="68"/>
      <c r="F409" s="68"/>
      <c r="G409" s="70"/>
      <c r="H409" s="70"/>
      <c r="I409" s="71"/>
      <c r="J409" s="71"/>
      <c r="K409" s="72"/>
      <c r="L409" s="68"/>
      <c r="M409" s="68"/>
      <c r="N409" s="73" t="s">
        <v>213</v>
      </c>
      <c r="O409" s="73" t="s">
        <v>213</v>
      </c>
      <c r="P409" s="73" t="s">
        <v>213</v>
      </c>
      <c r="Q409" s="73" t="s">
        <v>213</v>
      </c>
      <c r="R409" s="73" t="s">
        <v>213</v>
      </c>
      <c r="S409" s="73" t="s">
        <v>213</v>
      </c>
      <c r="T409" s="74" t="s">
        <v>213</v>
      </c>
      <c r="U409" s="75" t="s">
        <v>213</v>
      </c>
      <c r="V409" s="76" t="s">
        <v>213</v>
      </c>
      <c r="W409" s="77" t="s">
        <v>213</v>
      </c>
      <c r="X409" s="76" t="s">
        <v>213</v>
      </c>
      <c r="Y409" s="74" t="s">
        <v>213</v>
      </c>
      <c r="Z409" s="77" t="s">
        <v>213</v>
      </c>
    </row>
    <row r="410" ht="36" customHeight="1">
      <c r="A410" s="68"/>
      <c r="B410" s="69"/>
      <c r="C410" s="69"/>
      <c r="D410" s="68"/>
      <c r="E410" s="68"/>
      <c r="F410" s="68"/>
      <c r="G410" s="70"/>
      <c r="H410" s="70"/>
      <c r="I410" s="71"/>
      <c r="J410" s="71"/>
      <c r="K410" s="72"/>
      <c r="L410" s="68"/>
      <c r="M410" s="68"/>
      <c r="N410" s="73" t="s">
        <v>213</v>
      </c>
      <c r="O410" s="73" t="s">
        <v>213</v>
      </c>
      <c r="P410" s="73" t="s">
        <v>213</v>
      </c>
      <c r="Q410" s="73" t="s">
        <v>213</v>
      </c>
      <c r="R410" s="73" t="s">
        <v>213</v>
      </c>
      <c r="S410" s="73" t="s">
        <v>213</v>
      </c>
      <c r="T410" s="74" t="s">
        <v>213</v>
      </c>
      <c r="U410" s="75" t="s">
        <v>213</v>
      </c>
      <c r="V410" s="76" t="s">
        <v>213</v>
      </c>
      <c r="W410" s="77" t="s">
        <v>213</v>
      </c>
      <c r="X410" s="76" t="s">
        <v>213</v>
      </c>
      <c r="Y410" s="74" t="s">
        <v>213</v>
      </c>
      <c r="Z410" s="77" t="s">
        <v>213</v>
      </c>
    </row>
    <row r="411" ht="36" customHeight="1">
      <c r="A411" s="68"/>
      <c r="B411" s="69"/>
      <c r="C411" s="69"/>
      <c r="D411" s="68"/>
      <c r="E411" s="68"/>
      <c r="F411" s="68"/>
      <c r="G411" s="70"/>
      <c r="H411" s="70"/>
      <c r="I411" s="71"/>
      <c r="J411" s="71"/>
      <c r="K411" s="72"/>
      <c r="L411" s="68"/>
      <c r="M411" s="68"/>
      <c r="N411" s="73" t="s">
        <v>213</v>
      </c>
      <c r="O411" s="73" t="s">
        <v>213</v>
      </c>
      <c r="P411" s="73" t="s">
        <v>213</v>
      </c>
      <c r="Q411" s="73" t="s">
        <v>213</v>
      </c>
      <c r="R411" s="73" t="s">
        <v>213</v>
      </c>
      <c r="S411" s="73" t="s">
        <v>213</v>
      </c>
      <c r="T411" s="74" t="s">
        <v>213</v>
      </c>
      <c r="U411" s="75" t="s">
        <v>213</v>
      </c>
      <c r="V411" s="76" t="s">
        <v>213</v>
      </c>
      <c r="W411" s="77" t="s">
        <v>213</v>
      </c>
      <c r="X411" s="76" t="s">
        <v>213</v>
      </c>
      <c r="Y411" s="74" t="s">
        <v>213</v>
      </c>
      <c r="Z411" s="77" t="s">
        <v>213</v>
      </c>
    </row>
    <row r="412" ht="36" customHeight="1">
      <c r="A412" s="68"/>
      <c r="B412" s="69"/>
      <c r="C412" s="69"/>
      <c r="D412" s="68"/>
      <c r="E412" s="68"/>
      <c r="F412" s="68"/>
      <c r="G412" s="70"/>
      <c r="H412" s="70"/>
      <c r="I412" s="71"/>
      <c r="J412" s="71"/>
      <c r="K412" s="72"/>
      <c r="L412" s="68"/>
      <c r="M412" s="68"/>
      <c r="N412" s="73" t="s">
        <v>213</v>
      </c>
      <c r="O412" s="73" t="s">
        <v>213</v>
      </c>
      <c r="P412" s="73" t="s">
        <v>213</v>
      </c>
      <c r="Q412" s="73" t="s">
        <v>213</v>
      </c>
      <c r="R412" s="73" t="s">
        <v>213</v>
      </c>
      <c r="S412" s="73" t="s">
        <v>213</v>
      </c>
      <c r="T412" s="74" t="s">
        <v>213</v>
      </c>
      <c r="U412" s="75" t="s">
        <v>213</v>
      </c>
      <c r="V412" s="76" t="s">
        <v>213</v>
      </c>
      <c r="W412" s="77" t="s">
        <v>213</v>
      </c>
      <c r="X412" s="76" t="s">
        <v>213</v>
      </c>
      <c r="Y412" s="74" t="s">
        <v>213</v>
      </c>
      <c r="Z412" s="77" t="s">
        <v>213</v>
      </c>
    </row>
    <row r="413" ht="36" customHeight="1">
      <c r="A413" s="68"/>
      <c r="B413" s="69"/>
      <c r="C413" s="69"/>
      <c r="D413" s="68"/>
      <c r="E413" s="68"/>
      <c r="F413" s="68"/>
      <c r="G413" s="70"/>
      <c r="H413" s="70"/>
      <c r="I413" s="71"/>
      <c r="J413" s="71"/>
      <c r="K413" s="72"/>
      <c r="L413" s="68"/>
      <c r="M413" s="68"/>
      <c r="N413" s="73" t="s">
        <v>213</v>
      </c>
      <c r="O413" s="73" t="s">
        <v>213</v>
      </c>
      <c r="P413" s="73" t="s">
        <v>213</v>
      </c>
      <c r="Q413" s="73" t="s">
        <v>213</v>
      </c>
      <c r="R413" s="73" t="s">
        <v>213</v>
      </c>
      <c r="S413" s="73" t="s">
        <v>213</v>
      </c>
      <c r="T413" s="74" t="s">
        <v>213</v>
      </c>
      <c r="U413" s="75" t="s">
        <v>213</v>
      </c>
      <c r="V413" s="76" t="s">
        <v>213</v>
      </c>
      <c r="W413" s="77" t="s">
        <v>213</v>
      </c>
      <c r="X413" s="76" t="s">
        <v>213</v>
      </c>
      <c r="Y413" s="74" t="s">
        <v>213</v>
      </c>
      <c r="Z413" s="77" t="s">
        <v>213</v>
      </c>
    </row>
    <row r="414" ht="36" customHeight="1">
      <c r="A414" s="68"/>
      <c r="B414" s="69"/>
      <c r="C414" s="69"/>
      <c r="D414" s="68"/>
      <c r="E414" s="68"/>
      <c r="F414" s="68"/>
      <c r="G414" s="70"/>
      <c r="H414" s="70"/>
      <c r="I414" s="71"/>
      <c r="J414" s="71"/>
      <c r="K414" s="72"/>
      <c r="L414" s="68"/>
      <c r="M414" s="68"/>
      <c r="N414" s="73" t="s">
        <v>213</v>
      </c>
      <c r="O414" s="73" t="s">
        <v>213</v>
      </c>
      <c r="P414" s="73" t="s">
        <v>213</v>
      </c>
      <c r="Q414" s="73" t="s">
        <v>213</v>
      </c>
      <c r="R414" s="73" t="s">
        <v>213</v>
      </c>
      <c r="S414" s="73" t="s">
        <v>213</v>
      </c>
      <c r="T414" s="74" t="s">
        <v>213</v>
      </c>
      <c r="U414" s="75" t="s">
        <v>213</v>
      </c>
      <c r="V414" s="76" t="s">
        <v>213</v>
      </c>
      <c r="W414" s="77" t="s">
        <v>213</v>
      </c>
      <c r="X414" s="76" t="s">
        <v>213</v>
      </c>
      <c r="Y414" s="74" t="s">
        <v>213</v>
      </c>
      <c r="Z414" s="77" t="s">
        <v>213</v>
      </c>
    </row>
    <row r="415" ht="36" customHeight="1">
      <c r="A415" s="68"/>
      <c r="B415" s="69"/>
      <c r="C415" s="69"/>
      <c r="D415" s="68"/>
      <c r="E415" s="68"/>
      <c r="F415" s="68"/>
      <c r="G415" s="70"/>
      <c r="H415" s="70"/>
      <c r="I415" s="71"/>
      <c r="J415" s="71"/>
      <c r="K415" s="72"/>
      <c r="L415" s="68"/>
      <c r="M415" s="68"/>
      <c r="N415" s="73" t="s">
        <v>213</v>
      </c>
      <c r="O415" s="73" t="s">
        <v>213</v>
      </c>
      <c r="P415" s="73" t="s">
        <v>213</v>
      </c>
      <c r="Q415" s="73" t="s">
        <v>213</v>
      </c>
      <c r="R415" s="73" t="s">
        <v>213</v>
      </c>
      <c r="S415" s="73" t="s">
        <v>213</v>
      </c>
      <c r="T415" s="74" t="s">
        <v>213</v>
      </c>
      <c r="U415" s="75" t="s">
        <v>213</v>
      </c>
      <c r="V415" s="76" t="s">
        <v>213</v>
      </c>
      <c r="W415" s="77" t="s">
        <v>213</v>
      </c>
      <c r="X415" s="76" t="s">
        <v>213</v>
      </c>
      <c r="Y415" s="74" t="s">
        <v>213</v>
      </c>
      <c r="Z415" s="77" t="s">
        <v>213</v>
      </c>
    </row>
    <row r="416" ht="36" customHeight="1">
      <c r="A416" s="68"/>
      <c r="B416" s="69"/>
      <c r="C416" s="69"/>
      <c r="D416" s="68"/>
      <c r="E416" s="68"/>
      <c r="F416" s="68"/>
      <c r="G416" s="70"/>
      <c r="H416" s="70"/>
      <c r="I416" s="71"/>
      <c r="J416" s="71"/>
      <c r="K416" s="72"/>
      <c r="L416" s="68"/>
      <c r="M416" s="68"/>
      <c r="N416" s="73" t="s">
        <v>213</v>
      </c>
      <c r="O416" s="73" t="s">
        <v>213</v>
      </c>
      <c r="P416" s="73" t="s">
        <v>213</v>
      </c>
      <c r="Q416" s="73" t="s">
        <v>213</v>
      </c>
      <c r="R416" s="73" t="s">
        <v>213</v>
      </c>
      <c r="S416" s="73" t="s">
        <v>213</v>
      </c>
      <c r="T416" s="74" t="s">
        <v>213</v>
      </c>
      <c r="U416" s="75" t="s">
        <v>213</v>
      </c>
      <c r="V416" s="76" t="s">
        <v>213</v>
      </c>
      <c r="W416" s="77" t="s">
        <v>213</v>
      </c>
      <c r="X416" s="76" t="s">
        <v>213</v>
      </c>
      <c r="Y416" s="74" t="s">
        <v>213</v>
      </c>
      <c r="Z416" s="77" t="s">
        <v>213</v>
      </c>
    </row>
    <row r="417" ht="36" customHeight="1">
      <c r="A417" s="68"/>
      <c r="B417" s="69"/>
      <c r="C417" s="69"/>
      <c r="D417" s="68"/>
      <c r="E417" s="68"/>
      <c r="F417" s="68"/>
      <c r="G417" s="70"/>
      <c r="H417" s="70"/>
      <c r="I417" s="71"/>
      <c r="J417" s="71"/>
      <c r="K417" s="72"/>
      <c r="L417" s="68"/>
      <c r="M417" s="68"/>
      <c r="N417" s="73" t="s">
        <v>213</v>
      </c>
      <c r="O417" s="73" t="s">
        <v>213</v>
      </c>
      <c r="P417" s="73" t="s">
        <v>213</v>
      </c>
      <c r="Q417" s="73" t="s">
        <v>213</v>
      </c>
      <c r="R417" s="73" t="s">
        <v>213</v>
      </c>
      <c r="S417" s="73" t="s">
        <v>213</v>
      </c>
      <c r="T417" s="74" t="s">
        <v>213</v>
      </c>
      <c r="U417" s="75" t="s">
        <v>213</v>
      </c>
      <c r="V417" s="76" t="s">
        <v>213</v>
      </c>
      <c r="W417" s="77" t="s">
        <v>213</v>
      </c>
      <c r="X417" s="76" t="s">
        <v>213</v>
      </c>
      <c r="Y417" s="74" t="s">
        <v>213</v>
      </c>
      <c r="Z417" s="77" t="s">
        <v>213</v>
      </c>
    </row>
    <row r="418" ht="36" customHeight="1">
      <c r="A418" s="68"/>
      <c r="B418" s="69"/>
      <c r="C418" s="69"/>
      <c r="D418" s="68"/>
      <c r="E418" s="68"/>
      <c r="F418" s="68"/>
      <c r="G418" s="70"/>
      <c r="H418" s="70"/>
      <c r="I418" s="71"/>
      <c r="J418" s="71"/>
      <c r="K418" s="72"/>
      <c r="L418" s="68"/>
      <c r="M418" s="68"/>
      <c r="N418" s="73" t="s">
        <v>213</v>
      </c>
      <c r="O418" s="73" t="s">
        <v>213</v>
      </c>
      <c r="P418" s="73" t="s">
        <v>213</v>
      </c>
      <c r="Q418" s="73" t="s">
        <v>213</v>
      </c>
      <c r="R418" s="73" t="s">
        <v>213</v>
      </c>
      <c r="S418" s="73" t="s">
        <v>213</v>
      </c>
      <c r="T418" s="74" t="s">
        <v>213</v>
      </c>
      <c r="U418" s="75" t="s">
        <v>213</v>
      </c>
      <c r="V418" s="76" t="s">
        <v>213</v>
      </c>
      <c r="W418" s="77" t="s">
        <v>213</v>
      </c>
      <c r="X418" s="76" t="s">
        <v>213</v>
      </c>
      <c r="Y418" s="74" t="s">
        <v>213</v>
      </c>
      <c r="Z418" s="77" t="s">
        <v>213</v>
      </c>
    </row>
    <row r="419" ht="36" customHeight="1">
      <c r="A419" s="68"/>
      <c r="B419" s="69"/>
      <c r="C419" s="69"/>
      <c r="D419" s="68"/>
      <c r="E419" s="68"/>
      <c r="F419" s="68"/>
      <c r="G419" s="70"/>
      <c r="H419" s="70"/>
      <c r="I419" s="71"/>
      <c r="J419" s="71"/>
      <c r="K419" s="72"/>
      <c r="L419" s="68"/>
      <c r="M419" s="68"/>
      <c r="N419" s="73" t="s">
        <v>213</v>
      </c>
      <c r="O419" s="73" t="s">
        <v>213</v>
      </c>
      <c r="P419" s="73" t="s">
        <v>213</v>
      </c>
      <c r="Q419" s="73" t="s">
        <v>213</v>
      </c>
      <c r="R419" s="73" t="s">
        <v>213</v>
      </c>
      <c r="S419" s="73" t="s">
        <v>213</v>
      </c>
      <c r="T419" s="74" t="s">
        <v>213</v>
      </c>
      <c r="U419" s="75" t="s">
        <v>213</v>
      </c>
      <c r="V419" s="76" t="s">
        <v>213</v>
      </c>
      <c r="W419" s="77" t="s">
        <v>213</v>
      </c>
      <c r="X419" s="76" t="s">
        <v>213</v>
      </c>
      <c r="Y419" s="74" t="s">
        <v>213</v>
      </c>
      <c r="Z419" s="77" t="s">
        <v>213</v>
      </c>
    </row>
    <row r="420" ht="36" customHeight="1">
      <c r="A420" s="68"/>
      <c r="B420" s="69"/>
      <c r="C420" s="69"/>
      <c r="D420" s="68"/>
      <c r="E420" s="68"/>
      <c r="F420" s="68"/>
      <c r="G420" s="70"/>
      <c r="H420" s="70"/>
      <c r="I420" s="71"/>
      <c r="J420" s="71"/>
      <c r="K420" s="72"/>
      <c r="L420" s="68"/>
      <c r="M420" s="68"/>
      <c r="N420" s="73" t="s">
        <v>213</v>
      </c>
      <c r="O420" s="73" t="s">
        <v>213</v>
      </c>
      <c r="P420" s="73" t="s">
        <v>213</v>
      </c>
      <c r="Q420" s="73" t="s">
        <v>213</v>
      </c>
      <c r="R420" s="73" t="s">
        <v>213</v>
      </c>
      <c r="S420" s="73" t="s">
        <v>213</v>
      </c>
      <c r="T420" s="74" t="s">
        <v>213</v>
      </c>
      <c r="U420" s="75" t="s">
        <v>213</v>
      </c>
      <c r="V420" s="76" t="s">
        <v>213</v>
      </c>
      <c r="W420" s="77" t="s">
        <v>213</v>
      </c>
      <c r="X420" s="76" t="s">
        <v>213</v>
      </c>
      <c r="Y420" s="74" t="s">
        <v>213</v>
      </c>
      <c r="Z420" s="77" t="s">
        <v>213</v>
      </c>
    </row>
    <row r="421" ht="36" customHeight="1">
      <c r="A421" s="68"/>
      <c r="B421" s="69"/>
      <c r="C421" s="69"/>
      <c r="D421" s="68"/>
      <c r="E421" s="68"/>
      <c r="F421" s="68"/>
      <c r="G421" s="70"/>
      <c r="H421" s="70"/>
      <c r="I421" s="71"/>
      <c r="J421" s="71"/>
      <c r="K421" s="72"/>
      <c r="L421" s="68"/>
      <c r="M421" s="68"/>
      <c r="N421" s="73" t="s">
        <v>213</v>
      </c>
      <c r="O421" s="73" t="s">
        <v>213</v>
      </c>
      <c r="P421" s="73" t="s">
        <v>213</v>
      </c>
      <c r="Q421" s="73" t="s">
        <v>213</v>
      </c>
      <c r="R421" s="73" t="s">
        <v>213</v>
      </c>
      <c r="S421" s="73" t="s">
        <v>213</v>
      </c>
      <c r="T421" s="74" t="s">
        <v>213</v>
      </c>
      <c r="U421" s="75" t="s">
        <v>213</v>
      </c>
      <c r="V421" s="76" t="s">
        <v>213</v>
      </c>
      <c r="W421" s="77" t="s">
        <v>213</v>
      </c>
      <c r="X421" s="76" t="s">
        <v>213</v>
      </c>
      <c r="Y421" s="74" t="s">
        <v>213</v>
      </c>
      <c r="Z421" s="77" t="s">
        <v>213</v>
      </c>
    </row>
    <row r="422" ht="36" customHeight="1">
      <c r="A422" s="68"/>
      <c r="B422" s="69"/>
      <c r="C422" s="69"/>
      <c r="D422" s="68"/>
      <c r="E422" s="68"/>
      <c r="F422" s="68"/>
      <c r="G422" s="70"/>
      <c r="H422" s="70"/>
      <c r="I422" s="71"/>
      <c r="J422" s="71"/>
      <c r="K422" s="72"/>
      <c r="L422" s="68"/>
      <c r="M422" s="68"/>
      <c r="N422" s="73" t="s">
        <v>213</v>
      </c>
      <c r="O422" s="73" t="s">
        <v>213</v>
      </c>
      <c r="P422" s="73" t="s">
        <v>213</v>
      </c>
      <c r="Q422" s="73" t="s">
        <v>213</v>
      </c>
      <c r="R422" s="73" t="s">
        <v>213</v>
      </c>
      <c r="S422" s="73" t="s">
        <v>213</v>
      </c>
      <c r="T422" s="74" t="s">
        <v>213</v>
      </c>
      <c r="U422" s="75" t="s">
        <v>213</v>
      </c>
      <c r="V422" s="76" t="s">
        <v>213</v>
      </c>
      <c r="W422" s="77" t="s">
        <v>213</v>
      </c>
      <c r="X422" s="76" t="s">
        <v>213</v>
      </c>
      <c r="Y422" s="74" t="s">
        <v>213</v>
      </c>
      <c r="Z422" s="77" t="s">
        <v>213</v>
      </c>
    </row>
    <row r="423" ht="36" customHeight="1">
      <c r="A423" s="68"/>
      <c r="B423" s="69"/>
      <c r="C423" s="69"/>
      <c r="D423" s="68"/>
      <c r="E423" s="68"/>
      <c r="F423" s="68"/>
      <c r="G423" s="70"/>
      <c r="H423" s="70"/>
      <c r="I423" s="71"/>
      <c r="J423" s="71"/>
      <c r="K423" s="72"/>
      <c r="L423" s="68"/>
      <c r="M423" s="68"/>
      <c r="N423" s="73" t="s">
        <v>213</v>
      </c>
      <c r="O423" s="73" t="s">
        <v>213</v>
      </c>
      <c r="P423" s="73" t="s">
        <v>213</v>
      </c>
      <c r="Q423" s="73" t="s">
        <v>213</v>
      </c>
      <c r="R423" s="73" t="s">
        <v>213</v>
      </c>
      <c r="S423" s="73" t="s">
        <v>213</v>
      </c>
      <c r="T423" s="74" t="s">
        <v>213</v>
      </c>
      <c r="U423" s="75" t="s">
        <v>213</v>
      </c>
      <c r="V423" s="76" t="s">
        <v>213</v>
      </c>
      <c r="W423" s="77" t="s">
        <v>213</v>
      </c>
      <c r="X423" s="76" t="s">
        <v>213</v>
      </c>
      <c r="Y423" s="74" t="s">
        <v>213</v>
      </c>
      <c r="Z423" s="77" t="s">
        <v>213</v>
      </c>
    </row>
    <row r="424" ht="36" customHeight="1">
      <c r="A424" s="68"/>
      <c r="B424" s="69"/>
      <c r="C424" s="69"/>
      <c r="D424" s="68"/>
      <c r="E424" s="68"/>
      <c r="F424" s="68"/>
      <c r="G424" s="70"/>
      <c r="H424" s="70"/>
      <c r="I424" s="71"/>
      <c r="J424" s="71"/>
      <c r="K424" s="72"/>
      <c r="L424" s="68"/>
      <c r="M424" s="68"/>
      <c r="N424" s="73" t="s">
        <v>213</v>
      </c>
      <c r="O424" s="73" t="s">
        <v>213</v>
      </c>
      <c r="P424" s="73" t="s">
        <v>213</v>
      </c>
      <c r="Q424" s="73" t="s">
        <v>213</v>
      </c>
      <c r="R424" s="73" t="s">
        <v>213</v>
      </c>
      <c r="S424" s="73" t="s">
        <v>213</v>
      </c>
      <c r="T424" s="74" t="s">
        <v>213</v>
      </c>
      <c r="U424" s="75" t="s">
        <v>213</v>
      </c>
      <c r="V424" s="76" t="s">
        <v>213</v>
      </c>
      <c r="W424" s="77" t="s">
        <v>213</v>
      </c>
      <c r="X424" s="76" t="s">
        <v>213</v>
      </c>
      <c r="Y424" s="74" t="s">
        <v>213</v>
      </c>
      <c r="Z424" s="77" t="s">
        <v>213</v>
      </c>
    </row>
    <row r="425" ht="36" customHeight="1">
      <c r="A425" s="68"/>
      <c r="B425" s="69"/>
      <c r="C425" s="69"/>
      <c r="D425" s="68"/>
      <c r="E425" s="68"/>
      <c r="F425" s="68"/>
      <c r="G425" s="70"/>
      <c r="H425" s="70"/>
      <c r="I425" s="71"/>
      <c r="J425" s="71"/>
      <c r="K425" s="72"/>
      <c r="L425" s="68"/>
      <c r="M425" s="68"/>
      <c r="N425" s="73" t="s">
        <v>213</v>
      </c>
      <c r="O425" s="73" t="s">
        <v>213</v>
      </c>
      <c r="P425" s="73" t="s">
        <v>213</v>
      </c>
      <c r="Q425" s="73" t="s">
        <v>213</v>
      </c>
      <c r="R425" s="73" t="s">
        <v>213</v>
      </c>
      <c r="S425" s="73" t="s">
        <v>213</v>
      </c>
      <c r="T425" s="74" t="s">
        <v>213</v>
      </c>
      <c r="U425" s="75" t="s">
        <v>213</v>
      </c>
      <c r="V425" s="76" t="s">
        <v>213</v>
      </c>
      <c r="W425" s="77" t="s">
        <v>213</v>
      </c>
      <c r="X425" s="76" t="s">
        <v>213</v>
      </c>
      <c r="Y425" s="74" t="s">
        <v>213</v>
      </c>
      <c r="Z425" s="77" t="s">
        <v>213</v>
      </c>
    </row>
    <row r="426" ht="36" customHeight="1">
      <c r="A426" s="68"/>
      <c r="B426" s="69"/>
      <c r="C426" s="69"/>
      <c r="D426" s="68"/>
      <c r="E426" s="68"/>
      <c r="F426" s="68"/>
      <c r="G426" s="70"/>
      <c r="H426" s="70"/>
      <c r="I426" s="71"/>
      <c r="J426" s="71"/>
      <c r="K426" s="72"/>
      <c r="L426" s="68"/>
      <c r="M426" s="68"/>
      <c r="N426" s="73" t="s">
        <v>213</v>
      </c>
      <c r="O426" s="73" t="s">
        <v>213</v>
      </c>
      <c r="P426" s="73" t="s">
        <v>213</v>
      </c>
      <c r="Q426" s="73" t="s">
        <v>213</v>
      </c>
      <c r="R426" s="73" t="s">
        <v>213</v>
      </c>
      <c r="S426" s="73" t="s">
        <v>213</v>
      </c>
      <c r="T426" s="74" t="s">
        <v>213</v>
      </c>
      <c r="U426" s="75" t="s">
        <v>213</v>
      </c>
      <c r="V426" s="76" t="s">
        <v>213</v>
      </c>
      <c r="W426" s="77" t="s">
        <v>213</v>
      </c>
      <c r="X426" s="76" t="s">
        <v>213</v>
      </c>
      <c r="Y426" s="74" t="s">
        <v>213</v>
      </c>
      <c r="Z426" s="77" t="s">
        <v>213</v>
      </c>
    </row>
    <row r="427" ht="36" customHeight="1">
      <c r="A427" s="68"/>
      <c r="B427" s="69"/>
      <c r="C427" s="69"/>
      <c r="D427" s="68"/>
      <c r="E427" s="68"/>
      <c r="F427" s="68"/>
      <c r="G427" s="70"/>
      <c r="H427" s="70"/>
      <c r="I427" s="71"/>
      <c r="J427" s="71"/>
      <c r="K427" s="72"/>
      <c r="L427" s="68"/>
      <c r="M427" s="68"/>
      <c r="N427" s="73" t="s">
        <v>213</v>
      </c>
      <c r="O427" s="73" t="s">
        <v>213</v>
      </c>
      <c r="P427" s="73" t="s">
        <v>213</v>
      </c>
      <c r="Q427" s="73" t="s">
        <v>213</v>
      </c>
      <c r="R427" s="73" t="s">
        <v>213</v>
      </c>
      <c r="S427" s="73" t="s">
        <v>213</v>
      </c>
      <c r="T427" s="74" t="s">
        <v>213</v>
      </c>
      <c r="U427" s="75" t="s">
        <v>213</v>
      </c>
      <c r="V427" s="76" t="s">
        <v>213</v>
      </c>
      <c r="W427" s="77" t="s">
        <v>213</v>
      </c>
      <c r="X427" s="76" t="s">
        <v>213</v>
      </c>
      <c r="Y427" s="74" t="s">
        <v>213</v>
      </c>
      <c r="Z427" s="77" t="s">
        <v>213</v>
      </c>
    </row>
    <row r="428" ht="36" customHeight="1">
      <c r="A428" s="68"/>
      <c r="B428" s="69"/>
      <c r="C428" s="69"/>
      <c r="D428" s="68"/>
      <c r="E428" s="68"/>
      <c r="F428" s="68"/>
      <c r="G428" s="70"/>
      <c r="H428" s="70"/>
      <c r="I428" s="71"/>
      <c r="J428" s="71"/>
      <c r="K428" s="72"/>
      <c r="L428" s="68"/>
      <c r="M428" s="68"/>
      <c r="N428" s="73" t="s">
        <v>213</v>
      </c>
      <c r="O428" s="73" t="s">
        <v>213</v>
      </c>
      <c r="P428" s="73" t="s">
        <v>213</v>
      </c>
      <c r="Q428" s="73" t="s">
        <v>213</v>
      </c>
      <c r="R428" s="73" t="s">
        <v>213</v>
      </c>
      <c r="S428" s="73" t="s">
        <v>213</v>
      </c>
      <c r="T428" s="74" t="s">
        <v>213</v>
      </c>
      <c r="U428" s="75" t="s">
        <v>213</v>
      </c>
      <c r="V428" s="76" t="s">
        <v>213</v>
      </c>
      <c r="W428" s="77" t="s">
        <v>213</v>
      </c>
      <c r="X428" s="76" t="s">
        <v>213</v>
      </c>
      <c r="Y428" s="74" t="s">
        <v>213</v>
      </c>
      <c r="Z428" s="77" t="s">
        <v>213</v>
      </c>
    </row>
    <row r="429" ht="36" customHeight="1">
      <c r="A429" s="68"/>
      <c r="B429" s="69"/>
      <c r="C429" s="69"/>
      <c r="D429" s="68"/>
      <c r="E429" s="68"/>
      <c r="F429" s="68"/>
      <c r="G429" s="70"/>
      <c r="H429" s="70"/>
      <c r="I429" s="71"/>
      <c r="J429" s="71"/>
      <c r="K429" s="72"/>
      <c r="L429" s="68"/>
      <c r="M429" s="68"/>
      <c r="N429" s="73" t="s">
        <v>213</v>
      </c>
      <c r="O429" s="73" t="s">
        <v>213</v>
      </c>
      <c r="P429" s="73" t="s">
        <v>213</v>
      </c>
      <c r="Q429" s="73" t="s">
        <v>213</v>
      </c>
      <c r="R429" s="73" t="s">
        <v>213</v>
      </c>
      <c r="S429" s="73" t="s">
        <v>213</v>
      </c>
      <c r="T429" s="74" t="s">
        <v>213</v>
      </c>
      <c r="U429" s="75" t="s">
        <v>213</v>
      </c>
      <c r="V429" s="76" t="s">
        <v>213</v>
      </c>
      <c r="W429" s="77" t="s">
        <v>213</v>
      </c>
      <c r="X429" s="76" t="s">
        <v>213</v>
      </c>
      <c r="Y429" s="74" t="s">
        <v>213</v>
      </c>
      <c r="Z429" s="77" t="s">
        <v>213</v>
      </c>
    </row>
    <row r="430" ht="36" customHeight="1">
      <c r="A430" s="68"/>
      <c r="B430" s="69"/>
      <c r="C430" s="69"/>
      <c r="D430" s="68"/>
      <c r="E430" s="68"/>
      <c r="F430" s="68"/>
      <c r="G430" s="70"/>
      <c r="H430" s="70"/>
      <c r="I430" s="71"/>
      <c r="J430" s="71"/>
      <c r="K430" s="72"/>
      <c r="L430" s="68"/>
      <c r="M430" s="68"/>
      <c r="N430" s="73" t="s">
        <v>213</v>
      </c>
      <c r="O430" s="73" t="s">
        <v>213</v>
      </c>
      <c r="P430" s="73" t="s">
        <v>213</v>
      </c>
      <c r="Q430" s="73" t="s">
        <v>213</v>
      </c>
      <c r="R430" s="73" t="s">
        <v>213</v>
      </c>
      <c r="S430" s="73" t="s">
        <v>213</v>
      </c>
      <c r="T430" s="74" t="s">
        <v>213</v>
      </c>
      <c r="U430" s="75" t="s">
        <v>213</v>
      </c>
      <c r="V430" s="76" t="s">
        <v>213</v>
      </c>
      <c r="W430" s="77" t="s">
        <v>213</v>
      </c>
      <c r="X430" s="76" t="s">
        <v>213</v>
      </c>
      <c r="Y430" s="74" t="s">
        <v>213</v>
      </c>
      <c r="Z430" s="77" t="s">
        <v>213</v>
      </c>
    </row>
    <row r="431" ht="36" customHeight="1">
      <c r="A431" s="68"/>
      <c r="B431" s="69"/>
      <c r="C431" s="69"/>
      <c r="D431" s="68"/>
      <c r="E431" s="68"/>
      <c r="F431" s="68"/>
      <c r="G431" s="70"/>
      <c r="H431" s="70"/>
      <c r="I431" s="71"/>
      <c r="J431" s="71"/>
      <c r="K431" s="72"/>
      <c r="L431" s="68"/>
      <c r="M431" s="68"/>
      <c r="N431" s="73" t="s">
        <v>213</v>
      </c>
      <c r="O431" s="73" t="s">
        <v>213</v>
      </c>
      <c r="P431" s="73" t="s">
        <v>213</v>
      </c>
      <c r="Q431" s="73" t="s">
        <v>213</v>
      </c>
      <c r="R431" s="73" t="s">
        <v>213</v>
      </c>
      <c r="S431" s="73" t="s">
        <v>213</v>
      </c>
      <c r="T431" s="74" t="s">
        <v>213</v>
      </c>
      <c r="U431" s="75" t="s">
        <v>213</v>
      </c>
      <c r="V431" s="76" t="s">
        <v>213</v>
      </c>
      <c r="W431" s="77" t="s">
        <v>213</v>
      </c>
      <c r="X431" s="76" t="s">
        <v>213</v>
      </c>
      <c r="Y431" s="74" t="s">
        <v>213</v>
      </c>
      <c r="Z431" s="77" t="s">
        <v>213</v>
      </c>
    </row>
    <row r="432" ht="36" customHeight="1">
      <c r="A432" s="68"/>
      <c r="B432" s="69"/>
      <c r="C432" s="69"/>
      <c r="D432" s="68"/>
      <c r="E432" s="68"/>
      <c r="F432" s="68"/>
      <c r="G432" s="70"/>
      <c r="H432" s="70"/>
      <c r="I432" s="71"/>
      <c r="J432" s="71"/>
      <c r="K432" s="72"/>
      <c r="L432" s="68"/>
      <c r="M432" s="68"/>
      <c r="N432" s="73" t="s">
        <v>213</v>
      </c>
      <c r="O432" s="73" t="s">
        <v>213</v>
      </c>
      <c r="P432" s="73" t="s">
        <v>213</v>
      </c>
      <c r="Q432" s="73" t="s">
        <v>213</v>
      </c>
      <c r="R432" s="73" t="s">
        <v>213</v>
      </c>
      <c r="S432" s="73" t="s">
        <v>213</v>
      </c>
      <c r="T432" s="74" t="s">
        <v>213</v>
      </c>
      <c r="U432" s="75" t="s">
        <v>213</v>
      </c>
      <c r="V432" s="76" t="s">
        <v>213</v>
      </c>
      <c r="W432" s="77" t="s">
        <v>213</v>
      </c>
      <c r="X432" s="76" t="s">
        <v>213</v>
      </c>
      <c r="Y432" s="74" t="s">
        <v>213</v>
      </c>
      <c r="Z432" s="77" t="s">
        <v>213</v>
      </c>
    </row>
    <row r="433" ht="36" customHeight="1">
      <c r="A433" s="68"/>
      <c r="B433" s="69"/>
      <c r="C433" s="69"/>
      <c r="D433" s="68"/>
      <c r="E433" s="68"/>
      <c r="F433" s="68"/>
      <c r="G433" s="70"/>
      <c r="H433" s="70"/>
      <c r="I433" s="71"/>
      <c r="J433" s="71"/>
      <c r="K433" s="72"/>
      <c r="L433" s="68"/>
      <c r="M433" s="68"/>
      <c r="N433" s="73" t="s">
        <v>213</v>
      </c>
      <c r="O433" s="73" t="s">
        <v>213</v>
      </c>
      <c r="P433" s="73" t="s">
        <v>213</v>
      </c>
      <c r="Q433" s="73" t="s">
        <v>213</v>
      </c>
      <c r="R433" s="73" t="s">
        <v>213</v>
      </c>
      <c r="S433" s="73" t="s">
        <v>213</v>
      </c>
      <c r="T433" s="74" t="s">
        <v>213</v>
      </c>
      <c r="U433" s="75" t="s">
        <v>213</v>
      </c>
      <c r="V433" s="76" t="s">
        <v>213</v>
      </c>
      <c r="W433" s="77" t="s">
        <v>213</v>
      </c>
      <c r="X433" s="76" t="s">
        <v>213</v>
      </c>
      <c r="Y433" s="74" t="s">
        <v>213</v>
      </c>
      <c r="Z433" s="77" t="s">
        <v>213</v>
      </c>
    </row>
    <row r="434" ht="36" customHeight="1">
      <c r="A434" s="68"/>
      <c r="B434" s="69"/>
      <c r="C434" s="69"/>
      <c r="D434" s="68"/>
      <c r="E434" s="68"/>
      <c r="F434" s="68"/>
      <c r="G434" s="70"/>
      <c r="H434" s="70"/>
      <c r="I434" s="71"/>
      <c r="J434" s="71"/>
      <c r="K434" s="72"/>
      <c r="L434" s="68"/>
      <c r="M434" s="68"/>
      <c r="N434" s="73" t="s">
        <v>213</v>
      </c>
      <c r="O434" s="73" t="s">
        <v>213</v>
      </c>
      <c r="P434" s="73" t="s">
        <v>213</v>
      </c>
      <c r="Q434" s="73" t="s">
        <v>213</v>
      </c>
      <c r="R434" s="73" t="s">
        <v>213</v>
      </c>
      <c r="S434" s="73" t="s">
        <v>213</v>
      </c>
      <c r="T434" s="74" t="s">
        <v>213</v>
      </c>
      <c r="U434" s="75" t="s">
        <v>213</v>
      </c>
      <c r="V434" s="76" t="s">
        <v>213</v>
      </c>
      <c r="W434" s="77" t="s">
        <v>213</v>
      </c>
      <c r="X434" s="76" t="s">
        <v>213</v>
      </c>
      <c r="Y434" s="74" t="s">
        <v>213</v>
      </c>
      <c r="Z434" s="77" t="s">
        <v>213</v>
      </c>
    </row>
    <row r="435" ht="36" customHeight="1">
      <c r="A435" s="68"/>
      <c r="B435" s="69"/>
      <c r="C435" s="69"/>
      <c r="D435" s="68"/>
      <c r="E435" s="68"/>
      <c r="F435" s="68"/>
      <c r="G435" s="70"/>
      <c r="H435" s="70"/>
      <c r="I435" s="71"/>
      <c r="J435" s="71"/>
      <c r="K435" s="72"/>
      <c r="L435" s="68"/>
      <c r="M435" s="68"/>
      <c r="N435" s="73" t="s">
        <v>213</v>
      </c>
      <c r="O435" s="73" t="s">
        <v>213</v>
      </c>
      <c r="P435" s="73" t="s">
        <v>213</v>
      </c>
      <c r="Q435" s="73" t="s">
        <v>213</v>
      </c>
      <c r="R435" s="73" t="s">
        <v>213</v>
      </c>
      <c r="S435" s="73" t="s">
        <v>213</v>
      </c>
      <c r="T435" s="74" t="s">
        <v>213</v>
      </c>
      <c r="U435" s="75" t="s">
        <v>213</v>
      </c>
      <c r="V435" s="76" t="s">
        <v>213</v>
      </c>
      <c r="W435" s="77" t="s">
        <v>213</v>
      </c>
      <c r="X435" s="76" t="s">
        <v>213</v>
      </c>
      <c r="Y435" s="74" t="s">
        <v>213</v>
      </c>
      <c r="Z435" s="77" t="s">
        <v>213</v>
      </c>
    </row>
    <row r="436" ht="36" customHeight="1">
      <c r="A436" s="68"/>
      <c r="B436" s="69"/>
      <c r="C436" s="69"/>
      <c r="D436" s="68"/>
      <c r="E436" s="68"/>
      <c r="F436" s="68"/>
      <c r="G436" s="70"/>
      <c r="H436" s="70"/>
      <c r="I436" s="71"/>
      <c r="J436" s="71"/>
      <c r="K436" s="72"/>
      <c r="L436" s="68"/>
      <c r="M436" s="68"/>
      <c r="N436" s="73" t="s">
        <v>213</v>
      </c>
      <c r="O436" s="73" t="s">
        <v>213</v>
      </c>
      <c r="P436" s="73" t="s">
        <v>213</v>
      </c>
      <c r="Q436" s="73" t="s">
        <v>213</v>
      </c>
      <c r="R436" s="73" t="s">
        <v>213</v>
      </c>
      <c r="S436" s="73" t="s">
        <v>213</v>
      </c>
      <c r="T436" s="74" t="s">
        <v>213</v>
      </c>
      <c r="U436" s="75" t="s">
        <v>213</v>
      </c>
      <c r="V436" s="76" t="s">
        <v>213</v>
      </c>
      <c r="W436" s="77" t="s">
        <v>213</v>
      </c>
      <c r="X436" s="76" t="s">
        <v>213</v>
      </c>
      <c r="Y436" s="74" t="s">
        <v>213</v>
      </c>
      <c r="Z436" s="77" t="s">
        <v>213</v>
      </c>
    </row>
    <row r="437" ht="36" customHeight="1">
      <c r="A437" s="68"/>
      <c r="B437" s="69"/>
      <c r="C437" s="69"/>
      <c r="D437" s="68"/>
      <c r="E437" s="68"/>
      <c r="F437" s="68"/>
      <c r="G437" s="70"/>
      <c r="H437" s="70"/>
      <c r="I437" s="71"/>
      <c r="J437" s="71"/>
      <c r="K437" s="72"/>
      <c r="L437" s="68"/>
      <c r="M437" s="68"/>
      <c r="N437" s="73" t="s">
        <v>213</v>
      </c>
      <c r="O437" s="73" t="s">
        <v>213</v>
      </c>
      <c r="P437" s="73" t="s">
        <v>213</v>
      </c>
      <c r="Q437" s="73" t="s">
        <v>213</v>
      </c>
      <c r="R437" s="73" t="s">
        <v>213</v>
      </c>
      <c r="S437" s="73" t="s">
        <v>213</v>
      </c>
      <c r="T437" s="74" t="s">
        <v>213</v>
      </c>
      <c r="U437" s="75" t="s">
        <v>213</v>
      </c>
      <c r="V437" s="76" t="s">
        <v>213</v>
      </c>
      <c r="W437" s="77" t="s">
        <v>213</v>
      </c>
      <c r="X437" s="76" t="s">
        <v>213</v>
      </c>
      <c r="Y437" s="74" t="s">
        <v>213</v>
      </c>
      <c r="Z437" s="77" t="s">
        <v>213</v>
      </c>
    </row>
    <row r="438" ht="36" customHeight="1">
      <c r="A438" s="68"/>
      <c r="B438" s="69"/>
      <c r="C438" s="69"/>
      <c r="D438" s="68"/>
      <c r="E438" s="68"/>
      <c r="F438" s="68"/>
      <c r="G438" s="70"/>
      <c r="H438" s="70"/>
      <c r="I438" s="71"/>
      <c r="J438" s="71"/>
      <c r="K438" s="72"/>
      <c r="L438" s="68"/>
      <c r="M438" s="68"/>
      <c r="N438" s="73" t="s">
        <v>213</v>
      </c>
      <c r="O438" s="73" t="s">
        <v>213</v>
      </c>
      <c r="P438" s="73" t="s">
        <v>213</v>
      </c>
      <c r="Q438" s="73" t="s">
        <v>213</v>
      </c>
      <c r="R438" s="73" t="s">
        <v>213</v>
      </c>
      <c r="S438" s="73" t="s">
        <v>213</v>
      </c>
      <c r="T438" s="74" t="s">
        <v>213</v>
      </c>
      <c r="U438" s="75" t="s">
        <v>213</v>
      </c>
      <c r="V438" s="76" t="s">
        <v>213</v>
      </c>
      <c r="W438" s="77" t="s">
        <v>213</v>
      </c>
      <c r="X438" s="76" t="s">
        <v>213</v>
      </c>
      <c r="Y438" s="74" t="s">
        <v>213</v>
      </c>
      <c r="Z438" s="77" t="s">
        <v>213</v>
      </c>
    </row>
    <row r="439" ht="36" customHeight="1">
      <c r="A439" s="68"/>
      <c r="B439" s="69"/>
      <c r="C439" s="69"/>
      <c r="D439" s="68"/>
      <c r="E439" s="68"/>
      <c r="F439" s="68"/>
      <c r="G439" s="70"/>
      <c r="H439" s="70"/>
      <c r="I439" s="71"/>
      <c r="J439" s="71"/>
      <c r="K439" s="72"/>
      <c r="L439" s="68"/>
      <c r="M439" s="68"/>
      <c r="N439" s="73" t="s">
        <v>213</v>
      </c>
      <c r="O439" s="73" t="s">
        <v>213</v>
      </c>
      <c r="P439" s="73" t="s">
        <v>213</v>
      </c>
      <c r="Q439" s="73" t="s">
        <v>213</v>
      </c>
      <c r="R439" s="73" t="s">
        <v>213</v>
      </c>
      <c r="S439" s="73" t="s">
        <v>213</v>
      </c>
      <c r="T439" s="74" t="s">
        <v>213</v>
      </c>
      <c r="U439" s="75" t="s">
        <v>213</v>
      </c>
      <c r="V439" s="76" t="s">
        <v>213</v>
      </c>
      <c r="W439" s="77" t="s">
        <v>213</v>
      </c>
      <c r="X439" s="76" t="s">
        <v>213</v>
      </c>
      <c r="Y439" s="74" t="s">
        <v>213</v>
      </c>
      <c r="Z439" s="77" t="s">
        <v>213</v>
      </c>
    </row>
    <row r="440" ht="36" customHeight="1">
      <c r="A440" s="68"/>
      <c r="B440" s="69"/>
      <c r="C440" s="69"/>
      <c r="D440" s="68"/>
      <c r="E440" s="68"/>
      <c r="F440" s="68"/>
      <c r="G440" s="70"/>
      <c r="H440" s="70"/>
      <c r="I440" s="71"/>
      <c r="J440" s="71"/>
      <c r="K440" s="72"/>
      <c r="L440" s="68"/>
      <c r="M440" s="68"/>
      <c r="N440" s="73" t="s">
        <v>213</v>
      </c>
      <c r="O440" s="73" t="s">
        <v>213</v>
      </c>
      <c r="P440" s="73" t="s">
        <v>213</v>
      </c>
      <c r="Q440" s="73" t="s">
        <v>213</v>
      </c>
      <c r="R440" s="73" t="s">
        <v>213</v>
      </c>
      <c r="S440" s="73" t="s">
        <v>213</v>
      </c>
      <c r="T440" s="74" t="s">
        <v>213</v>
      </c>
      <c r="U440" s="75" t="s">
        <v>213</v>
      </c>
      <c r="V440" s="76" t="s">
        <v>213</v>
      </c>
      <c r="W440" s="77" t="s">
        <v>213</v>
      </c>
      <c r="X440" s="76" t="s">
        <v>213</v>
      </c>
      <c r="Y440" s="74" t="s">
        <v>213</v>
      </c>
      <c r="Z440" s="77" t="s">
        <v>213</v>
      </c>
    </row>
    <row r="441" ht="36" customHeight="1">
      <c r="A441" s="68"/>
      <c r="B441" s="69"/>
      <c r="C441" s="69"/>
      <c r="D441" s="68"/>
      <c r="E441" s="68"/>
      <c r="F441" s="68"/>
      <c r="G441" s="70"/>
      <c r="H441" s="70"/>
      <c r="I441" s="71"/>
      <c r="J441" s="71"/>
      <c r="K441" s="72"/>
      <c r="L441" s="68"/>
      <c r="M441" s="68"/>
      <c r="N441" s="73" t="s">
        <v>213</v>
      </c>
      <c r="O441" s="73" t="s">
        <v>213</v>
      </c>
      <c r="P441" s="73" t="s">
        <v>213</v>
      </c>
      <c r="Q441" s="73" t="s">
        <v>213</v>
      </c>
      <c r="R441" s="73" t="s">
        <v>213</v>
      </c>
      <c r="S441" s="73" t="s">
        <v>213</v>
      </c>
      <c r="T441" s="74" t="s">
        <v>213</v>
      </c>
      <c r="U441" s="75" t="s">
        <v>213</v>
      </c>
      <c r="V441" s="76" t="s">
        <v>213</v>
      </c>
      <c r="W441" s="77" t="s">
        <v>213</v>
      </c>
      <c r="X441" s="76" t="s">
        <v>213</v>
      </c>
      <c r="Y441" s="74" t="s">
        <v>213</v>
      </c>
      <c r="Z441" s="77" t="s">
        <v>213</v>
      </c>
    </row>
    <row r="442" ht="36" customHeight="1">
      <c r="A442" s="68"/>
      <c r="B442" s="69"/>
      <c r="C442" s="69"/>
      <c r="D442" s="68"/>
      <c r="E442" s="68"/>
      <c r="F442" s="68"/>
      <c r="G442" s="70"/>
      <c r="H442" s="70"/>
      <c r="I442" s="71"/>
      <c r="J442" s="71"/>
      <c r="K442" s="72"/>
      <c r="L442" s="68"/>
      <c r="M442" s="68"/>
      <c r="N442" s="73" t="s">
        <v>213</v>
      </c>
      <c r="O442" s="73" t="s">
        <v>213</v>
      </c>
      <c r="P442" s="73" t="s">
        <v>213</v>
      </c>
      <c r="Q442" s="73" t="s">
        <v>213</v>
      </c>
      <c r="R442" s="73" t="s">
        <v>213</v>
      </c>
      <c r="S442" s="73" t="s">
        <v>213</v>
      </c>
      <c r="T442" s="74" t="s">
        <v>213</v>
      </c>
      <c r="U442" s="75" t="s">
        <v>213</v>
      </c>
      <c r="V442" s="76" t="s">
        <v>213</v>
      </c>
      <c r="W442" s="77" t="s">
        <v>213</v>
      </c>
      <c r="X442" s="76" t="s">
        <v>213</v>
      </c>
      <c r="Y442" s="74" t="s">
        <v>213</v>
      </c>
      <c r="Z442" s="77" t="s">
        <v>213</v>
      </c>
    </row>
    <row r="443" ht="36" customHeight="1">
      <c r="A443" s="68"/>
      <c r="B443" s="69"/>
      <c r="C443" s="69"/>
      <c r="D443" s="68"/>
      <c r="E443" s="68"/>
      <c r="F443" s="68"/>
      <c r="G443" s="70"/>
      <c r="H443" s="70"/>
      <c r="I443" s="71"/>
      <c r="J443" s="71"/>
      <c r="K443" s="72"/>
      <c r="L443" s="68"/>
      <c r="M443" s="68"/>
      <c r="N443" s="73" t="s">
        <v>213</v>
      </c>
      <c r="O443" s="73" t="s">
        <v>213</v>
      </c>
      <c r="P443" s="73" t="s">
        <v>213</v>
      </c>
      <c r="Q443" s="73" t="s">
        <v>213</v>
      </c>
      <c r="R443" s="73" t="s">
        <v>213</v>
      </c>
      <c r="S443" s="73" t="s">
        <v>213</v>
      </c>
      <c r="T443" s="74" t="s">
        <v>213</v>
      </c>
      <c r="U443" s="75" t="s">
        <v>213</v>
      </c>
      <c r="V443" s="76" t="s">
        <v>213</v>
      </c>
      <c r="W443" s="77" t="s">
        <v>213</v>
      </c>
      <c r="X443" s="76" t="s">
        <v>213</v>
      </c>
      <c r="Y443" s="74" t="s">
        <v>213</v>
      </c>
      <c r="Z443" s="77" t="s">
        <v>213</v>
      </c>
    </row>
    <row r="444" ht="36" customHeight="1">
      <c r="A444" s="68"/>
      <c r="B444" s="69"/>
      <c r="C444" s="69"/>
      <c r="D444" s="68"/>
      <c r="E444" s="68"/>
      <c r="F444" s="68"/>
      <c r="G444" s="70"/>
      <c r="H444" s="70"/>
      <c r="I444" s="71"/>
      <c r="J444" s="71"/>
      <c r="K444" s="72"/>
      <c r="L444" s="68"/>
      <c r="M444" s="68"/>
      <c r="N444" s="73" t="s">
        <v>213</v>
      </c>
      <c r="O444" s="73" t="s">
        <v>213</v>
      </c>
      <c r="P444" s="73" t="s">
        <v>213</v>
      </c>
      <c r="Q444" s="73" t="s">
        <v>213</v>
      </c>
      <c r="R444" s="73" t="s">
        <v>213</v>
      </c>
      <c r="S444" s="73" t="s">
        <v>213</v>
      </c>
      <c r="T444" s="74" t="s">
        <v>213</v>
      </c>
      <c r="U444" s="75" t="s">
        <v>213</v>
      </c>
      <c r="V444" s="76" t="s">
        <v>213</v>
      </c>
      <c r="W444" s="77" t="s">
        <v>213</v>
      </c>
      <c r="X444" s="76" t="s">
        <v>213</v>
      </c>
      <c r="Y444" s="74" t="s">
        <v>213</v>
      </c>
      <c r="Z444" s="77" t="s">
        <v>213</v>
      </c>
    </row>
    <row r="445" ht="36" customHeight="1">
      <c r="A445" s="68"/>
      <c r="B445" s="69"/>
      <c r="C445" s="69"/>
      <c r="D445" s="68"/>
      <c r="E445" s="68"/>
      <c r="F445" s="68"/>
      <c r="G445" s="70"/>
      <c r="H445" s="70"/>
      <c r="I445" s="71"/>
      <c r="J445" s="71"/>
      <c r="K445" s="72"/>
      <c r="L445" s="68"/>
      <c r="M445" s="68"/>
      <c r="N445" s="73" t="s">
        <v>213</v>
      </c>
      <c r="O445" s="73" t="s">
        <v>213</v>
      </c>
      <c r="P445" s="73" t="s">
        <v>213</v>
      </c>
      <c r="Q445" s="73" t="s">
        <v>213</v>
      </c>
      <c r="R445" s="73" t="s">
        <v>213</v>
      </c>
      <c r="S445" s="73" t="s">
        <v>213</v>
      </c>
      <c r="T445" s="74" t="s">
        <v>213</v>
      </c>
      <c r="U445" s="75" t="s">
        <v>213</v>
      </c>
      <c r="V445" s="76" t="s">
        <v>213</v>
      </c>
      <c r="W445" s="77" t="s">
        <v>213</v>
      </c>
      <c r="X445" s="76" t="s">
        <v>213</v>
      </c>
      <c r="Y445" s="74" t="s">
        <v>213</v>
      </c>
      <c r="Z445" s="77" t="s">
        <v>213</v>
      </c>
    </row>
    <row r="446" ht="36" customHeight="1">
      <c r="A446" s="68"/>
      <c r="B446" s="69"/>
      <c r="C446" s="69"/>
      <c r="D446" s="68"/>
      <c r="E446" s="68"/>
      <c r="F446" s="68"/>
      <c r="G446" s="70"/>
      <c r="H446" s="70"/>
      <c r="I446" s="71"/>
      <c r="J446" s="71"/>
      <c r="K446" s="72"/>
      <c r="L446" s="68"/>
      <c r="M446" s="68"/>
      <c r="N446" s="73" t="s">
        <v>213</v>
      </c>
      <c r="O446" s="73" t="s">
        <v>213</v>
      </c>
      <c r="P446" s="73" t="s">
        <v>213</v>
      </c>
      <c r="Q446" s="73" t="s">
        <v>213</v>
      </c>
      <c r="R446" s="73" t="s">
        <v>213</v>
      </c>
      <c r="S446" s="73" t="s">
        <v>213</v>
      </c>
      <c r="T446" s="74" t="s">
        <v>213</v>
      </c>
      <c r="U446" s="75" t="s">
        <v>213</v>
      </c>
      <c r="V446" s="76" t="s">
        <v>213</v>
      </c>
      <c r="W446" s="77" t="s">
        <v>213</v>
      </c>
      <c r="X446" s="76" t="s">
        <v>213</v>
      </c>
      <c r="Y446" s="74" t="s">
        <v>213</v>
      </c>
      <c r="Z446" s="77" t="s">
        <v>213</v>
      </c>
    </row>
    <row r="447" ht="36" customHeight="1">
      <c r="A447" s="68"/>
      <c r="B447" s="69"/>
      <c r="C447" s="69"/>
      <c r="D447" s="68"/>
      <c r="E447" s="68"/>
      <c r="F447" s="68"/>
      <c r="G447" s="70"/>
      <c r="H447" s="70"/>
      <c r="I447" s="71"/>
      <c r="J447" s="71"/>
      <c r="K447" s="72"/>
      <c r="L447" s="68"/>
      <c r="M447" s="68"/>
      <c r="N447" s="73" t="s">
        <v>213</v>
      </c>
      <c r="O447" s="73" t="s">
        <v>213</v>
      </c>
      <c r="P447" s="73" t="s">
        <v>213</v>
      </c>
      <c r="Q447" s="73" t="s">
        <v>213</v>
      </c>
      <c r="R447" s="73" t="s">
        <v>213</v>
      </c>
      <c r="S447" s="73" t="s">
        <v>213</v>
      </c>
      <c r="T447" s="74" t="s">
        <v>213</v>
      </c>
      <c r="U447" s="75" t="s">
        <v>213</v>
      </c>
      <c r="V447" s="76" t="s">
        <v>213</v>
      </c>
      <c r="W447" s="77" t="s">
        <v>213</v>
      </c>
      <c r="X447" s="76" t="s">
        <v>213</v>
      </c>
      <c r="Y447" s="74" t="s">
        <v>213</v>
      </c>
      <c r="Z447" s="77" t="s">
        <v>213</v>
      </c>
    </row>
    <row r="448" ht="36" customHeight="1">
      <c r="A448" s="68"/>
      <c r="B448" s="69"/>
      <c r="C448" s="69"/>
      <c r="D448" s="68"/>
      <c r="E448" s="68"/>
      <c r="F448" s="68"/>
      <c r="G448" s="70"/>
      <c r="H448" s="70"/>
      <c r="I448" s="71"/>
      <c r="J448" s="71"/>
      <c r="K448" s="72"/>
      <c r="L448" s="68"/>
      <c r="M448" s="68"/>
      <c r="N448" s="73" t="s">
        <v>213</v>
      </c>
      <c r="O448" s="73" t="s">
        <v>213</v>
      </c>
      <c r="P448" s="73" t="s">
        <v>213</v>
      </c>
      <c r="Q448" s="73" t="s">
        <v>213</v>
      </c>
      <c r="R448" s="73" t="s">
        <v>213</v>
      </c>
      <c r="S448" s="73" t="s">
        <v>213</v>
      </c>
      <c r="T448" s="74" t="s">
        <v>213</v>
      </c>
      <c r="U448" s="75" t="s">
        <v>213</v>
      </c>
      <c r="V448" s="76" t="s">
        <v>213</v>
      </c>
      <c r="W448" s="77" t="s">
        <v>213</v>
      </c>
      <c r="X448" s="76" t="s">
        <v>213</v>
      </c>
      <c r="Y448" s="74" t="s">
        <v>213</v>
      </c>
      <c r="Z448" s="77" t="s">
        <v>213</v>
      </c>
    </row>
    <row r="449" ht="36" customHeight="1">
      <c r="A449" s="68"/>
      <c r="B449" s="69"/>
      <c r="C449" s="69"/>
      <c r="D449" s="68"/>
      <c r="E449" s="68"/>
      <c r="F449" s="68"/>
      <c r="G449" s="70"/>
      <c r="H449" s="70"/>
      <c r="I449" s="71"/>
      <c r="J449" s="71"/>
      <c r="K449" s="72"/>
      <c r="L449" s="68"/>
      <c r="M449" s="68"/>
      <c r="N449" s="73" t="s">
        <v>213</v>
      </c>
      <c r="O449" s="73" t="s">
        <v>213</v>
      </c>
      <c r="P449" s="73" t="s">
        <v>213</v>
      </c>
      <c r="Q449" s="73" t="s">
        <v>213</v>
      </c>
      <c r="R449" s="73" t="s">
        <v>213</v>
      </c>
      <c r="S449" s="73" t="s">
        <v>213</v>
      </c>
      <c r="T449" s="74" t="s">
        <v>213</v>
      </c>
      <c r="U449" s="75" t="s">
        <v>213</v>
      </c>
      <c r="V449" s="76" t="s">
        <v>213</v>
      </c>
      <c r="W449" s="77" t="s">
        <v>213</v>
      </c>
      <c r="X449" s="76" t="s">
        <v>213</v>
      </c>
      <c r="Y449" s="74" t="s">
        <v>213</v>
      </c>
      <c r="Z449" s="77" t="s">
        <v>213</v>
      </c>
    </row>
    <row r="450" ht="36" customHeight="1">
      <c r="A450" s="68"/>
      <c r="B450" s="69"/>
      <c r="C450" s="69"/>
      <c r="D450" s="68"/>
      <c r="E450" s="68"/>
      <c r="F450" s="68"/>
      <c r="G450" s="70"/>
      <c r="H450" s="70"/>
      <c r="I450" s="71"/>
      <c r="J450" s="71"/>
      <c r="K450" s="72"/>
      <c r="L450" s="68"/>
      <c r="M450" s="68"/>
      <c r="N450" s="73" t="s">
        <v>213</v>
      </c>
      <c r="O450" s="73" t="s">
        <v>213</v>
      </c>
      <c r="P450" s="73" t="s">
        <v>213</v>
      </c>
      <c r="Q450" s="73" t="s">
        <v>213</v>
      </c>
      <c r="R450" s="73" t="s">
        <v>213</v>
      </c>
      <c r="S450" s="73" t="s">
        <v>213</v>
      </c>
      <c r="T450" s="74" t="s">
        <v>213</v>
      </c>
      <c r="U450" s="75" t="s">
        <v>213</v>
      </c>
      <c r="V450" s="76" t="s">
        <v>213</v>
      </c>
      <c r="W450" s="77" t="s">
        <v>213</v>
      </c>
      <c r="X450" s="76" t="s">
        <v>213</v>
      </c>
      <c r="Y450" s="74" t="s">
        <v>213</v>
      </c>
      <c r="Z450" s="77" t="s">
        <v>213</v>
      </c>
    </row>
    <row r="451" ht="36" customHeight="1">
      <c r="A451" s="68"/>
      <c r="B451" s="69"/>
      <c r="C451" s="69"/>
      <c r="D451" s="68"/>
      <c r="E451" s="68"/>
      <c r="F451" s="68"/>
      <c r="G451" s="70"/>
      <c r="H451" s="70"/>
      <c r="I451" s="71"/>
      <c r="J451" s="71"/>
      <c r="K451" s="72"/>
      <c r="L451" s="68"/>
      <c r="M451" s="68"/>
      <c r="N451" s="73" t="s">
        <v>213</v>
      </c>
      <c r="O451" s="73" t="s">
        <v>213</v>
      </c>
      <c r="P451" s="73" t="s">
        <v>213</v>
      </c>
      <c r="Q451" s="73" t="s">
        <v>213</v>
      </c>
      <c r="R451" s="73" t="s">
        <v>213</v>
      </c>
      <c r="S451" s="73" t="s">
        <v>213</v>
      </c>
      <c r="T451" s="74" t="s">
        <v>213</v>
      </c>
      <c r="U451" s="75" t="s">
        <v>213</v>
      </c>
      <c r="V451" s="76" t="s">
        <v>213</v>
      </c>
      <c r="W451" s="77" t="s">
        <v>213</v>
      </c>
      <c r="X451" s="76" t="s">
        <v>213</v>
      </c>
      <c r="Y451" s="74" t="s">
        <v>213</v>
      </c>
      <c r="Z451" s="77" t="s">
        <v>213</v>
      </c>
    </row>
    <row r="452" ht="36" customHeight="1">
      <c r="A452" s="68"/>
      <c r="B452" s="69"/>
      <c r="C452" s="69"/>
      <c r="D452" s="68"/>
      <c r="E452" s="68"/>
      <c r="F452" s="68"/>
      <c r="G452" s="70"/>
      <c r="H452" s="70"/>
      <c r="I452" s="71"/>
      <c r="J452" s="71"/>
      <c r="K452" s="72"/>
      <c r="L452" s="68"/>
      <c r="M452" s="68"/>
      <c r="N452" s="73" t="s">
        <v>213</v>
      </c>
      <c r="O452" s="73" t="s">
        <v>213</v>
      </c>
      <c r="P452" s="73" t="s">
        <v>213</v>
      </c>
      <c r="Q452" s="73" t="s">
        <v>213</v>
      </c>
      <c r="R452" s="73" t="s">
        <v>213</v>
      </c>
      <c r="S452" s="73" t="s">
        <v>213</v>
      </c>
      <c r="T452" s="74" t="s">
        <v>213</v>
      </c>
      <c r="U452" s="75" t="s">
        <v>213</v>
      </c>
      <c r="V452" s="76" t="s">
        <v>213</v>
      </c>
      <c r="W452" s="77" t="s">
        <v>213</v>
      </c>
      <c r="X452" s="76" t="s">
        <v>213</v>
      </c>
      <c r="Y452" s="74" t="s">
        <v>213</v>
      </c>
      <c r="Z452" s="77" t="s">
        <v>213</v>
      </c>
    </row>
    <row r="453" ht="36" customHeight="1">
      <c r="A453" s="68"/>
      <c r="B453" s="69"/>
      <c r="C453" s="69"/>
      <c r="D453" s="68"/>
      <c r="E453" s="68"/>
      <c r="F453" s="68"/>
      <c r="G453" s="70"/>
      <c r="H453" s="70"/>
      <c r="I453" s="71"/>
      <c r="J453" s="71"/>
      <c r="K453" s="72"/>
      <c r="L453" s="68"/>
      <c r="M453" s="68"/>
      <c r="N453" s="73" t="s">
        <v>213</v>
      </c>
      <c r="O453" s="73" t="s">
        <v>213</v>
      </c>
      <c r="P453" s="73" t="s">
        <v>213</v>
      </c>
      <c r="Q453" s="73" t="s">
        <v>213</v>
      </c>
      <c r="R453" s="73" t="s">
        <v>213</v>
      </c>
      <c r="S453" s="73" t="s">
        <v>213</v>
      </c>
      <c r="T453" s="74" t="s">
        <v>213</v>
      </c>
      <c r="U453" s="75" t="s">
        <v>213</v>
      </c>
      <c r="V453" s="76" t="s">
        <v>213</v>
      </c>
      <c r="W453" s="77" t="s">
        <v>213</v>
      </c>
      <c r="X453" s="76" t="s">
        <v>213</v>
      </c>
      <c r="Y453" s="74" t="s">
        <v>213</v>
      </c>
      <c r="Z453" s="77" t="s">
        <v>213</v>
      </c>
    </row>
    <row r="454" ht="36" customHeight="1">
      <c r="A454" s="68"/>
      <c r="B454" s="69"/>
      <c r="C454" s="69"/>
      <c r="D454" s="68"/>
      <c r="E454" s="68"/>
      <c r="F454" s="68"/>
      <c r="G454" s="70"/>
      <c r="H454" s="70"/>
      <c r="I454" s="71"/>
      <c r="J454" s="71"/>
      <c r="K454" s="72"/>
      <c r="L454" s="68"/>
      <c r="M454" s="68"/>
      <c r="N454" s="73" t="s">
        <v>213</v>
      </c>
      <c r="O454" s="73" t="s">
        <v>213</v>
      </c>
      <c r="P454" s="73" t="s">
        <v>213</v>
      </c>
      <c r="Q454" s="73" t="s">
        <v>213</v>
      </c>
      <c r="R454" s="73" t="s">
        <v>213</v>
      </c>
      <c r="S454" s="73" t="s">
        <v>213</v>
      </c>
      <c r="T454" s="74" t="s">
        <v>213</v>
      </c>
      <c r="U454" s="75" t="s">
        <v>213</v>
      </c>
      <c r="V454" s="76" t="s">
        <v>213</v>
      </c>
      <c r="W454" s="77" t="s">
        <v>213</v>
      </c>
      <c r="X454" s="76" t="s">
        <v>213</v>
      </c>
      <c r="Y454" s="74" t="s">
        <v>213</v>
      </c>
      <c r="Z454" s="77" t="s">
        <v>213</v>
      </c>
    </row>
    <row r="455" ht="36" customHeight="1">
      <c r="A455" s="68"/>
      <c r="B455" s="69"/>
      <c r="C455" s="69"/>
      <c r="D455" s="68"/>
      <c r="E455" s="68"/>
      <c r="F455" s="68"/>
      <c r="G455" s="70"/>
      <c r="H455" s="70"/>
      <c r="I455" s="71"/>
      <c r="J455" s="71"/>
      <c r="K455" s="72"/>
      <c r="L455" s="68"/>
      <c r="M455" s="68"/>
      <c r="N455" s="73" t="s">
        <v>213</v>
      </c>
      <c r="O455" s="73" t="s">
        <v>213</v>
      </c>
      <c r="P455" s="73" t="s">
        <v>213</v>
      </c>
      <c r="Q455" s="73" t="s">
        <v>213</v>
      </c>
      <c r="R455" s="73" t="s">
        <v>213</v>
      </c>
      <c r="S455" s="73" t="s">
        <v>213</v>
      </c>
      <c r="T455" s="74" t="s">
        <v>213</v>
      </c>
      <c r="U455" s="75" t="s">
        <v>213</v>
      </c>
      <c r="V455" s="76" t="s">
        <v>213</v>
      </c>
      <c r="W455" s="77" t="s">
        <v>213</v>
      </c>
      <c r="X455" s="76" t="s">
        <v>213</v>
      </c>
      <c r="Y455" s="74" t="s">
        <v>213</v>
      </c>
      <c r="Z455" s="77" t="s">
        <v>213</v>
      </c>
    </row>
    <row r="456" ht="36" customHeight="1">
      <c r="A456" s="68"/>
      <c r="B456" s="69"/>
      <c r="C456" s="69"/>
      <c r="D456" s="68"/>
      <c r="E456" s="68"/>
      <c r="F456" s="68"/>
      <c r="G456" s="70"/>
      <c r="H456" s="70"/>
      <c r="I456" s="71"/>
      <c r="J456" s="71"/>
      <c r="K456" s="72"/>
      <c r="L456" s="68"/>
      <c r="M456" s="68"/>
      <c r="N456" s="73" t="s">
        <v>213</v>
      </c>
      <c r="O456" s="73" t="s">
        <v>213</v>
      </c>
      <c r="P456" s="73" t="s">
        <v>213</v>
      </c>
      <c r="Q456" s="73" t="s">
        <v>213</v>
      </c>
      <c r="R456" s="73" t="s">
        <v>213</v>
      </c>
      <c r="S456" s="73" t="s">
        <v>213</v>
      </c>
      <c r="T456" s="74" t="s">
        <v>213</v>
      </c>
      <c r="U456" s="75" t="s">
        <v>213</v>
      </c>
      <c r="V456" s="76" t="s">
        <v>213</v>
      </c>
      <c r="W456" s="77" t="s">
        <v>213</v>
      </c>
      <c r="X456" s="76" t="s">
        <v>213</v>
      </c>
      <c r="Y456" s="74" t="s">
        <v>213</v>
      </c>
      <c r="Z456" s="77" t="s">
        <v>213</v>
      </c>
    </row>
    <row r="457" ht="36" customHeight="1">
      <c r="A457" s="68"/>
      <c r="B457" s="69"/>
      <c r="C457" s="69"/>
      <c r="D457" s="68"/>
      <c r="E457" s="68"/>
      <c r="F457" s="68"/>
      <c r="G457" s="70"/>
      <c r="H457" s="70"/>
      <c r="I457" s="71"/>
      <c r="J457" s="71"/>
      <c r="K457" s="72"/>
      <c r="L457" s="68"/>
      <c r="M457" s="68"/>
      <c r="N457" s="73" t="s">
        <v>213</v>
      </c>
      <c r="O457" s="73" t="s">
        <v>213</v>
      </c>
      <c r="P457" s="73" t="s">
        <v>213</v>
      </c>
      <c r="Q457" s="73" t="s">
        <v>213</v>
      </c>
      <c r="R457" s="73" t="s">
        <v>213</v>
      </c>
      <c r="S457" s="73" t="s">
        <v>213</v>
      </c>
      <c r="T457" s="74" t="s">
        <v>213</v>
      </c>
      <c r="U457" s="75" t="s">
        <v>213</v>
      </c>
      <c r="V457" s="76" t="s">
        <v>213</v>
      </c>
      <c r="W457" s="77" t="s">
        <v>213</v>
      </c>
      <c r="X457" s="76" t="s">
        <v>213</v>
      </c>
      <c r="Y457" s="74" t="s">
        <v>213</v>
      </c>
      <c r="Z457" s="77" t="s">
        <v>213</v>
      </c>
    </row>
    <row r="458" ht="36" customHeight="1">
      <c r="A458" s="68"/>
      <c r="B458" s="69"/>
      <c r="C458" s="69"/>
      <c r="D458" s="68"/>
      <c r="E458" s="68"/>
      <c r="F458" s="68"/>
      <c r="G458" s="70"/>
      <c r="H458" s="70"/>
      <c r="I458" s="71"/>
      <c r="J458" s="71"/>
      <c r="K458" s="72"/>
      <c r="L458" s="68"/>
      <c r="M458" s="68"/>
      <c r="N458" s="73" t="s">
        <v>213</v>
      </c>
      <c r="O458" s="73" t="s">
        <v>213</v>
      </c>
      <c r="P458" s="73" t="s">
        <v>213</v>
      </c>
      <c r="Q458" s="73" t="s">
        <v>213</v>
      </c>
      <c r="R458" s="73" t="s">
        <v>213</v>
      </c>
      <c r="S458" s="73" t="s">
        <v>213</v>
      </c>
      <c r="T458" s="74" t="s">
        <v>213</v>
      </c>
      <c r="U458" s="75" t="s">
        <v>213</v>
      </c>
      <c r="V458" s="76" t="s">
        <v>213</v>
      </c>
      <c r="W458" s="77" t="s">
        <v>213</v>
      </c>
      <c r="X458" s="76" t="s">
        <v>213</v>
      </c>
      <c r="Y458" s="74" t="s">
        <v>213</v>
      </c>
      <c r="Z458" s="77" t="s">
        <v>213</v>
      </c>
    </row>
    <row r="459" ht="36" customHeight="1">
      <c r="A459" s="68"/>
      <c r="B459" s="69"/>
      <c r="C459" s="69"/>
      <c r="D459" s="68"/>
      <c r="E459" s="68"/>
      <c r="F459" s="68"/>
      <c r="G459" s="70"/>
      <c r="H459" s="70"/>
      <c r="I459" s="71"/>
      <c r="J459" s="71"/>
      <c r="K459" s="72"/>
      <c r="L459" s="68"/>
      <c r="M459" s="68"/>
      <c r="N459" s="73" t="s">
        <v>213</v>
      </c>
      <c r="O459" s="73" t="s">
        <v>213</v>
      </c>
      <c r="P459" s="73" t="s">
        <v>213</v>
      </c>
      <c r="Q459" s="73" t="s">
        <v>213</v>
      </c>
      <c r="R459" s="73" t="s">
        <v>213</v>
      </c>
      <c r="S459" s="73" t="s">
        <v>213</v>
      </c>
      <c r="T459" s="74" t="s">
        <v>213</v>
      </c>
      <c r="U459" s="75" t="s">
        <v>213</v>
      </c>
      <c r="V459" s="76" t="s">
        <v>213</v>
      </c>
      <c r="W459" s="77" t="s">
        <v>213</v>
      </c>
      <c r="X459" s="76" t="s">
        <v>213</v>
      </c>
      <c r="Y459" s="74" t="s">
        <v>213</v>
      </c>
      <c r="Z459" s="77" t="s">
        <v>213</v>
      </c>
    </row>
    <row r="460" ht="36" customHeight="1">
      <c r="A460" s="68"/>
      <c r="B460" s="69"/>
      <c r="C460" s="69"/>
      <c r="D460" s="68"/>
      <c r="E460" s="68"/>
      <c r="F460" s="68"/>
      <c r="G460" s="70"/>
      <c r="H460" s="70"/>
      <c r="I460" s="71"/>
      <c r="J460" s="71"/>
      <c r="K460" s="72"/>
      <c r="L460" s="68"/>
      <c r="M460" s="68"/>
      <c r="N460" s="73" t="s">
        <v>213</v>
      </c>
      <c r="O460" s="73" t="s">
        <v>213</v>
      </c>
      <c r="P460" s="73" t="s">
        <v>213</v>
      </c>
      <c r="Q460" s="73" t="s">
        <v>213</v>
      </c>
      <c r="R460" s="73" t="s">
        <v>213</v>
      </c>
      <c r="S460" s="73" t="s">
        <v>213</v>
      </c>
      <c r="T460" s="74" t="s">
        <v>213</v>
      </c>
      <c r="U460" s="75" t="s">
        <v>213</v>
      </c>
      <c r="V460" s="76" t="s">
        <v>213</v>
      </c>
      <c r="W460" s="77" t="s">
        <v>213</v>
      </c>
      <c r="X460" s="76" t="s">
        <v>213</v>
      </c>
      <c r="Y460" s="74" t="s">
        <v>213</v>
      </c>
      <c r="Z460" s="77" t="s">
        <v>213</v>
      </c>
    </row>
    <row r="461" ht="36" customHeight="1">
      <c r="A461" s="68"/>
      <c r="B461" s="69"/>
      <c r="C461" s="69"/>
      <c r="D461" s="68"/>
      <c r="E461" s="68"/>
      <c r="F461" s="68"/>
      <c r="G461" s="70"/>
      <c r="H461" s="70"/>
      <c r="I461" s="71"/>
      <c r="J461" s="71"/>
      <c r="K461" s="72"/>
      <c r="L461" s="68"/>
      <c r="M461" s="68"/>
      <c r="N461" s="73" t="s">
        <v>213</v>
      </c>
      <c r="O461" s="73" t="s">
        <v>213</v>
      </c>
      <c r="P461" s="73" t="s">
        <v>213</v>
      </c>
      <c r="Q461" s="73" t="s">
        <v>213</v>
      </c>
      <c r="R461" s="73" t="s">
        <v>213</v>
      </c>
      <c r="S461" s="73" t="s">
        <v>213</v>
      </c>
      <c r="T461" s="74" t="s">
        <v>213</v>
      </c>
      <c r="U461" s="75" t="s">
        <v>213</v>
      </c>
      <c r="V461" s="76" t="s">
        <v>213</v>
      </c>
      <c r="W461" s="77" t="s">
        <v>213</v>
      </c>
      <c r="X461" s="76" t="s">
        <v>213</v>
      </c>
      <c r="Y461" s="74" t="s">
        <v>213</v>
      </c>
      <c r="Z461" s="77" t="s">
        <v>213</v>
      </c>
    </row>
    <row r="462" ht="36" customHeight="1">
      <c r="A462" s="68"/>
      <c r="B462" s="69"/>
      <c r="C462" s="69"/>
      <c r="D462" s="68"/>
      <c r="E462" s="68"/>
      <c r="F462" s="68"/>
      <c r="G462" s="70"/>
      <c r="H462" s="70"/>
      <c r="I462" s="71"/>
      <c r="J462" s="71"/>
      <c r="K462" s="72"/>
      <c r="L462" s="68"/>
      <c r="M462" s="68"/>
      <c r="N462" s="73" t="s">
        <v>213</v>
      </c>
      <c r="O462" s="73" t="s">
        <v>213</v>
      </c>
      <c r="P462" s="73" t="s">
        <v>213</v>
      </c>
      <c r="Q462" s="73" t="s">
        <v>213</v>
      </c>
      <c r="R462" s="73" t="s">
        <v>213</v>
      </c>
      <c r="S462" s="73" t="s">
        <v>213</v>
      </c>
      <c r="T462" s="74" t="s">
        <v>213</v>
      </c>
      <c r="U462" s="75" t="s">
        <v>213</v>
      </c>
      <c r="V462" s="76" t="s">
        <v>213</v>
      </c>
      <c r="W462" s="77" t="s">
        <v>213</v>
      </c>
      <c r="X462" s="76" t="s">
        <v>213</v>
      </c>
      <c r="Y462" s="74" t="s">
        <v>213</v>
      </c>
      <c r="Z462" s="77" t="s">
        <v>213</v>
      </c>
    </row>
    <row r="463" ht="36" customHeight="1">
      <c r="A463" s="68"/>
      <c r="B463" s="69"/>
      <c r="C463" s="69"/>
      <c r="D463" s="68"/>
      <c r="E463" s="68"/>
      <c r="F463" s="68"/>
      <c r="G463" s="70"/>
      <c r="H463" s="70"/>
      <c r="I463" s="71"/>
      <c r="J463" s="71"/>
      <c r="K463" s="72"/>
      <c r="L463" s="68"/>
      <c r="M463" s="68"/>
      <c r="N463" s="73" t="s">
        <v>213</v>
      </c>
      <c r="O463" s="73" t="s">
        <v>213</v>
      </c>
      <c r="P463" s="73" t="s">
        <v>213</v>
      </c>
      <c r="Q463" s="73" t="s">
        <v>213</v>
      </c>
      <c r="R463" s="73" t="s">
        <v>213</v>
      </c>
      <c r="S463" s="73" t="s">
        <v>213</v>
      </c>
      <c r="T463" s="74" t="s">
        <v>213</v>
      </c>
      <c r="U463" s="75" t="s">
        <v>213</v>
      </c>
      <c r="V463" s="76" t="s">
        <v>213</v>
      </c>
      <c r="W463" s="77" t="s">
        <v>213</v>
      </c>
      <c r="X463" s="76" t="s">
        <v>213</v>
      </c>
      <c r="Y463" s="74" t="s">
        <v>213</v>
      </c>
      <c r="Z463" s="77" t="s">
        <v>213</v>
      </c>
    </row>
    <row r="464" ht="36" customHeight="1">
      <c r="A464" s="68"/>
      <c r="B464" s="69"/>
      <c r="C464" s="69"/>
      <c r="D464" s="68"/>
      <c r="E464" s="68"/>
      <c r="F464" s="68"/>
      <c r="G464" s="70"/>
      <c r="H464" s="70"/>
      <c r="I464" s="71"/>
      <c r="J464" s="71"/>
      <c r="K464" s="72"/>
      <c r="L464" s="68"/>
      <c r="M464" s="68"/>
      <c r="N464" s="73" t="s">
        <v>213</v>
      </c>
      <c r="O464" s="73" t="s">
        <v>213</v>
      </c>
      <c r="P464" s="73" t="s">
        <v>213</v>
      </c>
      <c r="Q464" s="73" t="s">
        <v>213</v>
      </c>
      <c r="R464" s="73" t="s">
        <v>213</v>
      </c>
      <c r="S464" s="73" t="s">
        <v>213</v>
      </c>
      <c r="T464" s="74" t="s">
        <v>213</v>
      </c>
      <c r="U464" s="75" t="s">
        <v>213</v>
      </c>
      <c r="V464" s="76" t="s">
        <v>213</v>
      </c>
      <c r="W464" s="77" t="s">
        <v>213</v>
      </c>
      <c r="X464" s="76" t="s">
        <v>213</v>
      </c>
      <c r="Y464" s="74" t="s">
        <v>213</v>
      </c>
      <c r="Z464" s="77" t="s">
        <v>213</v>
      </c>
    </row>
    <row r="465" ht="36" customHeight="1">
      <c r="A465" s="68"/>
      <c r="B465" s="69"/>
      <c r="C465" s="69"/>
      <c r="D465" s="68"/>
      <c r="E465" s="68"/>
      <c r="F465" s="68"/>
      <c r="G465" s="70"/>
      <c r="H465" s="70"/>
      <c r="I465" s="71"/>
      <c r="J465" s="71"/>
      <c r="K465" s="72"/>
      <c r="L465" s="68"/>
      <c r="M465" s="68"/>
      <c r="N465" s="73" t="s">
        <v>213</v>
      </c>
      <c r="O465" s="73" t="s">
        <v>213</v>
      </c>
      <c r="P465" s="73" t="s">
        <v>213</v>
      </c>
      <c r="Q465" s="73" t="s">
        <v>213</v>
      </c>
      <c r="R465" s="73" t="s">
        <v>213</v>
      </c>
      <c r="S465" s="73" t="s">
        <v>213</v>
      </c>
      <c r="T465" s="74" t="s">
        <v>213</v>
      </c>
      <c r="U465" s="75" t="s">
        <v>213</v>
      </c>
      <c r="V465" s="76" t="s">
        <v>213</v>
      </c>
      <c r="W465" s="77" t="s">
        <v>213</v>
      </c>
      <c r="X465" s="76" t="s">
        <v>213</v>
      </c>
      <c r="Y465" s="74" t="s">
        <v>213</v>
      </c>
      <c r="Z465" s="77" t="s">
        <v>213</v>
      </c>
    </row>
    <row r="466" ht="36" customHeight="1">
      <c r="A466" s="68"/>
      <c r="B466" s="69"/>
      <c r="C466" s="69"/>
      <c r="D466" s="68"/>
      <c r="E466" s="68"/>
      <c r="F466" s="68"/>
      <c r="G466" s="70"/>
      <c r="H466" s="70"/>
      <c r="I466" s="71"/>
      <c r="J466" s="71"/>
      <c r="K466" s="72"/>
      <c r="L466" s="68"/>
      <c r="M466" s="68"/>
      <c r="N466" s="73" t="s">
        <v>213</v>
      </c>
      <c r="O466" s="73" t="s">
        <v>213</v>
      </c>
      <c r="P466" s="73" t="s">
        <v>213</v>
      </c>
      <c r="Q466" s="73" t="s">
        <v>213</v>
      </c>
      <c r="R466" s="73" t="s">
        <v>213</v>
      </c>
      <c r="S466" s="73" t="s">
        <v>213</v>
      </c>
      <c r="T466" s="74" t="s">
        <v>213</v>
      </c>
      <c r="U466" s="75" t="s">
        <v>213</v>
      </c>
      <c r="V466" s="76" t="s">
        <v>213</v>
      </c>
      <c r="W466" s="77" t="s">
        <v>213</v>
      </c>
      <c r="X466" s="76" t="s">
        <v>213</v>
      </c>
      <c r="Y466" s="74" t="s">
        <v>213</v>
      </c>
      <c r="Z466" s="77" t="s">
        <v>213</v>
      </c>
    </row>
    <row r="467" ht="36" customHeight="1">
      <c r="A467" s="68"/>
      <c r="B467" s="69"/>
      <c r="C467" s="69"/>
      <c r="D467" s="68"/>
      <c r="E467" s="68"/>
      <c r="F467" s="68"/>
      <c r="G467" s="70"/>
      <c r="H467" s="70"/>
      <c r="I467" s="71"/>
      <c r="J467" s="71"/>
      <c r="K467" s="72"/>
      <c r="L467" s="68"/>
      <c r="M467" s="68"/>
      <c r="N467" s="73" t="s">
        <v>213</v>
      </c>
      <c r="O467" s="73" t="s">
        <v>213</v>
      </c>
      <c r="P467" s="73" t="s">
        <v>213</v>
      </c>
      <c r="Q467" s="73" t="s">
        <v>213</v>
      </c>
      <c r="R467" s="73" t="s">
        <v>213</v>
      </c>
      <c r="S467" s="73" t="s">
        <v>213</v>
      </c>
      <c r="T467" s="74" t="s">
        <v>213</v>
      </c>
      <c r="U467" s="75" t="s">
        <v>213</v>
      </c>
      <c r="V467" s="76" t="s">
        <v>213</v>
      </c>
      <c r="W467" s="77" t="s">
        <v>213</v>
      </c>
      <c r="X467" s="76" t="s">
        <v>213</v>
      </c>
      <c r="Y467" s="74" t="s">
        <v>213</v>
      </c>
      <c r="Z467" s="77" t="s">
        <v>213</v>
      </c>
    </row>
    <row r="468" ht="36" customHeight="1">
      <c r="A468" s="68"/>
      <c r="B468" s="69"/>
      <c r="C468" s="69"/>
      <c r="D468" s="68"/>
      <c r="E468" s="68"/>
      <c r="F468" s="68"/>
      <c r="G468" s="70"/>
      <c r="H468" s="70"/>
      <c r="I468" s="71"/>
      <c r="J468" s="71"/>
      <c r="K468" s="72"/>
      <c r="L468" s="68"/>
      <c r="M468" s="68"/>
      <c r="N468" s="73" t="s">
        <v>213</v>
      </c>
      <c r="O468" s="73" t="s">
        <v>213</v>
      </c>
      <c r="P468" s="73" t="s">
        <v>213</v>
      </c>
      <c r="Q468" s="73" t="s">
        <v>213</v>
      </c>
      <c r="R468" s="73" t="s">
        <v>213</v>
      </c>
      <c r="S468" s="73" t="s">
        <v>213</v>
      </c>
      <c r="T468" s="74" t="s">
        <v>213</v>
      </c>
      <c r="U468" s="75" t="s">
        <v>213</v>
      </c>
      <c r="V468" s="76" t="s">
        <v>213</v>
      </c>
      <c r="W468" s="77" t="s">
        <v>213</v>
      </c>
      <c r="X468" s="76" t="s">
        <v>213</v>
      </c>
      <c r="Y468" s="74" t="s">
        <v>213</v>
      </c>
      <c r="Z468" s="77" t="s">
        <v>213</v>
      </c>
    </row>
    <row r="469" ht="36" customHeight="1">
      <c r="A469" s="68"/>
      <c r="B469" s="69"/>
      <c r="C469" s="69"/>
      <c r="D469" s="68"/>
      <c r="E469" s="68"/>
      <c r="F469" s="68"/>
      <c r="G469" s="70"/>
      <c r="H469" s="70"/>
      <c r="I469" s="71"/>
      <c r="J469" s="71"/>
      <c r="K469" s="72"/>
      <c r="L469" s="68"/>
      <c r="M469" s="68"/>
      <c r="N469" s="73" t="s">
        <v>213</v>
      </c>
      <c r="O469" s="73" t="s">
        <v>213</v>
      </c>
      <c r="P469" s="73" t="s">
        <v>213</v>
      </c>
      <c r="Q469" s="73" t="s">
        <v>213</v>
      </c>
      <c r="R469" s="73" t="s">
        <v>213</v>
      </c>
      <c r="S469" s="73" t="s">
        <v>213</v>
      </c>
      <c r="T469" s="74" t="s">
        <v>213</v>
      </c>
      <c r="U469" s="75" t="s">
        <v>213</v>
      </c>
      <c r="V469" s="76" t="s">
        <v>213</v>
      </c>
      <c r="W469" s="77" t="s">
        <v>213</v>
      </c>
      <c r="X469" s="76" t="s">
        <v>213</v>
      </c>
      <c r="Y469" s="74" t="s">
        <v>213</v>
      </c>
      <c r="Z469" s="77" t="s">
        <v>213</v>
      </c>
    </row>
    <row r="470" ht="36" customHeight="1">
      <c r="A470" s="68"/>
      <c r="B470" s="69"/>
      <c r="C470" s="69"/>
      <c r="D470" s="68"/>
      <c r="E470" s="68"/>
      <c r="F470" s="68"/>
      <c r="G470" s="70"/>
      <c r="H470" s="70"/>
      <c r="I470" s="71"/>
      <c r="J470" s="71"/>
      <c r="K470" s="72"/>
      <c r="L470" s="68"/>
      <c r="M470" s="68"/>
      <c r="N470" s="73" t="s">
        <v>213</v>
      </c>
      <c r="O470" s="73" t="s">
        <v>213</v>
      </c>
      <c r="P470" s="73" t="s">
        <v>213</v>
      </c>
      <c r="Q470" s="73" t="s">
        <v>213</v>
      </c>
      <c r="R470" s="73" t="s">
        <v>213</v>
      </c>
      <c r="S470" s="73" t="s">
        <v>213</v>
      </c>
      <c r="T470" s="74" t="s">
        <v>213</v>
      </c>
      <c r="U470" s="75" t="s">
        <v>213</v>
      </c>
      <c r="V470" s="76" t="s">
        <v>213</v>
      </c>
      <c r="W470" s="77" t="s">
        <v>213</v>
      </c>
      <c r="X470" s="76" t="s">
        <v>213</v>
      </c>
      <c r="Y470" s="74" t="s">
        <v>213</v>
      </c>
      <c r="Z470" s="77" t="s">
        <v>213</v>
      </c>
    </row>
    <row r="471" ht="36" customHeight="1">
      <c r="A471" s="68"/>
      <c r="B471" s="69"/>
      <c r="C471" s="69"/>
      <c r="D471" s="68"/>
      <c r="E471" s="68"/>
      <c r="F471" s="68"/>
      <c r="G471" s="70"/>
      <c r="H471" s="70"/>
      <c r="I471" s="71"/>
      <c r="J471" s="71"/>
      <c r="K471" s="72"/>
      <c r="L471" s="68"/>
      <c r="M471" s="68"/>
      <c r="N471" s="73" t="s">
        <v>213</v>
      </c>
      <c r="O471" s="73" t="s">
        <v>213</v>
      </c>
      <c r="P471" s="73" t="s">
        <v>213</v>
      </c>
      <c r="Q471" s="73" t="s">
        <v>213</v>
      </c>
      <c r="R471" s="73" t="s">
        <v>213</v>
      </c>
      <c r="S471" s="73" t="s">
        <v>213</v>
      </c>
      <c r="T471" s="74" t="s">
        <v>213</v>
      </c>
      <c r="U471" s="75" t="s">
        <v>213</v>
      </c>
      <c r="V471" s="76" t="s">
        <v>213</v>
      </c>
      <c r="W471" s="77" t="s">
        <v>213</v>
      </c>
      <c r="X471" s="76" t="s">
        <v>213</v>
      </c>
      <c r="Y471" s="74" t="s">
        <v>213</v>
      </c>
      <c r="Z471" s="77" t="s">
        <v>213</v>
      </c>
    </row>
    <row r="472" ht="36" customHeight="1">
      <c r="A472" s="68"/>
      <c r="B472" s="69"/>
      <c r="C472" s="69"/>
      <c r="D472" s="68"/>
      <c r="E472" s="68"/>
      <c r="F472" s="68"/>
      <c r="G472" s="70"/>
      <c r="H472" s="70"/>
      <c r="I472" s="71"/>
      <c r="J472" s="71"/>
      <c r="K472" s="72"/>
      <c r="L472" s="68"/>
      <c r="M472" s="68"/>
      <c r="N472" s="73" t="s">
        <v>213</v>
      </c>
      <c r="O472" s="73" t="s">
        <v>213</v>
      </c>
      <c r="P472" s="73" t="s">
        <v>213</v>
      </c>
      <c r="Q472" s="73" t="s">
        <v>213</v>
      </c>
      <c r="R472" s="73" t="s">
        <v>213</v>
      </c>
      <c r="S472" s="73" t="s">
        <v>213</v>
      </c>
      <c r="T472" s="74" t="s">
        <v>213</v>
      </c>
      <c r="U472" s="75" t="s">
        <v>213</v>
      </c>
      <c r="V472" s="76" t="s">
        <v>213</v>
      </c>
      <c r="W472" s="77" t="s">
        <v>213</v>
      </c>
      <c r="X472" s="76" t="s">
        <v>213</v>
      </c>
      <c r="Y472" s="74" t="s">
        <v>213</v>
      </c>
      <c r="Z472" s="77" t="s">
        <v>213</v>
      </c>
    </row>
    <row r="473" ht="36" customHeight="1">
      <c r="A473" s="68"/>
      <c r="B473" s="69"/>
      <c r="C473" s="69"/>
      <c r="D473" s="68"/>
      <c r="E473" s="68"/>
      <c r="F473" s="68"/>
      <c r="G473" s="70"/>
      <c r="H473" s="70"/>
      <c r="I473" s="71"/>
      <c r="J473" s="71"/>
      <c r="K473" s="72"/>
      <c r="L473" s="68"/>
      <c r="M473" s="68"/>
      <c r="N473" s="73" t="s">
        <v>213</v>
      </c>
      <c r="O473" s="73" t="s">
        <v>213</v>
      </c>
      <c r="P473" s="73" t="s">
        <v>213</v>
      </c>
      <c r="Q473" s="73" t="s">
        <v>213</v>
      </c>
      <c r="R473" s="73" t="s">
        <v>213</v>
      </c>
      <c r="S473" s="73" t="s">
        <v>213</v>
      </c>
      <c r="T473" s="74" t="s">
        <v>213</v>
      </c>
      <c r="U473" s="75" t="s">
        <v>213</v>
      </c>
      <c r="V473" s="76" t="s">
        <v>213</v>
      </c>
      <c r="W473" s="77" t="s">
        <v>213</v>
      </c>
      <c r="X473" s="76" t="s">
        <v>213</v>
      </c>
      <c r="Y473" s="74" t="s">
        <v>213</v>
      </c>
      <c r="Z473" s="77" t="s">
        <v>213</v>
      </c>
    </row>
    <row r="474" ht="36" customHeight="1">
      <c r="A474" s="68"/>
      <c r="B474" s="69"/>
      <c r="C474" s="69"/>
      <c r="D474" s="68"/>
      <c r="E474" s="68"/>
      <c r="F474" s="68"/>
      <c r="G474" s="70"/>
      <c r="H474" s="70"/>
      <c r="I474" s="71"/>
      <c r="J474" s="71"/>
      <c r="K474" s="72"/>
      <c r="L474" s="68"/>
      <c r="M474" s="68"/>
      <c r="N474" s="73" t="s">
        <v>213</v>
      </c>
      <c r="O474" s="73" t="s">
        <v>213</v>
      </c>
      <c r="P474" s="73" t="s">
        <v>213</v>
      </c>
      <c r="Q474" s="73" t="s">
        <v>213</v>
      </c>
      <c r="R474" s="73" t="s">
        <v>213</v>
      </c>
      <c r="S474" s="73" t="s">
        <v>213</v>
      </c>
      <c r="T474" s="74" t="s">
        <v>213</v>
      </c>
      <c r="U474" s="75" t="s">
        <v>213</v>
      </c>
      <c r="V474" s="76" t="s">
        <v>213</v>
      </c>
      <c r="W474" s="77" t="s">
        <v>213</v>
      </c>
      <c r="X474" s="76" t="s">
        <v>213</v>
      </c>
      <c r="Y474" s="74" t="s">
        <v>213</v>
      </c>
      <c r="Z474" s="77" t="s">
        <v>213</v>
      </c>
    </row>
    <row r="475" ht="36" customHeight="1">
      <c r="A475" s="68"/>
      <c r="B475" s="69"/>
      <c r="C475" s="69"/>
      <c r="D475" s="68"/>
      <c r="E475" s="68"/>
      <c r="F475" s="68"/>
      <c r="G475" s="70"/>
      <c r="H475" s="70"/>
      <c r="I475" s="71"/>
      <c r="J475" s="71"/>
      <c r="K475" s="72"/>
      <c r="L475" s="68"/>
      <c r="M475" s="68"/>
      <c r="N475" s="73" t="s">
        <v>213</v>
      </c>
      <c r="O475" s="73" t="s">
        <v>213</v>
      </c>
      <c r="P475" s="73" t="s">
        <v>213</v>
      </c>
      <c r="Q475" s="73" t="s">
        <v>213</v>
      </c>
      <c r="R475" s="73" t="s">
        <v>213</v>
      </c>
      <c r="S475" s="73" t="s">
        <v>213</v>
      </c>
      <c r="T475" s="74" t="s">
        <v>213</v>
      </c>
      <c r="U475" s="75" t="s">
        <v>213</v>
      </c>
      <c r="V475" s="76" t="s">
        <v>213</v>
      </c>
      <c r="W475" s="77" t="s">
        <v>213</v>
      </c>
      <c r="X475" s="76" t="s">
        <v>213</v>
      </c>
      <c r="Y475" s="74" t="s">
        <v>213</v>
      </c>
      <c r="Z475" s="77" t="s">
        <v>213</v>
      </c>
    </row>
    <row r="476" ht="36" customHeight="1">
      <c r="A476" s="68"/>
      <c r="B476" s="69"/>
      <c r="C476" s="69"/>
      <c r="D476" s="68"/>
      <c r="E476" s="68"/>
      <c r="F476" s="68"/>
      <c r="G476" s="70"/>
      <c r="H476" s="70"/>
      <c r="I476" s="71"/>
      <c r="J476" s="71"/>
      <c r="K476" s="72"/>
      <c r="L476" s="68"/>
      <c r="M476" s="68"/>
      <c r="N476" s="73" t="s">
        <v>213</v>
      </c>
      <c r="O476" s="73" t="s">
        <v>213</v>
      </c>
      <c r="P476" s="73" t="s">
        <v>213</v>
      </c>
      <c r="Q476" s="73" t="s">
        <v>213</v>
      </c>
      <c r="R476" s="73" t="s">
        <v>213</v>
      </c>
      <c r="S476" s="73" t="s">
        <v>213</v>
      </c>
      <c r="T476" s="74" t="s">
        <v>213</v>
      </c>
      <c r="U476" s="75" t="s">
        <v>213</v>
      </c>
      <c r="V476" s="76" t="s">
        <v>213</v>
      </c>
      <c r="W476" s="77" t="s">
        <v>213</v>
      </c>
      <c r="X476" s="76" t="s">
        <v>213</v>
      </c>
      <c r="Y476" s="74" t="s">
        <v>213</v>
      </c>
      <c r="Z476" s="77" t="s">
        <v>213</v>
      </c>
    </row>
    <row r="477" ht="36" customHeight="1">
      <c r="A477" s="68"/>
      <c r="B477" s="69"/>
      <c r="C477" s="69"/>
      <c r="D477" s="68"/>
      <c r="E477" s="68"/>
      <c r="F477" s="68"/>
      <c r="G477" s="70"/>
      <c r="H477" s="70"/>
      <c r="I477" s="71"/>
      <c r="J477" s="71"/>
      <c r="K477" s="72"/>
      <c r="L477" s="68"/>
      <c r="M477" s="68"/>
      <c r="N477" s="73" t="s">
        <v>213</v>
      </c>
      <c r="O477" s="73" t="s">
        <v>213</v>
      </c>
      <c r="P477" s="73" t="s">
        <v>213</v>
      </c>
      <c r="Q477" s="73" t="s">
        <v>213</v>
      </c>
      <c r="R477" s="73" t="s">
        <v>213</v>
      </c>
      <c r="S477" s="73" t="s">
        <v>213</v>
      </c>
      <c r="T477" s="74" t="s">
        <v>213</v>
      </c>
      <c r="U477" s="75" t="s">
        <v>213</v>
      </c>
      <c r="V477" s="76" t="s">
        <v>213</v>
      </c>
      <c r="W477" s="77" t="s">
        <v>213</v>
      </c>
      <c r="X477" s="76" t="s">
        <v>213</v>
      </c>
      <c r="Y477" s="74" t="s">
        <v>213</v>
      </c>
      <c r="Z477" s="77" t="s">
        <v>213</v>
      </c>
    </row>
    <row r="478" ht="36" customHeight="1">
      <c r="A478" s="68"/>
      <c r="B478" s="69"/>
      <c r="C478" s="69"/>
      <c r="D478" s="68"/>
      <c r="E478" s="68"/>
      <c r="F478" s="68"/>
      <c r="G478" s="70"/>
      <c r="H478" s="70"/>
      <c r="I478" s="71"/>
      <c r="J478" s="71"/>
      <c r="K478" s="72"/>
      <c r="L478" s="68"/>
      <c r="M478" s="68"/>
      <c r="N478" s="73" t="s">
        <v>213</v>
      </c>
      <c r="O478" s="73" t="s">
        <v>213</v>
      </c>
      <c r="P478" s="73" t="s">
        <v>213</v>
      </c>
      <c r="Q478" s="73" t="s">
        <v>213</v>
      </c>
      <c r="R478" s="73" t="s">
        <v>213</v>
      </c>
      <c r="S478" s="73" t="s">
        <v>213</v>
      </c>
      <c r="T478" s="74" t="s">
        <v>213</v>
      </c>
      <c r="U478" s="75" t="s">
        <v>213</v>
      </c>
      <c r="V478" s="76" t="s">
        <v>213</v>
      </c>
      <c r="W478" s="77" t="s">
        <v>213</v>
      </c>
      <c r="X478" s="76" t="s">
        <v>213</v>
      </c>
      <c r="Y478" s="74" t="s">
        <v>213</v>
      </c>
      <c r="Z478" s="77" t="s">
        <v>213</v>
      </c>
    </row>
    <row r="479" ht="36" customHeight="1">
      <c r="A479" s="68"/>
      <c r="B479" s="69"/>
      <c r="C479" s="69"/>
      <c r="D479" s="68"/>
      <c r="E479" s="68"/>
      <c r="F479" s="68"/>
      <c r="G479" s="70"/>
      <c r="H479" s="70"/>
      <c r="I479" s="71"/>
      <c r="J479" s="71"/>
      <c r="K479" s="72"/>
      <c r="L479" s="68"/>
      <c r="M479" s="68"/>
      <c r="N479" s="73" t="s">
        <v>213</v>
      </c>
      <c r="O479" s="73" t="s">
        <v>213</v>
      </c>
      <c r="P479" s="73" t="s">
        <v>213</v>
      </c>
      <c r="Q479" s="73" t="s">
        <v>213</v>
      </c>
      <c r="R479" s="73" t="s">
        <v>213</v>
      </c>
      <c r="S479" s="73" t="s">
        <v>213</v>
      </c>
      <c r="T479" s="74" t="s">
        <v>213</v>
      </c>
      <c r="U479" s="75" t="s">
        <v>213</v>
      </c>
      <c r="V479" s="76" t="s">
        <v>213</v>
      </c>
      <c r="W479" s="77" t="s">
        <v>213</v>
      </c>
      <c r="X479" s="76" t="s">
        <v>213</v>
      </c>
      <c r="Y479" s="74" t="s">
        <v>213</v>
      </c>
      <c r="Z479" s="77" t="s">
        <v>213</v>
      </c>
    </row>
    <row r="480" ht="36" customHeight="1">
      <c r="A480" s="68"/>
      <c r="B480" s="69"/>
      <c r="C480" s="69"/>
      <c r="D480" s="68"/>
      <c r="E480" s="68"/>
      <c r="F480" s="68"/>
      <c r="G480" s="70"/>
      <c r="H480" s="70"/>
      <c r="I480" s="71"/>
      <c r="J480" s="71"/>
      <c r="K480" s="72"/>
      <c r="L480" s="68"/>
      <c r="M480" s="68"/>
      <c r="N480" s="73" t="s">
        <v>213</v>
      </c>
      <c r="O480" s="73" t="s">
        <v>213</v>
      </c>
      <c r="P480" s="73" t="s">
        <v>213</v>
      </c>
      <c r="Q480" s="73" t="s">
        <v>213</v>
      </c>
      <c r="R480" s="73" t="s">
        <v>213</v>
      </c>
      <c r="S480" s="73" t="s">
        <v>213</v>
      </c>
      <c r="T480" s="74" t="s">
        <v>213</v>
      </c>
      <c r="U480" s="75" t="s">
        <v>213</v>
      </c>
      <c r="V480" s="76" t="s">
        <v>213</v>
      </c>
      <c r="W480" s="77" t="s">
        <v>213</v>
      </c>
      <c r="X480" s="76" t="s">
        <v>213</v>
      </c>
      <c r="Y480" s="74" t="s">
        <v>213</v>
      </c>
      <c r="Z480" s="77" t="s">
        <v>213</v>
      </c>
    </row>
    <row r="481" ht="36" customHeight="1">
      <c r="A481" s="68"/>
      <c r="B481" s="69"/>
      <c r="C481" s="69"/>
      <c r="D481" s="68"/>
      <c r="E481" s="68"/>
      <c r="F481" s="68"/>
      <c r="G481" s="70"/>
      <c r="H481" s="70"/>
      <c r="I481" s="71"/>
      <c r="J481" s="71"/>
      <c r="K481" s="72"/>
      <c r="L481" s="68"/>
      <c r="M481" s="68"/>
      <c r="N481" s="73" t="s">
        <v>213</v>
      </c>
      <c r="O481" s="73" t="s">
        <v>213</v>
      </c>
      <c r="P481" s="73" t="s">
        <v>213</v>
      </c>
      <c r="Q481" s="73" t="s">
        <v>213</v>
      </c>
      <c r="R481" s="73" t="s">
        <v>213</v>
      </c>
      <c r="S481" s="73" t="s">
        <v>213</v>
      </c>
      <c r="T481" s="74" t="s">
        <v>213</v>
      </c>
      <c r="U481" s="75" t="s">
        <v>213</v>
      </c>
      <c r="V481" s="76" t="s">
        <v>213</v>
      </c>
      <c r="W481" s="77" t="s">
        <v>213</v>
      </c>
      <c r="X481" s="76" t="s">
        <v>213</v>
      </c>
      <c r="Y481" s="74" t="s">
        <v>213</v>
      </c>
      <c r="Z481" s="77" t="s">
        <v>213</v>
      </c>
    </row>
    <row r="482" ht="36" customHeight="1">
      <c r="A482" s="68"/>
      <c r="B482" s="69"/>
      <c r="C482" s="69"/>
      <c r="D482" s="68"/>
      <c r="E482" s="68"/>
      <c r="F482" s="68"/>
      <c r="G482" s="70"/>
      <c r="H482" s="70"/>
      <c r="I482" s="71"/>
      <c r="J482" s="71"/>
      <c r="K482" s="72"/>
      <c r="L482" s="68"/>
      <c r="M482" s="68"/>
      <c r="N482" s="73" t="s">
        <v>213</v>
      </c>
      <c r="O482" s="73" t="s">
        <v>213</v>
      </c>
      <c r="P482" s="73" t="s">
        <v>213</v>
      </c>
      <c r="Q482" s="73" t="s">
        <v>213</v>
      </c>
      <c r="R482" s="73" t="s">
        <v>213</v>
      </c>
      <c r="S482" s="73" t="s">
        <v>213</v>
      </c>
      <c r="T482" s="74" t="s">
        <v>213</v>
      </c>
      <c r="U482" s="75" t="s">
        <v>213</v>
      </c>
      <c r="V482" s="76" t="s">
        <v>213</v>
      </c>
      <c r="W482" s="77" t="s">
        <v>213</v>
      </c>
      <c r="X482" s="76" t="s">
        <v>213</v>
      </c>
      <c r="Y482" s="74" t="s">
        <v>213</v>
      </c>
      <c r="Z482" s="77" t="s">
        <v>213</v>
      </c>
    </row>
    <row r="483" ht="36" customHeight="1">
      <c r="A483" s="68"/>
      <c r="B483" s="69"/>
      <c r="C483" s="69"/>
      <c r="D483" s="68"/>
      <c r="E483" s="68"/>
      <c r="F483" s="68"/>
      <c r="G483" s="70"/>
      <c r="H483" s="70"/>
      <c r="I483" s="71"/>
      <c r="J483" s="71"/>
      <c r="K483" s="72"/>
      <c r="L483" s="68"/>
      <c r="M483" s="68"/>
      <c r="N483" s="73" t="s">
        <v>213</v>
      </c>
      <c r="O483" s="73" t="s">
        <v>213</v>
      </c>
      <c r="P483" s="73" t="s">
        <v>213</v>
      </c>
      <c r="Q483" s="73" t="s">
        <v>213</v>
      </c>
      <c r="R483" s="73" t="s">
        <v>213</v>
      </c>
      <c r="S483" s="73" t="s">
        <v>213</v>
      </c>
      <c r="T483" s="74" t="s">
        <v>213</v>
      </c>
      <c r="U483" s="75" t="s">
        <v>213</v>
      </c>
      <c r="V483" s="76" t="s">
        <v>213</v>
      </c>
      <c r="W483" s="77" t="s">
        <v>213</v>
      </c>
      <c r="X483" s="76" t="s">
        <v>213</v>
      </c>
      <c r="Y483" s="74" t="s">
        <v>213</v>
      </c>
      <c r="Z483" s="77" t="s">
        <v>213</v>
      </c>
    </row>
    <row r="484" ht="36" customHeight="1">
      <c r="A484" s="68"/>
      <c r="B484" s="69"/>
      <c r="C484" s="69"/>
      <c r="D484" s="68"/>
      <c r="E484" s="68"/>
      <c r="F484" s="68"/>
      <c r="G484" s="70"/>
      <c r="H484" s="70"/>
      <c r="I484" s="71"/>
      <c r="J484" s="71"/>
      <c r="K484" s="72"/>
      <c r="L484" s="68"/>
      <c r="M484" s="68"/>
      <c r="N484" s="73" t="s">
        <v>213</v>
      </c>
      <c r="O484" s="73" t="s">
        <v>213</v>
      </c>
      <c r="P484" s="73" t="s">
        <v>213</v>
      </c>
      <c r="Q484" s="73" t="s">
        <v>213</v>
      </c>
      <c r="R484" s="73" t="s">
        <v>213</v>
      </c>
      <c r="S484" s="73" t="s">
        <v>213</v>
      </c>
      <c r="T484" s="74" t="s">
        <v>213</v>
      </c>
      <c r="U484" s="75" t="s">
        <v>213</v>
      </c>
      <c r="V484" s="76" t="s">
        <v>213</v>
      </c>
      <c r="W484" s="77" t="s">
        <v>213</v>
      </c>
      <c r="X484" s="76" t="s">
        <v>213</v>
      </c>
      <c r="Y484" s="74" t="s">
        <v>213</v>
      </c>
      <c r="Z484" s="77" t="s">
        <v>213</v>
      </c>
    </row>
    <row r="485" ht="36" customHeight="1">
      <c r="A485" s="68"/>
      <c r="B485" s="69"/>
      <c r="C485" s="69"/>
      <c r="D485" s="68"/>
      <c r="E485" s="68"/>
      <c r="F485" s="68"/>
      <c r="G485" s="70"/>
      <c r="H485" s="70"/>
      <c r="I485" s="71"/>
      <c r="J485" s="71"/>
      <c r="K485" s="72"/>
      <c r="L485" s="68"/>
      <c r="M485" s="68"/>
      <c r="N485" s="73" t="s">
        <v>213</v>
      </c>
      <c r="O485" s="73" t="s">
        <v>213</v>
      </c>
      <c r="P485" s="73" t="s">
        <v>213</v>
      </c>
      <c r="Q485" s="73" t="s">
        <v>213</v>
      </c>
      <c r="R485" s="73" t="s">
        <v>213</v>
      </c>
      <c r="S485" s="73" t="s">
        <v>213</v>
      </c>
      <c r="T485" s="74" t="s">
        <v>213</v>
      </c>
      <c r="U485" s="75" t="s">
        <v>213</v>
      </c>
      <c r="V485" s="76" t="s">
        <v>213</v>
      </c>
      <c r="W485" s="77" t="s">
        <v>213</v>
      </c>
      <c r="X485" s="76" t="s">
        <v>213</v>
      </c>
      <c r="Y485" s="74" t="s">
        <v>213</v>
      </c>
      <c r="Z485" s="77" t="s">
        <v>213</v>
      </c>
    </row>
    <row r="486" ht="36" customHeight="1">
      <c r="A486" s="68"/>
      <c r="B486" s="69"/>
      <c r="C486" s="69"/>
      <c r="D486" s="68"/>
      <c r="E486" s="68"/>
      <c r="F486" s="68"/>
      <c r="G486" s="70"/>
      <c r="H486" s="70"/>
      <c r="I486" s="71"/>
      <c r="J486" s="71"/>
      <c r="K486" s="72"/>
      <c r="L486" s="68"/>
      <c r="M486" s="68"/>
      <c r="N486" s="73" t="s">
        <v>213</v>
      </c>
      <c r="O486" s="73" t="s">
        <v>213</v>
      </c>
      <c r="P486" s="73" t="s">
        <v>213</v>
      </c>
      <c r="Q486" s="73" t="s">
        <v>213</v>
      </c>
      <c r="R486" s="73" t="s">
        <v>213</v>
      </c>
      <c r="S486" s="73" t="s">
        <v>213</v>
      </c>
      <c r="T486" s="74" t="s">
        <v>213</v>
      </c>
      <c r="U486" s="75" t="s">
        <v>213</v>
      </c>
      <c r="V486" s="76" t="s">
        <v>213</v>
      </c>
      <c r="W486" s="77" t="s">
        <v>213</v>
      </c>
      <c r="X486" s="76" t="s">
        <v>213</v>
      </c>
      <c r="Y486" s="74" t="s">
        <v>213</v>
      </c>
      <c r="Z486" s="77" t="s">
        <v>213</v>
      </c>
    </row>
    <row r="487" ht="36" customHeight="1">
      <c r="A487" s="68"/>
      <c r="B487" s="69"/>
      <c r="C487" s="69"/>
      <c r="D487" s="68"/>
      <c r="E487" s="68"/>
      <c r="F487" s="68"/>
      <c r="G487" s="70"/>
      <c r="H487" s="70"/>
      <c r="I487" s="71"/>
      <c r="J487" s="71"/>
      <c r="K487" s="72"/>
      <c r="L487" s="68"/>
      <c r="M487" s="68"/>
      <c r="N487" s="73" t="s">
        <v>213</v>
      </c>
      <c r="O487" s="73" t="s">
        <v>213</v>
      </c>
      <c r="P487" s="73" t="s">
        <v>213</v>
      </c>
      <c r="Q487" s="73" t="s">
        <v>213</v>
      </c>
      <c r="R487" s="73" t="s">
        <v>213</v>
      </c>
      <c r="S487" s="73" t="s">
        <v>213</v>
      </c>
      <c r="T487" s="74" t="s">
        <v>213</v>
      </c>
      <c r="U487" s="75" t="s">
        <v>213</v>
      </c>
      <c r="V487" s="76" t="s">
        <v>213</v>
      </c>
      <c r="W487" s="77" t="s">
        <v>213</v>
      </c>
      <c r="X487" s="76" t="s">
        <v>213</v>
      </c>
      <c r="Y487" s="74" t="s">
        <v>213</v>
      </c>
      <c r="Z487" s="77" t="s">
        <v>213</v>
      </c>
    </row>
    <row r="488" ht="36" customHeight="1">
      <c r="A488" s="68"/>
      <c r="B488" s="69"/>
      <c r="C488" s="69"/>
      <c r="D488" s="68"/>
      <c r="E488" s="68"/>
      <c r="F488" s="68"/>
      <c r="G488" s="70"/>
      <c r="H488" s="70"/>
      <c r="I488" s="71"/>
      <c r="J488" s="71"/>
      <c r="K488" s="72"/>
      <c r="L488" s="68"/>
      <c r="M488" s="68"/>
      <c r="N488" s="73" t="s">
        <v>213</v>
      </c>
      <c r="O488" s="73" t="s">
        <v>213</v>
      </c>
      <c r="P488" s="73" t="s">
        <v>213</v>
      </c>
      <c r="Q488" s="73" t="s">
        <v>213</v>
      </c>
      <c r="R488" s="73" t="s">
        <v>213</v>
      </c>
      <c r="S488" s="73" t="s">
        <v>213</v>
      </c>
      <c r="T488" s="74" t="s">
        <v>213</v>
      </c>
      <c r="U488" s="75" t="s">
        <v>213</v>
      </c>
      <c r="V488" s="76" t="s">
        <v>213</v>
      </c>
      <c r="W488" s="77" t="s">
        <v>213</v>
      </c>
      <c r="X488" s="76" t="s">
        <v>213</v>
      </c>
      <c r="Y488" s="74" t="s">
        <v>213</v>
      </c>
      <c r="Z488" s="77" t="s">
        <v>213</v>
      </c>
    </row>
    <row r="489" ht="36" customHeight="1">
      <c r="A489" s="68"/>
      <c r="B489" s="69"/>
      <c r="C489" s="69"/>
      <c r="D489" s="68"/>
      <c r="E489" s="68"/>
      <c r="F489" s="68"/>
      <c r="G489" s="70"/>
      <c r="H489" s="70"/>
      <c r="I489" s="71"/>
      <c r="J489" s="71"/>
      <c r="K489" s="72"/>
      <c r="L489" s="68"/>
      <c r="M489" s="68"/>
      <c r="N489" s="73" t="s">
        <v>213</v>
      </c>
      <c r="O489" s="73" t="s">
        <v>213</v>
      </c>
      <c r="P489" s="73" t="s">
        <v>213</v>
      </c>
      <c r="Q489" s="73" t="s">
        <v>213</v>
      </c>
      <c r="R489" s="73" t="s">
        <v>213</v>
      </c>
      <c r="S489" s="73" t="s">
        <v>213</v>
      </c>
      <c r="T489" s="74" t="s">
        <v>213</v>
      </c>
      <c r="U489" s="75" t="s">
        <v>213</v>
      </c>
      <c r="V489" s="76" t="s">
        <v>213</v>
      </c>
      <c r="W489" s="77" t="s">
        <v>213</v>
      </c>
      <c r="X489" s="76" t="s">
        <v>213</v>
      </c>
      <c r="Y489" s="74" t="s">
        <v>213</v>
      </c>
      <c r="Z489" s="77" t="s">
        <v>213</v>
      </c>
    </row>
    <row r="490" ht="36" customHeight="1">
      <c r="A490" s="68"/>
      <c r="B490" s="69"/>
      <c r="C490" s="69"/>
      <c r="D490" s="68"/>
      <c r="E490" s="68"/>
      <c r="F490" s="68"/>
      <c r="G490" s="70"/>
      <c r="H490" s="70"/>
      <c r="I490" s="71"/>
      <c r="J490" s="71"/>
      <c r="K490" s="72"/>
      <c r="L490" s="68"/>
      <c r="M490" s="68"/>
      <c r="N490" s="73" t="s">
        <v>213</v>
      </c>
      <c r="O490" s="73" t="s">
        <v>213</v>
      </c>
      <c r="P490" s="73" t="s">
        <v>213</v>
      </c>
      <c r="Q490" s="73" t="s">
        <v>213</v>
      </c>
      <c r="R490" s="73" t="s">
        <v>213</v>
      </c>
      <c r="S490" s="73" t="s">
        <v>213</v>
      </c>
      <c r="T490" s="74" t="s">
        <v>213</v>
      </c>
      <c r="U490" s="75" t="s">
        <v>213</v>
      </c>
      <c r="V490" s="76" t="s">
        <v>213</v>
      </c>
      <c r="W490" s="77" t="s">
        <v>213</v>
      </c>
      <c r="X490" s="76" t="s">
        <v>213</v>
      </c>
      <c r="Y490" s="74" t="s">
        <v>213</v>
      </c>
      <c r="Z490" s="77" t="s">
        <v>213</v>
      </c>
    </row>
    <row r="491" ht="36" customHeight="1">
      <c r="A491" s="68"/>
      <c r="B491" s="69"/>
      <c r="C491" s="69"/>
      <c r="D491" s="68"/>
      <c r="E491" s="68"/>
      <c r="F491" s="68"/>
      <c r="G491" s="70"/>
      <c r="H491" s="70"/>
      <c r="I491" s="71"/>
      <c r="J491" s="71"/>
      <c r="K491" s="72"/>
      <c r="L491" s="68"/>
      <c r="M491" s="68"/>
      <c r="N491" s="73" t="s">
        <v>213</v>
      </c>
      <c r="O491" s="73" t="s">
        <v>213</v>
      </c>
      <c r="P491" s="73" t="s">
        <v>213</v>
      </c>
      <c r="Q491" s="73" t="s">
        <v>213</v>
      </c>
      <c r="R491" s="73" t="s">
        <v>213</v>
      </c>
      <c r="S491" s="73" t="s">
        <v>213</v>
      </c>
      <c r="T491" s="74" t="s">
        <v>213</v>
      </c>
      <c r="U491" s="75" t="s">
        <v>213</v>
      </c>
      <c r="V491" s="76" t="s">
        <v>213</v>
      </c>
      <c r="W491" s="77" t="s">
        <v>213</v>
      </c>
      <c r="X491" s="76" t="s">
        <v>213</v>
      </c>
      <c r="Y491" s="74" t="s">
        <v>213</v>
      </c>
      <c r="Z491" s="77" t="s">
        <v>213</v>
      </c>
    </row>
    <row r="492" ht="36" customHeight="1">
      <c r="A492" s="68"/>
      <c r="B492" s="69"/>
      <c r="C492" s="69"/>
      <c r="D492" s="68"/>
      <c r="E492" s="68"/>
      <c r="F492" s="68"/>
      <c r="G492" s="70"/>
      <c r="H492" s="70"/>
      <c r="I492" s="71"/>
      <c r="J492" s="71"/>
      <c r="K492" s="72"/>
      <c r="L492" s="68"/>
      <c r="M492" s="68"/>
      <c r="N492" s="73" t="s">
        <v>213</v>
      </c>
      <c r="O492" s="73" t="s">
        <v>213</v>
      </c>
      <c r="P492" s="73" t="s">
        <v>213</v>
      </c>
      <c r="Q492" s="73" t="s">
        <v>213</v>
      </c>
      <c r="R492" s="73" t="s">
        <v>213</v>
      </c>
      <c r="S492" s="73" t="s">
        <v>213</v>
      </c>
      <c r="T492" s="74" t="s">
        <v>213</v>
      </c>
      <c r="U492" s="75" t="s">
        <v>213</v>
      </c>
      <c r="V492" s="76" t="s">
        <v>213</v>
      </c>
      <c r="W492" s="77" t="s">
        <v>213</v>
      </c>
      <c r="X492" s="76" t="s">
        <v>213</v>
      </c>
      <c r="Y492" s="74" t="s">
        <v>213</v>
      </c>
      <c r="Z492" s="77" t="s">
        <v>213</v>
      </c>
    </row>
    <row r="493" ht="36" customHeight="1">
      <c r="A493" s="68"/>
      <c r="B493" s="69"/>
      <c r="C493" s="69"/>
      <c r="D493" s="68"/>
      <c r="E493" s="68"/>
      <c r="F493" s="68"/>
      <c r="G493" s="70"/>
      <c r="H493" s="70"/>
      <c r="I493" s="71"/>
      <c r="J493" s="71"/>
      <c r="K493" s="72"/>
      <c r="L493" s="68"/>
      <c r="M493" s="68"/>
      <c r="N493" s="73" t="s">
        <v>213</v>
      </c>
      <c r="O493" s="73" t="s">
        <v>213</v>
      </c>
      <c r="P493" s="73" t="s">
        <v>213</v>
      </c>
      <c r="Q493" s="73" t="s">
        <v>213</v>
      </c>
      <c r="R493" s="73" t="s">
        <v>213</v>
      </c>
      <c r="S493" s="73" t="s">
        <v>213</v>
      </c>
      <c r="T493" s="74" t="s">
        <v>213</v>
      </c>
      <c r="U493" s="75" t="s">
        <v>213</v>
      </c>
      <c r="V493" s="76" t="s">
        <v>213</v>
      </c>
      <c r="W493" s="77" t="s">
        <v>213</v>
      </c>
      <c r="X493" s="76" t="s">
        <v>213</v>
      </c>
      <c r="Y493" s="74" t="s">
        <v>213</v>
      </c>
      <c r="Z493" s="77" t="s">
        <v>213</v>
      </c>
    </row>
    <row r="494" ht="36" customHeight="1">
      <c r="A494" s="68"/>
      <c r="B494" s="69"/>
      <c r="C494" s="69"/>
      <c r="D494" s="68"/>
      <c r="E494" s="68"/>
      <c r="F494" s="68"/>
      <c r="G494" s="70"/>
      <c r="H494" s="70"/>
      <c r="I494" s="71"/>
      <c r="J494" s="71"/>
      <c r="K494" s="72"/>
      <c r="L494" s="68"/>
      <c r="M494" s="68"/>
      <c r="N494" s="73" t="s">
        <v>213</v>
      </c>
      <c r="O494" s="73" t="s">
        <v>213</v>
      </c>
      <c r="P494" s="73" t="s">
        <v>213</v>
      </c>
      <c r="Q494" s="73" t="s">
        <v>213</v>
      </c>
      <c r="R494" s="73" t="s">
        <v>213</v>
      </c>
      <c r="S494" s="73" t="s">
        <v>213</v>
      </c>
      <c r="T494" s="74" t="s">
        <v>213</v>
      </c>
      <c r="U494" s="75" t="s">
        <v>213</v>
      </c>
      <c r="V494" s="76" t="s">
        <v>213</v>
      </c>
      <c r="W494" s="77" t="s">
        <v>213</v>
      </c>
      <c r="X494" s="76" t="s">
        <v>213</v>
      </c>
      <c r="Y494" s="74" t="s">
        <v>213</v>
      </c>
      <c r="Z494" s="77" t="s">
        <v>213</v>
      </c>
    </row>
    <row r="495" ht="36" customHeight="1">
      <c r="A495" s="68"/>
      <c r="B495" s="69"/>
      <c r="C495" s="69"/>
      <c r="D495" s="68"/>
      <c r="E495" s="68"/>
      <c r="F495" s="68"/>
      <c r="G495" s="70"/>
      <c r="H495" s="70"/>
      <c r="I495" s="71"/>
      <c r="J495" s="71"/>
      <c r="K495" s="72"/>
      <c r="L495" s="68"/>
      <c r="M495" s="68"/>
      <c r="N495" s="73" t="s">
        <v>213</v>
      </c>
      <c r="O495" s="73" t="s">
        <v>213</v>
      </c>
      <c r="P495" s="73" t="s">
        <v>213</v>
      </c>
      <c r="Q495" s="73" t="s">
        <v>213</v>
      </c>
      <c r="R495" s="73" t="s">
        <v>213</v>
      </c>
      <c r="S495" s="73" t="s">
        <v>213</v>
      </c>
      <c r="T495" s="74" t="s">
        <v>213</v>
      </c>
      <c r="U495" s="75" t="s">
        <v>213</v>
      </c>
      <c r="V495" s="76" t="s">
        <v>213</v>
      </c>
      <c r="W495" s="77" t="s">
        <v>213</v>
      </c>
      <c r="X495" s="76" t="s">
        <v>213</v>
      </c>
      <c r="Y495" s="74" t="s">
        <v>213</v>
      </c>
      <c r="Z495" s="77" t="s">
        <v>213</v>
      </c>
    </row>
    <row r="496" ht="36" customHeight="1">
      <c r="A496" s="68"/>
      <c r="B496" s="69"/>
      <c r="C496" s="69"/>
      <c r="D496" s="68"/>
      <c r="E496" s="68"/>
      <c r="F496" s="68"/>
      <c r="G496" s="70"/>
      <c r="H496" s="70"/>
      <c r="I496" s="71"/>
      <c r="J496" s="71"/>
      <c r="K496" s="72"/>
      <c r="L496" s="68"/>
      <c r="M496" s="68"/>
      <c r="N496" s="73" t="s">
        <v>213</v>
      </c>
      <c r="O496" s="73" t="s">
        <v>213</v>
      </c>
      <c r="P496" s="73" t="s">
        <v>213</v>
      </c>
      <c r="Q496" s="73" t="s">
        <v>213</v>
      </c>
      <c r="R496" s="73" t="s">
        <v>213</v>
      </c>
      <c r="S496" s="73" t="s">
        <v>213</v>
      </c>
      <c r="T496" s="74" t="s">
        <v>213</v>
      </c>
      <c r="U496" s="75" t="s">
        <v>213</v>
      </c>
      <c r="V496" s="76" t="s">
        <v>213</v>
      </c>
      <c r="W496" s="77" t="s">
        <v>213</v>
      </c>
      <c r="X496" s="76" t="s">
        <v>213</v>
      </c>
      <c r="Y496" s="74" t="s">
        <v>213</v>
      </c>
      <c r="Z496" s="77" t="s">
        <v>213</v>
      </c>
    </row>
    <row r="497" ht="36" customHeight="1">
      <c r="A497" s="68"/>
      <c r="B497" s="69"/>
      <c r="C497" s="69"/>
      <c r="D497" s="68"/>
      <c r="E497" s="68"/>
      <c r="F497" s="68"/>
      <c r="G497" s="70"/>
      <c r="H497" s="70"/>
      <c r="I497" s="71"/>
      <c r="J497" s="71"/>
      <c r="K497" s="72"/>
      <c r="L497" s="68"/>
      <c r="M497" s="68"/>
      <c r="N497" s="73" t="s">
        <v>213</v>
      </c>
      <c r="O497" s="73" t="s">
        <v>213</v>
      </c>
      <c r="P497" s="73" t="s">
        <v>213</v>
      </c>
      <c r="Q497" s="73" t="s">
        <v>213</v>
      </c>
      <c r="R497" s="73" t="s">
        <v>213</v>
      </c>
      <c r="S497" s="73" t="s">
        <v>213</v>
      </c>
      <c r="T497" s="74" t="s">
        <v>213</v>
      </c>
      <c r="U497" s="75" t="s">
        <v>213</v>
      </c>
      <c r="V497" s="76" t="s">
        <v>213</v>
      </c>
      <c r="W497" s="77" t="s">
        <v>213</v>
      </c>
      <c r="X497" s="76" t="s">
        <v>213</v>
      </c>
      <c r="Y497" s="74" t="s">
        <v>213</v>
      </c>
      <c r="Z497" s="77" t="s">
        <v>213</v>
      </c>
    </row>
    <row r="498" ht="36" customHeight="1">
      <c r="A498" s="68"/>
      <c r="B498" s="69"/>
      <c r="C498" s="69"/>
      <c r="D498" s="68"/>
      <c r="E498" s="68"/>
      <c r="F498" s="68"/>
      <c r="G498" s="70"/>
      <c r="H498" s="70"/>
      <c r="I498" s="71"/>
      <c r="J498" s="71"/>
      <c r="K498" s="72"/>
      <c r="L498" s="68"/>
      <c r="M498" s="68"/>
      <c r="N498" s="73" t="s">
        <v>213</v>
      </c>
      <c r="O498" s="73" t="s">
        <v>213</v>
      </c>
      <c r="P498" s="73" t="s">
        <v>213</v>
      </c>
      <c r="Q498" s="73" t="s">
        <v>213</v>
      </c>
      <c r="R498" s="73" t="s">
        <v>213</v>
      </c>
      <c r="S498" s="73" t="s">
        <v>213</v>
      </c>
      <c r="T498" s="74" t="s">
        <v>213</v>
      </c>
      <c r="U498" s="75" t="s">
        <v>213</v>
      </c>
      <c r="V498" s="76" t="s">
        <v>213</v>
      </c>
      <c r="W498" s="77" t="s">
        <v>213</v>
      </c>
      <c r="X498" s="76" t="s">
        <v>213</v>
      </c>
      <c r="Y498" s="74" t="s">
        <v>213</v>
      </c>
      <c r="Z498" s="77" t="s">
        <v>213</v>
      </c>
    </row>
    <row r="499" ht="36" customHeight="1">
      <c r="A499" s="68"/>
      <c r="B499" s="69"/>
      <c r="C499" s="69"/>
      <c r="D499" s="68"/>
      <c r="E499" s="68"/>
      <c r="F499" s="68"/>
      <c r="G499" s="70"/>
      <c r="H499" s="70"/>
      <c r="I499" s="71"/>
      <c r="J499" s="71"/>
      <c r="K499" s="72"/>
      <c r="L499" s="68"/>
      <c r="M499" s="68"/>
      <c r="N499" s="73" t="s">
        <v>213</v>
      </c>
      <c r="O499" s="73" t="s">
        <v>213</v>
      </c>
      <c r="P499" s="73" t="s">
        <v>213</v>
      </c>
      <c r="Q499" s="73" t="s">
        <v>213</v>
      </c>
      <c r="R499" s="73" t="s">
        <v>213</v>
      </c>
      <c r="S499" s="73" t="s">
        <v>213</v>
      </c>
      <c r="T499" s="74" t="s">
        <v>213</v>
      </c>
      <c r="U499" s="75" t="s">
        <v>213</v>
      </c>
      <c r="V499" s="76" t="s">
        <v>213</v>
      </c>
      <c r="W499" s="77" t="s">
        <v>213</v>
      </c>
      <c r="X499" s="76" t="s">
        <v>213</v>
      </c>
      <c r="Y499" s="74" t="s">
        <v>213</v>
      </c>
      <c r="Z499" s="77" t="s">
        <v>213</v>
      </c>
    </row>
    <row r="500" ht="36" customHeight="1">
      <c r="A500" s="68"/>
      <c r="B500" s="69"/>
      <c r="C500" s="69"/>
      <c r="D500" s="68"/>
      <c r="E500" s="68"/>
      <c r="F500" s="68"/>
      <c r="G500" s="70"/>
      <c r="H500" s="70"/>
      <c r="I500" s="71"/>
      <c r="J500" s="71"/>
      <c r="K500" s="72"/>
      <c r="L500" s="68"/>
      <c r="M500" s="68"/>
      <c r="N500" s="73" t="s">
        <v>213</v>
      </c>
      <c r="O500" s="73" t="s">
        <v>213</v>
      </c>
      <c r="P500" s="73" t="s">
        <v>213</v>
      </c>
      <c r="Q500" s="73" t="s">
        <v>213</v>
      </c>
      <c r="R500" s="73" t="s">
        <v>213</v>
      </c>
      <c r="S500" s="73" t="s">
        <v>213</v>
      </c>
      <c r="T500" s="74" t="s">
        <v>213</v>
      </c>
      <c r="U500" s="75" t="s">
        <v>213</v>
      </c>
      <c r="V500" s="76" t="s">
        <v>213</v>
      </c>
      <c r="W500" s="77" t="s">
        <v>213</v>
      </c>
      <c r="X500" s="76" t="s">
        <v>213</v>
      </c>
      <c r="Y500" s="74" t="s">
        <v>213</v>
      </c>
      <c r="Z500" s="77" t="s">
        <v>213</v>
      </c>
    </row>
    <row r="501" ht="36" customHeight="1">
      <c r="A501" s="68"/>
      <c r="B501" s="69"/>
      <c r="C501" s="69"/>
      <c r="D501" s="68"/>
      <c r="E501" s="68"/>
      <c r="F501" s="68"/>
      <c r="G501" s="70"/>
      <c r="H501" s="70"/>
      <c r="I501" s="71"/>
      <c r="J501" s="71"/>
      <c r="K501" s="72"/>
      <c r="L501" s="68"/>
      <c r="M501" s="68"/>
      <c r="N501" s="73" t="s">
        <v>213</v>
      </c>
      <c r="O501" s="73" t="s">
        <v>213</v>
      </c>
      <c r="P501" s="73" t="s">
        <v>213</v>
      </c>
      <c r="Q501" s="73" t="s">
        <v>213</v>
      </c>
      <c r="R501" s="73" t="s">
        <v>213</v>
      </c>
      <c r="S501" s="73" t="s">
        <v>213</v>
      </c>
      <c r="T501" s="74" t="s">
        <v>213</v>
      </c>
      <c r="U501" s="75" t="s">
        <v>213</v>
      </c>
      <c r="V501" s="76" t="s">
        <v>213</v>
      </c>
      <c r="W501" s="77" t="s">
        <v>213</v>
      </c>
      <c r="X501" s="76" t="s">
        <v>213</v>
      </c>
      <c r="Y501" s="74" t="s">
        <v>213</v>
      </c>
      <c r="Z501" s="77" t="s">
        <v>213</v>
      </c>
    </row>
    <row r="502" ht="36" customHeight="1">
      <c r="A502" s="68"/>
      <c r="B502" s="69"/>
      <c r="C502" s="69"/>
      <c r="D502" s="68"/>
      <c r="E502" s="68"/>
      <c r="F502" s="68"/>
      <c r="G502" s="70"/>
      <c r="H502" s="70"/>
      <c r="I502" s="71"/>
      <c r="J502" s="71"/>
      <c r="K502" s="72"/>
      <c r="L502" s="68"/>
      <c r="M502" s="68"/>
      <c r="N502" s="73" t="s">
        <v>213</v>
      </c>
      <c r="O502" s="73" t="s">
        <v>213</v>
      </c>
      <c r="P502" s="73" t="s">
        <v>213</v>
      </c>
      <c r="Q502" s="73" t="s">
        <v>213</v>
      </c>
      <c r="R502" s="73" t="s">
        <v>213</v>
      </c>
      <c r="S502" s="73" t="s">
        <v>213</v>
      </c>
      <c r="T502" s="74" t="s">
        <v>213</v>
      </c>
      <c r="U502" s="75" t="s">
        <v>213</v>
      </c>
      <c r="V502" s="76" t="s">
        <v>213</v>
      </c>
      <c r="W502" s="77" t="s">
        <v>213</v>
      </c>
      <c r="X502" s="76" t="s">
        <v>213</v>
      </c>
      <c r="Y502" s="74" t="s">
        <v>213</v>
      </c>
      <c r="Z502" s="77" t="s">
        <v>213</v>
      </c>
    </row>
    <row r="503" ht="36" customHeight="1">
      <c r="A503" s="68"/>
      <c r="B503" s="69"/>
      <c r="C503" s="69"/>
      <c r="D503" s="68"/>
      <c r="E503" s="68"/>
      <c r="F503" s="68"/>
      <c r="G503" s="70"/>
      <c r="H503" s="70"/>
      <c r="I503" s="71"/>
      <c r="J503" s="71"/>
      <c r="K503" s="72"/>
      <c r="L503" s="68"/>
      <c r="M503" s="68"/>
      <c r="N503" s="73" t="s">
        <v>213</v>
      </c>
      <c r="O503" s="73" t="s">
        <v>213</v>
      </c>
      <c r="P503" s="73" t="s">
        <v>213</v>
      </c>
      <c r="Q503" s="73" t="s">
        <v>213</v>
      </c>
      <c r="R503" s="73" t="s">
        <v>213</v>
      </c>
      <c r="S503" s="73" t="s">
        <v>213</v>
      </c>
      <c r="T503" s="74" t="s">
        <v>213</v>
      </c>
      <c r="U503" s="75" t="s">
        <v>213</v>
      </c>
      <c r="V503" s="76" t="s">
        <v>213</v>
      </c>
      <c r="W503" s="77" t="s">
        <v>213</v>
      </c>
      <c r="X503" s="76" t="s">
        <v>213</v>
      </c>
      <c r="Y503" s="74" t="s">
        <v>213</v>
      </c>
      <c r="Z503" s="77" t="s">
        <v>213</v>
      </c>
    </row>
    <row r="504" ht="36" customHeight="1">
      <c r="A504" s="68"/>
      <c r="B504" s="69"/>
      <c r="C504" s="69"/>
      <c r="D504" s="68"/>
      <c r="E504" s="68"/>
      <c r="F504" s="68"/>
      <c r="G504" s="70"/>
      <c r="H504" s="70"/>
      <c r="I504" s="71"/>
      <c r="J504" s="71"/>
      <c r="K504" s="72"/>
      <c r="L504" s="68"/>
      <c r="M504" s="68"/>
      <c r="N504" s="73" t="s">
        <v>213</v>
      </c>
      <c r="O504" s="73" t="s">
        <v>213</v>
      </c>
      <c r="P504" s="73" t="s">
        <v>213</v>
      </c>
      <c r="Q504" s="73" t="s">
        <v>213</v>
      </c>
      <c r="R504" s="73" t="s">
        <v>213</v>
      </c>
      <c r="S504" s="73" t="s">
        <v>213</v>
      </c>
      <c r="T504" s="74" t="s">
        <v>213</v>
      </c>
      <c r="U504" s="75" t="s">
        <v>213</v>
      </c>
      <c r="V504" s="76" t="s">
        <v>213</v>
      </c>
      <c r="W504" s="77" t="s">
        <v>213</v>
      </c>
      <c r="X504" s="76" t="s">
        <v>213</v>
      </c>
      <c r="Y504" s="74" t="s">
        <v>213</v>
      </c>
      <c r="Z504" s="77" t="s">
        <v>213</v>
      </c>
    </row>
    <row r="505" ht="43.5" customHeight="1">
      <c r="A505" s="83"/>
      <c r="B505" s="83"/>
      <c r="C505" s="83"/>
      <c r="D505" s="83"/>
      <c r="E505" s="83"/>
      <c r="F505" s="83"/>
      <c r="G505" s="83"/>
      <c r="H505" s="83"/>
      <c r="I505" s="83"/>
      <c r="J505" s="83"/>
      <c r="K505" s="83"/>
      <c r="L505" s="83"/>
      <c r="M505" s="83"/>
      <c r="N505" s="83" t="s">
        <v>213</v>
      </c>
      <c r="O505" s="83" t="s">
        <v>213</v>
      </c>
      <c r="P505" s="83" t="s">
        <v>213</v>
      </c>
      <c r="Q505" s="83" t="s">
        <v>213</v>
      </c>
      <c r="R505" s="83" t="s">
        <v>213</v>
      </c>
      <c r="S505" s="83" t="s">
        <v>213</v>
      </c>
      <c r="T505" s="83" t="s">
        <v>213</v>
      </c>
      <c r="U505" s="83" t="s">
        <v>213</v>
      </c>
      <c r="V505" s="83" t="s">
        <v>213</v>
      </c>
      <c r="W505" s="83" t="s">
        <v>213</v>
      </c>
      <c r="X505" s="83" t="s">
        <v>213</v>
      </c>
      <c r="Y505" s="83" t="s">
        <v>213</v>
      </c>
      <c r="Z505" s="83" t="s">
        <v>213</v>
      </c>
    </row>
    <row r="506" ht="15.75" customHeight="1">
      <c r="A506" s="84"/>
      <c r="B506" s="85"/>
      <c r="C506" s="85"/>
      <c r="D506" s="84"/>
      <c r="E506" s="84"/>
      <c r="F506" s="84"/>
      <c r="G506" s="86"/>
      <c r="H506" s="86"/>
      <c r="I506" s="87"/>
      <c r="J506" s="87"/>
      <c r="K506" s="88"/>
      <c r="L506" s="84"/>
      <c r="M506" s="84"/>
      <c r="N506" s="89" t="s">
        <v>213</v>
      </c>
      <c r="O506" s="89" t="s">
        <v>213</v>
      </c>
      <c r="P506" s="89" t="s">
        <v>213</v>
      </c>
      <c r="Q506" s="89" t="s">
        <v>213</v>
      </c>
      <c r="R506" s="89" t="s">
        <v>213</v>
      </c>
      <c r="S506" s="89" t="s">
        <v>213</v>
      </c>
      <c r="T506" s="90" t="s">
        <v>213</v>
      </c>
      <c r="U506" s="91" t="s">
        <v>213</v>
      </c>
      <c r="V506" s="92" t="s">
        <v>213</v>
      </c>
      <c r="W506" s="93" t="s">
        <v>213</v>
      </c>
      <c r="X506" s="92" t="s">
        <v>213</v>
      </c>
      <c r="Y506" s="90" t="s">
        <v>213</v>
      </c>
      <c r="Z506" s="93" t="s">
        <v>213</v>
      </c>
    </row>
    <row r="507" ht="15.75" customHeight="1">
      <c r="A507" s="84"/>
      <c r="B507" s="85"/>
      <c r="C507" s="85"/>
      <c r="D507" s="84"/>
      <c r="E507" s="84"/>
      <c r="F507" s="84"/>
      <c r="G507" s="86"/>
      <c r="H507" s="86"/>
      <c r="I507" s="87"/>
      <c r="J507" s="87"/>
      <c r="K507" s="88"/>
      <c r="L507" s="84"/>
      <c r="M507" s="84"/>
      <c r="N507" s="89" t="s">
        <v>213</v>
      </c>
      <c r="O507" s="89" t="s">
        <v>213</v>
      </c>
      <c r="P507" s="89" t="s">
        <v>213</v>
      </c>
      <c r="Q507" s="89" t="s">
        <v>213</v>
      </c>
      <c r="R507" s="89" t="s">
        <v>213</v>
      </c>
      <c r="S507" s="89" t="s">
        <v>213</v>
      </c>
      <c r="T507" s="90" t="s">
        <v>213</v>
      </c>
      <c r="U507" s="91" t="s">
        <v>213</v>
      </c>
      <c r="V507" s="92" t="s">
        <v>213</v>
      </c>
      <c r="W507" s="93" t="s">
        <v>213</v>
      </c>
      <c r="X507" s="92" t="s">
        <v>213</v>
      </c>
      <c r="Y507" s="90" t="s">
        <v>213</v>
      </c>
      <c r="Z507" s="93" t="s">
        <v>213</v>
      </c>
    </row>
    <row r="508" ht="15.75" customHeight="1">
      <c r="A508" s="84"/>
      <c r="B508" s="85"/>
      <c r="C508" s="85"/>
      <c r="D508" s="84"/>
      <c r="E508" s="84"/>
      <c r="F508" s="84"/>
      <c r="G508" s="86"/>
      <c r="H508" s="86"/>
      <c r="I508" s="87"/>
      <c r="J508" s="87"/>
      <c r="K508" s="88"/>
      <c r="L508" s="84"/>
      <c r="M508" s="84"/>
      <c r="N508" s="89" t="s">
        <v>213</v>
      </c>
      <c r="O508" s="89" t="s">
        <v>213</v>
      </c>
      <c r="P508" s="89" t="s">
        <v>213</v>
      </c>
      <c r="Q508" s="89" t="s">
        <v>213</v>
      </c>
      <c r="R508" s="89" t="s">
        <v>213</v>
      </c>
      <c r="S508" s="89" t="s">
        <v>213</v>
      </c>
      <c r="T508" s="90" t="s">
        <v>213</v>
      </c>
      <c r="U508" s="91" t="s">
        <v>213</v>
      </c>
      <c r="V508" s="92" t="s">
        <v>213</v>
      </c>
      <c r="W508" s="93" t="s">
        <v>213</v>
      </c>
      <c r="X508" s="92" t="s">
        <v>213</v>
      </c>
      <c r="Y508" s="90" t="s">
        <v>213</v>
      </c>
      <c r="Z508" s="93" t="s">
        <v>213</v>
      </c>
    </row>
    <row r="509" ht="15.75" customHeight="1">
      <c r="A509" s="84"/>
      <c r="B509" s="85"/>
      <c r="C509" s="85"/>
      <c r="D509" s="84"/>
      <c r="E509" s="84"/>
      <c r="F509" s="84"/>
      <c r="G509" s="86"/>
      <c r="H509" s="86"/>
      <c r="I509" s="87"/>
      <c r="J509" s="87"/>
      <c r="K509" s="88"/>
      <c r="L509" s="84"/>
      <c r="M509" s="84"/>
      <c r="N509" s="89" t="s">
        <v>213</v>
      </c>
      <c r="O509" s="89" t="s">
        <v>213</v>
      </c>
      <c r="P509" s="89" t="s">
        <v>213</v>
      </c>
      <c r="Q509" s="89" t="s">
        <v>213</v>
      </c>
      <c r="R509" s="89" t="s">
        <v>213</v>
      </c>
      <c r="S509" s="89" t="s">
        <v>213</v>
      </c>
      <c r="T509" s="90" t="s">
        <v>213</v>
      </c>
      <c r="U509" s="91" t="s">
        <v>213</v>
      </c>
      <c r="V509" s="92" t="s">
        <v>213</v>
      </c>
      <c r="W509" s="93" t="s">
        <v>213</v>
      </c>
      <c r="X509" s="92" t="s">
        <v>213</v>
      </c>
      <c r="Y509" s="90" t="s">
        <v>213</v>
      </c>
      <c r="Z509" s="93" t="s">
        <v>213</v>
      </c>
    </row>
    <row r="510" ht="15.75" customHeight="1">
      <c r="A510" s="84"/>
      <c r="B510" s="85"/>
      <c r="C510" s="85"/>
      <c r="D510" s="84"/>
      <c r="E510" s="84"/>
      <c r="F510" s="84"/>
      <c r="G510" s="86"/>
      <c r="H510" s="86"/>
      <c r="I510" s="87"/>
      <c r="J510" s="87"/>
      <c r="K510" s="88"/>
      <c r="L510" s="84"/>
      <c r="M510" s="84"/>
      <c r="N510" s="89" t="s">
        <v>213</v>
      </c>
      <c r="O510" s="89" t="s">
        <v>213</v>
      </c>
      <c r="P510" s="89" t="s">
        <v>213</v>
      </c>
      <c r="Q510" s="89" t="s">
        <v>213</v>
      </c>
      <c r="R510" s="89" t="s">
        <v>213</v>
      </c>
      <c r="S510" s="89" t="s">
        <v>213</v>
      </c>
      <c r="T510" s="90" t="s">
        <v>213</v>
      </c>
      <c r="U510" s="91" t="s">
        <v>213</v>
      </c>
      <c r="V510" s="92" t="s">
        <v>213</v>
      </c>
      <c r="W510" s="93" t="s">
        <v>213</v>
      </c>
      <c r="X510" s="92" t="s">
        <v>213</v>
      </c>
      <c r="Y510" s="90" t="s">
        <v>213</v>
      </c>
      <c r="Z510" s="93" t="s">
        <v>213</v>
      </c>
    </row>
    <row r="511" ht="15.75" customHeight="1">
      <c r="A511" s="84"/>
      <c r="B511" s="85"/>
      <c r="C511" s="85"/>
      <c r="D511" s="84"/>
      <c r="E511" s="84"/>
      <c r="F511" s="84"/>
      <c r="G511" s="86"/>
      <c r="H511" s="86"/>
      <c r="I511" s="87"/>
      <c r="J511" s="87"/>
      <c r="K511" s="88"/>
      <c r="L511" s="84"/>
      <c r="M511" s="84"/>
      <c r="N511" s="89" t="s">
        <v>213</v>
      </c>
      <c r="O511" s="89" t="s">
        <v>213</v>
      </c>
      <c r="P511" s="89" t="s">
        <v>213</v>
      </c>
      <c r="Q511" s="89" t="s">
        <v>213</v>
      </c>
      <c r="R511" s="89" t="s">
        <v>213</v>
      </c>
      <c r="S511" s="89" t="s">
        <v>213</v>
      </c>
      <c r="T511" s="90" t="s">
        <v>213</v>
      </c>
      <c r="U511" s="91" t="s">
        <v>213</v>
      </c>
      <c r="V511" s="92" t="s">
        <v>213</v>
      </c>
      <c r="W511" s="93" t="s">
        <v>213</v>
      </c>
      <c r="X511" s="92" t="s">
        <v>213</v>
      </c>
      <c r="Y511" s="90" t="s">
        <v>213</v>
      </c>
      <c r="Z511" s="93" t="s">
        <v>213</v>
      </c>
    </row>
    <row r="512" ht="15.75" customHeight="1">
      <c r="A512" s="84"/>
      <c r="B512" s="85"/>
      <c r="C512" s="85"/>
      <c r="D512" s="84"/>
      <c r="E512" s="84"/>
      <c r="F512" s="84"/>
      <c r="G512" s="86"/>
      <c r="H512" s="86"/>
      <c r="I512" s="87"/>
      <c r="J512" s="87"/>
      <c r="K512" s="88"/>
      <c r="L512" s="84"/>
      <c r="M512" s="84"/>
      <c r="N512" s="89" t="s">
        <v>213</v>
      </c>
      <c r="O512" s="89" t="s">
        <v>213</v>
      </c>
      <c r="P512" s="89" t="s">
        <v>213</v>
      </c>
      <c r="Q512" s="89" t="s">
        <v>213</v>
      </c>
      <c r="R512" s="89" t="s">
        <v>213</v>
      </c>
      <c r="S512" s="89" t="s">
        <v>213</v>
      </c>
      <c r="T512" s="90" t="s">
        <v>213</v>
      </c>
      <c r="U512" s="91" t="s">
        <v>213</v>
      </c>
      <c r="V512" s="92" t="s">
        <v>213</v>
      </c>
      <c r="W512" s="93" t="s">
        <v>213</v>
      </c>
      <c r="X512" s="92" t="s">
        <v>213</v>
      </c>
      <c r="Y512" s="90" t="s">
        <v>213</v>
      </c>
      <c r="Z512" s="93" t="s">
        <v>213</v>
      </c>
    </row>
    <row r="513" ht="15.75" customHeight="1">
      <c r="A513" s="84"/>
      <c r="B513" s="85"/>
      <c r="C513" s="85"/>
      <c r="D513" s="84"/>
      <c r="E513" s="84"/>
      <c r="F513" s="84"/>
      <c r="G513" s="86"/>
      <c r="H513" s="86"/>
      <c r="I513" s="87"/>
      <c r="J513" s="87"/>
      <c r="K513" s="88"/>
      <c r="L513" s="84"/>
      <c r="M513" s="84"/>
      <c r="N513" s="89" t="s">
        <v>213</v>
      </c>
      <c r="O513" s="89" t="s">
        <v>213</v>
      </c>
      <c r="P513" s="89" t="s">
        <v>213</v>
      </c>
      <c r="Q513" s="89" t="s">
        <v>213</v>
      </c>
      <c r="R513" s="89" t="s">
        <v>213</v>
      </c>
      <c r="S513" s="89" t="s">
        <v>213</v>
      </c>
      <c r="T513" s="90" t="s">
        <v>213</v>
      </c>
      <c r="U513" s="91" t="s">
        <v>213</v>
      </c>
      <c r="V513" s="92" t="s">
        <v>213</v>
      </c>
      <c r="W513" s="93" t="s">
        <v>213</v>
      </c>
      <c r="X513" s="92" t="s">
        <v>213</v>
      </c>
      <c r="Y513" s="90" t="s">
        <v>213</v>
      </c>
      <c r="Z513" s="93" t="s">
        <v>213</v>
      </c>
    </row>
    <row r="514" ht="15.75" customHeight="1">
      <c r="A514" s="84"/>
      <c r="B514" s="85"/>
      <c r="C514" s="85"/>
      <c r="D514" s="84"/>
      <c r="E514" s="84"/>
      <c r="F514" s="84"/>
      <c r="G514" s="86"/>
      <c r="H514" s="86"/>
      <c r="I514" s="87"/>
      <c r="J514" s="87"/>
      <c r="K514" s="88"/>
      <c r="L514" s="84"/>
      <c r="M514" s="84"/>
      <c r="N514" s="89" t="s">
        <v>213</v>
      </c>
      <c r="O514" s="89" t="s">
        <v>213</v>
      </c>
      <c r="P514" s="89" t="s">
        <v>213</v>
      </c>
      <c r="Q514" s="89" t="s">
        <v>213</v>
      </c>
      <c r="R514" s="89" t="s">
        <v>213</v>
      </c>
      <c r="S514" s="89" t="s">
        <v>213</v>
      </c>
      <c r="T514" s="90" t="s">
        <v>213</v>
      </c>
      <c r="U514" s="91" t="s">
        <v>213</v>
      </c>
      <c r="V514" s="92" t="s">
        <v>213</v>
      </c>
      <c r="W514" s="93" t="s">
        <v>213</v>
      </c>
      <c r="X514" s="92" t="s">
        <v>213</v>
      </c>
      <c r="Y514" s="90" t="s">
        <v>213</v>
      </c>
      <c r="Z514" s="93" t="s">
        <v>213</v>
      </c>
    </row>
    <row r="515" ht="15.75" customHeight="1">
      <c r="A515" s="84"/>
      <c r="B515" s="85"/>
      <c r="C515" s="85"/>
      <c r="D515" s="84"/>
      <c r="E515" s="84"/>
      <c r="F515" s="84"/>
      <c r="G515" s="86"/>
      <c r="H515" s="86"/>
      <c r="I515" s="87"/>
      <c r="J515" s="87"/>
      <c r="K515" s="88"/>
      <c r="L515" s="84"/>
      <c r="M515" s="84"/>
      <c r="N515" s="89" t="s">
        <v>213</v>
      </c>
      <c r="O515" s="89" t="s">
        <v>213</v>
      </c>
      <c r="P515" s="89" t="s">
        <v>213</v>
      </c>
      <c r="Q515" s="89" t="s">
        <v>213</v>
      </c>
      <c r="R515" s="89" t="s">
        <v>213</v>
      </c>
      <c r="S515" s="89" t="s">
        <v>213</v>
      </c>
      <c r="T515" s="90" t="s">
        <v>213</v>
      </c>
      <c r="U515" s="91" t="s">
        <v>213</v>
      </c>
      <c r="V515" s="92" t="s">
        <v>213</v>
      </c>
      <c r="W515" s="93" t="s">
        <v>213</v>
      </c>
      <c r="X515" s="92" t="s">
        <v>213</v>
      </c>
      <c r="Y515" s="90" t="s">
        <v>213</v>
      </c>
      <c r="Z515" s="93" t="s">
        <v>213</v>
      </c>
    </row>
    <row r="516" ht="15.75" customHeight="1">
      <c r="A516" s="84"/>
      <c r="B516" s="85"/>
      <c r="C516" s="85"/>
      <c r="D516" s="84"/>
      <c r="E516" s="84"/>
      <c r="F516" s="84"/>
      <c r="G516" s="86"/>
      <c r="H516" s="86"/>
      <c r="I516" s="87"/>
      <c r="J516" s="87"/>
      <c r="K516" s="88"/>
      <c r="L516" s="84"/>
      <c r="M516" s="84"/>
      <c r="N516" s="89" t="s">
        <v>213</v>
      </c>
      <c r="O516" s="89" t="s">
        <v>213</v>
      </c>
      <c r="P516" s="89" t="s">
        <v>213</v>
      </c>
      <c r="Q516" s="89" t="s">
        <v>213</v>
      </c>
      <c r="R516" s="89" t="s">
        <v>213</v>
      </c>
      <c r="S516" s="89" t="s">
        <v>213</v>
      </c>
      <c r="T516" s="90" t="s">
        <v>213</v>
      </c>
      <c r="U516" s="91" t="s">
        <v>213</v>
      </c>
      <c r="V516" s="92" t="s">
        <v>213</v>
      </c>
      <c r="W516" s="93" t="s">
        <v>213</v>
      </c>
      <c r="X516" s="92" t="s">
        <v>213</v>
      </c>
      <c r="Y516" s="90" t="s">
        <v>213</v>
      </c>
      <c r="Z516" s="93" t="s">
        <v>213</v>
      </c>
    </row>
    <row r="517" ht="15.75" customHeight="1">
      <c r="A517" s="84"/>
      <c r="B517" s="85"/>
      <c r="C517" s="85"/>
      <c r="D517" s="84"/>
      <c r="E517" s="84"/>
      <c r="F517" s="84"/>
      <c r="G517" s="86"/>
      <c r="H517" s="86"/>
      <c r="I517" s="87"/>
      <c r="J517" s="87"/>
      <c r="K517" s="88"/>
      <c r="L517" s="84"/>
      <c r="M517" s="84"/>
      <c r="N517" s="89" t="s">
        <v>213</v>
      </c>
      <c r="O517" s="89" t="s">
        <v>213</v>
      </c>
      <c r="P517" s="89" t="s">
        <v>213</v>
      </c>
      <c r="Q517" s="89" t="s">
        <v>213</v>
      </c>
      <c r="R517" s="89" t="s">
        <v>213</v>
      </c>
      <c r="S517" s="89" t="s">
        <v>213</v>
      </c>
      <c r="T517" s="90" t="s">
        <v>213</v>
      </c>
      <c r="U517" s="91" t="s">
        <v>213</v>
      </c>
      <c r="V517" s="92" t="s">
        <v>213</v>
      </c>
      <c r="W517" s="93" t="s">
        <v>213</v>
      </c>
      <c r="X517" s="92" t="s">
        <v>213</v>
      </c>
      <c r="Y517" s="90" t="s">
        <v>213</v>
      </c>
      <c r="Z517" s="93" t="s">
        <v>213</v>
      </c>
    </row>
    <row r="518" ht="15.75" customHeight="1">
      <c r="A518" s="84"/>
      <c r="B518" s="85"/>
      <c r="C518" s="85"/>
      <c r="D518" s="84"/>
      <c r="E518" s="84"/>
      <c r="F518" s="84"/>
      <c r="G518" s="86"/>
      <c r="H518" s="86"/>
      <c r="I518" s="87"/>
      <c r="J518" s="87"/>
      <c r="K518" s="88"/>
      <c r="L518" s="84"/>
      <c r="M518" s="84"/>
      <c r="N518" s="89" t="s">
        <v>213</v>
      </c>
      <c r="O518" s="89" t="s">
        <v>213</v>
      </c>
      <c r="P518" s="89" t="s">
        <v>213</v>
      </c>
      <c r="Q518" s="89" t="s">
        <v>213</v>
      </c>
      <c r="R518" s="89" t="s">
        <v>213</v>
      </c>
      <c r="S518" s="89" t="s">
        <v>213</v>
      </c>
      <c r="T518" s="90" t="s">
        <v>213</v>
      </c>
      <c r="U518" s="91" t="s">
        <v>213</v>
      </c>
      <c r="V518" s="92" t="s">
        <v>213</v>
      </c>
      <c r="W518" s="93" t="s">
        <v>213</v>
      </c>
      <c r="X518" s="92" t="s">
        <v>213</v>
      </c>
      <c r="Y518" s="90" t="s">
        <v>213</v>
      </c>
      <c r="Z518" s="93" t="s">
        <v>213</v>
      </c>
    </row>
    <row r="519" ht="15.75" customHeight="1">
      <c r="A519" s="84"/>
      <c r="B519" s="85"/>
      <c r="C519" s="85"/>
      <c r="D519" s="84"/>
      <c r="E519" s="84"/>
      <c r="F519" s="84"/>
      <c r="G519" s="86"/>
      <c r="H519" s="86"/>
      <c r="I519" s="87"/>
      <c r="J519" s="87"/>
      <c r="K519" s="88"/>
      <c r="L519" s="84"/>
      <c r="M519" s="84"/>
      <c r="N519" s="89" t="s">
        <v>213</v>
      </c>
      <c r="O519" s="89" t="s">
        <v>213</v>
      </c>
      <c r="P519" s="89" t="s">
        <v>213</v>
      </c>
      <c r="Q519" s="89" t="s">
        <v>213</v>
      </c>
      <c r="R519" s="89" t="s">
        <v>213</v>
      </c>
      <c r="S519" s="89" t="s">
        <v>213</v>
      </c>
      <c r="T519" s="90" t="s">
        <v>213</v>
      </c>
      <c r="U519" s="91" t="s">
        <v>213</v>
      </c>
      <c r="V519" s="92" t="s">
        <v>213</v>
      </c>
      <c r="W519" s="93" t="s">
        <v>213</v>
      </c>
      <c r="X519" s="92" t="s">
        <v>213</v>
      </c>
      <c r="Y519" s="90" t="s">
        <v>213</v>
      </c>
      <c r="Z519" s="93" t="s">
        <v>213</v>
      </c>
    </row>
    <row r="520" ht="15.75" customHeight="1">
      <c r="A520" s="84"/>
      <c r="B520" s="85"/>
      <c r="C520" s="85"/>
      <c r="D520" s="84"/>
      <c r="E520" s="84"/>
      <c r="F520" s="84"/>
      <c r="G520" s="86"/>
      <c r="H520" s="86"/>
      <c r="I520" s="87"/>
      <c r="J520" s="87"/>
      <c r="K520" s="88"/>
      <c r="L520" s="84"/>
      <c r="M520" s="84"/>
      <c r="N520" s="89" t="s">
        <v>213</v>
      </c>
      <c r="O520" s="89" t="s">
        <v>213</v>
      </c>
      <c r="P520" s="89" t="s">
        <v>213</v>
      </c>
      <c r="Q520" s="89" t="s">
        <v>213</v>
      </c>
      <c r="R520" s="89" t="s">
        <v>213</v>
      </c>
      <c r="S520" s="89" t="s">
        <v>213</v>
      </c>
      <c r="T520" s="90" t="s">
        <v>213</v>
      </c>
      <c r="U520" s="91" t="s">
        <v>213</v>
      </c>
      <c r="V520" s="92" t="s">
        <v>213</v>
      </c>
      <c r="W520" s="93" t="s">
        <v>213</v>
      </c>
      <c r="X520" s="92" t="s">
        <v>213</v>
      </c>
      <c r="Y520" s="90" t="s">
        <v>213</v>
      </c>
      <c r="Z520" s="93" t="s">
        <v>213</v>
      </c>
    </row>
    <row r="521" ht="15.75" customHeight="1">
      <c r="A521" s="84"/>
      <c r="B521" s="85"/>
      <c r="C521" s="85"/>
      <c r="D521" s="84"/>
      <c r="E521" s="84"/>
      <c r="F521" s="84"/>
      <c r="G521" s="86"/>
      <c r="H521" s="86"/>
      <c r="I521" s="87"/>
      <c r="J521" s="87"/>
      <c r="K521" s="88"/>
      <c r="L521" s="84"/>
      <c r="M521" s="84"/>
      <c r="N521" s="89" t="s">
        <v>213</v>
      </c>
      <c r="O521" s="89" t="s">
        <v>213</v>
      </c>
      <c r="P521" s="89" t="s">
        <v>213</v>
      </c>
      <c r="Q521" s="89" t="s">
        <v>213</v>
      </c>
      <c r="R521" s="89" t="s">
        <v>213</v>
      </c>
      <c r="S521" s="89" t="s">
        <v>213</v>
      </c>
      <c r="T521" s="90" t="s">
        <v>213</v>
      </c>
      <c r="U521" s="91" t="s">
        <v>213</v>
      </c>
      <c r="V521" s="92" t="s">
        <v>213</v>
      </c>
      <c r="W521" s="93" t="s">
        <v>213</v>
      </c>
      <c r="X521" s="92" t="s">
        <v>213</v>
      </c>
      <c r="Y521" s="90" t="s">
        <v>213</v>
      </c>
      <c r="Z521" s="93" t="s">
        <v>213</v>
      </c>
    </row>
    <row r="522" ht="15.75" customHeight="1">
      <c r="A522" s="84"/>
      <c r="B522" s="85"/>
      <c r="C522" s="85"/>
      <c r="D522" s="84"/>
      <c r="E522" s="84"/>
      <c r="F522" s="84"/>
      <c r="G522" s="86"/>
      <c r="H522" s="86"/>
      <c r="I522" s="87"/>
      <c r="J522" s="87"/>
      <c r="K522" s="88"/>
      <c r="L522" s="84"/>
      <c r="M522" s="84"/>
      <c r="N522" s="89" t="s">
        <v>213</v>
      </c>
      <c r="O522" s="89" t="s">
        <v>213</v>
      </c>
      <c r="P522" s="89" t="s">
        <v>213</v>
      </c>
      <c r="Q522" s="89" t="s">
        <v>213</v>
      </c>
      <c r="R522" s="89" t="s">
        <v>213</v>
      </c>
      <c r="S522" s="89" t="s">
        <v>213</v>
      </c>
      <c r="T522" s="90" t="s">
        <v>213</v>
      </c>
      <c r="U522" s="91" t="s">
        <v>213</v>
      </c>
      <c r="V522" s="92" t="s">
        <v>213</v>
      </c>
      <c r="W522" s="93" t="s">
        <v>213</v>
      </c>
      <c r="X522" s="92" t="s">
        <v>213</v>
      </c>
      <c r="Y522" s="90" t="s">
        <v>213</v>
      </c>
      <c r="Z522" s="93" t="s">
        <v>213</v>
      </c>
    </row>
    <row r="523" ht="15.75" customHeight="1">
      <c r="A523" s="84"/>
      <c r="B523" s="85"/>
      <c r="C523" s="85"/>
      <c r="D523" s="84"/>
      <c r="E523" s="84"/>
      <c r="F523" s="84"/>
      <c r="G523" s="86"/>
      <c r="H523" s="86"/>
      <c r="I523" s="87"/>
      <c r="J523" s="87"/>
      <c r="K523" s="88"/>
      <c r="L523" s="84"/>
      <c r="M523" s="84"/>
      <c r="N523" s="89" t="s">
        <v>213</v>
      </c>
      <c r="O523" s="89" t="s">
        <v>213</v>
      </c>
      <c r="P523" s="89" t="s">
        <v>213</v>
      </c>
      <c r="Q523" s="89" t="s">
        <v>213</v>
      </c>
      <c r="R523" s="89" t="s">
        <v>213</v>
      </c>
      <c r="S523" s="89" t="s">
        <v>213</v>
      </c>
      <c r="T523" s="90" t="s">
        <v>213</v>
      </c>
      <c r="U523" s="91" t="s">
        <v>213</v>
      </c>
      <c r="V523" s="92" t="s">
        <v>213</v>
      </c>
      <c r="W523" s="93" t="s">
        <v>213</v>
      </c>
      <c r="X523" s="92" t="s">
        <v>213</v>
      </c>
      <c r="Y523" s="90" t="s">
        <v>213</v>
      </c>
      <c r="Z523" s="93" t="s">
        <v>213</v>
      </c>
    </row>
    <row r="524" ht="15.75" customHeight="1">
      <c r="A524" s="84"/>
      <c r="B524" s="85"/>
      <c r="C524" s="85"/>
      <c r="D524" s="84"/>
      <c r="E524" s="84"/>
      <c r="F524" s="84"/>
      <c r="G524" s="86"/>
      <c r="H524" s="86"/>
      <c r="I524" s="87"/>
      <c r="J524" s="87"/>
      <c r="K524" s="88"/>
      <c r="L524" s="84"/>
      <c r="M524" s="84"/>
      <c r="N524" s="89" t="s">
        <v>213</v>
      </c>
      <c r="O524" s="89" t="s">
        <v>213</v>
      </c>
      <c r="P524" s="89" t="s">
        <v>213</v>
      </c>
      <c r="Q524" s="89" t="s">
        <v>213</v>
      </c>
      <c r="R524" s="89" t="s">
        <v>213</v>
      </c>
      <c r="S524" s="89" t="s">
        <v>213</v>
      </c>
      <c r="T524" s="90" t="s">
        <v>213</v>
      </c>
      <c r="U524" s="91" t="s">
        <v>213</v>
      </c>
      <c r="V524" s="92" t="s">
        <v>213</v>
      </c>
      <c r="W524" s="93" t="s">
        <v>213</v>
      </c>
      <c r="X524" s="92" t="s">
        <v>213</v>
      </c>
      <c r="Y524" s="90" t="s">
        <v>213</v>
      </c>
      <c r="Z524" s="93" t="s">
        <v>213</v>
      </c>
    </row>
    <row r="525" ht="15.75" customHeight="1">
      <c r="A525" s="84"/>
      <c r="B525" s="85"/>
      <c r="C525" s="85"/>
      <c r="D525" s="84"/>
      <c r="E525" s="84"/>
      <c r="F525" s="84"/>
      <c r="G525" s="86"/>
      <c r="H525" s="86"/>
      <c r="I525" s="87"/>
      <c r="J525" s="87"/>
      <c r="K525" s="88"/>
      <c r="L525" s="84"/>
      <c r="M525" s="84"/>
      <c r="N525" s="89" t="s">
        <v>213</v>
      </c>
      <c r="O525" s="89" t="s">
        <v>213</v>
      </c>
      <c r="P525" s="89" t="s">
        <v>213</v>
      </c>
      <c r="Q525" s="89" t="s">
        <v>213</v>
      </c>
      <c r="R525" s="89" t="s">
        <v>213</v>
      </c>
      <c r="S525" s="89" t="s">
        <v>213</v>
      </c>
      <c r="T525" s="90" t="s">
        <v>213</v>
      </c>
      <c r="U525" s="91" t="s">
        <v>213</v>
      </c>
      <c r="V525" s="92" t="s">
        <v>213</v>
      </c>
      <c r="W525" s="93" t="s">
        <v>213</v>
      </c>
      <c r="X525" s="92" t="s">
        <v>213</v>
      </c>
      <c r="Y525" s="90" t="s">
        <v>213</v>
      </c>
      <c r="Z525" s="93" t="s">
        <v>213</v>
      </c>
    </row>
    <row r="526" ht="15.75" customHeight="1">
      <c r="A526" s="84"/>
      <c r="B526" s="85"/>
      <c r="C526" s="85"/>
      <c r="D526" s="84"/>
      <c r="E526" s="84"/>
      <c r="F526" s="84"/>
      <c r="G526" s="86"/>
      <c r="H526" s="86"/>
      <c r="I526" s="87"/>
      <c r="J526" s="87"/>
      <c r="K526" s="88"/>
      <c r="L526" s="84"/>
      <c r="M526" s="84"/>
      <c r="N526" s="89" t="s">
        <v>213</v>
      </c>
      <c r="O526" s="89" t="s">
        <v>213</v>
      </c>
      <c r="P526" s="89" t="s">
        <v>213</v>
      </c>
      <c r="Q526" s="89" t="s">
        <v>213</v>
      </c>
      <c r="R526" s="89" t="s">
        <v>213</v>
      </c>
      <c r="S526" s="89" t="s">
        <v>213</v>
      </c>
      <c r="T526" s="90" t="s">
        <v>213</v>
      </c>
      <c r="U526" s="91" t="s">
        <v>213</v>
      </c>
      <c r="V526" s="92" t="s">
        <v>213</v>
      </c>
      <c r="W526" s="93" t="s">
        <v>213</v>
      </c>
      <c r="X526" s="92" t="s">
        <v>213</v>
      </c>
      <c r="Y526" s="90" t="s">
        <v>213</v>
      </c>
      <c r="Z526" s="93" t="s">
        <v>213</v>
      </c>
    </row>
    <row r="527" ht="15.75" customHeight="1">
      <c r="A527" s="84"/>
      <c r="B527" s="85"/>
      <c r="C527" s="85"/>
      <c r="D527" s="84"/>
      <c r="E527" s="84"/>
      <c r="F527" s="84"/>
      <c r="G527" s="86"/>
      <c r="H527" s="86"/>
      <c r="I527" s="87"/>
      <c r="J527" s="87"/>
      <c r="K527" s="88"/>
      <c r="L527" s="84"/>
      <c r="M527" s="84"/>
      <c r="N527" s="89" t="s">
        <v>213</v>
      </c>
      <c r="O527" s="89" t="s">
        <v>213</v>
      </c>
      <c r="P527" s="89" t="s">
        <v>213</v>
      </c>
      <c r="Q527" s="89" t="s">
        <v>213</v>
      </c>
      <c r="R527" s="89" t="s">
        <v>213</v>
      </c>
      <c r="S527" s="89" t="s">
        <v>213</v>
      </c>
      <c r="T527" s="90" t="s">
        <v>213</v>
      </c>
      <c r="U527" s="91" t="s">
        <v>213</v>
      </c>
      <c r="V527" s="92" t="s">
        <v>213</v>
      </c>
      <c r="W527" s="93" t="s">
        <v>213</v>
      </c>
      <c r="X527" s="92" t="s">
        <v>213</v>
      </c>
      <c r="Y527" s="90" t="s">
        <v>213</v>
      </c>
      <c r="Z527" s="93" t="s">
        <v>213</v>
      </c>
    </row>
    <row r="528" ht="15.75" customHeight="1">
      <c r="A528" s="84"/>
      <c r="B528" s="85"/>
      <c r="C528" s="85"/>
      <c r="D528" s="84"/>
      <c r="E528" s="84"/>
      <c r="F528" s="84"/>
      <c r="G528" s="86"/>
      <c r="H528" s="86"/>
      <c r="I528" s="87"/>
      <c r="J528" s="87"/>
      <c r="K528" s="88"/>
      <c r="L528" s="84"/>
      <c r="M528" s="84"/>
      <c r="N528" s="89" t="s">
        <v>213</v>
      </c>
      <c r="O528" s="89" t="s">
        <v>213</v>
      </c>
      <c r="P528" s="89" t="s">
        <v>213</v>
      </c>
      <c r="Q528" s="89" t="s">
        <v>213</v>
      </c>
      <c r="R528" s="89" t="s">
        <v>213</v>
      </c>
      <c r="S528" s="89" t="s">
        <v>213</v>
      </c>
      <c r="T528" s="90" t="s">
        <v>213</v>
      </c>
      <c r="U528" s="91" t="s">
        <v>213</v>
      </c>
      <c r="V528" s="92" t="s">
        <v>213</v>
      </c>
      <c r="W528" s="93" t="s">
        <v>213</v>
      </c>
      <c r="X528" s="92" t="s">
        <v>213</v>
      </c>
      <c r="Y528" s="90" t="s">
        <v>213</v>
      </c>
      <c r="Z528" s="93" t="s">
        <v>213</v>
      </c>
    </row>
    <row r="529" ht="15.75" customHeight="1">
      <c r="A529" s="84"/>
      <c r="B529" s="85"/>
      <c r="C529" s="85"/>
      <c r="D529" s="84"/>
      <c r="E529" s="84"/>
      <c r="F529" s="84"/>
      <c r="G529" s="86"/>
      <c r="H529" s="86"/>
      <c r="I529" s="87"/>
      <c r="J529" s="87"/>
      <c r="K529" s="88"/>
      <c r="L529" s="84"/>
      <c r="M529" s="84"/>
      <c r="N529" s="89" t="s">
        <v>213</v>
      </c>
      <c r="O529" s="89" t="s">
        <v>213</v>
      </c>
      <c r="P529" s="89" t="s">
        <v>213</v>
      </c>
      <c r="Q529" s="89" t="s">
        <v>213</v>
      </c>
      <c r="R529" s="89" t="s">
        <v>213</v>
      </c>
      <c r="S529" s="89" t="s">
        <v>213</v>
      </c>
      <c r="T529" s="90" t="s">
        <v>213</v>
      </c>
      <c r="U529" s="91" t="s">
        <v>213</v>
      </c>
      <c r="V529" s="92" t="s">
        <v>213</v>
      </c>
      <c r="W529" s="93" t="s">
        <v>213</v>
      </c>
      <c r="X529" s="92" t="s">
        <v>213</v>
      </c>
      <c r="Y529" s="90" t="s">
        <v>213</v>
      </c>
      <c r="Z529" s="93" t="s">
        <v>213</v>
      </c>
    </row>
    <row r="530" ht="15.75" customHeight="1">
      <c r="A530" s="84"/>
      <c r="B530" s="85"/>
      <c r="C530" s="85"/>
      <c r="D530" s="84"/>
      <c r="E530" s="84"/>
      <c r="F530" s="84"/>
      <c r="G530" s="86"/>
      <c r="H530" s="86"/>
      <c r="I530" s="87"/>
      <c r="J530" s="87"/>
      <c r="K530" s="88"/>
      <c r="L530" s="84"/>
      <c r="M530" s="84"/>
      <c r="N530" s="89" t="s">
        <v>213</v>
      </c>
      <c r="O530" s="89" t="s">
        <v>213</v>
      </c>
      <c r="P530" s="89" t="s">
        <v>213</v>
      </c>
      <c r="Q530" s="89" t="s">
        <v>213</v>
      </c>
      <c r="R530" s="89" t="s">
        <v>213</v>
      </c>
      <c r="S530" s="89" t="s">
        <v>213</v>
      </c>
      <c r="T530" s="90" t="s">
        <v>213</v>
      </c>
      <c r="U530" s="91" t="s">
        <v>213</v>
      </c>
      <c r="V530" s="92" t="s">
        <v>213</v>
      </c>
      <c r="W530" s="93" t="s">
        <v>213</v>
      </c>
      <c r="X530" s="92" t="s">
        <v>213</v>
      </c>
      <c r="Y530" s="90" t="s">
        <v>213</v>
      </c>
      <c r="Z530" s="93" t="s">
        <v>213</v>
      </c>
    </row>
    <row r="531" ht="15.75" customHeight="1">
      <c r="A531" s="84"/>
      <c r="B531" s="85"/>
      <c r="C531" s="85"/>
      <c r="D531" s="84"/>
      <c r="E531" s="84"/>
      <c r="F531" s="84"/>
      <c r="G531" s="86"/>
      <c r="H531" s="86"/>
      <c r="I531" s="87"/>
      <c r="J531" s="87"/>
      <c r="K531" s="88"/>
      <c r="L531" s="84"/>
      <c r="M531" s="84"/>
      <c r="N531" s="89" t="s">
        <v>213</v>
      </c>
      <c r="O531" s="89" t="s">
        <v>213</v>
      </c>
      <c r="P531" s="89" t="s">
        <v>213</v>
      </c>
      <c r="Q531" s="89" t="s">
        <v>213</v>
      </c>
      <c r="R531" s="89" t="s">
        <v>213</v>
      </c>
      <c r="S531" s="89" t="s">
        <v>213</v>
      </c>
      <c r="T531" s="90" t="s">
        <v>213</v>
      </c>
      <c r="U531" s="91" t="s">
        <v>213</v>
      </c>
      <c r="V531" s="92" t="s">
        <v>213</v>
      </c>
      <c r="W531" s="93" t="s">
        <v>213</v>
      </c>
      <c r="X531" s="92" t="s">
        <v>213</v>
      </c>
      <c r="Y531" s="90" t="s">
        <v>213</v>
      </c>
      <c r="Z531" s="93" t="s">
        <v>213</v>
      </c>
    </row>
    <row r="532" ht="15.75" customHeight="1">
      <c r="A532" s="84"/>
      <c r="B532" s="85"/>
      <c r="C532" s="85"/>
      <c r="D532" s="84"/>
      <c r="E532" s="84"/>
      <c r="F532" s="84"/>
      <c r="G532" s="86"/>
      <c r="H532" s="86"/>
      <c r="I532" s="87"/>
      <c r="J532" s="87"/>
      <c r="K532" s="88"/>
      <c r="L532" s="84"/>
      <c r="M532" s="84"/>
      <c r="N532" s="89" t="s">
        <v>213</v>
      </c>
      <c r="O532" s="89" t="s">
        <v>213</v>
      </c>
      <c r="P532" s="89" t="s">
        <v>213</v>
      </c>
      <c r="Q532" s="89" t="s">
        <v>213</v>
      </c>
      <c r="R532" s="89" t="s">
        <v>213</v>
      </c>
      <c r="S532" s="89" t="s">
        <v>213</v>
      </c>
      <c r="T532" s="90" t="s">
        <v>213</v>
      </c>
      <c r="U532" s="91" t="s">
        <v>213</v>
      </c>
      <c r="V532" s="92" t="s">
        <v>213</v>
      </c>
      <c r="W532" s="93" t="s">
        <v>213</v>
      </c>
      <c r="X532" s="92" t="s">
        <v>213</v>
      </c>
      <c r="Y532" s="90" t="s">
        <v>213</v>
      </c>
      <c r="Z532" s="93" t="s">
        <v>213</v>
      </c>
    </row>
    <row r="533" ht="15.75" customHeight="1">
      <c r="A533" s="84"/>
      <c r="B533" s="85"/>
      <c r="C533" s="85"/>
      <c r="D533" s="84"/>
      <c r="E533" s="84"/>
      <c r="F533" s="84"/>
      <c r="G533" s="86"/>
      <c r="H533" s="86"/>
      <c r="I533" s="87"/>
      <c r="J533" s="87"/>
      <c r="K533" s="88"/>
      <c r="L533" s="84"/>
      <c r="M533" s="84"/>
      <c r="N533" s="89" t="s">
        <v>213</v>
      </c>
      <c r="O533" s="89" t="s">
        <v>213</v>
      </c>
      <c r="P533" s="89" t="s">
        <v>213</v>
      </c>
      <c r="Q533" s="89" t="s">
        <v>213</v>
      </c>
      <c r="R533" s="89" t="s">
        <v>213</v>
      </c>
      <c r="S533" s="89" t="s">
        <v>213</v>
      </c>
      <c r="T533" s="90" t="s">
        <v>213</v>
      </c>
      <c r="U533" s="91" t="s">
        <v>213</v>
      </c>
      <c r="V533" s="92" t="s">
        <v>213</v>
      </c>
      <c r="W533" s="93" t="s">
        <v>213</v>
      </c>
      <c r="X533" s="92" t="s">
        <v>213</v>
      </c>
      <c r="Y533" s="90" t="s">
        <v>213</v>
      </c>
      <c r="Z533" s="93" t="s">
        <v>213</v>
      </c>
    </row>
    <row r="534" ht="15.75" customHeight="1">
      <c r="A534" s="84"/>
      <c r="B534" s="85"/>
      <c r="C534" s="85"/>
      <c r="D534" s="84"/>
      <c r="E534" s="84"/>
      <c r="F534" s="84"/>
      <c r="G534" s="86"/>
      <c r="H534" s="86"/>
      <c r="I534" s="87"/>
      <c r="J534" s="87"/>
      <c r="K534" s="88"/>
      <c r="L534" s="84"/>
      <c r="M534" s="84"/>
      <c r="N534" s="89" t="s">
        <v>213</v>
      </c>
      <c r="O534" s="89" t="s">
        <v>213</v>
      </c>
      <c r="P534" s="89" t="s">
        <v>213</v>
      </c>
      <c r="Q534" s="89" t="s">
        <v>213</v>
      </c>
      <c r="R534" s="89" t="s">
        <v>213</v>
      </c>
      <c r="S534" s="89" t="s">
        <v>213</v>
      </c>
      <c r="T534" s="90" t="s">
        <v>213</v>
      </c>
      <c r="U534" s="91" t="s">
        <v>213</v>
      </c>
      <c r="V534" s="92" t="s">
        <v>213</v>
      </c>
      <c r="W534" s="93" t="s">
        <v>213</v>
      </c>
      <c r="X534" s="92" t="s">
        <v>213</v>
      </c>
      <c r="Y534" s="90" t="s">
        <v>213</v>
      </c>
      <c r="Z534" s="93" t="s">
        <v>213</v>
      </c>
    </row>
    <row r="535" ht="15.75" customHeight="1">
      <c r="A535" s="84"/>
      <c r="B535" s="85"/>
      <c r="C535" s="85"/>
      <c r="D535" s="84"/>
      <c r="E535" s="84"/>
      <c r="F535" s="84"/>
      <c r="G535" s="86"/>
      <c r="H535" s="86"/>
      <c r="I535" s="87"/>
      <c r="J535" s="87"/>
      <c r="K535" s="88"/>
      <c r="L535" s="84"/>
      <c r="M535" s="84"/>
      <c r="N535" s="89" t="s">
        <v>213</v>
      </c>
      <c r="O535" s="89" t="s">
        <v>213</v>
      </c>
      <c r="P535" s="89" t="s">
        <v>213</v>
      </c>
      <c r="Q535" s="89" t="s">
        <v>213</v>
      </c>
      <c r="R535" s="89" t="s">
        <v>213</v>
      </c>
      <c r="S535" s="89" t="s">
        <v>213</v>
      </c>
      <c r="T535" s="90" t="s">
        <v>213</v>
      </c>
      <c r="U535" s="91" t="s">
        <v>213</v>
      </c>
      <c r="V535" s="92" t="s">
        <v>213</v>
      </c>
      <c r="W535" s="93" t="s">
        <v>213</v>
      </c>
      <c r="X535" s="92" t="s">
        <v>213</v>
      </c>
      <c r="Y535" s="90" t="s">
        <v>213</v>
      </c>
      <c r="Z535" s="93" t="s">
        <v>213</v>
      </c>
    </row>
    <row r="536" ht="15.75" customHeight="1">
      <c r="A536" s="84"/>
      <c r="B536" s="85"/>
      <c r="C536" s="85"/>
      <c r="D536" s="84"/>
      <c r="E536" s="84"/>
      <c r="F536" s="84"/>
      <c r="G536" s="86"/>
      <c r="H536" s="86"/>
      <c r="I536" s="87"/>
      <c r="J536" s="87"/>
      <c r="K536" s="88"/>
      <c r="L536" s="84"/>
      <c r="M536" s="84"/>
      <c r="N536" s="89" t="s">
        <v>213</v>
      </c>
      <c r="O536" s="89" t="s">
        <v>213</v>
      </c>
      <c r="P536" s="89" t="s">
        <v>213</v>
      </c>
      <c r="Q536" s="89" t="s">
        <v>213</v>
      </c>
      <c r="R536" s="89" t="s">
        <v>213</v>
      </c>
      <c r="S536" s="89" t="s">
        <v>213</v>
      </c>
      <c r="T536" s="90" t="s">
        <v>213</v>
      </c>
      <c r="U536" s="91" t="s">
        <v>213</v>
      </c>
      <c r="V536" s="92" t="s">
        <v>213</v>
      </c>
      <c r="W536" s="93" t="s">
        <v>213</v>
      </c>
      <c r="X536" s="92" t="s">
        <v>213</v>
      </c>
      <c r="Y536" s="90" t="s">
        <v>213</v>
      </c>
      <c r="Z536" s="93" t="s">
        <v>213</v>
      </c>
    </row>
    <row r="537" ht="15.75" customHeight="1">
      <c r="A537" s="84"/>
      <c r="B537" s="85"/>
      <c r="C537" s="85"/>
      <c r="D537" s="84"/>
      <c r="E537" s="84"/>
      <c r="F537" s="84"/>
      <c r="G537" s="86"/>
      <c r="H537" s="86"/>
      <c r="I537" s="87"/>
      <c r="J537" s="87"/>
      <c r="K537" s="88"/>
      <c r="L537" s="84"/>
      <c r="M537" s="84"/>
      <c r="N537" s="89" t="s">
        <v>213</v>
      </c>
      <c r="O537" s="89" t="s">
        <v>213</v>
      </c>
      <c r="P537" s="89" t="s">
        <v>213</v>
      </c>
      <c r="Q537" s="89" t="s">
        <v>213</v>
      </c>
      <c r="R537" s="89" t="s">
        <v>213</v>
      </c>
      <c r="S537" s="89" t="s">
        <v>213</v>
      </c>
      <c r="T537" s="90" t="s">
        <v>213</v>
      </c>
      <c r="U537" s="91" t="s">
        <v>213</v>
      </c>
      <c r="V537" s="92" t="s">
        <v>213</v>
      </c>
      <c r="W537" s="93" t="s">
        <v>213</v>
      </c>
      <c r="X537" s="92" t="s">
        <v>213</v>
      </c>
      <c r="Y537" s="90" t="s">
        <v>213</v>
      </c>
      <c r="Z537" s="93" t="s">
        <v>213</v>
      </c>
    </row>
    <row r="538" ht="15.75" customHeight="1">
      <c r="A538" s="84"/>
      <c r="B538" s="85"/>
      <c r="C538" s="85"/>
      <c r="D538" s="84"/>
      <c r="E538" s="84"/>
      <c r="F538" s="84"/>
      <c r="G538" s="86"/>
      <c r="H538" s="86"/>
      <c r="I538" s="87"/>
      <c r="J538" s="87"/>
      <c r="K538" s="88"/>
      <c r="L538" s="84"/>
      <c r="M538" s="84"/>
      <c r="N538" s="89" t="s">
        <v>213</v>
      </c>
      <c r="O538" s="89" t="s">
        <v>213</v>
      </c>
      <c r="P538" s="89" t="s">
        <v>213</v>
      </c>
      <c r="Q538" s="89" t="s">
        <v>213</v>
      </c>
      <c r="R538" s="89" t="s">
        <v>213</v>
      </c>
      <c r="S538" s="89" t="s">
        <v>213</v>
      </c>
      <c r="T538" s="90" t="s">
        <v>213</v>
      </c>
      <c r="U538" s="91" t="s">
        <v>213</v>
      </c>
      <c r="V538" s="92" t="s">
        <v>213</v>
      </c>
      <c r="W538" s="93" t="s">
        <v>213</v>
      </c>
      <c r="X538" s="92" t="s">
        <v>213</v>
      </c>
      <c r="Y538" s="90" t="s">
        <v>213</v>
      </c>
      <c r="Z538" s="93" t="s">
        <v>213</v>
      </c>
    </row>
    <row r="539" ht="15.75" customHeight="1">
      <c r="A539" s="84"/>
      <c r="B539" s="85"/>
      <c r="C539" s="85"/>
      <c r="D539" s="84"/>
      <c r="E539" s="84"/>
      <c r="F539" s="84"/>
      <c r="G539" s="86"/>
      <c r="H539" s="86"/>
      <c r="I539" s="87"/>
      <c r="J539" s="87"/>
      <c r="K539" s="88"/>
      <c r="L539" s="84"/>
      <c r="M539" s="84"/>
      <c r="N539" s="89" t="s">
        <v>213</v>
      </c>
      <c r="O539" s="89" t="s">
        <v>213</v>
      </c>
      <c r="P539" s="89" t="s">
        <v>213</v>
      </c>
      <c r="Q539" s="89" t="s">
        <v>213</v>
      </c>
      <c r="R539" s="89" t="s">
        <v>213</v>
      </c>
      <c r="S539" s="89" t="s">
        <v>213</v>
      </c>
      <c r="T539" s="90" t="s">
        <v>213</v>
      </c>
      <c r="U539" s="91" t="s">
        <v>213</v>
      </c>
      <c r="V539" s="92" t="s">
        <v>213</v>
      </c>
      <c r="W539" s="93" t="s">
        <v>213</v>
      </c>
      <c r="X539" s="92" t="s">
        <v>213</v>
      </c>
      <c r="Y539" s="90" t="s">
        <v>213</v>
      </c>
      <c r="Z539" s="93" t="s">
        <v>213</v>
      </c>
    </row>
    <row r="540" ht="15.75" customHeight="1">
      <c r="A540" s="84"/>
      <c r="B540" s="85"/>
      <c r="C540" s="85"/>
      <c r="D540" s="84"/>
      <c r="E540" s="84"/>
      <c r="F540" s="84"/>
      <c r="G540" s="86"/>
      <c r="H540" s="86"/>
      <c r="I540" s="87"/>
      <c r="J540" s="87"/>
      <c r="K540" s="88"/>
      <c r="L540" s="84"/>
      <c r="M540" s="84"/>
      <c r="N540" s="89" t="s">
        <v>213</v>
      </c>
      <c r="O540" s="89" t="s">
        <v>213</v>
      </c>
      <c r="P540" s="89" t="s">
        <v>213</v>
      </c>
      <c r="Q540" s="89" t="s">
        <v>213</v>
      </c>
      <c r="R540" s="89" t="s">
        <v>213</v>
      </c>
      <c r="S540" s="89" t="s">
        <v>213</v>
      </c>
      <c r="T540" s="90" t="s">
        <v>213</v>
      </c>
      <c r="U540" s="91" t="s">
        <v>213</v>
      </c>
      <c r="V540" s="92" t="s">
        <v>213</v>
      </c>
      <c r="W540" s="93" t="s">
        <v>213</v>
      </c>
      <c r="X540" s="92" t="s">
        <v>213</v>
      </c>
      <c r="Y540" s="90" t="s">
        <v>213</v>
      </c>
      <c r="Z540" s="93" t="s">
        <v>213</v>
      </c>
    </row>
    <row r="541" ht="15.75" customHeight="1">
      <c r="A541" s="84"/>
      <c r="B541" s="85"/>
      <c r="C541" s="85"/>
      <c r="D541" s="84"/>
      <c r="E541" s="84"/>
      <c r="F541" s="84"/>
      <c r="G541" s="86"/>
      <c r="H541" s="86"/>
      <c r="I541" s="87"/>
      <c r="J541" s="87"/>
      <c r="K541" s="88"/>
      <c r="L541" s="84"/>
      <c r="M541" s="84"/>
      <c r="N541" s="89" t="s">
        <v>213</v>
      </c>
      <c r="O541" s="89" t="s">
        <v>213</v>
      </c>
      <c r="P541" s="89" t="s">
        <v>213</v>
      </c>
      <c r="Q541" s="89" t="s">
        <v>213</v>
      </c>
      <c r="R541" s="89" t="s">
        <v>213</v>
      </c>
      <c r="S541" s="89" t="s">
        <v>213</v>
      </c>
      <c r="T541" s="90" t="s">
        <v>213</v>
      </c>
      <c r="U541" s="91" t="s">
        <v>213</v>
      </c>
      <c r="V541" s="92" t="s">
        <v>213</v>
      </c>
      <c r="W541" s="93" t="s">
        <v>213</v>
      </c>
      <c r="X541" s="92" t="s">
        <v>213</v>
      </c>
      <c r="Y541" s="90" t="s">
        <v>213</v>
      </c>
      <c r="Z541" s="93" t="s">
        <v>213</v>
      </c>
    </row>
    <row r="542" ht="15.75" customHeight="1">
      <c r="A542" s="84"/>
      <c r="B542" s="85"/>
      <c r="C542" s="85"/>
      <c r="D542" s="84"/>
      <c r="E542" s="84"/>
      <c r="F542" s="84"/>
      <c r="G542" s="86"/>
      <c r="H542" s="86"/>
      <c r="I542" s="87"/>
      <c r="J542" s="87"/>
      <c r="K542" s="88"/>
      <c r="L542" s="84"/>
      <c r="M542" s="84"/>
      <c r="N542" s="89" t="s">
        <v>213</v>
      </c>
      <c r="O542" s="89" t="s">
        <v>213</v>
      </c>
      <c r="P542" s="89" t="s">
        <v>213</v>
      </c>
      <c r="Q542" s="89" t="s">
        <v>213</v>
      </c>
      <c r="R542" s="89" t="s">
        <v>213</v>
      </c>
      <c r="S542" s="89" t="s">
        <v>213</v>
      </c>
      <c r="T542" s="90" t="s">
        <v>213</v>
      </c>
      <c r="U542" s="91" t="s">
        <v>213</v>
      </c>
      <c r="V542" s="92" t="s">
        <v>213</v>
      </c>
      <c r="W542" s="93" t="s">
        <v>213</v>
      </c>
      <c r="X542" s="92" t="s">
        <v>213</v>
      </c>
      <c r="Y542" s="90" t="s">
        <v>213</v>
      </c>
      <c r="Z542" s="93" t="s">
        <v>213</v>
      </c>
    </row>
    <row r="543" ht="15.75" customHeight="1">
      <c r="A543" s="84"/>
      <c r="B543" s="85"/>
      <c r="C543" s="85"/>
      <c r="D543" s="84"/>
      <c r="E543" s="84"/>
      <c r="F543" s="84"/>
      <c r="G543" s="86"/>
      <c r="H543" s="86"/>
      <c r="I543" s="87"/>
      <c r="J543" s="87"/>
      <c r="K543" s="88"/>
      <c r="L543" s="84"/>
      <c r="M543" s="84"/>
      <c r="N543" s="89" t="s">
        <v>213</v>
      </c>
      <c r="O543" s="89" t="s">
        <v>213</v>
      </c>
      <c r="P543" s="89" t="s">
        <v>213</v>
      </c>
      <c r="Q543" s="89" t="s">
        <v>213</v>
      </c>
      <c r="R543" s="89" t="s">
        <v>213</v>
      </c>
      <c r="S543" s="89" t="s">
        <v>213</v>
      </c>
      <c r="T543" s="90" t="s">
        <v>213</v>
      </c>
      <c r="U543" s="91" t="s">
        <v>213</v>
      </c>
      <c r="V543" s="92" t="s">
        <v>213</v>
      </c>
      <c r="W543" s="93" t="s">
        <v>213</v>
      </c>
      <c r="X543" s="92" t="s">
        <v>213</v>
      </c>
      <c r="Y543" s="90" t="s">
        <v>213</v>
      </c>
      <c r="Z543" s="93" t="s">
        <v>213</v>
      </c>
    </row>
    <row r="544" ht="15.75" customHeight="1">
      <c r="A544" s="84"/>
      <c r="B544" s="85"/>
      <c r="C544" s="85"/>
      <c r="D544" s="84"/>
      <c r="E544" s="84"/>
      <c r="F544" s="84"/>
      <c r="G544" s="86"/>
      <c r="H544" s="86"/>
      <c r="I544" s="87"/>
      <c r="J544" s="87"/>
      <c r="K544" s="88"/>
      <c r="L544" s="84"/>
      <c r="M544" s="84"/>
      <c r="N544" s="89" t="s">
        <v>213</v>
      </c>
      <c r="O544" s="89" t="s">
        <v>213</v>
      </c>
      <c r="P544" s="89" t="s">
        <v>213</v>
      </c>
      <c r="Q544" s="89" t="s">
        <v>213</v>
      </c>
      <c r="R544" s="89" t="s">
        <v>213</v>
      </c>
      <c r="S544" s="89" t="s">
        <v>213</v>
      </c>
      <c r="T544" s="90" t="s">
        <v>213</v>
      </c>
      <c r="U544" s="91" t="s">
        <v>213</v>
      </c>
      <c r="V544" s="92" t="s">
        <v>213</v>
      </c>
      <c r="W544" s="93" t="s">
        <v>213</v>
      </c>
      <c r="X544" s="92" t="s">
        <v>213</v>
      </c>
      <c r="Y544" s="90" t="s">
        <v>213</v>
      </c>
      <c r="Z544" s="93" t="s">
        <v>213</v>
      </c>
    </row>
    <row r="545" ht="15.75" customHeight="1">
      <c r="A545" s="84"/>
      <c r="B545" s="85"/>
      <c r="C545" s="85"/>
      <c r="D545" s="84"/>
      <c r="E545" s="84"/>
      <c r="F545" s="84"/>
      <c r="G545" s="86"/>
      <c r="H545" s="86"/>
      <c r="I545" s="87"/>
      <c r="J545" s="87"/>
      <c r="K545" s="88"/>
      <c r="L545" s="84"/>
      <c r="M545" s="84"/>
      <c r="N545" s="89" t="s">
        <v>213</v>
      </c>
      <c r="O545" s="89" t="s">
        <v>213</v>
      </c>
      <c r="P545" s="89" t="s">
        <v>213</v>
      </c>
      <c r="Q545" s="89" t="s">
        <v>213</v>
      </c>
      <c r="R545" s="89" t="s">
        <v>213</v>
      </c>
      <c r="S545" s="89" t="s">
        <v>213</v>
      </c>
      <c r="T545" s="90" t="s">
        <v>213</v>
      </c>
      <c r="U545" s="91" t="s">
        <v>213</v>
      </c>
      <c r="V545" s="92" t="s">
        <v>213</v>
      </c>
      <c r="W545" s="93" t="s">
        <v>213</v>
      </c>
      <c r="X545" s="92" t="s">
        <v>213</v>
      </c>
      <c r="Y545" s="90" t="s">
        <v>213</v>
      </c>
      <c r="Z545" s="93" t="s">
        <v>213</v>
      </c>
    </row>
    <row r="546" ht="15.75" customHeight="1">
      <c r="A546" s="84"/>
      <c r="B546" s="85"/>
      <c r="C546" s="85"/>
      <c r="D546" s="84"/>
      <c r="E546" s="84"/>
      <c r="F546" s="84"/>
      <c r="G546" s="86"/>
      <c r="H546" s="86"/>
      <c r="I546" s="87"/>
      <c r="J546" s="87"/>
      <c r="K546" s="88"/>
      <c r="L546" s="84"/>
      <c r="M546" s="84"/>
      <c r="N546" s="89" t="s">
        <v>213</v>
      </c>
      <c r="O546" s="89" t="s">
        <v>213</v>
      </c>
      <c r="P546" s="89" t="s">
        <v>213</v>
      </c>
      <c r="Q546" s="89" t="s">
        <v>213</v>
      </c>
      <c r="R546" s="89" t="s">
        <v>213</v>
      </c>
      <c r="S546" s="89" t="s">
        <v>213</v>
      </c>
      <c r="T546" s="90" t="s">
        <v>213</v>
      </c>
      <c r="U546" s="91" t="s">
        <v>213</v>
      </c>
      <c r="V546" s="92" t="s">
        <v>213</v>
      </c>
      <c r="W546" s="93" t="s">
        <v>213</v>
      </c>
      <c r="X546" s="92" t="s">
        <v>213</v>
      </c>
      <c r="Y546" s="90" t="s">
        <v>213</v>
      </c>
      <c r="Z546" s="93" t="s">
        <v>213</v>
      </c>
    </row>
    <row r="547" ht="15.75" customHeight="1">
      <c r="A547" s="84"/>
      <c r="B547" s="85"/>
      <c r="C547" s="85"/>
      <c r="D547" s="84"/>
      <c r="E547" s="84"/>
      <c r="F547" s="84"/>
      <c r="G547" s="86"/>
      <c r="H547" s="86"/>
      <c r="I547" s="87"/>
      <c r="J547" s="87"/>
      <c r="K547" s="88"/>
      <c r="L547" s="84"/>
      <c r="M547" s="84"/>
      <c r="N547" s="89" t="s">
        <v>213</v>
      </c>
      <c r="O547" s="89" t="s">
        <v>213</v>
      </c>
      <c r="P547" s="89" t="s">
        <v>213</v>
      </c>
      <c r="Q547" s="89" t="s">
        <v>213</v>
      </c>
      <c r="R547" s="89" t="s">
        <v>213</v>
      </c>
      <c r="S547" s="89" t="s">
        <v>213</v>
      </c>
      <c r="T547" s="90" t="s">
        <v>213</v>
      </c>
      <c r="U547" s="91" t="s">
        <v>213</v>
      </c>
      <c r="V547" s="92" t="s">
        <v>213</v>
      </c>
      <c r="W547" s="93" t="s">
        <v>213</v>
      </c>
      <c r="X547" s="92" t="s">
        <v>213</v>
      </c>
      <c r="Y547" s="90" t="s">
        <v>213</v>
      </c>
      <c r="Z547" s="93" t="s">
        <v>213</v>
      </c>
    </row>
    <row r="548" ht="15.75" customHeight="1">
      <c r="A548" s="84"/>
      <c r="B548" s="85"/>
      <c r="C548" s="85"/>
      <c r="D548" s="84"/>
      <c r="E548" s="84"/>
      <c r="F548" s="84"/>
      <c r="G548" s="86"/>
      <c r="H548" s="86"/>
      <c r="I548" s="87"/>
      <c r="J548" s="87"/>
      <c r="K548" s="88"/>
      <c r="L548" s="84"/>
      <c r="M548" s="84"/>
      <c r="N548" s="89" t="s">
        <v>213</v>
      </c>
      <c r="O548" s="89" t="s">
        <v>213</v>
      </c>
      <c r="P548" s="89" t="s">
        <v>213</v>
      </c>
      <c r="Q548" s="89" t="s">
        <v>213</v>
      </c>
      <c r="R548" s="89" t="s">
        <v>213</v>
      </c>
      <c r="S548" s="89" t="s">
        <v>213</v>
      </c>
      <c r="T548" s="90" t="s">
        <v>213</v>
      </c>
      <c r="U548" s="91" t="s">
        <v>213</v>
      </c>
      <c r="V548" s="92" t="s">
        <v>213</v>
      </c>
      <c r="W548" s="93" t="s">
        <v>213</v>
      </c>
      <c r="X548" s="92" t="s">
        <v>213</v>
      </c>
      <c r="Y548" s="90" t="s">
        <v>213</v>
      </c>
      <c r="Z548" s="93" t="s">
        <v>213</v>
      </c>
    </row>
    <row r="549" ht="15.75" customHeight="1">
      <c r="A549" s="84"/>
      <c r="B549" s="85"/>
      <c r="C549" s="85"/>
      <c r="D549" s="84"/>
      <c r="E549" s="84"/>
      <c r="F549" s="84"/>
      <c r="G549" s="86"/>
      <c r="H549" s="86"/>
      <c r="I549" s="87"/>
      <c r="J549" s="87"/>
      <c r="K549" s="88"/>
      <c r="L549" s="84"/>
      <c r="M549" s="84"/>
      <c r="N549" s="89" t="s">
        <v>213</v>
      </c>
      <c r="O549" s="89" t="s">
        <v>213</v>
      </c>
      <c r="P549" s="89" t="s">
        <v>213</v>
      </c>
      <c r="Q549" s="89" t="s">
        <v>213</v>
      </c>
      <c r="R549" s="89" t="s">
        <v>213</v>
      </c>
      <c r="S549" s="89" t="s">
        <v>213</v>
      </c>
      <c r="T549" s="90" t="s">
        <v>213</v>
      </c>
      <c r="U549" s="91" t="s">
        <v>213</v>
      </c>
      <c r="V549" s="92" t="s">
        <v>213</v>
      </c>
      <c r="W549" s="93" t="s">
        <v>213</v>
      </c>
      <c r="X549" s="92" t="s">
        <v>213</v>
      </c>
      <c r="Y549" s="90" t="s">
        <v>213</v>
      </c>
      <c r="Z549" s="93" t="s">
        <v>213</v>
      </c>
    </row>
    <row r="550" ht="15.75" customHeight="1">
      <c r="A550" s="84"/>
      <c r="B550" s="85"/>
      <c r="C550" s="85"/>
      <c r="D550" s="84"/>
      <c r="E550" s="84"/>
      <c r="F550" s="84"/>
      <c r="G550" s="86"/>
      <c r="H550" s="86"/>
      <c r="I550" s="87"/>
      <c r="J550" s="87"/>
      <c r="K550" s="88"/>
      <c r="L550" s="84"/>
      <c r="M550" s="84"/>
      <c r="N550" s="89" t="s">
        <v>213</v>
      </c>
      <c r="O550" s="89" t="s">
        <v>213</v>
      </c>
      <c r="P550" s="89" t="s">
        <v>213</v>
      </c>
      <c r="Q550" s="89" t="s">
        <v>213</v>
      </c>
      <c r="R550" s="89" t="s">
        <v>213</v>
      </c>
      <c r="S550" s="89" t="s">
        <v>213</v>
      </c>
      <c r="T550" s="90" t="s">
        <v>213</v>
      </c>
      <c r="U550" s="91" t="s">
        <v>213</v>
      </c>
      <c r="V550" s="92" t="s">
        <v>213</v>
      </c>
      <c r="W550" s="93" t="s">
        <v>213</v>
      </c>
      <c r="X550" s="92" t="s">
        <v>213</v>
      </c>
      <c r="Y550" s="90" t="s">
        <v>213</v>
      </c>
      <c r="Z550" s="93" t="s">
        <v>213</v>
      </c>
    </row>
    <row r="551" ht="15.75" customHeight="1">
      <c r="A551" s="84"/>
      <c r="B551" s="85"/>
      <c r="C551" s="85"/>
      <c r="D551" s="84"/>
      <c r="E551" s="84"/>
      <c r="F551" s="84"/>
      <c r="G551" s="86"/>
      <c r="H551" s="86"/>
      <c r="I551" s="87"/>
      <c r="J551" s="87"/>
      <c r="K551" s="88"/>
      <c r="L551" s="84"/>
      <c r="M551" s="84"/>
      <c r="N551" s="89" t="s">
        <v>213</v>
      </c>
      <c r="O551" s="89" t="s">
        <v>213</v>
      </c>
      <c r="P551" s="89" t="s">
        <v>213</v>
      </c>
      <c r="Q551" s="89" t="s">
        <v>213</v>
      </c>
      <c r="R551" s="89" t="s">
        <v>213</v>
      </c>
      <c r="S551" s="89" t="s">
        <v>213</v>
      </c>
      <c r="T551" s="90" t="s">
        <v>213</v>
      </c>
      <c r="U551" s="91" t="s">
        <v>213</v>
      </c>
      <c r="V551" s="92" t="s">
        <v>213</v>
      </c>
      <c r="W551" s="93" t="s">
        <v>213</v>
      </c>
      <c r="X551" s="92" t="s">
        <v>213</v>
      </c>
      <c r="Y551" s="90" t="s">
        <v>213</v>
      </c>
      <c r="Z551" s="93" t="s">
        <v>213</v>
      </c>
    </row>
    <row r="552" ht="15.75" customHeight="1">
      <c r="A552" s="84"/>
      <c r="B552" s="85"/>
      <c r="C552" s="85"/>
      <c r="D552" s="84"/>
      <c r="E552" s="84"/>
      <c r="F552" s="84"/>
      <c r="G552" s="86"/>
      <c r="H552" s="86"/>
      <c r="I552" s="87"/>
      <c r="J552" s="87"/>
      <c r="K552" s="88"/>
      <c r="L552" s="84"/>
      <c r="M552" s="84"/>
      <c r="N552" s="89" t="s">
        <v>213</v>
      </c>
      <c r="O552" s="89" t="s">
        <v>213</v>
      </c>
      <c r="P552" s="89" t="s">
        <v>213</v>
      </c>
      <c r="Q552" s="89" t="s">
        <v>213</v>
      </c>
      <c r="R552" s="89" t="s">
        <v>213</v>
      </c>
      <c r="S552" s="89" t="s">
        <v>213</v>
      </c>
      <c r="T552" s="90" t="s">
        <v>213</v>
      </c>
      <c r="U552" s="91" t="s">
        <v>213</v>
      </c>
      <c r="V552" s="92" t="s">
        <v>213</v>
      </c>
      <c r="W552" s="93" t="s">
        <v>213</v>
      </c>
      <c r="X552" s="92" t="s">
        <v>213</v>
      </c>
      <c r="Y552" s="90" t="s">
        <v>213</v>
      </c>
      <c r="Z552" s="93" t="s">
        <v>213</v>
      </c>
    </row>
    <row r="553" ht="15.75" customHeight="1">
      <c r="A553" s="84"/>
      <c r="B553" s="85"/>
      <c r="C553" s="85"/>
      <c r="D553" s="84"/>
      <c r="E553" s="84"/>
      <c r="F553" s="84"/>
      <c r="G553" s="86"/>
      <c r="H553" s="86"/>
      <c r="I553" s="87"/>
      <c r="J553" s="87"/>
      <c r="K553" s="88"/>
      <c r="L553" s="84"/>
      <c r="M553" s="84"/>
      <c r="N553" s="89" t="s">
        <v>213</v>
      </c>
      <c r="O553" s="89" t="s">
        <v>213</v>
      </c>
      <c r="P553" s="89" t="s">
        <v>213</v>
      </c>
      <c r="Q553" s="89" t="s">
        <v>213</v>
      </c>
      <c r="R553" s="89" t="s">
        <v>213</v>
      </c>
      <c r="S553" s="89" t="s">
        <v>213</v>
      </c>
      <c r="T553" s="90" t="s">
        <v>213</v>
      </c>
      <c r="U553" s="91" t="s">
        <v>213</v>
      </c>
      <c r="V553" s="92" t="s">
        <v>213</v>
      </c>
      <c r="W553" s="93" t="s">
        <v>213</v>
      </c>
      <c r="X553" s="92" t="s">
        <v>213</v>
      </c>
      <c r="Y553" s="90" t="s">
        <v>213</v>
      </c>
      <c r="Z553" s="93" t="s">
        <v>213</v>
      </c>
    </row>
    <row r="554" ht="15.75" customHeight="1">
      <c r="A554" s="84"/>
      <c r="B554" s="85"/>
      <c r="C554" s="85"/>
      <c r="D554" s="84"/>
      <c r="E554" s="84"/>
      <c r="F554" s="84"/>
      <c r="G554" s="86"/>
      <c r="H554" s="86"/>
      <c r="I554" s="87"/>
      <c r="J554" s="87"/>
      <c r="K554" s="88"/>
      <c r="L554" s="84"/>
      <c r="M554" s="84"/>
      <c r="N554" s="89" t="s">
        <v>213</v>
      </c>
      <c r="O554" s="89" t="s">
        <v>213</v>
      </c>
      <c r="P554" s="89" t="s">
        <v>213</v>
      </c>
      <c r="Q554" s="89" t="s">
        <v>213</v>
      </c>
      <c r="R554" s="89" t="s">
        <v>213</v>
      </c>
      <c r="S554" s="89" t="s">
        <v>213</v>
      </c>
      <c r="T554" s="90" t="s">
        <v>213</v>
      </c>
      <c r="U554" s="91" t="s">
        <v>213</v>
      </c>
      <c r="V554" s="92" t="s">
        <v>213</v>
      </c>
      <c r="W554" s="93" t="s">
        <v>213</v>
      </c>
      <c r="X554" s="92" t="s">
        <v>213</v>
      </c>
      <c r="Y554" s="90" t="s">
        <v>213</v>
      </c>
      <c r="Z554" s="93" t="s">
        <v>213</v>
      </c>
    </row>
    <row r="555" ht="15.75" customHeight="1">
      <c r="A555" s="84"/>
      <c r="B555" s="85"/>
      <c r="C555" s="85"/>
      <c r="D555" s="84"/>
      <c r="E555" s="84"/>
      <c r="F555" s="84"/>
      <c r="G555" s="86"/>
      <c r="H555" s="86"/>
      <c r="I555" s="87"/>
      <c r="J555" s="87"/>
      <c r="K555" s="88"/>
      <c r="L555" s="84"/>
      <c r="M555" s="84"/>
      <c r="N555" s="89" t="s">
        <v>213</v>
      </c>
      <c r="O555" s="89" t="s">
        <v>213</v>
      </c>
      <c r="P555" s="89" t="s">
        <v>213</v>
      </c>
      <c r="Q555" s="89" t="s">
        <v>213</v>
      </c>
      <c r="R555" s="89" t="s">
        <v>213</v>
      </c>
      <c r="S555" s="89" t="s">
        <v>213</v>
      </c>
      <c r="T555" s="90" t="s">
        <v>213</v>
      </c>
      <c r="U555" s="91" t="s">
        <v>213</v>
      </c>
      <c r="V555" s="92" t="s">
        <v>213</v>
      </c>
      <c r="W555" s="93" t="s">
        <v>213</v>
      </c>
      <c r="X555" s="92" t="s">
        <v>213</v>
      </c>
      <c r="Y555" s="90" t="s">
        <v>213</v>
      </c>
      <c r="Z555" s="93" t="s">
        <v>213</v>
      </c>
    </row>
    <row r="556" ht="15.75" customHeight="1">
      <c r="A556" s="84"/>
      <c r="B556" s="85"/>
      <c r="C556" s="85"/>
      <c r="D556" s="84"/>
      <c r="E556" s="84"/>
      <c r="F556" s="84"/>
      <c r="G556" s="86"/>
      <c r="H556" s="86"/>
      <c r="I556" s="87"/>
      <c r="J556" s="87"/>
      <c r="K556" s="88"/>
      <c r="L556" s="84"/>
      <c r="M556" s="84"/>
      <c r="N556" s="89" t="s">
        <v>213</v>
      </c>
      <c r="O556" s="89" t="s">
        <v>213</v>
      </c>
      <c r="P556" s="89" t="s">
        <v>213</v>
      </c>
      <c r="Q556" s="89" t="s">
        <v>213</v>
      </c>
      <c r="R556" s="89" t="s">
        <v>213</v>
      </c>
      <c r="S556" s="89" t="s">
        <v>213</v>
      </c>
      <c r="T556" s="90" t="s">
        <v>213</v>
      </c>
      <c r="U556" s="91" t="s">
        <v>213</v>
      </c>
      <c r="V556" s="92" t="s">
        <v>213</v>
      </c>
      <c r="W556" s="93" t="s">
        <v>213</v>
      </c>
      <c r="X556" s="92" t="s">
        <v>213</v>
      </c>
      <c r="Y556" s="90" t="s">
        <v>213</v>
      </c>
      <c r="Z556" s="93" t="s">
        <v>213</v>
      </c>
    </row>
    <row r="557" ht="15.75" customHeight="1">
      <c r="A557" s="84"/>
      <c r="B557" s="85"/>
      <c r="C557" s="85"/>
      <c r="D557" s="84"/>
      <c r="E557" s="84"/>
      <c r="F557" s="84"/>
      <c r="G557" s="86"/>
      <c r="H557" s="86"/>
      <c r="I557" s="87"/>
      <c r="J557" s="87"/>
      <c r="K557" s="88"/>
      <c r="L557" s="84"/>
      <c r="M557" s="84"/>
      <c r="N557" s="89" t="s">
        <v>213</v>
      </c>
      <c r="O557" s="89" t="s">
        <v>213</v>
      </c>
      <c r="P557" s="89" t="s">
        <v>213</v>
      </c>
      <c r="Q557" s="89" t="s">
        <v>213</v>
      </c>
      <c r="R557" s="89" t="s">
        <v>213</v>
      </c>
      <c r="S557" s="89" t="s">
        <v>213</v>
      </c>
      <c r="T557" s="90" t="s">
        <v>213</v>
      </c>
      <c r="U557" s="91" t="s">
        <v>213</v>
      </c>
      <c r="V557" s="92" t="s">
        <v>213</v>
      </c>
      <c r="W557" s="93" t="s">
        <v>213</v>
      </c>
      <c r="X557" s="92" t="s">
        <v>213</v>
      </c>
      <c r="Y557" s="90" t="s">
        <v>213</v>
      </c>
      <c r="Z557" s="93" t="s">
        <v>213</v>
      </c>
    </row>
    <row r="558" ht="15.75" customHeight="1">
      <c r="A558" s="84"/>
      <c r="B558" s="85"/>
      <c r="C558" s="85"/>
      <c r="D558" s="84"/>
      <c r="E558" s="84"/>
      <c r="F558" s="84"/>
      <c r="G558" s="86"/>
      <c r="H558" s="86"/>
      <c r="I558" s="87"/>
      <c r="J558" s="87"/>
      <c r="K558" s="88"/>
      <c r="L558" s="84"/>
      <c r="M558" s="84"/>
      <c r="N558" s="89" t="s">
        <v>213</v>
      </c>
      <c r="O558" s="89" t="s">
        <v>213</v>
      </c>
      <c r="P558" s="89" t="s">
        <v>213</v>
      </c>
      <c r="Q558" s="89" t="s">
        <v>213</v>
      </c>
      <c r="R558" s="89" t="s">
        <v>213</v>
      </c>
      <c r="S558" s="89" t="s">
        <v>213</v>
      </c>
      <c r="T558" s="90" t="s">
        <v>213</v>
      </c>
      <c r="U558" s="91" t="s">
        <v>213</v>
      </c>
      <c r="V558" s="92" t="s">
        <v>213</v>
      </c>
      <c r="W558" s="93" t="s">
        <v>213</v>
      </c>
      <c r="X558" s="92" t="s">
        <v>213</v>
      </c>
      <c r="Y558" s="90" t="s">
        <v>213</v>
      </c>
      <c r="Z558" s="93" t="s">
        <v>213</v>
      </c>
    </row>
    <row r="559" ht="15.75" customHeight="1">
      <c r="A559" s="84"/>
      <c r="B559" s="85"/>
      <c r="C559" s="85"/>
      <c r="D559" s="84"/>
      <c r="E559" s="84"/>
      <c r="F559" s="84"/>
      <c r="G559" s="86"/>
      <c r="H559" s="86"/>
      <c r="I559" s="87"/>
      <c r="J559" s="87"/>
      <c r="K559" s="88"/>
      <c r="L559" s="84"/>
      <c r="M559" s="84"/>
      <c r="N559" s="89" t="s">
        <v>213</v>
      </c>
      <c r="O559" s="89" t="s">
        <v>213</v>
      </c>
      <c r="P559" s="89" t="s">
        <v>213</v>
      </c>
      <c r="Q559" s="89" t="s">
        <v>213</v>
      </c>
      <c r="R559" s="89" t="s">
        <v>213</v>
      </c>
      <c r="S559" s="89" t="s">
        <v>213</v>
      </c>
      <c r="T559" s="90" t="s">
        <v>213</v>
      </c>
      <c r="U559" s="91" t="s">
        <v>213</v>
      </c>
      <c r="V559" s="92" t="s">
        <v>213</v>
      </c>
      <c r="W559" s="93" t="s">
        <v>213</v>
      </c>
      <c r="X559" s="92" t="s">
        <v>213</v>
      </c>
      <c r="Y559" s="90" t="s">
        <v>213</v>
      </c>
      <c r="Z559" s="93" t="s">
        <v>213</v>
      </c>
    </row>
    <row r="560" ht="15.75" customHeight="1">
      <c r="A560" s="84"/>
      <c r="B560" s="85"/>
      <c r="C560" s="85"/>
      <c r="D560" s="84"/>
      <c r="E560" s="84"/>
      <c r="F560" s="84"/>
      <c r="G560" s="86"/>
      <c r="H560" s="86"/>
      <c r="I560" s="87"/>
      <c r="J560" s="87"/>
      <c r="K560" s="88"/>
      <c r="L560" s="84"/>
      <c r="M560" s="84"/>
      <c r="N560" s="89" t="s">
        <v>213</v>
      </c>
      <c r="O560" s="89" t="s">
        <v>213</v>
      </c>
      <c r="P560" s="89" t="s">
        <v>213</v>
      </c>
      <c r="Q560" s="89" t="s">
        <v>213</v>
      </c>
      <c r="R560" s="89" t="s">
        <v>213</v>
      </c>
      <c r="S560" s="89" t="s">
        <v>213</v>
      </c>
      <c r="T560" s="90" t="s">
        <v>213</v>
      </c>
      <c r="U560" s="91" t="s">
        <v>213</v>
      </c>
      <c r="V560" s="92" t="s">
        <v>213</v>
      </c>
      <c r="W560" s="93" t="s">
        <v>213</v>
      </c>
      <c r="X560" s="92" t="s">
        <v>213</v>
      </c>
      <c r="Y560" s="90" t="s">
        <v>213</v>
      </c>
      <c r="Z560" s="93" t="s">
        <v>213</v>
      </c>
    </row>
    <row r="561" ht="15.75" customHeight="1">
      <c r="A561" s="84"/>
      <c r="B561" s="85"/>
      <c r="C561" s="85"/>
      <c r="D561" s="84"/>
      <c r="E561" s="84"/>
      <c r="F561" s="84"/>
      <c r="G561" s="86"/>
      <c r="H561" s="86"/>
      <c r="I561" s="87"/>
      <c r="J561" s="87"/>
      <c r="K561" s="88"/>
      <c r="L561" s="84"/>
      <c r="M561" s="84"/>
      <c r="N561" s="89" t="s">
        <v>213</v>
      </c>
      <c r="O561" s="89" t="s">
        <v>213</v>
      </c>
      <c r="P561" s="89" t="s">
        <v>213</v>
      </c>
      <c r="Q561" s="89" t="s">
        <v>213</v>
      </c>
      <c r="R561" s="89" t="s">
        <v>213</v>
      </c>
      <c r="S561" s="89" t="s">
        <v>213</v>
      </c>
      <c r="T561" s="90" t="s">
        <v>213</v>
      </c>
      <c r="U561" s="91" t="s">
        <v>213</v>
      </c>
      <c r="V561" s="92" t="s">
        <v>213</v>
      </c>
      <c r="W561" s="93" t="s">
        <v>213</v>
      </c>
      <c r="X561" s="92" t="s">
        <v>213</v>
      </c>
      <c r="Y561" s="90" t="s">
        <v>213</v>
      </c>
      <c r="Z561" s="93" t="s">
        <v>213</v>
      </c>
    </row>
    <row r="562" ht="15.75" customHeight="1">
      <c r="A562" s="84"/>
      <c r="B562" s="85"/>
      <c r="C562" s="85"/>
      <c r="D562" s="84"/>
      <c r="E562" s="84"/>
      <c r="F562" s="84"/>
      <c r="G562" s="86"/>
      <c r="H562" s="86"/>
      <c r="I562" s="87"/>
      <c r="J562" s="87"/>
      <c r="K562" s="88"/>
      <c r="L562" s="84"/>
      <c r="M562" s="84"/>
      <c r="N562" s="89" t="s">
        <v>213</v>
      </c>
      <c r="O562" s="89" t="s">
        <v>213</v>
      </c>
      <c r="P562" s="89" t="s">
        <v>213</v>
      </c>
      <c r="Q562" s="89" t="s">
        <v>213</v>
      </c>
      <c r="R562" s="89" t="s">
        <v>213</v>
      </c>
      <c r="S562" s="89" t="s">
        <v>213</v>
      </c>
      <c r="T562" s="90" t="s">
        <v>213</v>
      </c>
      <c r="U562" s="91" t="s">
        <v>213</v>
      </c>
      <c r="V562" s="92" t="s">
        <v>213</v>
      </c>
      <c r="W562" s="93" t="s">
        <v>213</v>
      </c>
      <c r="X562" s="92" t="s">
        <v>213</v>
      </c>
      <c r="Y562" s="90" t="s">
        <v>213</v>
      </c>
      <c r="Z562" s="93" t="s">
        <v>213</v>
      </c>
    </row>
    <row r="563" ht="15.75" customHeight="1">
      <c r="A563" s="84"/>
      <c r="B563" s="85"/>
      <c r="C563" s="85"/>
      <c r="D563" s="84"/>
      <c r="E563" s="84"/>
      <c r="F563" s="84"/>
      <c r="G563" s="86"/>
      <c r="H563" s="86"/>
      <c r="I563" s="87"/>
      <c r="J563" s="87"/>
      <c r="K563" s="88"/>
      <c r="L563" s="84"/>
      <c r="M563" s="84"/>
      <c r="N563" s="89" t="s">
        <v>213</v>
      </c>
      <c r="O563" s="89" t="s">
        <v>213</v>
      </c>
      <c r="P563" s="89" t="s">
        <v>213</v>
      </c>
      <c r="Q563" s="89" t="s">
        <v>213</v>
      </c>
      <c r="R563" s="89" t="s">
        <v>213</v>
      </c>
      <c r="S563" s="89" t="s">
        <v>213</v>
      </c>
      <c r="T563" s="90" t="s">
        <v>213</v>
      </c>
      <c r="U563" s="91" t="s">
        <v>213</v>
      </c>
      <c r="V563" s="92" t="s">
        <v>213</v>
      </c>
      <c r="W563" s="93" t="s">
        <v>213</v>
      </c>
      <c r="X563" s="92" t="s">
        <v>213</v>
      </c>
      <c r="Y563" s="90" t="s">
        <v>213</v>
      </c>
      <c r="Z563" s="93" t="s">
        <v>213</v>
      </c>
    </row>
    <row r="564" ht="15.75" customHeight="1">
      <c r="A564" s="84"/>
      <c r="B564" s="85"/>
      <c r="C564" s="85"/>
      <c r="D564" s="84"/>
      <c r="E564" s="84"/>
      <c r="F564" s="84"/>
      <c r="G564" s="86"/>
      <c r="H564" s="86"/>
      <c r="I564" s="87"/>
      <c r="J564" s="87"/>
      <c r="K564" s="88"/>
      <c r="L564" s="84"/>
      <c r="M564" s="84"/>
      <c r="N564" s="89" t="s">
        <v>213</v>
      </c>
      <c r="O564" s="89" t="s">
        <v>213</v>
      </c>
      <c r="P564" s="89" t="s">
        <v>213</v>
      </c>
      <c r="Q564" s="89" t="s">
        <v>213</v>
      </c>
      <c r="R564" s="89" t="s">
        <v>213</v>
      </c>
      <c r="S564" s="89" t="s">
        <v>213</v>
      </c>
      <c r="T564" s="90" t="s">
        <v>213</v>
      </c>
      <c r="U564" s="91" t="s">
        <v>213</v>
      </c>
      <c r="V564" s="92" t="s">
        <v>213</v>
      </c>
      <c r="W564" s="93" t="s">
        <v>213</v>
      </c>
      <c r="X564" s="92" t="s">
        <v>213</v>
      </c>
      <c r="Y564" s="90" t="s">
        <v>213</v>
      </c>
      <c r="Z564" s="93" t="s">
        <v>213</v>
      </c>
    </row>
    <row r="565" ht="15.75" customHeight="1">
      <c r="A565" s="84"/>
      <c r="B565" s="85"/>
      <c r="C565" s="85"/>
      <c r="D565" s="84"/>
      <c r="E565" s="84"/>
      <c r="F565" s="84"/>
      <c r="G565" s="86"/>
      <c r="H565" s="86"/>
      <c r="I565" s="87"/>
      <c r="J565" s="87"/>
      <c r="K565" s="88"/>
      <c r="L565" s="84"/>
      <c r="M565" s="84"/>
      <c r="N565" s="89" t="s">
        <v>213</v>
      </c>
      <c r="O565" s="89" t="s">
        <v>213</v>
      </c>
      <c r="P565" s="89" t="s">
        <v>213</v>
      </c>
      <c r="Q565" s="89" t="s">
        <v>213</v>
      </c>
      <c r="R565" s="89" t="s">
        <v>213</v>
      </c>
      <c r="S565" s="89" t="s">
        <v>213</v>
      </c>
      <c r="T565" s="90" t="s">
        <v>213</v>
      </c>
      <c r="U565" s="91" t="s">
        <v>213</v>
      </c>
      <c r="V565" s="92" t="s">
        <v>213</v>
      </c>
      <c r="W565" s="93" t="s">
        <v>213</v>
      </c>
      <c r="X565" s="92" t="s">
        <v>213</v>
      </c>
      <c r="Y565" s="90" t="s">
        <v>213</v>
      </c>
      <c r="Z565" s="93" t="s">
        <v>213</v>
      </c>
    </row>
    <row r="566" ht="15.75" customHeight="1">
      <c r="A566" s="84"/>
      <c r="B566" s="85"/>
      <c r="C566" s="85"/>
      <c r="D566" s="84"/>
      <c r="E566" s="84"/>
      <c r="F566" s="84"/>
      <c r="G566" s="86"/>
      <c r="H566" s="86"/>
      <c r="I566" s="87"/>
      <c r="J566" s="87"/>
      <c r="K566" s="88"/>
      <c r="L566" s="84"/>
      <c r="M566" s="84"/>
      <c r="N566" s="89" t="s">
        <v>213</v>
      </c>
      <c r="O566" s="89" t="s">
        <v>213</v>
      </c>
      <c r="P566" s="89" t="s">
        <v>213</v>
      </c>
      <c r="Q566" s="89" t="s">
        <v>213</v>
      </c>
      <c r="R566" s="89" t="s">
        <v>213</v>
      </c>
      <c r="S566" s="89" t="s">
        <v>213</v>
      </c>
      <c r="T566" s="90" t="s">
        <v>213</v>
      </c>
      <c r="U566" s="91" t="s">
        <v>213</v>
      </c>
      <c r="V566" s="92" t="s">
        <v>213</v>
      </c>
      <c r="W566" s="93" t="s">
        <v>213</v>
      </c>
      <c r="X566" s="92" t="s">
        <v>213</v>
      </c>
      <c r="Y566" s="90" t="s">
        <v>213</v>
      </c>
      <c r="Z566" s="93" t="s">
        <v>213</v>
      </c>
    </row>
    <row r="567" ht="15.75" customHeight="1">
      <c r="A567" s="84"/>
      <c r="B567" s="85"/>
      <c r="C567" s="85"/>
      <c r="D567" s="84"/>
      <c r="E567" s="84"/>
      <c r="F567" s="84"/>
      <c r="G567" s="86"/>
      <c r="H567" s="86"/>
      <c r="I567" s="87"/>
      <c r="J567" s="87"/>
      <c r="K567" s="88"/>
      <c r="L567" s="84"/>
      <c r="M567" s="84"/>
      <c r="N567" s="89" t="s">
        <v>213</v>
      </c>
      <c r="O567" s="89" t="s">
        <v>213</v>
      </c>
      <c r="P567" s="89" t="s">
        <v>213</v>
      </c>
      <c r="Q567" s="89" t="s">
        <v>213</v>
      </c>
      <c r="R567" s="89" t="s">
        <v>213</v>
      </c>
      <c r="S567" s="89" t="s">
        <v>213</v>
      </c>
      <c r="T567" s="90" t="s">
        <v>213</v>
      </c>
      <c r="U567" s="91" t="s">
        <v>213</v>
      </c>
      <c r="V567" s="92" t="s">
        <v>213</v>
      </c>
      <c r="W567" s="93" t="s">
        <v>213</v>
      </c>
      <c r="X567" s="92" t="s">
        <v>213</v>
      </c>
      <c r="Y567" s="90" t="s">
        <v>213</v>
      </c>
      <c r="Z567" s="93" t="s">
        <v>213</v>
      </c>
    </row>
    <row r="568" ht="15.75" customHeight="1">
      <c r="A568" s="84"/>
      <c r="B568" s="85"/>
      <c r="C568" s="85"/>
      <c r="D568" s="84"/>
      <c r="E568" s="84"/>
      <c r="F568" s="84"/>
      <c r="G568" s="86"/>
      <c r="H568" s="86"/>
      <c r="I568" s="87"/>
      <c r="J568" s="87"/>
      <c r="K568" s="88"/>
      <c r="L568" s="84"/>
      <c r="M568" s="84"/>
      <c r="N568" s="89" t="s">
        <v>213</v>
      </c>
      <c r="O568" s="89" t="s">
        <v>213</v>
      </c>
      <c r="P568" s="89" t="s">
        <v>213</v>
      </c>
      <c r="Q568" s="89" t="s">
        <v>213</v>
      </c>
      <c r="R568" s="89" t="s">
        <v>213</v>
      </c>
      <c r="S568" s="89" t="s">
        <v>213</v>
      </c>
      <c r="T568" s="90" t="s">
        <v>213</v>
      </c>
      <c r="U568" s="91" t="s">
        <v>213</v>
      </c>
      <c r="V568" s="92" t="s">
        <v>213</v>
      </c>
      <c r="W568" s="93" t="s">
        <v>213</v>
      </c>
      <c r="X568" s="92" t="s">
        <v>213</v>
      </c>
      <c r="Y568" s="90" t="s">
        <v>213</v>
      </c>
      <c r="Z568" s="93" t="s">
        <v>213</v>
      </c>
    </row>
    <row r="569" ht="15.75" customHeight="1">
      <c r="A569" s="84"/>
      <c r="B569" s="85"/>
      <c r="C569" s="85"/>
      <c r="D569" s="84"/>
      <c r="E569" s="84"/>
      <c r="F569" s="84"/>
      <c r="G569" s="86"/>
      <c r="H569" s="86"/>
      <c r="I569" s="87"/>
      <c r="J569" s="87"/>
      <c r="K569" s="88"/>
      <c r="L569" s="84"/>
      <c r="M569" s="84"/>
      <c r="N569" s="89" t="s">
        <v>213</v>
      </c>
      <c r="O569" s="89" t="s">
        <v>213</v>
      </c>
      <c r="P569" s="89" t="s">
        <v>213</v>
      </c>
      <c r="Q569" s="89" t="s">
        <v>213</v>
      </c>
      <c r="R569" s="89" t="s">
        <v>213</v>
      </c>
      <c r="S569" s="89" t="s">
        <v>213</v>
      </c>
      <c r="T569" s="90" t="s">
        <v>213</v>
      </c>
      <c r="U569" s="91" t="s">
        <v>213</v>
      </c>
      <c r="V569" s="92" t="s">
        <v>213</v>
      </c>
      <c r="W569" s="93" t="s">
        <v>213</v>
      </c>
      <c r="X569" s="92" t="s">
        <v>213</v>
      </c>
      <c r="Y569" s="90" t="s">
        <v>213</v>
      </c>
      <c r="Z569" s="93" t="s">
        <v>213</v>
      </c>
    </row>
    <row r="570" ht="15.75" customHeight="1">
      <c r="A570" s="84"/>
      <c r="B570" s="85"/>
      <c r="C570" s="85"/>
      <c r="D570" s="84"/>
      <c r="E570" s="84"/>
      <c r="F570" s="84"/>
      <c r="G570" s="86"/>
      <c r="H570" s="86"/>
      <c r="I570" s="87"/>
      <c r="J570" s="87"/>
      <c r="K570" s="88"/>
      <c r="L570" s="84"/>
      <c r="M570" s="84"/>
      <c r="N570" s="89" t="s">
        <v>213</v>
      </c>
      <c r="O570" s="89" t="s">
        <v>213</v>
      </c>
      <c r="P570" s="89" t="s">
        <v>213</v>
      </c>
      <c r="Q570" s="89" t="s">
        <v>213</v>
      </c>
      <c r="R570" s="89" t="s">
        <v>213</v>
      </c>
      <c r="S570" s="89" t="s">
        <v>213</v>
      </c>
      <c r="T570" s="90" t="s">
        <v>213</v>
      </c>
      <c r="U570" s="91" t="s">
        <v>213</v>
      </c>
      <c r="V570" s="92" t="s">
        <v>213</v>
      </c>
      <c r="W570" s="93" t="s">
        <v>213</v>
      </c>
      <c r="X570" s="92" t="s">
        <v>213</v>
      </c>
      <c r="Y570" s="90" t="s">
        <v>213</v>
      </c>
      <c r="Z570" s="93" t="s">
        <v>213</v>
      </c>
    </row>
    <row r="571" ht="15.75" customHeight="1">
      <c r="A571" s="84"/>
      <c r="B571" s="85"/>
      <c r="C571" s="85"/>
      <c r="D571" s="84"/>
      <c r="E571" s="84"/>
      <c r="F571" s="84"/>
      <c r="G571" s="86"/>
      <c r="H571" s="86"/>
      <c r="I571" s="87"/>
      <c r="J571" s="87"/>
      <c r="K571" s="88"/>
      <c r="L571" s="84"/>
      <c r="M571" s="84"/>
      <c r="N571" s="89" t="s">
        <v>213</v>
      </c>
      <c r="O571" s="89" t="s">
        <v>213</v>
      </c>
      <c r="P571" s="89" t="s">
        <v>213</v>
      </c>
      <c r="Q571" s="89" t="s">
        <v>213</v>
      </c>
      <c r="R571" s="89" t="s">
        <v>213</v>
      </c>
      <c r="S571" s="89" t="s">
        <v>213</v>
      </c>
      <c r="T571" s="90" t="s">
        <v>213</v>
      </c>
      <c r="U571" s="91" t="s">
        <v>213</v>
      </c>
      <c r="V571" s="92" t="s">
        <v>213</v>
      </c>
      <c r="W571" s="93" t="s">
        <v>213</v>
      </c>
      <c r="X571" s="92" t="s">
        <v>213</v>
      </c>
      <c r="Y571" s="90" t="s">
        <v>213</v>
      </c>
      <c r="Z571" s="93" t="s">
        <v>213</v>
      </c>
    </row>
    <row r="572" ht="15.75" customHeight="1">
      <c r="A572" s="84"/>
      <c r="B572" s="85"/>
      <c r="C572" s="85"/>
      <c r="D572" s="84"/>
      <c r="E572" s="84"/>
      <c r="F572" s="84"/>
      <c r="G572" s="86"/>
      <c r="H572" s="86"/>
      <c r="I572" s="87"/>
      <c r="J572" s="87"/>
      <c r="K572" s="88"/>
      <c r="L572" s="84"/>
      <c r="M572" s="84"/>
      <c r="N572" s="89" t="s">
        <v>213</v>
      </c>
      <c r="O572" s="89" t="s">
        <v>213</v>
      </c>
      <c r="P572" s="89" t="s">
        <v>213</v>
      </c>
      <c r="Q572" s="89" t="s">
        <v>213</v>
      </c>
      <c r="R572" s="89" t="s">
        <v>213</v>
      </c>
      <c r="S572" s="89" t="s">
        <v>213</v>
      </c>
      <c r="T572" s="90" t="s">
        <v>213</v>
      </c>
      <c r="U572" s="91" t="s">
        <v>213</v>
      </c>
      <c r="V572" s="92" t="s">
        <v>213</v>
      </c>
      <c r="W572" s="93" t="s">
        <v>213</v>
      </c>
      <c r="X572" s="92" t="s">
        <v>213</v>
      </c>
      <c r="Y572" s="90" t="s">
        <v>213</v>
      </c>
      <c r="Z572" s="93" t="s">
        <v>213</v>
      </c>
    </row>
    <row r="573" ht="15.75" customHeight="1">
      <c r="A573" s="84"/>
      <c r="B573" s="85"/>
      <c r="C573" s="85"/>
      <c r="D573" s="84"/>
      <c r="E573" s="84"/>
      <c r="F573" s="84"/>
      <c r="G573" s="86"/>
      <c r="H573" s="86"/>
      <c r="I573" s="87"/>
      <c r="J573" s="87"/>
      <c r="K573" s="88"/>
      <c r="L573" s="84"/>
      <c r="M573" s="84"/>
      <c r="N573" s="89" t="s">
        <v>213</v>
      </c>
      <c r="O573" s="89" t="s">
        <v>213</v>
      </c>
      <c r="P573" s="89" t="s">
        <v>213</v>
      </c>
      <c r="Q573" s="89" t="s">
        <v>213</v>
      </c>
      <c r="R573" s="89" t="s">
        <v>213</v>
      </c>
      <c r="S573" s="89" t="s">
        <v>213</v>
      </c>
      <c r="T573" s="90" t="s">
        <v>213</v>
      </c>
      <c r="U573" s="91" t="s">
        <v>213</v>
      </c>
      <c r="V573" s="92" t="s">
        <v>213</v>
      </c>
      <c r="W573" s="93" t="s">
        <v>213</v>
      </c>
      <c r="X573" s="92" t="s">
        <v>213</v>
      </c>
      <c r="Y573" s="90" t="s">
        <v>213</v>
      </c>
      <c r="Z573" s="93" t="s">
        <v>213</v>
      </c>
    </row>
    <row r="574" ht="15.75" customHeight="1">
      <c r="A574" s="84"/>
      <c r="B574" s="85"/>
      <c r="C574" s="85"/>
      <c r="D574" s="84"/>
      <c r="E574" s="84"/>
      <c r="F574" s="84"/>
      <c r="G574" s="86"/>
      <c r="H574" s="86"/>
      <c r="I574" s="87"/>
      <c r="J574" s="87"/>
      <c r="K574" s="88"/>
      <c r="L574" s="84"/>
      <c r="M574" s="84"/>
      <c r="N574" s="89" t="s">
        <v>213</v>
      </c>
      <c r="O574" s="89" t="s">
        <v>213</v>
      </c>
      <c r="P574" s="89" t="s">
        <v>213</v>
      </c>
      <c r="Q574" s="89" t="s">
        <v>213</v>
      </c>
      <c r="R574" s="89" t="s">
        <v>213</v>
      </c>
      <c r="S574" s="89" t="s">
        <v>213</v>
      </c>
      <c r="T574" s="90" t="s">
        <v>213</v>
      </c>
      <c r="U574" s="91" t="s">
        <v>213</v>
      </c>
      <c r="V574" s="92" t="s">
        <v>213</v>
      </c>
      <c r="W574" s="93" t="s">
        <v>213</v>
      </c>
      <c r="X574" s="92" t="s">
        <v>213</v>
      </c>
      <c r="Y574" s="90" t="s">
        <v>213</v>
      </c>
      <c r="Z574" s="93" t="s">
        <v>213</v>
      </c>
    </row>
    <row r="575" ht="15.75" customHeight="1">
      <c r="A575" s="84"/>
      <c r="B575" s="85"/>
      <c r="C575" s="85"/>
      <c r="D575" s="84"/>
      <c r="E575" s="84"/>
      <c r="F575" s="84"/>
      <c r="G575" s="86"/>
      <c r="H575" s="86"/>
      <c r="I575" s="87"/>
      <c r="J575" s="87"/>
      <c r="K575" s="88"/>
      <c r="L575" s="84"/>
      <c r="M575" s="84"/>
      <c r="N575" s="89" t="s">
        <v>213</v>
      </c>
      <c r="O575" s="89" t="s">
        <v>213</v>
      </c>
      <c r="P575" s="89" t="s">
        <v>213</v>
      </c>
      <c r="Q575" s="89" t="s">
        <v>213</v>
      </c>
      <c r="R575" s="89" t="s">
        <v>213</v>
      </c>
      <c r="S575" s="89" t="s">
        <v>213</v>
      </c>
      <c r="T575" s="90" t="s">
        <v>213</v>
      </c>
      <c r="U575" s="91" t="s">
        <v>213</v>
      </c>
      <c r="V575" s="92" t="s">
        <v>213</v>
      </c>
      <c r="W575" s="93" t="s">
        <v>213</v>
      </c>
      <c r="X575" s="92" t="s">
        <v>213</v>
      </c>
      <c r="Y575" s="90" t="s">
        <v>213</v>
      </c>
      <c r="Z575" s="93" t="s">
        <v>213</v>
      </c>
    </row>
    <row r="576" ht="15.75" customHeight="1">
      <c r="A576" s="84"/>
      <c r="B576" s="85"/>
      <c r="C576" s="85"/>
      <c r="D576" s="84"/>
      <c r="E576" s="84"/>
      <c r="F576" s="84"/>
      <c r="G576" s="86"/>
      <c r="H576" s="86"/>
      <c r="I576" s="87"/>
      <c r="J576" s="87"/>
      <c r="K576" s="88"/>
      <c r="L576" s="84"/>
      <c r="M576" s="84"/>
      <c r="N576" s="89" t="s">
        <v>213</v>
      </c>
      <c r="O576" s="89" t="s">
        <v>213</v>
      </c>
      <c r="P576" s="89" t="s">
        <v>213</v>
      </c>
      <c r="Q576" s="89" t="s">
        <v>213</v>
      </c>
      <c r="R576" s="89" t="s">
        <v>213</v>
      </c>
      <c r="S576" s="89" t="s">
        <v>213</v>
      </c>
      <c r="T576" s="90" t="s">
        <v>213</v>
      </c>
      <c r="U576" s="91" t="s">
        <v>213</v>
      </c>
      <c r="V576" s="92" t="s">
        <v>213</v>
      </c>
      <c r="W576" s="93" t="s">
        <v>213</v>
      </c>
      <c r="X576" s="92" t="s">
        <v>213</v>
      </c>
      <c r="Y576" s="90" t="s">
        <v>213</v>
      </c>
      <c r="Z576" s="93" t="s">
        <v>213</v>
      </c>
    </row>
    <row r="577" ht="15.75" customHeight="1">
      <c r="A577" s="84"/>
      <c r="B577" s="85"/>
      <c r="C577" s="85"/>
      <c r="D577" s="84"/>
      <c r="E577" s="84"/>
      <c r="F577" s="84"/>
      <c r="G577" s="86"/>
      <c r="H577" s="86"/>
      <c r="I577" s="87"/>
      <c r="J577" s="87"/>
      <c r="K577" s="88"/>
      <c r="L577" s="84"/>
      <c r="M577" s="84"/>
      <c r="N577" s="89" t="s">
        <v>213</v>
      </c>
      <c r="O577" s="89" t="s">
        <v>213</v>
      </c>
      <c r="P577" s="89" t="s">
        <v>213</v>
      </c>
      <c r="Q577" s="89" t="s">
        <v>213</v>
      </c>
      <c r="R577" s="89" t="s">
        <v>213</v>
      </c>
      <c r="S577" s="89" t="s">
        <v>213</v>
      </c>
      <c r="T577" s="90" t="s">
        <v>213</v>
      </c>
      <c r="U577" s="91" t="s">
        <v>213</v>
      </c>
      <c r="V577" s="92" t="s">
        <v>213</v>
      </c>
      <c r="W577" s="93" t="s">
        <v>213</v>
      </c>
      <c r="X577" s="92" t="s">
        <v>213</v>
      </c>
      <c r="Y577" s="90" t="s">
        <v>213</v>
      </c>
      <c r="Z577" s="93" t="s">
        <v>213</v>
      </c>
    </row>
    <row r="578" ht="15.75" customHeight="1">
      <c r="A578" s="84"/>
      <c r="B578" s="85"/>
      <c r="C578" s="85"/>
      <c r="D578" s="84"/>
      <c r="E578" s="84"/>
      <c r="F578" s="84"/>
      <c r="G578" s="86"/>
      <c r="H578" s="86"/>
      <c r="I578" s="87"/>
      <c r="J578" s="87"/>
      <c r="K578" s="88"/>
      <c r="L578" s="84"/>
      <c r="M578" s="84"/>
      <c r="N578" s="89" t="s">
        <v>213</v>
      </c>
      <c r="O578" s="89" t="s">
        <v>213</v>
      </c>
      <c r="P578" s="89" t="s">
        <v>213</v>
      </c>
      <c r="Q578" s="89" t="s">
        <v>213</v>
      </c>
      <c r="R578" s="89" t="s">
        <v>213</v>
      </c>
      <c r="S578" s="89" t="s">
        <v>213</v>
      </c>
      <c r="T578" s="90" t="s">
        <v>213</v>
      </c>
      <c r="U578" s="91" t="s">
        <v>213</v>
      </c>
      <c r="V578" s="92" t="s">
        <v>213</v>
      </c>
      <c r="W578" s="93" t="s">
        <v>213</v>
      </c>
      <c r="X578" s="92" t="s">
        <v>213</v>
      </c>
      <c r="Y578" s="90" t="s">
        <v>213</v>
      </c>
      <c r="Z578" s="93" t="s">
        <v>213</v>
      </c>
    </row>
    <row r="579" ht="15.75" customHeight="1">
      <c r="A579" s="84"/>
      <c r="B579" s="85"/>
      <c r="C579" s="85"/>
      <c r="D579" s="84"/>
      <c r="E579" s="84"/>
      <c r="F579" s="84"/>
      <c r="G579" s="86"/>
      <c r="H579" s="86"/>
      <c r="I579" s="87"/>
      <c r="J579" s="87"/>
      <c r="K579" s="88"/>
      <c r="L579" s="84"/>
      <c r="M579" s="84"/>
      <c r="N579" s="89" t="s">
        <v>213</v>
      </c>
      <c r="O579" s="89" t="s">
        <v>213</v>
      </c>
      <c r="P579" s="89" t="s">
        <v>213</v>
      </c>
      <c r="Q579" s="89" t="s">
        <v>213</v>
      </c>
      <c r="R579" s="89" t="s">
        <v>213</v>
      </c>
      <c r="S579" s="89" t="s">
        <v>213</v>
      </c>
      <c r="T579" s="90" t="s">
        <v>213</v>
      </c>
      <c r="U579" s="91" t="s">
        <v>213</v>
      </c>
      <c r="V579" s="92" t="s">
        <v>213</v>
      </c>
      <c r="W579" s="93" t="s">
        <v>213</v>
      </c>
      <c r="X579" s="92" t="s">
        <v>213</v>
      </c>
      <c r="Y579" s="90" t="s">
        <v>213</v>
      </c>
      <c r="Z579" s="93" t="s">
        <v>213</v>
      </c>
    </row>
    <row r="580" ht="15.75" customHeight="1">
      <c r="A580" s="84"/>
      <c r="B580" s="85"/>
      <c r="C580" s="85"/>
      <c r="D580" s="84"/>
      <c r="E580" s="84"/>
      <c r="F580" s="84"/>
      <c r="G580" s="86"/>
      <c r="H580" s="86"/>
      <c r="I580" s="87"/>
      <c r="J580" s="87"/>
      <c r="K580" s="88"/>
      <c r="L580" s="84"/>
      <c r="M580" s="84"/>
      <c r="N580" s="89" t="s">
        <v>213</v>
      </c>
      <c r="O580" s="89" t="s">
        <v>213</v>
      </c>
      <c r="P580" s="89" t="s">
        <v>213</v>
      </c>
      <c r="Q580" s="89" t="s">
        <v>213</v>
      </c>
      <c r="R580" s="89" t="s">
        <v>213</v>
      </c>
      <c r="S580" s="89" t="s">
        <v>213</v>
      </c>
      <c r="T580" s="90" t="s">
        <v>213</v>
      </c>
      <c r="U580" s="91" t="s">
        <v>213</v>
      </c>
      <c r="V580" s="92" t="s">
        <v>213</v>
      </c>
      <c r="W580" s="93" t="s">
        <v>213</v>
      </c>
      <c r="X580" s="92" t="s">
        <v>213</v>
      </c>
      <c r="Y580" s="90" t="s">
        <v>213</v>
      </c>
      <c r="Z580" s="93" t="s">
        <v>213</v>
      </c>
    </row>
    <row r="581" ht="15.75" customHeight="1">
      <c r="A581" s="84"/>
      <c r="B581" s="85"/>
      <c r="C581" s="85"/>
      <c r="D581" s="84"/>
      <c r="E581" s="84"/>
      <c r="F581" s="84"/>
      <c r="G581" s="86"/>
      <c r="H581" s="86"/>
      <c r="I581" s="87"/>
      <c r="J581" s="87"/>
      <c r="K581" s="88"/>
      <c r="L581" s="84"/>
      <c r="M581" s="84"/>
      <c r="N581" s="89" t="s">
        <v>213</v>
      </c>
      <c r="O581" s="89" t="s">
        <v>213</v>
      </c>
      <c r="P581" s="89" t="s">
        <v>213</v>
      </c>
      <c r="Q581" s="89" t="s">
        <v>213</v>
      </c>
      <c r="R581" s="89" t="s">
        <v>213</v>
      </c>
      <c r="S581" s="89" t="s">
        <v>213</v>
      </c>
      <c r="T581" s="90" t="s">
        <v>213</v>
      </c>
      <c r="U581" s="91" t="s">
        <v>213</v>
      </c>
      <c r="V581" s="92" t="s">
        <v>213</v>
      </c>
      <c r="W581" s="93" t="s">
        <v>213</v>
      </c>
      <c r="X581" s="92" t="s">
        <v>213</v>
      </c>
      <c r="Y581" s="90" t="s">
        <v>213</v>
      </c>
      <c r="Z581" s="93" t="s">
        <v>213</v>
      </c>
    </row>
    <row r="582" ht="15.75" customHeight="1">
      <c r="A582" s="84"/>
      <c r="B582" s="85"/>
      <c r="C582" s="85"/>
      <c r="D582" s="84"/>
      <c r="E582" s="84"/>
      <c r="F582" s="84"/>
      <c r="G582" s="86"/>
      <c r="H582" s="86"/>
      <c r="I582" s="87"/>
      <c r="J582" s="87"/>
      <c r="K582" s="88"/>
      <c r="L582" s="84"/>
      <c r="M582" s="84"/>
      <c r="N582" s="89" t="s">
        <v>213</v>
      </c>
      <c r="O582" s="89" t="s">
        <v>213</v>
      </c>
      <c r="P582" s="89" t="s">
        <v>213</v>
      </c>
      <c r="Q582" s="89" t="s">
        <v>213</v>
      </c>
      <c r="R582" s="89" t="s">
        <v>213</v>
      </c>
      <c r="S582" s="89" t="s">
        <v>213</v>
      </c>
      <c r="T582" s="90" t="s">
        <v>213</v>
      </c>
      <c r="U582" s="91" t="s">
        <v>213</v>
      </c>
      <c r="V582" s="92" t="s">
        <v>213</v>
      </c>
      <c r="W582" s="93" t="s">
        <v>213</v>
      </c>
      <c r="X582" s="92" t="s">
        <v>213</v>
      </c>
      <c r="Y582" s="90" t="s">
        <v>213</v>
      </c>
      <c r="Z582" s="93" t="s">
        <v>213</v>
      </c>
    </row>
    <row r="583" ht="15.75" customHeight="1">
      <c r="A583" s="84"/>
      <c r="B583" s="85"/>
      <c r="C583" s="85"/>
      <c r="D583" s="84"/>
      <c r="E583" s="84"/>
      <c r="F583" s="84"/>
      <c r="G583" s="86"/>
      <c r="H583" s="86"/>
      <c r="I583" s="87"/>
      <c r="J583" s="87"/>
      <c r="K583" s="88"/>
      <c r="L583" s="84"/>
      <c r="M583" s="84"/>
      <c r="N583" s="89" t="s">
        <v>213</v>
      </c>
      <c r="O583" s="89" t="s">
        <v>213</v>
      </c>
      <c r="P583" s="89" t="s">
        <v>213</v>
      </c>
      <c r="Q583" s="89" t="s">
        <v>213</v>
      </c>
      <c r="R583" s="89" t="s">
        <v>213</v>
      </c>
      <c r="S583" s="89" t="s">
        <v>213</v>
      </c>
      <c r="T583" s="90" t="s">
        <v>213</v>
      </c>
      <c r="U583" s="91" t="s">
        <v>213</v>
      </c>
      <c r="V583" s="92" t="s">
        <v>213</v>
      </c>
      <c r="W583" s="93" t="s">
        <v>213</v>
      </c>
      <c r="X583" s="92" t="s">
        <v>213</v>
      </c>
      <c r="Y583" s="90" t="s">
        <v>213</v>
      </c>
      <c r="Z583" s="93" t="s">
        <v>213</v>
      </c>
    </row>
    <row r="584" ht="15.75" customHeight="1">
      <c r="A584" s="84"/>
      <c r="B584" s="85"/>
      <c r="C584" s="85"/>
      <c r="D584" s="84"/>
      <c r="E584" s="84"/>
      <c r="F584" s="84"/>
      <c r="G584" s="86"/>
      <c r="H584" s="86"/>
      <c r="I584" s="87"/>
      <c r="J584" s="87"/>
      <c r="K584" s="88"/>
      <c r="L584" s="84"/>
      <c r="M584" s="84"/>
      <c r="N584" s="89" t="s">
        <v>213</v>
      </c>
      <c r="O584" s="89" t="s">
        <v>213</v>
      </c>
      <c r="P584" s="89" t="s">
        <v>213</v>
      </c>
      <c r="Q584" s="89" t="s">
        <v>213</v>
      </c>
      <c r="R584" s="89" t="s">
        <v>213</v>
      </c>
      <c r="S584" s="89" t="s">
        <v>213</v>
      </c>
      <c r="T584" s="90" t="s">
        <v>213</v>
      </c>
      <c r="U584" s="91" t="s">
        <v>213</v>
      </c>
      <c r="V584" s="92" t="s">
        <v>213</v>
      </c>
      <c r="W584" s="93" t="s">
        <v>213</v>
      </c>
      <c r="X584" s="92" t="s">
        <v>213</v>
      </c>
      <c r="Y584" s="90" t="s">
        <v>213</v>
      </c>
      <c r="Z584" s="93" t="s">
        <v>213</v>
      </c>
    </row>
    <row r="585" ht="15.75" customHeight="1">
      <c r="A585" s="84"/>
      <c r="B585" s="85"/>
      <c r="C585" s="85"/>
      <c r="D585" s="84"/>
      <c r="E585" s="84"/>
      <c r="F585" s="84"/>
      <c r="G585" s="86"/>
      <c r="H585" s="86"/>
      <c r="I585" s="87"/>
      <c r="J585" s="87"/>
      <c r="K585" s="88"/>
      <c r="L585" s="84"/>
      <c r="M585" s="84"/>
      <c r="N585" s="89" t="s">
        <v>213</v>
      </c>
      <c r="O585" s="89" t="s">
        <v>213</v>
      </c>
      <c r="P585" s="89" t="s">
        <v>213</v>
      </c>
      <c r="Q585" s="89" t="s">
        <v>213</v>
      </c>
      <c r="R585" s="89" t="s">
        <v>213</v>
      </c>
      <c r="S585" s="89" t="s">
        <v>213</v>
      </c>
      <c r="T585" s="90" t="s">
        <v>213</v>
      </c>
      <c r="U585" s="91" t="s">
        <v>213</v>
      </c>
      <c r="V585" s="92" t="s">
        <v>213</v>
      </c>
      <c r="W585" s="93" t="s">
        <v>213</v>
      </c>
      <c r="X585" s="92" t="s">
        <v>213</v>
      </c>
      <c r="Y585" s="90" t="s">
        <v>213</v>
      </c>
      <c r="Z585" s="93" t="s">
        <v>213</v>
      </c>
    </row>
    <row r="586" ht="15.75" customHeight="1">
      <c r="A586" s="84"/>
      <c r="B586" s="85"/>
      <c r="C586" s="85"/>
      <c r="D586" s="84"/>
      <c r="E586" s="84"/>
      <c r="F586" s="84"/>
      <c r="G586" s="86"/>
      <c r="H586" s="86"/>
      <c r="I586" s="87"/>
      <c r="J586" s="87"/>
      <c r="K586" s="88"/>
      <c r="L586" s="84"/>
      <c r="M586" s="84"/>
      <c r="N586" s="89" t="s">
        <v>213</v>
      </c>
      <c r="O586" s="89" t="s">
        <v>213</v>
      </c>
      <c r="P586" s="89" t="s">
        <v>213</v>
      </c>
      <c r="Q586" s="89" t="s">
        <v>213</v>
      </c>
      <c r="R586" s="89" t="s">
        <v>213</v>
      </c>
      <c r="S586" s="89" t="s">
        <v>213</v>
      </c>
      <c r="T586" s="90" t="s">
        <v>213</v>
      </c>
      <c r="U586" s="91" t="s">
        <v>213</v>
      </c>
      <c r="V586" s="92" t="s">
        <v>213</v>
      </c>
      <c r="W586" s="93" t="s">
        <v>213</v>
      </c>
      <c r="X586" s="92" t="s">
        <v>213</v>
      </c>
      <c r="Y586" s="90" t="s">
        <v>213</v>
      </c>
      <c r="Z586" s="93" t="s">
        <v>213</v>
      </c>
    </row>
    <row r="587" ht="15.75" customHeight="1">
      <c r="A587" s="84"/>
      <c r="B587" s="85"/>
      <c r="C587" s="85"/>
      <c r="D587" s="84"/>
      <c r="E587" s="84"/>
      <c r="F587" s="84"/>
      <c r="G587" s="86"/>
      <c r="H587" s="86"/>
      <c r="I587" s="87"/>
      <c r="J587" s="87"/>
      <c r="K587" s="88"/>
      <c r="L587" s="84"/>
      <c r="M587" s="84"/>
      <c r="N587" s="89" t="s">
        <v>213</v>
      </c>
      <c r="O587" s="89" t="s">
        <v>213</v>
      </c>
      <c r="P587" s="89" t="s">
        <v>213</v>
      </c>
      <c r="Q587" s="89" t="s">
        <v>213</v>
      </c>
      <c r="R587" s="89" t="s">
        <v>213</v>
      </c>
      <c r="S587" s="89" t="s">
        <v>213</v>
      </c>
      <c r="T587" s="90" t="s">
        <v>213</v>
      </c>
      <c r="U587" s="91" t="s">
        <v>213</v>
      </c>
      <c r="V587" s="92" t="s">
        <v>213</v>
      </c>
      <c r="W587" s="93" t="s">
        <v>213</v>
      </c>
      <c r="X587" s="92" t="s">
        <v>213</v>
      </c>
      <c r="Y587" s="90" t="s">
        <v>213</v>
      </c>
      <c r="Z587" s="93" t="s">
        <v>213</v>
      </c>
    </row>
    <row r="588" ht="15.75" customHeight="1">
      <c r="A588" s="84"/>
      <c r="B588" s="85"/>
      <c r="C588" s="85"/>
      <c r="D588" s="84"/>
      <c r="E588" s="84"/>
      <c r="F588" s="84"/>
      <c r="G588" s="86"/>
      <c r="H588" s="86"/>
      <c r="I588" s="87"/>
      <c r="J588" s="87"/>
      <c r="K588" s="88"/>
      <c r="L588" s="84"/>
      <c r="M588" s="84"/>
      <c r="N588" s="89" t="s">
        <v>213</v>
      </c>
      <c r="O588" s="89" t="s">
        <v>213</v>
      </c>
      <c r="P588" s="89" t="s">
        <v>213</v>
      </c>
      <c r="Q588" s="89" t="s">
        <v>213</v>
      </c>
      <c r="R588" s="89" t="s">
        <v>213</v>
      </c>
      <c r="S588" s="89" t="s">
        <v>213</v>
      </c>
      <c r="T588" s="90" t="s">
        <v>213</v>
      </c>
      <c r="U588" s="91" t="s">
        <v>213</v>
      </c>
      <c r="V588" s="92" t="s">
        <v>213</v>
      </c>
      <c r="W588" s="93" t="s">
        <v>213</v>
      </c>
      <c r="X588" s="92" t="s">
        <v>213</v>
      </c>
      <c r="Y588" s="90" t="s">
        <v>213</v>
      </c>
      <c r="Z588" s="93" t="s">
        <v>213</v>
      </c>
    </row>
    <row r="589" ht="15.75" customHeight="1">
      <c r="A589" s="84"/>
      <c r="B589" s="85"/>
      <c r="C589" s="85"/>
      <c r="D589" s="84"/>
      <c r="E589" s="84"/>
      <c r="F589" s="84"/>
      <c r="G589" s="86"/>
      <c r="H589" s="86"/>
      <c r="I589" s="87"/>
      <c r="J589" s="87"/>
      <c r="K589" s="88"/>
      <c r="L589" s="84"/>
      <c r="M589" s="84"/>
      <c r="N589" s="89" t="s">
        <v>213</v>
      </c>
      <c r="O589" s="89" t="s">
        <v>213</v>
      </c>
      <c r="P589" s="89" t="s">
        <v>213</v>
      </c>
      <c r="Q589" s="89" t="s">
        <v>213</v>
      </c>
      <c r="R589" s="89" t="s">
        <v>213</v>
      </c>
      <c r="S589" s="89" t="s">
        <v>213</v>
      </c>
      <c r="T589" s="90" t="s">
        <v>213</v>
      </c>
      <c r="U589" s="91" t="s">
        <v>213</v>
      </c>
      <c r="V589" s="92" t="s">
        <v>213</v>
      </c>
      <c r="W589" s="93" t="s">
        <v>213</v>
      </c>
      <c r="X589" s="92" t="s">
        <v>213</v>
      </c>
      <c r="Y589" s="90" t="s">
        <v>213</v>
      </c>
      <c r="Z589" s="93" t="s">
        <v>213</v>
      </c>
    </row>
    <row r="590" ht="15.75" customHeight="1">
      <c r="A590" s="84"/>
      <c r="B590" s="85"/>
      <c r="C590" s="85"/>
      <c r="D590" s="84"/>
      <c r="E590" s="84"/>
      <c r="F590" s="84"/>
      <c r="G590" s="86"/>
      <c r="H590" s="86"/>
      <c r="I590" s="87"/>
      <c r="J590" s="87"/>
      <c r="K590" s="88"/>
      <c r="L590" s="84"/>
      <c r="M590" s="84"/>
      <c r="N590" s="89" t="s">
        <v>213</v>
      </c>
      <c r="O590" s="89" t="s">
        <v>213</v>
      </c>
      <c r="P590" s="89" t="s">
        <v>213</v>
      </c>
      <c r="Q590" s="89" t="s">
        <v>213</v>
      </c>
      <c r="R590" s="89" t="s">
        <v>213</v>
      </c>
      <c r="S590" s="89" t="s">
        <v>213</v>
      </c>
      <c r="T590" s="90" t="s">
        <v>213</v>
      </c>
      <c r="U590" s="91" t="s">
        <v>213</v>
      </c>
      <c r="V590" s="92" t="s">
        <v>213</v>
      </c>
      <c r="W590" s="93" t="s">
        <v>213</v>
      </c>
      <c r="X590" s="92" t="s">
        <v>213</v>
      </c>
      <c r="Y590" s="90" t="s">
        <v>213</v>
      </c>
      <c r="Z590" s="93" t="s">
        <v>213</v>
      </c>
    </row>
    <row r="591" ht="15.75" customHeight="1">
      <c r="A591" s="84"/>
      <c r="B591" s="85"/>
      <c r="C591" s="85"/>
      <c r="D591" s="84"/>
      <c r="E591" s="84"/>
      <c r="F591" s="84"/>
      <c r="G591" s="86"/>
      <c r="H591" s="86"/>
      <c r="I591" s="87"/>
      <c r="J591" s="87"/>
      <c r="K591" s="88"/>
      <c r="L591" s="84"/>
      <c r="M591" s="84"/>
      <c r="N591" s="89" t="s">
        <v>213</v>
      </c>
      <c r="O591" s="89" t="s">
        <v>213</v>
      </c>
      <c r="P591" s="89" t="s">
        <v>213</v>
      </c>
      <c r="Q591" s="89" t="s">
        <v>213</v>
      </c>
      <c r="R591" s="89" t="s">
        <v>213</v>
      </c>
      <c r="S591" s="89" t="s">
        <v>213</v>
      </c>
      <c r="T591" s="90" t="s">
        <v>213</v>
      </c>
      <c r="U591" s="91" t="s">
        <v>213</v>
      </c>
      <c r="V591" s="92" t="s">
        <v>213</v>
      </c>
      <c r="W591" s="93" t="s">
        <v>213</v>
      </c>
      <c r="X591" s="92" t="s">
        <v>213</v>
      </c>
      <c r="Y591" s="90" t="s">
        <v>213</v>
      </c>
      <c r="Z591" s="93" t="s">
        <v>213</v>
      </c>
    </row>
    <row r="592" ht="15.75" customHeight="1">
      <c r="A592" s="84"/>
      <c r="B592" s="85"/>
      <c r="C592" s="85"/>
      <c r="D592" s="84"/>
      <c r="E592" s="84"/>
      <c r="F592" s="84"/>
      <c r="G592" s="86"/>
      <c r="H592" s="86"/>
      <c r="I592" s="87"/>
      <c r="J592" s="87"/>
      <c r="K592" s="88"/>
      <c r="L592" s="84"/>
      <c r="M592" s="84"/>
      <c r="N592" s="89" t="s">
        <v>213</v>
      </c>
      <c r="O592" s="89" t="s">
        <v>213</v>
      </c>
      <c r="P592" s="89" t="s">
        <v>213</v>
      </c>
      <c r="Q592" s="89" t="s">
        <v>213</v>
      </c>
      <c r="R592" s="89" t="s">
        <v>213</v>
      </c>
      <c r="S592" s="89" t="s">
        <v>213</v>
      </c>
      <c r="T592" s="90" t="s">
        <v>213</v>
      </c>
      <c r="U592" s="91" t="s">
        <v>213</v>
      </c>
      <c r="V592" s="92" t="s">
        <v>213</v>
      </c>
      <c r="W592" s="93" t="s">
        <v>213</v>
      </c>
      <c r="X592" s="92" t="s">
        <v>213</v>
      </c>
      <c r="Y592" s="90" t="s">
        <v>213</v>
      </c>
      <c r="Z592" s="93" t="s">
        <v>213</v>
      </c>
    </row>
    <row r="593" ht="15.75" customHeight="1">
      <c r="A593" s="84"/>
      <c r="B593" s="85"/>
      <c r="C593" s="85"/>
      <c r="D593" s="84"/>
      <c r="E593" s="84"/>
      <c r="F593" s="84"/>
      <c r="G593" s="86"/>
      <c r="H593" s="86"/>
      <c r="I593" s="87"/>
      <c r="J593" s="87"/>
      <c r="K593" s="88"/>
      <c r="L593" s="84"/>
      <c r="M593" s="84"/>
      <c r="N593" s="89" t="s">
        <v>213</v>
      </c>
      <c r="O593" s="89" t="s">
        <v>213</v>
      </c>
      <c r="P593" s="89" t="s">
        <v>213</v>
      </c>
      <c r="Q593" s="89" t="s">
        <v>213</v>
      </c>
      <c r="R593" s="89" t="s">
        <v>213</v>
      </c>
      <c r="S593" s="89" t="s">
        <v>213</v>
      </c>
      <c r="T593" s="90" t="s">
        <v>213</v>
      </c>
      <c r="U593" s="91" t="s">
        <v>213</v>
      </c>
      <c r="V593" s="92" t="s">
        <v>213</v>
      </c>
      <c r="W593" s="93" t="s">
        <v>213</v>
      </c>
      <c r="X593" s="92" t="s">
        <v>213</v>
      </c>
      <c r="Y593" s="90" t="s">
        <v>213</v>
      </c>
      <c r="Z593" s="93" t="s">
        <v>213</v>
      </c>
    </row>
    <row r="594" ht="15.75" customHeight="1">
      <c r="A594" s="84"/>
      <c r="B594" s="85"/>
      <c r="C594" s="85"/>
      <c r="D594" s="84"/>
      <c r="E594" s="84"/>
      <c r="F594" s="84"/>
      <c r="G594" s="86"/>
      <c r="H594" s="86"/>
      <c r="I594" s="87"/>
      <c r="J594" s="87"/>
      <c r="K594" s="88"/>
      <c r="L594" s="84"/>
      <c r="M594" s="84"/>
      <c r="N594" s="89" t="s">
        <v>213</v>
      </c>
      <c r="O594" s="89" t="s">
        <v>213</v>
      </c>
      <c r="P594" s="89" t="s">
        <v>213</v>
      </c>
      <c r="Q594" s="89" t="s">
        <v>213</v>
      </c>
      <c r="R594" s="89" t="s">
        <v>213</v>
      </c>
      <c r="S594" s="89" t="s">
        <v>213</v>
      </c>
      <c r="T594" s="90" t="s">
        <v>213</v>
      </c>
      <c r="U594" s="91" t="s">
        <v>213</v>
      </c>
      <c r="V594" s="92" t="s">
        <v>213</v>
      </c>
      <c r="W594" s="93" t="s">
        <v>213</v>
      </c>
      <c r="X594" s="92" t="s">
        <v>213</v>
      </c>
      <c r="Y594" s="90" t="s">
        <v>213</v>
      </c>
      <c r="Z594" s="93" t="s">
        <v>213</v>
      </c>
    </row>
    <row r="595" ht="15.75" customHeight="1">
      <c r="A595" s="84"/>
      <c r="B595" s="85"/>
      <c r="C595" s="85"/>
      <c r="D595" s="84"/>
      <c r="E595" s="84"/>
      <c r="F595" s="84"/>
      <c r="G595" s="86"/>
      <c r="H595" s="86"/>
      <c r="I595" s="87"/>
      <c r="J595" s="87"/>
      <c r="K595" s="88"/>
      <c r="L595" s="84"/>
      <c r="M595" s="84"/>
      <c r="N595" s="89" t="s">
        <v>213</v>
      </c>
      <c r="O595" s="89" t="s">
        <v>213</v>
      </c>
      <c r="P595" s="89" t="s">
        <v>213</v>
      </c>
      <c r="Q595" s="89" t="s">
        <v>213</v>
      </c>
      <c r="R595" s="89" t="s">
        <v>213</v>
      </c>
      <c r="S595" s="89" t="s">
        <v>213</v>
      </c>
      <c r="T595" s="90" t="s">
        <v>213</v>
      </c>
      <c r="U595" s="91" t="s">
        <v>213</v>
      </c>
      <c r="V595" s="92" t="s">
        <v>213</v>
      </c>
      <c r="W595" s="93" t="s">
        <v>213</v>
      </c>
      <c r="X595" s="92" t="s">
        <v>213</v>
      </c>
      <c r="Y595" s="90" t="s">
        <v>213</v>
      </c>
      <c r="Z595" s="93" t="s">
        <v>213</v>
      </c>
    </row>
    <row r="596" ht="15.75" customHeight="1">
      <c r="A596" s="84"/>
      <c r="B596" s="85"/>
      <c r="C596" s="85"/>
      <c r="D596" s="84"/>
      <c r="E596" s="84"/>
      <c r="F596" s="84"/>
      <c r="G596" s="86"/>
      <c r="H596" s="86"/>
      <c r="I596" s="87"/>
      <c r="J596" s="87"/>
      <c r="K596" s="88"/>
      <c r="L596" s="84"/>
      <c r="M596" s="84"/>
      <c r="N596" s="89" t="s">
        <v>213</v>
      </c>
      <c r="O596" s="89" t="s">
        <v>213</v>
      </c>
      <c r="P596" s="89" t="s">
        <v>213</v>
      </c>
      <c r="Q596" s="89" t="s">
        <v>213</v>
      </c>
      <c r="R596" s="89" t="s">
        <v>213</v>
      </c>
      <c r="S596" s="89" t="s">
        <v>213</v>
      </c>
      <c r="T596" s="90" t="s">
        <v>213</v>
      </c>
      <c r="U596" s="91" t="s">
        <v>213</v>
      </c>
      <c r="V596" s="92" t="s">
        <v>213</v>
      </c>
      <c r="W596" s="93" t="s">
        <v>213</v>
      </c>
      <c r="X596" s="92" t="s">
        <v>213</v>
      </c>
      <c r="Y596" s="90" t="s">
        <v>213</v>
      </c>
      <c r="Z596" s="93" t="s">
        <v>213</v>
      </c>
    </row>
    <row r="597" ht="15.75" customHeight="1">
      <c r="A597" s="84"/>
      <c r="B597" s="85"/>
      <c r="C597" s="85"/>
      <c r="D597" s="84"/>
      <c r="E597" s="84"/>
      <c r="F597" s="84"/>
      <c r="G597" s="86"/>
      <c r="H597" s="86"/>
      <c r="I597" s="87"/>
      <c r="J597" s="87"/>
      <c r="K597" s="88"/>
      <c r="L597" s="84"/>
      <c r="M597" s="84"/>
      <c r="N597" s="89" t="s">
        <v>213</v>
      </c>
      <c r="O597" s="89" t="s">
        <v>213</v>
      </c>
      <c r="P597" s="89" t="s">
        <v>213</v>
      </c>
      <c r="Q597" s="89" t="s">
        <v>213</v>
      </c>
      <c r="R597" s="89" t="s">
        <v>213</v>
      </c>
      <c r="S597" s="89" t="s">
        <v>213</v>
      </c>
      <c r="T597" s="90" t="s">
        <v>213</v>
      </c>
      <c r="U597" s="91" t="s">
        <v>213</v>
      </c>
      <c r="V597" s="92" t="s">
        <v>213</v>
      </c>
      <c r="W597" s="93" t="s">
        <v>213</v>
      </c>
      <c r="X597" s="92" t="s">
        <v>213</v>
      </c>
      <c r="Y597" s="90" t="s">
        <v>213</v>
      </c>
      <c r="Z597" s="93" t="s">
        <v>213</v>
      </c>
    </row>
    <row r="598" ht="15.75" customHeight="1">
      <c r="A598" s="84"/>
      <c r="B598" s="85"/>
      <c r="C598" s="85"/>
      <c r="D598" s="84"/>
      <c r="E598" s="84"/>
      <c r="F598" s="84"/>
      <c r="G598" s="86"/>
      <c r="H598" s="86"/>
      <c r="I598" s="87"/>
      <c r="J598" s="87"/>
      <c r="K598" s="88"/>
      <c r="L598" s="84"/>
      <c r="M598" s="84"/>
      <c r="N598" s="89" t="s">
        <v>213</v>
      </c>
      <c r="O598" s="89" t="s">
        <v>213</v>
      </c>
      <c r="P598" s="89" t="s">
        <v>213</v>
      </c>
      <c r="Q598" s="89" t="s">
        <v>213</v>
      </c>
      <c r="R598" s="89" t="s">
        <v>213</v>
      </c>
      <c r="S598" s="89" t="s">
        <v>213</v>
      </c>
      <c r="T598" s="90" t="s">
        <v>213</v>
      </c>
      <c r="U598" s="91" t="s">
        <v>213</v>
      </c>
      <c r="V598" s="92" t="s">
        <v>213</v>
      </c>
      <c r="W598" s="93" t="s">
        <v>213</v>
      </c>
      <c r="X598" s="92" t="s">
        <v>213</v>
      </c>
      <c r="Y598" s="90" t="s">
        <v>213</v>
      </c>
      <c r="Z598" s="93" t="s">
        <v>213</v>
      </c>
    </row>
    <row r="599" ht="15.75" customHeight="1">
      <c r="A599" s="84"/>
      <c r="B599" s="85"/>
      <c r="C599" s="85"/>
      <c r="D599" s="84"/>
      <c r="E599" s="84"/>
      <c r="F599" s="84"/>
      <c r="G599" s="86"/>
      <c r="H599" s="86"/>
      <c r="I599" s="87"/>
      <c r="J599" s="87"/>
      <c r="K599" s="88"/>
      <c r="L599" s="84"/>
      <c r="M599" s="84"/>
      <c r="N599" s="89" t="s">
        <v>213</v>
      </c>
      <c r="O599" s="89" t="s">
        <v>213</v>
      </c>
      <c r="P599" s="89" t="s">
        <v>213</v>
      </c>
      <c r="Q599" s="89" t="s">
        <v>213</v>
      </c>
      <c r="R599" s="89" t="s">
        <v>213</v>
      </c>
      <c r="S599" s="89" t="s">
        <v>213</v>
      </c>
      <c r="T599" s="90" t="s">
        <v>213</v>
      </c>
      <c r="U599" s="91" t="s">
        <v>213</v>
      </c>
      <c r="V599" s="92" t="s">
        <v>213</v>
      </c>
      <c r="W599" s="93" t="s">
        <v>213</v>
      </c>
      <c r="X599" s="92" t="s">
        <v>213</v>
      </c>
      <c r="Y599" s="90" t="s">
        <v>213</v>
      </c>
      <c r="Z599" s="93" t="s">
        <v>213</v>
      </c>
    </row>
    <row r="600" ht="15.75" customHeight="1">
      <c r="A600" s="84"/>
      <c r="B600" s="85"/>
      <c r="C600" s="85"/>
      <c r="D600" s="84"/>
      <c r="E600" s="84"/>
      <c r="F600" s="84"/>
      <c r="G600" s="86"/>
      <c r="H600" s="86"/>
      <c r="I600" s="87"/>
      <c r="J600" s="87"/>
      <c r="K600" s="88"/>
      <c r="L600" s="84"/>
      <c r="M600" s="84"/>
      <c r="N600" s="89" t="s">
        <v>213</v>
      </c>
      <c r="O600" s="89" t="s">
        <v>213</v>
      </c>
      <c r="P600" s="89" t="s">
        <v>213</v>
      </c>
      <c r="Q600" s="89" t="s">
        <v>213</v>
      </c>
      <c r="R600" s="89" t="s">
        <v>213</v>
      </c>
      <c r="S600" s="89" t="s">
        <v>213</v>
      </c>
      <c r="T600" s="90" t="s">
        <v>213</v>
      </c>
      <c r="U600" s="91" t="s">
        <v>213</v>
      </c>
      <c r="V600" s="92" t="s">
        <v>213</v>
      </c>
      <c r="W600" s="93" t="s">
        <v>213</v>
      </c>
      <c r="X600" s="92" t="s">
        <v>213</v>
      </c>
      <c r="Y600" s="90" t="s">
        <v>213</v>
      </c>
      <c r="Z600" s="93" t="s">
        <v>213</v>
      </c>
    </row>
    <row r="601" ht="15.75" customHeight="1">
      <c r="A601" s="84"/>
      <c r="B601" s="85"/>
      <c r="C601" s="85"/>
      <c r="D601" s="84"/>
      <c r="E601" s="84"/>
      <c r="F601" s="84"/>
      <c r="G601" s="86"/>
      <c r="H601" s="86"/>
      <c r="I601" s="87"/>
      <c r="J601" s="87"/>
      <c r="K601" s="88"/>
      <c r="L601" s="84"/>
      <c r="M601" s="84"/>
      <c r="N601" s="89" t="s">
        <v>213</v>
      </c>
      <c r="O601" s="89" t="s">
        <v>213</v>
      </c>
      <c r="P601" s="89" t="s">
        <v>213</v>
      </c>
      <c r="Q601" s="89" t="s">
        <v>213</v>
      </c>
      <c r="R601" s="89" t="s">
        <v>213</v>
      </c>
      <c r="S601" s="89" t="s">
        <v>213</v>
      </c>
      <c r="T601" s="90" t="s">
        <v>213</v>
      </c>
      <c r="U601" s="91" t="s">
        <v>213</v>
      </c>
      <c r="V601" s="92" t="s">
        <v>213</v>
      </c>
      <c r="W601" s="93" t="s">
        <v>213</v>
      </c>
      <c r="X601" s="92" t="s">
        <v>213</v>
      </c>
      <c r="Y601" s="90" t="s">
        <v>213</v>
      </c>
      <c r="Z601" s="93" t="s">
        <v>213</v>
      </c>
    </row>
    <row r="602" ht="15.75" customHeight="1">
      <c r="A602" s="84"/>
      <c r="B602" s="85"/>
      <c r="C602" s="85"/>
      <c r="D602" s="84"/>
      <c r="E602" s="84"/>
      <c r="F602" s="84"/>
      <c r="G602" s="86"/>
      <c r="H602" s="86"/>
      <c r="I602" s="87"/>
      <c r="J602" s="87"/>
      <c r="K602" s="88"/>
      <c r="L602" s="84"/>
      <c r="M602" s="84"/>
      <c r="N602" s="89" t="s">
        <v>213</v>
      </c>
      <c r="O602" s="89" t="s">
        <v>213</v>
      </c>
      <c r="P602" s="89" t="s">
        <v>213</v>
      </c>
      <c r="Q602" s="89" t="s">
        <v>213</v>
      </c>
      <c r="R602" s="89" t="s">
        <v>213</v>
      </c>
      <c r="S602" s="89" t="s">
        <v>213</v>
      </c>
      <c r="T602" s="90" t="s">
        <v>213</v>
      </c>
      <c r="U602" s="91" t="s">
        <v>213</v>
      </c>
      <c r="V602" s="92" t="s">
        <v>213</v>
      </c>
      <c r="W602" s="93" t="s">
        <v>213</v>
      </c>
      <c r="X602" s="92" t="s">
        <v>213</v>
      </c>
      <c r="Y602" s="90" t="s">
        <v>213</v>
      </c>
      <c r="Z602" s="93" t="s">
        <v>213</v>
      </c>
    </row>
    <row r="603" ht="15.75" customHeight="1">
      <c r="A603" s="84"/>
      <c r="B603" s="85"/>
      <c r="C603" s="85"/>
      <c r="D603" s="84"/>
      <c r="E603" s="84"/>
      <c r="F603" s="84"/>
      <c r="G603" s="86"/>
      <c r="H603" s="86"/>
      <c r="I603" s="87"/>
      <c r="J603" s="87"/>
      <c r="K603" s="88"/>
      <c r="L603" s="84"/>
      <c r="M603" s="84"/>
      <c r="N603" s="89" t="s">
        <v>213</v>
      </c>
      <c r="O603" s="89" t="s">
        <v>213</v>
      </c>
      <c r="P603" s="89" t="s">
        <v>213</v>
      </c>
      <c r="Q603" s="89" t="s">
        <v>213</v>
      </c>
      <c r="R603" s="89" t="s">
        <v>213</v>
      </c>
      <c r="S603" s="89" t="s">
        <v>213</v>
      </c>
      <c r="T603" s="90" t="s">
        <v>213</v>
      </c>
      <c r="U603" s="91" t="s">
        <v>213</v>
      </c>
      <c r="V603" s="92" t="s">
        <v>213</v>
      </c>
      <c r="W603" s="93" t="s">
        <v>213</v>
      </c>
      <c r="X603" s="92" t="s">
        <v>213</v>
      </c>
      <c r="Y603" s="90" t="s">
        <v>213</v>
      </c>
      <c r="Z603" s="93" t="s">
        <v>213</v>
      </c>
    </row>
    <row r="604" ht="15.75" customHeight="1">
      <c r="A604" s="84"/>
      <c r="B604" s="85"/>
      <c r="C604" s="85"/>
      <c r="D604" s="84"/>
      <c r="E604" s="84"/>
      <c r="F604" s="84"/>
      <c r="G604" s="86"/>
      <c r="H604" s="86"/>
      <c r="I604" s="87"/>
      <c r="J604" s="87"/>
      <c r="K604" s="88"/>
      <c r="L604" s="84"/>
      <c r="M604" s="84"/>
      <c r="N604" s="89" t="s">
        <v>213</v>
      </c>
      <c r="O604" s="89" t="s">
        <v>213</v>
      </c>
      <c r="P604" s="89" t="s">
        <v>213</v>
      </c>
      <c r="Q604" s="89" t="s">
        <v>213</v>
      </c>
      <c r="R604" s="89" t="s">
        <v>213</v>
      </c>
      <c r="S604" s="89" t="s">
        <v>213</v>
      </c>
      <c r="T604" s="90" t="s">
        <v>213</v>
      </c>
      <c r="U604" s="91" t="s">
        <v>213</v>
      </c>
      <c r="V604" s="92" t="s">
        <v>213</v>
      </c>
      <c r="W604" s="93" t="s">
        <v>213</v>
      </c>
      <c r="X604" s="92" t="s">
        <v>213</v>
      </c>
      <c r="Y604" s="90" t="s">
        <v>213</v>
      </c>
      <c r="Z604" s="93" t="s">
        <v>213</v>
      </c>
    </row>
    <row r="605" ht="15.75" customHeight="1">
      <c r="A605" s="84"/>
      <c r="B605" s="85"/>
      <c r="C605" s="85"/>
      <c r="D605" s="84"/>
      <c r="E605" s="84"/>
      <c r="F605" s="84"/>
      <c r="G605" s="86"/>
      <c r="H605" s="86"/>
      <c r="I605" s="87"/>
      <c r="J605" s="87"/>
      <c r="K605" s="88"/>
      <c r="L605" s="84"/>
      <c r="M605" s="84"/>
      <c r="N605" s="89" t="s">
        <v>213</v>
      </c>
      <c r="O605" s="89" t="s">
        <v>213</v>
      </c>
      <c r="P605" s="89" t="s">
        <v>213</v>
      </c>
      <c r="Q605" s="89" t="s">
        <v>213</v>
      </c>
      <c r="R605" s="89" t="s">
        <v>213</v>
      </c>
      <c r="S605" s="89" t="s">
        <v>213</v>
      </c>
      <c r="T605" s="90" t="s">
        <v>213</v>
      </c>
      <c r="U605" s="91" t="s">
        <v>213</v>
      </c>
      <c r="V605" s="92" t="s">
        <v>213</v>
      </c>
      <c r="W605" s="93" t="s">
        <v>213</v>
      </c>
      <c r="X605" s="92" t="s">
        <v>213</v>
      </c>
      <c r="Y605" s="90" t="s">
        <v>213</v>
      </c>
      <c r="Z605" s="93" t="s">
        <v>213</v>
      </c>
    </row>
    <row r="606" ht="15.75" customHeight="1">
      <c r="A606" s="84"/>
      <c r="B606" s="85"/>
      <c r="C606" s="85"/>
      <c r="D606" s="84"/>
      <c r="E606" s="84"/>
      <c r="F606" s="84"/>
      <c r="G606" s="86"/>
      <c r="H606" s="86"/>
      <c r="I606" s="87"/>
      <c r="J606" s="87"/>
      <c r="K606" s="88"/>
      <c r="L606" s="84"/>
      <c r="M606" s="84"/>
      <c r="N606" s="89" t="s">
        <v>213</v>
      </c>
      <c r="O606" s="89" t="s">
        <v>213</v>
      </c>
      <c r="P606" s="89" t="s">
        <v>213</v>
      </c>
      <c r="Q606" s="89" t="s">
        <v>213</v>
      </c>
      <c r="R606" s="89" t="s">
        <v>213</v>
      </c>
      <c r="S606" s="89" t="s">
        <v>213</v>
      </c>
      <c r="T606" s="90" t="s">
        <v>213</v>
      </c>
      <c r="U606" s="91" t="s">
        <v>213</v>
      </c>
      <c r="V606" s="92" t="s">
        <v>213</v>
      </c>
      <c r="W606" s="93" t="s">
        <v>213</v>
      </c>
      <c r="X606" s="92" t="s">
        <v>213</v>
      </c>
      <c r="Y606" s="90" t="s">
        <v>213</v>
      </c>
      <c r="Z606" s="93" t="s">
        <v>213</v>
      </c>
    </row>
    <row r="607" ht="15.75" customHeight="1">
      <c r="A607" s="84"/>
      <c r="B607" s="85"/>
      <c r="C607" s="85"/>
      <c r="D607" s="84"/>
      <c r="E607" s="84"/>
      <c r="F607" s="84"/>
      <c r="G607" s="86"/>
      <c r="H607" s="86"/>
      <c r="I607" s="87"/>
      <c r="J607" s="87"/>
      <c r="K607" s="88"/>
      <c r="L607" s="84"/>
      <c r="M607" s="84"/>
      <c r="N607" s="89" t="s">
        <v>213</v>
      </c>
      <c r="O607" s="89" t="s">
        <v>213</v>
      </c>
      <c r="P607" s="89" t="s">
        <v>213</v>
      </c>
      <c r="Q607" s="89" t="s">
        <v>213</v>
      </c>
      <c r="R607" s="89" t="s">
        <v>213</v>
      </c>
      <c r="S607" s="89" t="s">
        <v>213</v>
      </c>
      <c r="T607" s="90" t="s">
        <v>213</v>
      </c>
      <c r="U607" s="91" t="s">
        <v>213</v>
      </c>
      <c r="V607" s="92" t="s">
        <v>213</v>
      </c>
      <c r="W607" s="93" t="s">
        <v>213</v>
      </c>
      <c r="X607" s="92" t="s">
        <v>213</v>
      </c>
      <c r="Y607" s="90" t="s">
        <v>213</v>
      </c>
      <c r="Z607" s="93" t="s">
        <v>213</v>
      </c>
    </row>
    <row r="608" ht="15.75" customHeight="1">
      <c r="A608" s="84"/>
      <c r="B608" s="85"/>
      <c r="C608" s="85"/>
      <c r="D608" s="84"/>
      <c r="E608" s="84"/>
      <c r="F608" s="84"/>
      <c r="G608" s="86"/>
      <c r="H608" s="86"/>
      <c r="I608" s="87"/>
      <c r="J608" s="87"/>
      <c r="K608" s="88"/>
      <c r="L608" s="84"/>
      <c r="M608" s="84"/>
      <c r="N608" s="89" t="s">
        <v>213</v>
      </c>
      <c r="O608" s="89" t="s">
        <v>213</v>
      </c>
      <c r="P608" s="89" t="s">
        <v>213</v>
      </c>
      <c r="Q608" s="89" t="s">
        <v>213</v>
      </c>
      <c r="R608" s="89" t="s">
        <v>213</v>
      </c>
      <c r="S608" s="89" t="s">
        <v>213</v>
      </c>
      <c r="T608" s="90" t="s">
        <v>213</v>
      </c>
      <c r="U608" s="91" t="s">
        <v>213</v>
      </c>
      <c r="V608" s="92" t="s">
        <v>213</v>
      </c>
      <c r="W608" s="93" t="s">
        <v>213</v>
      </c>
      <c r="X608" s="92" t="s">
        <v>213</v>
      </c>
      <c r="Y608" s="90" t="s">
        <v>213</v>
      </c>
      <c r="Z608" s="93" t="s">
        <v>213</v>
      </c>
    </row>
    <row r="609" ht="15.75" customHeight="1">
      <c r="A609" s="84"/>
      <c r="B609" s="85"/>
      <c r="C609" s="85"/>
      <c r="D609" s="84"/>
      <c r="E609" s="84"/>
      <c r="F609" s="84"/>
      <c r="G609" s="86"/>
      <c r="H609" s="86"/>
      <c r="I609" s="87"/>
      <c r="J609" s="87"/>
      <c r="K609" s="88"/>
      <c r="L609" s="84"/>
      <c r="M609" s="84"/>
      <c r="N609" s="89" t="s">
        <v>213</v>
      </c>
      <c r="O609" s="89" t="s">
        <v>213</v>
      </c>
      <c r="P609" s="89" t="s">
        <v>213</v>
      </c>
      <c r="Q609" s="89" t="s">
        <v>213</v>
      </c>
      <c r="R609" s="89" t="s">
        <v>213</v>
      </c>
      <c r="S609" s="89" t="s">
        <v>213</v>
      </c>
      <c r="T609" s="90" t="s">
        <v>213</v>
      </c>
      <c r="U609" s="91" t="s">
        <v>213</v>
      </c>
      <c r="V609" s="92" t="s">
        <v>213</v>
      </c>
      <c r="W609" s="93" t="s">
        <v>213</v>
      </c>
      <c r="X609" s="92" t="s">
        <v>213</v>
      </c>
      <c r="Y609" s="90" t="s">
        <v>213</v>
      </c>
      <c r="Z609" s="93" t="s">
        <v>213</v>
      </c>
    </row>
    <row r="610" ht="15.75" customHeight="1">
      <c r="A610" s="84"/>
      <c r="B610" s="85"/>
      <c r="C610" s="85"/>
      <c r="D610" s="84"/>
      <c r="E610" s="84"/>
      <c r="F610" s="84"/>
      <c r="G610" s="86"/>
      <c r="H610" s="86"/>
      <c r="I610" s="87"/>
      <c r="J610" s="87"/>
      <c r="K610" s="88"/>
      <c r="L610" s="84"/>
      <c r="M610" s="84"/>
      <c r="N610" s="89" t="s">
        <v>213</v>
      </c>
      <c r="O610" s="89" t="s">
        <v>213</v>
      </c>
      <c r="P610" s="89" t="s">
        <v>213</v>
      </c>
      <c r="Q610" s="89" t="s">
        <v>213</v>
      </c>
      <c r="R610" s="89" t="s">
        <v>213</v>
      </c>
      <c r="S610" s="89" t="s">
        <v>213</v>
      </c>
      <c r="T610" s="90" t="s">
        <v>213</v>
      </c>
      <c r="U610" s="91" t="s">
        <v>213</v>
      </c>
      <c r="V610" s="92" t="s">
        <v>213</v>
      </c>
      <c r="W610" s="93" t="s">
        <v>213</v>
      </c>
      <c r="X610" s="92" t="s">
        <v>213</v>
      </c>
      <c r="Y610" s="90" t="s">
        <v>213</v>
      </c>
      <c r="Z610" s="93" t="s">
        <v>213</v>
      </c>
    </row>
    <row r="611" ht="15.75" customHeight="1">
      <c r="A611" s="84"/>
      <c r="B611" s="85"/>
      <c r="C611" s="85"/>
      <c r="D611" s="84"/>
      <c r="E611" s="84"/>
      <c r="F611" s="84"/>
      <c r="G611" s="86"/>
      <c r="H611" s="86"/>
      <c r="I611" s="87"/>
      <c r="J611" s="87"/>
      <c r="K611" s="88"/>
      <c r="L611" s="84"/>
      <c r="M611" s="84"/>
      <c r="N611" s="89" t="s">
        <v>213</v>
      </c>
      <c r="O611" s="89" t="s">
        <v>213</v>
      </c>
      <c r="P611" s="89" t="s">
        <v>213</v>
      </c>
      <c r="Q611" s="89" t="s">
        <v>213</v>
      </c>
      <c r="R611" s="89" t="s">
        <v>213</v>
      </c>
      <c r="S611" s="89" t="s">
        <v>213</v>
      </c>
      <c r="T611" s="90" t="s">
        <v>213</v>
      </c>
      <c r="U611" s="91" t="s">
        <v>213</v>
      </c>
      <c r="V611" s="92" t="s">
        <v>213</v>
      </c>
      <c r="W611" s="93" t="s">
        <v>213</v>
      </c>
      <c r="X611" s="92" t="s">
        <v>213</v>
      </c>
      <c r="Y611" s="90" t="s">
        <v>213</v>
      </c>
      <c r="Z611" s="93" t="s">
        <v>213</v>
      </c>
    </row>
    <row r="612" ht="15.75" customHeight="1">
      <c r="A612" s="84"/>
      <c r="B612" s="85"/>
      <c r="C612" s="85"/>
      <c r="D612" s="84"/>
      <c r="E612" s="84"/>
      <c r="F612" s="84"/>
      <c r="G612" s="86"/>
      <c r="H612" s="86"/>
      <c r="I612" s="87"/>
      <c r="J612" s="87"/>
      <c r="K612" s="88"/>
      <c r="L612" s="84"/>
      <c r="M612" s="84"/>
      <c r="N612" s="89" t="s">
        <v>213</v>
      </c>
      <c r="O612" s="89" t="s">
        <v>213</v>
      </c>
      <c r="P612" s="89" t="s">
        <v>213</v>
      </c>
      <c r="Q612" s="89" t="s">
        <v>213</v>
      </c>
      <c r="R612" s="89" t="s">
        <v>213</v>
      </c>
      <c r="S612" s="89" t="s">
        <v>213</v>
      </c>
      <c r="T612" s="90" t="s">
        <v>213</v>
      </c>
      <c r="U612" s="91" t="s">
        <v>213</v>
      </c>
      <c r="V612" s="92" t="s">
        <v>213</v>
      </c>
      <c r="W612" s="93" t="s">
        <v>213</v>
      </c>
      <c r="X612" s="92" t="s">
        <v>213</v>
      </c>
      <c r="Y612" s="90" t="s">
        <v>213</v>
      </c>
      <c r="Z612" s="93" t="s">
        <v>213</v>
      </c>
    </row>
    <row r="613" ht="15.75" customHeight="1">
      <c r="A613" s="84"/>
      <c r="B613" s="85"/>
      <c r="C613" s="85"/>
      <c r="D613" s="84"/>
      <c r="E613" s="84"/>
      <c r="F613" s="84"/>
      <c r="G613" s="86"/>
      <c r="H613" s="86"/>
      <c r="I613" s="87"/>
      <c r="J613" s="87"/>
      <c r="K613" s="88"/>
      <c r="L613" s="84"/>
      <c r="M613" s="84"/>
      <c r="N613" s="89" t="s">
        <v>213</v>
      </c>
      <c r="O613" s="89" t="s">
        <v>213</v>
      </c>
      <c r="P613" s="89" t="s">
        <v>213</v>
      </c>
      <c r="Q613" s="89" t="s">
        <v>213</v>
      </c>
      <c r="R613" s="89" t="s">
        <v>213</v>
      </c>
      <c r="S613" s="89" t="s">
        <v>213</v>
      </c>
      <c r="T613" s="90" t="s">
        <v>213</v>
      </c>
      <c r="U613" s="91" t="s">
        <v>213</v>
      </c>
      <c r="V613" s="92" t="s">
        <v>213</v>
      </c>
      <c r="W613" s="93" t="s">
        <v>213</v>
      </c>
      <c r="X613" s="92" t="s">
        <v>213</v>
      </c>
      <c r="Y613" s="90" t="s">
        <v>213</v>
      </c>
      <c r="Z613" s="93" t="s">
        <v>213</v>
      </c>
    </row>
    <row r="614" ht="15.75" customHeight="1">
      <c r="A614" s="84"/>
      <c r="B614" s="85"/>
      <c r="C614" s="85"/>
      <c r="D614" s="84"/>
      <c r="E614" s="84"/>
      <c r="F614" s="84"/>
      <c r="G614" s="86"/>
      <c r="H614" s="86"/>
      <c r="I614" s="87"/>
      <c r="J614" s="87"/>
      <c r="K614" s="88"/>
      <c r="L614" s="84"/>
      <c r="M614" s="84"/>
      <c r="N614" s="89" t="s">
        <v>213</v>
      </c>
      <c r="O614" s="89" t="s">
        <v>213</v>
      </c>
      <c r="P614" s="89" t="s">
        <v>213</v>
      </c>
      <c r="Q614" s="89" t="s">
        <v>213</v>
      </c>
      <c r="R614" s="89" t="s">
        <v>213</v>
      </c>
      <c r="S614" s="89" t="s">
        <v>213</v>
      </c>
      <c r="T614" s="90" t="s">
        <v>213</v>
      </c>
      <c r="U614" s="91" t="s">
        <v>213</v>
      </c>
      <c r="V614" s="92" t="s">
        <v>213</v>
      </c>
      <c r="W614" s="93" t="s">
        <v>213</v>
      </c>
      <c r="X614" s="92" t="s">
        <v>213</v>
      </c>
      <c r="Y614" s="90" t="s">
        <v>213</v>
      </c>
      <c r="Z614" s="93" t="s">
        <v>213</v>
      </c>
    </row>
    <row r="615" ht="15.75" customHeight="1">
      <c r="A615" s="84"/>
      <c r="B615" s="85"/>
      <c r="C615" s="85"/>
      <c r="D615" s="84"/>
      <c r="E615" s="84"/>
      <c r="F615" s="84"/>
      <c r="G615" s="86"/>
      <c r="H615" s="86"/>
      <c r="I615" s="87"/>
      <c r="J615" s="87"/>
      <c r="K615" s="88"/>
      <c r="L615" s="84"/>
      <c r="M615" s="84"/>
      <c r="N615" s="89" t="s">
        <v>213</v>
      </c>
      <c r="O615" s="89" t="s">
        <v>213</v>
      </c>
      <c r="P615" s="89" t="s">
        <v>213</v>
      </c>
      <c r="Q615" s="89" t="s">
        <v>213</v>
      </c>
      <c r="R615" s="89" t="s">
        <v>213</v>
      </c>
      <c r="S615" s="89" t="s">
        <v>213</v>
      </c>
      <c r="T615" s="90" t="s">
        <v>213</v>
      </c>
      <c r="U615" s="91" t="s">
        <v>213</v>
      </c>
      <c r="V615" s="92" t="s">
        <v>213</v>
      </c>
      <c r="W615" s="93" t="s">
        <v>213</v>
      </c>
      <c r="X615" s="92" t="s">
        <v>213</v>
      </c>
      <c r="Y615" s="90" t="s">
        <v>213</v>
      </c>
      <c r="Z615" s="93" t="s">
        <v>213</v>
      </c>
    </row>
    <row r="616" ht="15.75" customHeight="1">
      <c r="A616" s="84"/>
      <c r="B616" s="85"/>
      <c r="C616" s="85"/>
      <c r="D616" s="84"/>
      <c r="E616" s="84"/>
      <c r="F616" s="84"/>
      <c r="G616" s="86"/>
      <c r="H616" s="86"/>
      <c r="I616" s="87"/>
      <c r="J616" s="87"/>
      <c r="K616" s="88"/>
      <c r="L616" s="84"/>
      <c r="M616" s="84"/>
      <c r="N616" s="89" t="s">
        <v>213</v>
      </c>
      <c r="O616" s="89" t="s">
        <v>213</v>
      </c>
      <c r="P616" s="89" t="s">
        <v>213</v>
      </c>
      <c r="Q616" s="89" t="s">
        <v>213</v>
      </c>
      <c r="R616" s="89" t="s">
        <v>213</v>
      </c>
      <c r="S616" s="89" t="s">
        <v>213</v>
      </c>
      <c r="T616" s="90" t="s">
        <v>213</v>
      </c>
      <c r="U616" s="91" t="s">
        <v>213</v>
      </c>
      <c r="V616" s="92" t="s">
        <v>213</v>
      </c>
      <c r="W616" s="93" t="s">
        <v>213</v>
      </c>
      <c r="X616" s="92" t="s">
        <v>213</v>
      </c>
      <c r="Y616" s="90" t="s">
        <v>213</v>
      </c>
      <c r="Z616" s="93" t="s">
        <v>213</v>
      </c>
    </row>
    <row r="617" ht="15.75" customHeight="1">
      <c r="A617" s="84"/>
      <c r="B617" s="85"/>
      <c r="C617" s="85"/>
      <c r="D617" s="84"/>
      <c r="E617" s="84"/>
      <c r="F617" s="84"/>
      <c r="G617" s="86"/>
      <c r="H617" s="86"/>
      <c r="I617" s="87"/>
      <c r="J617" s="87"/>
      <c r="K617" s="88"/>
      <c r="L617" s="84"/>
      <c r="M617" s="84"/>
      <c r="N617" s="89" t="s">
        <v>213</v>
      </c>
      <c r="O617" s="89" t="s">
        <v>213</v>
      </c>
      <c r="P617" s="89" t="s">
        <v>213</v>
      </c>
      <c r="Q617" s="89" t="s">
        <v>213</v>
      </c>
      <c r="R617" s="89" t="s">
        <v>213</v>
      </c>
      <c r="S617" s="89" t="s">
        <v>213</v>
      </c>
      <c r="T617" s="90" t="s">
        <v>213</v>
      </c>
      <c r="U617" s="91" t="s">
        <v>213</v>
      </c>
      <c r="V617" s="92" t="s">
        <v>213</v>
      </c>
      <c r="W617" s="93" t="s">
        <v>213</v>
      </c>
      <c r="X617" s="92" t="s">
        <v>213</v>
      </c>
      <c r="Y617" s="90" t="s">
        <v>213</v>
      </c>
      <c r="Z617" s="93" t="s">
        <v>213</v>
      </c>
    </row>
    <row r="618" ht="15.75" customHeight="1">
      <c r="A618" s="84"/>
      <c r="B618" s="85"/>
      <c r="C618" s="85"/>
      <c r="D618" s="84"/>
      <c r="E618" s="84"/>
      <c r="F618" s="84"/>
      <c r="G618" s="86"/>
      <c r="H618" s="86"/>
      <c r="I618" s="87"/>
      <c r="J618" s="87"/>
      <c r="K618" s="88"/>
      <c r="L618" s="84"/>
      <c r="M618" s="84"/>
      <c r="N618" s="89" t="s">
        <v>213</v>
      </c>
      <c r="O618" s="89" t="s">
        <v>213</v>
      </c>
      <c r="P618" s="89" t="s">
        <v>213</v>
      </c>
      <c r="Q618" s="89" t="s">
        <v>213</v>
      </c>
      <c r="R618" s="89" t="s">
        <v>213</v>
      </c>
      <c r="S618" s="89" t="s">
        <v>213</v>
      </c>
      <c r="T618" s="90" t="s">
        <v>213</v>
      </c>
      <c r="U618" s="91" t="s">
        <v>213</v>
      </c>
      <c r="V618" s="92" t="s">
        <v>213</v>
      </c>
      <c r="W618" s="93" t="s">
        <v>213</v>
      </c>
      <c r="X618" s="92" t="s">
        <v>213</v>
      </c>
      <c r="Y618" s="90" t="s">
        <v>213</v>
      </c>
      <c r="Z618" s="93" t="s">
        <v>213</v>
      </c>
    </row>
    <row r="619" ht="15.75" customHeight="1">
      <c r="A619" s="84"/>
      <c r="B619" s="85"/>
      <c r="C619" s="85"/>
      <c r="D619" s="84"/>
      <c r="E619" s="84"/>
      <c r="F619" s="84"/>
      <c r="G619" s="86"/>
      <c r="H619" s="86"/>
      <c r="I619" s="87"/>
      <c r="J619" s="87"/>
      <c r="K619" s="88"/>
      <c r="L619" s="84"/>
      <c r="M619" s="84"/>
      <c r="N619" s="89" t="s">
        <v>213</v>
      </c>
      <c r="O619" s="89" t="s">
        <v>213</v>
      </c>
      <c r="P619" s="89" t="s">
        <v>213</v>
      </c>
      <c r="Q619" s="89" t="s">
        <v>213</v>
      </c>
      <c r="R619" s="89" t="s">
        <v>213</v>
      </c>
      <c r="S619" s="89" t="s">
        <v>213</v>
      </c>
      <c r="T619" s="90" t="s">
        <v>213</v>
      </c>
      <c r="U619" s="91" t="s">
        <v>213</v>
      </c>
      <c r="V619" s="92" t="s">
        <v>213</v>
      </c>
      <c r="W619" s="93" t="s">
        <v>213</v>
      </c>
      <c r="X619" s="92" t="s">
        <v>213</v>
      </c>
      <c r="Y619" s="90" t="s">
        <v>213</v>
      </c>
      <c r="Z619" s="93" t="s">
        <v>213</v>
      </c>
    </row>
    <row r="620" ht="15.75" customHeight="1">
      <c r="A620" s="84"/>
      <c r="B620" s="85"/>
      <c r="C620" s="85"/>
      <c r="D620" s="84"/>
      <c r="E620" s="84"/>
      <c r="F620" s="84"/>
      <c r="G620" s="86"/>
      <c r="H620" s="86"/>
      <c r="I620" s="87"/>
      <c r="J620" s="87"/>
      <c r="K620" s="88"/>
      <c r="L620" s="84"/>
      <c r="M620" s="84"/>
      <c r="N620" s="89" t="s">
        <v>213</v>
      </c>
      <c r="O620" s="89" t="s">
        <v>213</v>
      </c>
      <c r="P620" s="89" t="s">
        <v>213</v>
      </c>
      <c r="Q620" s="89" t="s">
        <v>213</v>
      </c>
      <c r="R620" s="89" t="s">
        <v>213</v>
      </c>
      <c r="S620" s="89" t="s">
        <v>213</v>
      </c>
      <c r="T620" s="90" t="s">
        <v>213</v>
      </c>
      <c r="U620" s="91" t="s">
        <v>213</v>
      </c>
      <c r="V620" s="92" t="s">
        <v>213</v>
      </c>
      <c r="W620" s="93" t="s">
        <v>213</v>
      </c>
      <c r="X620" s="92" t="s">
        <v>213</v>
      </c>
      <c r="Y620" s="90" t="s">
        <v>213</v>
      </c>
      <c r="Z620" s="93" t="s">
        <v>213</v>
      </c>
    </row>
    <row r="621" ht="15.75" customHeight="1">
      <c r="A621" s="84"/>
      <c r="B621" s="85"/>
      <c r="C621" s="85"/>
      <c r="D621" s="84"/>
      <c r="E621" s="84"/>
      <c r="F621" s="84"/>
      <c r="G621" s="86"/>
      <c r="H621" s="86"/>
      <c r="I621" s="87"/>
      <c r="J621" s="87"/>
      <c r="K621" s="88"/>
      <c r="L621" s="84"/>
      <c r="M621" s="84"/>
      <c r="N621" s="89" t="s">
        <v>213</v>
      </c>
      <c r="O621" s="89" t="s">
        <v>213</v>
      </c>
      <c r="P621" s="89" t="s">
        <v>213</v>
      </c>
      <c r="Q621" s="89" t="s">
        <v>213</v>
      </c>
      <c r="R621" s="89" t="s">
        <v>213</v>
      </c>
      <c r="S621" s="89" t="s">
        <v>213</v>
      </c>
      <c r="T621" s="90" t="s">
        <v>213</v>
      </c>
      <c r="U621" s="91" t="s">
        <v>213</v>
      </c>
      <c r="V621" s="92" t="s">
        <v>213</v>
      </c>
      <c r="W621" s="93" t="s">
        <v>213</v>
      </c>
      <c r="X621" s="92" t="s">
        <v>213</v>
      </c>
      <c r="Y621" s="90" t="s">
        <v>213</v>
      </c>
      <c r="Z621" s="93" t="s">
        <v>213</v>
      </c>
    </row>
    <row r="622" ht="15.75" customHeight="1">
      <c r="A622" s="84"/>
      <c r="B622" s="85"/>
      <c r="C622" s="85"/>
      <c r="D622" s="84"/>
      <c r="E622" s="84"/>
      <c r="F622" s="84"/>
      <c r="G622" s="86"/>
      <c r="H622" s="86"/>
      <c r="I622" s="87"/>
      <c r="J622" s="87"/>
      <c r="K622" s="88"/>
      <c r="L622" s="84"/>
      <c r="M622" s="84"/>
      <c r="N622" s="89" t="s">
        <v>213</v>
      </c>
      <c r="O622" s="89" t="s">
        <v>213</v>
      </c>
      <c r="P622" s="89" t="s">
        <v>213</v>
      </c>
      <c r="Q622" s="89" t="s">
        <v>213</v>
      </c>
      <c r="R622" s="89" t="s">
        <v>213</v>
      </c>
      <c r="S622" s="89" t="s">
        <v>213</v>
      </c>
      <c r="T622" s="90" t="s">
        <v>213</v>
      </c>
      <c r="U622" s="91" t="s">
        <v>213</v>
      </c>
      <c r="V622" s="92" t="s">
        <v>213</v>
      </c>
      <c r="W622" s="93" t="s">
        <v>213</v>
      </c>
      <c r="X622" s="92" t="s">
        <v>213</v>
      </c>
      <c r="Y622" s="90" t="s">
        <v>213</v>
      </c>
      <c r="Z622" s="93" t="s">
        <v>213</v>
      </c>
    </row>
    <row r="623" ht="15.75" customHeight="1">
      <c r="A623" s="84"/>
      <c r="B623" s="85"/>
      <c r="C623" s="85"/>
      <c r="D623" s="84"/>
      <c r="E623" s="84"/>
      <c r="F623" s="84"/>
      <c r="G623" s="86"/>
      <c r="H623" s="86"/>
      <c r="I623" s="87"/>
      <c r="J623" s="87"/>
      <c r="K623" s="88"/>
      <c r="L623" s="84"/>
      <c r="M623" s="84"/>
      <c r="N623" s="89" t="s">
        <v>213</v>
      </c>
      <c r="O623" s="89" t="s">
        <v>213</v>
      </c>
      <c r="P623" s="89" t="s">
        <v>213</v>
      </c>
      <c r="Q623" s="89" t="s">
        <v>213</v>
      </c>
      <c r="R623" s="89" t="s">
        <v>213</v>
      </c>
      <c r="S623" s="89" t="s">
        <v>213</v>
      </c>
      <c r="T623" s="90" t="s">
        <v>213</v>
      </c>
      <c r="U623" s="91" t="s">
        <v>213</v>
      </c>
      <c r="V623" s="92" t="s">
        <v>213</v>
      </c>
      <c r="W623" s="93" t="s">
        <v>213</v>
      </c>
      <c r="X623" s="92" t="s">
        <v>213</v>
      </c>
      <c r="Y623" s="90" t="s">
        <v>213</v>
      </c>
      <c r="Z623" s="93" t="s">
        <v>213</v>
      </c>
    </row>
    <row r="624" ht="15.75" customHeight="1">
      <c r="A624" s="84"/>
      <c r="B624" s="85"/>
      <c r="C624" s="85"/>
      <c r="D624" s="84"/>
      <c r="E624" s="84"/>
      <c r="F624" s="84"/>
      <c r="G624" s="86"/>
      <c r="H624" s="86"/>
      <c r="I624" s="87"/>
      <c r="J624" s="87"/>
      <c r="K624" s="88"/>
      <c r="L624" s="84"/>
      <c r="M624" s="84"/>
      <c r="N624" s="89" t="s">
        <v>213</v>
      </c>
      <c r="O624" s="89" t="s">
        <v>213</v>
      </c>
      <c r="P624" s="89" t="s">
        <v>213</v>
      </c>
      <c r="Q624" s="89" t="s">
        <v>213</v>
      </c>
      <c r="R624" s="89" t="s">
        <v>213</v>
      </c>
      <c r="S624" s="89" t="s">
        <v>213</v>
      </c>
      <c r="T624" s="90" t="s">
        <v>213</v>
      </c>
      <c r="U624" s="91" t="s">
        <v>213</v>
      </c>
      <c r="V624" s="92" t="s">
        <v>213</v>
      </c>
      <c r="W624" s="93" t="s">
        <v>213</v>
      </c>
      <c r="X624" s="92" t="s">
        <v>213</v>
      </c>
      <c r="Y624" s="90" t="s">
        <v>213</v>
      </c>
      <c r="Z624" s="93" t="s">
        <v>213</v>
      </c>
    </row>
    <row r="625" ht="15.75" customHeight="1">
      <c r="A625" s="84"/>
      <c r="B625" s="85"/>
      <c r="C625" s="85"/>
      <c r="D625" s="84"/>
      <c r="E625" s="84"/>
      <c r="F625" s="84"/>
      <c r="G625" s="86"/>
      <c r="H625" s="86"/>
      <c r="I625" s="87"/>
      <c r="J625" s="87"/>
      <c r="K625" s="88"/>
      <c r="L625" s="84"/>
      <c r="M625" s="84"/>
      <c r="N625" s="89" t="s">
        <v>213</v>
      </c>
      <c r="O625" s="89" t="s">
        <v>213</v>
      </c>
      <c r="P625" s="89" t="s">
        <v>213</v>
      </c>
      <c r="Q625" s="89" t="s">
        <v>213</v>
      </c>
      <c r="R625" s="89" t="s">
        <v>213</v>
      </c>
      <c r="S625" s="89" t="s">
        <v>213</v>
      </c>
      <c r="T625" s="90" t="s">
        <v>213</v>
      </c>
      <c r="U625" s="91" t="s">
        <v>213</v>
      </c>
      <c r="V625" s="92" t="s">
        <v>213</v>
      </c>
      <c r="W625" s="93" t="s">
        <v>213</v>
      </c>
      <c r="X625" s="92" t="s">
        <v>213</v>
      </c>
      <c r="Y625" s="90" t="s">
        <v>213</v>
      </c>
      <c r="Z625" s="93" t="s">
        <v>213</v>
      </c>
    </row>
    <row r="626" ht="15.75" customHeight="1">
      <c r="A626" s="84"/>
      <c r="B626" s="85"/>
      <c r="C626" s="85"/>
      <c r="D626" s="84"/>
      <c r="E626" s="84"/>
      <c r="F626" s="84"/>
      <c r="G626" s="86"/>
      <c r="H626" s="86"/>
      <c r="I626" s="87"/>
      <c r="J626" s="87"/>
      <c r="K626" s="88"/>
      <c r="L626" s="84"/>
      <c r="M626" s="84"/>
      <c r="N626" s="89" t="s">
        <v>213</v>
      </c>
      <c r="O626" s="89" t="s">
        <v>213</v>
      </c>
      <c r="P626" s="89" t="s">
        <v>213</v>
      </c>
      <c r="Q626" s="89" t="s">
        <v>213</v>
      </c>
      <c r="R626" s="89" t="s">
        <v>213</v>
      </c>
      <c r="S626" s="89" t="s">
        <v>213</v>
      </c>
      <c r="T626" s="90" t="s">
        <v>213</v>
      </c>
      <c r="U626" s="91" t="s">
        <v>213</v>
      </c>
      <c r="V626" s="92" t="s">
        <v>213</v>
      </c>
      <c r="W626" s="93" t="s">
        <v>213</v>
      </c>
      <c r="X626" s="92" t="s">
        <v>213</v>
      </c>
      <c r="Y626" s="90" t="s">
        <v>213</v>
      </c>
      <c r="Z626" s="93" t="s">
        <v>213</v>
      </c>
    </row>
    <row r="627" ht="15.75" customHeight="1">
      <c r="A627" s="84"/>
      <c r="B627" s="85"/>
      <c r="C627" s="85"/>
      <c r="D627" s="84"/>
      <c r="E627" s="84"/>
      <c r="F627" s="84"/>
      <c r="G627" s="86"/>
      <c r="H627" s="86"/>
      <c r="I627" s="87"/>
      <c r="J627" s="87"/>
      <c r="K627" s="88"/>
      <c r="L627" s="84"/>
      <c r="M627" s="84"/>
      <c r="N627" s="89" t="s">
        <v>213</v>
      </c>
      <c r="O627" s="89" t="s">
        <v>213</v>
      </c>
      <c r="P627" s="89" t="s">
        <v>213</v>
      </c>
      <c r="Q627" s="89" t="s">
        <v>213</v>
      </c>
      <c r="R627" s="89" t="s">
        <v>213</v>
      </c>
      <c r="S627" s="89" t="s">
        <v>213</v>
      </c>
      <c r="T627" s="90" t="s">
        <v>213</v>
      </c>
      <c r="U627" s="91" t="s">
        <v>213</v>
      </c>
      <c r="V627" s="92" t="s">
        <v>213</v>
      </c>
      <c r="W627" s="93" t="s">
        <v>213</v>
      </c>
      <c r="X627" s="92" t="s">
        <v>213</v>
      </c>
      <c r="Y627" s="90" t="s">
        <v>213</v>
      </c>
      <c r="Z627" s="93" t="s">
        <v>213</v>
      </c>
    </row>
    <row r="628" ht="15.75" customHeight="1">
      <c r="A628" s="84"/>
      <c r="B628" s="85"/>
      <c r="C628" s="85"/>
      <c r="D628" s="84"/>
      <c r="E628" s="84"/>
      <c r="F628" s="84"/>
      <c r="G628" s="86"/>
      <c r="H628" s="86"/>
      <c r="I628" s="87"/>
      <c r="J628" s="87"/>
      <c r="K628" s="88"/>
      <c r="L628" s="84"/>
      <c r="M628" s="84"/>
      <c r="N628" s="89" t="s">
        <v>213</v>
      </c>
      <c r="O628" s="89" t="s">
        <v>213</v>
      </c>
      <c r="P628" s="89" t="s">
        <v>213</v>
      </c>
      <c r="Q628" s="89" t="s">
        <v>213</v>
      </c>
      <c r="R628" s="89" t="s">
        <v>213</v>
      </c>
      <c r="S628" s="89" t="s">
        <v>213</v>
      </c>
      <c r="T628" s="90" t="s">
        <v>213</v>
      </c>
      <c r="U628" s="91" t="s">
        <v>213</v>
      </c>
      <c r="V628" s="92" t="s">
        <v>213</v>
      </c>
      <c r="W628" s="93" t="s">
        <v>213</v>
      </c>
      <c r="X628" s="92" t="s">
        <v>213</v>
      </c>
      <c r="Y628" s="90" t="s">
        <v>213</v>
      </c>
      <c r="Z628" s="93" t="s">
        <v>213</v>
      </c>
    </row>
    <row r="629" ht="15.75" customHeight="1">
      <c r="A629" s="84"/>
      <c r="B629" s="85"/>
      <c r="C629" s="85"/>
      <c r="D629" s="84"/>
      <c r="E629" s="84"/>
      <c r="F629" s="84"/>
      <c r="G629" s="86"/>
      <c r="H629" s="86"/>
      <c r="I629" s="87"/>
      <c r="J629" s="87"/>
      <c r="K629" s="88"/>
      <c r="L629" s="84"/>
      <c r="M629" s="84"/>
      <c r="N629" s="89" t="s">
        <v>213</v>
      </c>
      <c r="O629" s="89" t="s">
        <v>213</v>
      </c>
      <c r="P629" s="89" t="s">
        <v>213</v>
      </c>
      <c r="Q629" s="89" t="s">
        <v>213</v>
      </c>
      <c r="R629" s="89" t="s">
        <v>213</v>
      </c>
      <c r="S629" s="89" t="s">
        <v>213</v>
      </c>
      <c r="T629" s="90" t="s">
        <v>213</v>
      </c>
      <c r="U629" s="91" t="s">
        <v>213</v>
      </c>
      <c r="V629" s="92" t="s">
        <v>213</v>
      </c>
      <c r="W629" s="93" t="s">
        <v>213</v>
      </c>
      <c r="X629" s="92" t="s">
        <v>213</v>
      </c>
      <c r="Y629" s="90" t="s">
        <v>213</v>
      </c>
      <c r="Z629" s="93" t="s">
        <v>213</v>
      </c>
    </row>
    <row r="630" ht="15.75" customHeight="1">
      <c r="A630" s="84"/>
      <c r="B630" s="85"/>
      <c r="C630" s="85"/>
      <c r="D630" s="84"/>
      <c r="E630" s="84"/>
      <c r="F630" s="84"/>
      <c r="G630" s="86"/>
      <c r="H630" s="86"/>
      <c r="I630" s="87"/>
      <c r="J630" s="87"/>
      <c r="K630" s="88"/>
      <c r="L630" s="84"/>
      <c r="M630" s="84"/>
      <c r="N630" s="89" t="s">
        <v>213</v>
      </c>
      <c r="O630" s="89" t="s">
        <v>213</v>
      </c>
      <c r="P630" s="89" t="s">
        <v>213</v>
      </c>
      <c r="Q630" s="89" t="s">
        <v>213</v>
      </c>
      <c r="R630" s="89" t="s">
        <v>213</v>
      </c>
      <c r="S630" s="89" t="s">
        <v>213</v>
      </c>
      <c r="T630" s="90" t="s">
        <v>213</v>
      </c>
      <c r="U630" s="91" t="s">
        <v>213</v>
      </c>
      <c r="V630" s="92" t="s">
        <v>213</v>
      </c>
      <c r="W630" s="93" t="s">
        <v>213</v>
      </c>
      <c r="X630" s="92" t="s">
        <v>213</v>
      </c>
      <c r="Y630" s="90" t="s">
        <v>213</v>
      </c>
      <c r="Z630" s="93" t="s">
        <v>213</v>
      </c>
    </row>
    <row r="631" ht="15.75" customHeight="1">
      <c r="A631" s="84"/>
      <c r="B631" s="85"/>
      <c r="C631" s="85"/>
      <c r="D631" s="84"/>
      <c r="E631" s="84"/>
      <c r="F631" s="84"/>
      <c r="G631" s="86"/>
      <c r="H631" s="86"/>
      <c r="I631" s="87"/>
      <c r="J631" s="87"/>
      <c r="K631" s="88"/>
      <c r="L631" s="84"/>
      <c r="M631" s="84"/>
      <c r="N631" s="89" t="s">
        <v>213</v>
      </c>
      <c r="O631" s="89" t="s">
        <v>213</v>
      </c>
      <c r="P631" s="89" t="s">
        <v>213</v>
      </c>
      <c r="Q631" s="89" t="s">
        <v>213</v>
      </c>
      <c r="R631" s="89" t="s">
        <v>213</v>
      </c>
      <c r="S631" s="89" t="s">
        <v>213</v>
      </c>
      <c r="T631" s="90" t="s">
        <v>213</v>
      </c>
      <c r="U631" s="91" t="s">
        <v>213</v>
      </c>
      <c r="V631" s="92" t="s">
        <v>213</v>
      </c>
      <c r="W631" s="93" t="s">
        <v>213</v>
      </c>
      <c r="X631" s="92" t="s">
        <v>213</v>
      </c>
      <c r="Y631" s="90" t="s">
        <v>213</v>
      </c>
      <c r="Z631" s="93" t="s">
        <v>213</v>
      </c>
    </row>
    <row r="632" ht="15.75" customHeight="1">
      <c r="A632" s="84"/>
      <c r="B632" s="85"/>
      <c r="C632" s="85"/>
      <c r="D632" s="84"/>
      <c r="E632" s="84"/>
      <c r="F632" s="84"/>
      <c r="G632" s="86"/>
      <c r="H632" s="86"/>
      <c r="I632" s="87"/>
      <c r="J632" s="87"/>
      <c r="K632" s="88"/>
      <c r="L632" s="84"/>
      <c r="M632" s="84"/>
      <c r="N632" s="89" t="s">
        <v>213</v>
      </c>
      <c r="O632" s="89" t="s">
        <v>213</v>
      </c>
      <c r="P632" s="89" t="s">
        <v>213</v>
      </c>
      <c r="Q632" s="89" t="s">
        <v>213</v>
      </c>
      <c r="R632" s="89" t="s">
        <v>213</v>
      </c>
      <c r="S632" s="89" t="s">
        <v>213</v>
      </c>
      <c r="T632" s="90" t="s">
        <v>213</v>
      </c>
      <c r="U632" s="91" t="s">
        <v>213</v>
      </c>
      <c r="V632" s="92" t="s">
        <v>213</v>
      </c>
      <c r="W632" s="93" t="s">
        <v>213</v>
      </c>
      <c r="X632" s="92" t="s">
        <v>213</v>
      </c>
      <c r="Y632" s="90" t="s">
        <v>213</v>
      </c>
      <c r="Z632" s="93" t="s">
        <v>213</v>
      </c>
    </row>
    <row r="633" ht="15.75" customHeight="1">
      <c r="A633" s="84"/>
      <c r="B633" s="85"/>
      <c r="C633" s="85"/>
      <c r="D633" s="84"/>
      <c r="E633" s="84"/>
      <c r="F633" s="84"/>
      <c r="G633" s="86"/>
      <c r="H633" s="86"/>
      <c r="I633" s="87"/>
      <c r="J633" s="87"/>
      <c r="K633" s="88"/>
      <c r="L633" s="84"/>
      <c r="M633" s="84"/>
      <c r="N633" s="89" t="s">
        <v>213</v>
      </c>
      <c r="O633" s="89" t="s">
        <v>213</v>
      </c>
      <c r="P633" s="89" t="s">
        <v>213</v>
      </c>
      <c r="Q633" s="89" t="s">
        <v>213</v>
      </c>
      <c r="R633" s="89" t="s">
        <v>213</v>
      </c>
      <c r="S633" s="89" t="s">
        <v>213</v>
      </c>
      <c r="T633" s="90" t="s">
        <v>213</v>
      </c>
      <c r="U633" s="91" t="s">
        <v>213</v>
      </c>
      <c r="V633" s="92" t="s">
        <v>213</v>
      </c>
      <c r="W633" s="93" t="s">
        <v>213</v>
      </c>
      <c r="X633" s="92" t="s">
        <v>213</v>
      </c>
      <c r="Y633" s="90" t="s">
        <v>213</v>
      </c>
      <c r="Z633" s="93" t="s">
        <v>213</v>
      </c>
    </row>
    <row r="634" ht="15.75" customHeight="1">
      <c r="A634" s="84"/>
      <c r="B634" s="85"/>
      <c r="C634" s="85"/>
      <c r="D634" s="84"/>
      <c r="E634" s="84"/>
      <c r="F634" s="84"/>
      <c r="G634" s="86"/>
      <c r="H634" s="86"/>
      <c r="I634" s="87"/>
      <c r="J634" s="87"/>
      <c r="K634" s="88"/>
      <c r="L634" s="84"/>
      <c r="M634" s="84"/>
      <c r="N634" s="89" t="s">
        <v>213</v>
      </c>
      <c r="O634" s="89" t="s">
        <v>213</v>
      </c>
      <c r="P634" s="89" t="s">
        <v>213</v>
      </c>
      <c r="Q634" s="89" t="s">
        <v>213</v>
      </c>
      <c r="R634" s="89" t="s">
        <v>213</v>
      </c>
      <c r="S634" s="89" t="s">
        <v>213</v>
      </c>
      <c r="T634" s="90" t="s">
        <v>213</v>
      </c>
      <c r="U634" s="91" t="s">
        <v>213</v>
      </c>
      <c r="V634" s="92" t="s">
        <v>213</v>
      </c>
      <c r="W634" s="93" t="s">
        <v>213</v>
      </c>
      <c r="X634" s="92" t="s">
        <v>213</v>
      </c>
      <c r="Y634" s="90" t="s">
        <v>213</v>
      </c>
      <c r="Z634" s="93" t="s">
        <v>213</v>
      </c>
    </row>
    <row r="635" ht="15.75" customHeight="1">
      <c r="A635" s="84"/>
      <c r="B635" s="85"/>
      <c r="C635" s="85"/>
      <c r="D635" s="84"/>
      <c r="E635" s="84"/>
      <c r="F635" s="84"/>
      <c r="G635" s="86"/>
      <c r="H635" s="86"/>
      <c r="I635" s="87"/>
      <c r="J635" s="87"/>
      <c r="K635" s="88"/>
      <c r="L635" s="84"/>
      <c r="M635" s="84"/>
      <c r="N635" s="89" t="s">
        <v>213</v>
      </c>
      <c r="O635" s="89" t="s">
        <v>213</v>
      </c>
      <c r="P635" s="89" t="s">
        <v>213</v>
      </c>
      <c r="Q635" s="89" t="s">
        <v>213</v>
      </c>
      <c r="R635" s="89" t="s">
        <v>213</v>
      </c>
      <c r="S635" s="89" t="s">
        <v>213</v>
      </c>
      <c r="T635" s="90" t="s">
        <v>213</v>
      </c>
      <c r="U635" s="91" t="s">
        <v>213</v>
      </c>
      <c r="V635" s="92" t="s">
        <v>213</v>
      </c>
      <c r="W635" s="93" t="s">
        <v>213</v>
      </c>
      <c r="X635" s="92" t="s">
        <v>213</v>
      </c>
      <c r="Y635" s="90" t="s">
        <v>213</v>
      </c>
      <c r="Z635" s="93" t="s">
        <v>213</v>
      </c>
    </row>
    <row r="636" ht="15.75" customHeight="1">
      <c r="A636" s="84"/>
      <c r="B636" s="85"/>
      <c r="C636" s="85"/>
      <c r="D636" s="84"/>
      <c r="E636" s="84"/>
      <c r="F636" s="84"/>
      <c r="G636" s="86"/>
      <c r="H636" s="86"/>
      <c r="I636" s="87"/>
      <c r="J636" s="87"/>
      <c r="K636" s="88"/>
      <c r="L636" s="84"/>
      <c r="M636" s="84"/>
      <c r="N636" s="89" t="s">
        <v>213</v>
      </c>
      <c r="O636" s="89" t="s">
        <v>213</v>
      </c>
      <c r="P636" s="89" t="s">
        <v>213</v>
      </c>
      <c r="Q636" s="89" t="s">
        <v>213</v>
      </c>
      <c r="R636" s="89" t="s">
        <v>213</v>
      </c>
      <c r="S636" s="89" t="s">
        <v>213</v>
      </c>
      <c r="T636" s="90" t="s">
        <v>213</v>
      </c>
      <c r="U636" s="91" t="s">
        <v>213</v>
      </c>
      <c r="V636" s="92" t="s">
        <v>213</v>
      </c>
      <c r="W636" s="93" t="s">
        <v>213</v>
      </c>
      <c r="X636" s="92" t="s">
        <v>213</v>
      </c>
      <c r="Y636" s="90" t="s">
        <v>213</v>
      </c>
      <c r="Z636" s="93" t="s">
        <v>213</v>
      </c>
    </row>
    <row r="637" ht="15.75" customHeight="1">
      <c r="A637" s="84"/>
      <c r="B637" s="85"/>
      <c r="C637" s="85"/>
      <c r="D637" s="84"/>
      <c r="E637" s="84"/>
      <c r="F637" s="84"/>
      <c r="G637" s="86"/>
      <c r="H637" s="86"/>
      <c r="I637" s="87"/>
      <c r="J637" s="87"/>
      <c r="K637" s="88"/>
      <c r="L637" s="84"/>
      <c r="M637" s="84"/>
      <c r="N637" s="89" t="s">
        <v>213</v>
      </c>
      <c r="O637" s="89" t="s">
        <v>213</v>
      </c>
      <c r="P637" s="89" t="s">
        <v>213</v>
      </c>
      <c r="Q637" s="89" t="s">
        <v>213</v>
      </c>
      <c r="R637" s="89" t="s">
        <v>213</v>
      </c>
      <c r="S637" s="89" t="s">
        <v>213</v>
      </c>
      <c r="T637" s="90" t="s">
        <v>213</v>
      </c>
      <c r="U637" s="91" t="s">
        <v>213</v>
      </c>
      <c r="V637" s="92" t="s">
        <v>213</v>
      </c>
      <c r="W637" s="93" t="s">
        <v>213</v>
      </c>
      <c r="X637" s="92" t="s">
        <v>213</v>
      </c>
      <c r="Y637" s="90" t="s">
        <v>213</v>
      </c>
      <c r="Z637" s="93" t="s">
        <v>213</v>
      </c>
    </row>
    <row r="638" ht="15.75" customHeight="1">
      <c r="A638" s="84"/>
      <c r="B638" s="85"/>
      <c r="C638" s="85"/>
      <c r="D638" s="84"/>
      <c r="E638" s="84"/>
      <c r="F638" s="84"/>
      <c r="G638" s="86"/>
      <c r="H638" s="86"/>
      <c r="I638" s="87"/>
      <c r="J638" s="87"/>
      <c r="K638" s="88"/>
      <c r="L638" s="84"/>
      <c r="M638" s="84"/>
      <c r="N638" s="89" t="s">
        <v>213</v>
      </c>
      <c r="O638" s="89" t="s">
        <v>213</v>
      </c>
      <c r="P638" s="89" t="s">
        <v>213</v>
      </c>
      <c r="Q638" s="89" t="s">
        <v>213</v>
      </c>
      <c r="R638" s="89" t="s">
        <v>213</v>
      </c>
      <c r="S638" s="89" t="s">
        <v>213</v>
      </c>
      <c r="T638" s="90" t="s">
        <v>213</v>
      </c>
      <c r="U638" s="91" t="s">
        <v>213</v>
      </c>
      <c r="V638" s="92" t="s">
        <v>213</v>
      </c>
      <c r="W638" s="93" t="s">
        <v>213</v>
      </c>
      <c r="X638" s="92" t="s">
        <v>213</v>
      </c>
      <c r="Y638" s="90" t="s">
        <v>213</v>
      </c>
      <c r="Z638" s="93" t="s">
        <v>213</v>
      </c>
    </row>
    <row r="639" ht="15.75" customHeight="1">
      <c r="A639" s="84"/>
      <c r="B639" s="85"/>
      <c r="C639" s="85"/>
      <c r="D639" s="84"/>
      <c r="E639" s="84"/>
      <c r="F639" s="84"/>
      <c r="G639" s="86"/>
      <c r="H639" s="86"/>
      <c r="I639" s="87"/>
      <c r="J639" s="87"/>
      <c r="K639" s="88"/>
      <c r="L639" s="84"/>
      <c r="M639" s="84"/>
      <c r="N639" s="89" t="s">
        <v>213</v>
      </c>
      <c r="O639" s="89" t="s">
        <v>213</v>
      </c>
      <c r="P639" s="89" t="s">
        <v>213</v>
      </c>
      <c r="Q639" s="89" t="s">
        <v>213</v>
      </c>
      <c r="R639" s="89" t="s">
        <v>213</v>
      </c>
      <c r="S639" s="89" t="s">
        <v>213</v>
      </c>
      <c r="T639" s="90" t="s">
        <v>213</v>
      </c>
      <c r="U639" s="91" t="s">
        <v>213</v>
      </c>
      <c r="V639" s="92" t="s">
        <v>213</v>
      </c>
      <c r="W639" s="93" t="s">
        <v>213</v>
      </c>
      <c r="X639" s="92" t="s">
        <v>213</v>
      </c>
      <c r="Y639" s="90" t="s">
        <v>213</v>
      </c>
      <c r="Z639" s="93" t="s">
        <v>213</v>
      </c>
    </row>
    <row r="640" ht="15.75" customHeight="1">
      <c r="A640" s="84"/>
      <c r="B640" s="85"/>
      <c r="C640" s="85"/>
      <c r="D640" s="84"/>
      <c r="E640" s="84"/>
      <c r="F640" s="84"/>
      <c r="G640" s="86"/>
      <c r="H640" s="86"/>
      <c r="I640" s="87"/>
      <c r="J640" s="87"/>
      <c r="K640" s="88"/>
      <c r="L640" s="84"/>
      <c r="M640" s="84"/>
      <c r="N640" s="89" t="s">
        <v>213</v>
      </c>
      <c r="O640" s="89" t="s">
        <v>213</v>
      </c>
      <c r="P640" s="89" t="s">
        <v>213</v>
      </c>
      <c r="Q640" s="89" t="s">
        <v>213</v>
      </c>
      <c r="R640" s="89" t="s">
        <v>213</v>
      </c>
      <c r="S640" s="89" t="s">
        <v>213</v>
      </c>
      <c r="T640" s="90" t="s">
        <v>213</v>
      </c>
      <c r="U640" s="91" t="s">
        <v>213</v>
      </c>
      <c r="V640" s="92" t="s">
        <v>213</v>
      </c>
      <c r="W640" s="93" t="s">
        <v>213</v>
      </c>
      <c r="X640" s="92" t="s">
        <v>213</v>
      </c>
      <c r="Y640" s="90" t="s">
        <v>213</v>
      </c>
      <c r="Z640" s="93" t="s">
        <v>213</v>
      </c>
    </row>
    <row r="641" ht="15.75" customHeight="1">
      <c r="A641" s="84"/>
      <c r="B641" s="85"/>
      <c r="C641" s="85"/>
      <c r="D641" s="84"/>
      <c r="E641" s="84"/>
      <c r="F641" s="84"/>
      <c r="G641" s="86"/>
      <c r="H641" s="86"/>
      <c r="I641" s="87"/>
      <c r="J641" s="87"/>
      <c r="K641" s="88"/>
      <c r="L641" s="84"/>
      <c r="M641" s="84"/>
      <c r="N641" s="89" t="s">
        <v>213</v>
      </c>
      <c r="O641" s="89" t="s">
        <v>213</v>
      </c>
      <c r="P641" s="89" t="s">
        <v>213</v>
      </c>
      <c r="Q641" s="89" t="s">
        <v>213</v>
      </c>
      <c r="R641" s="89" t="s">
        <v>213</v>
      </c>
      <c r="S641" s="89" t="s">
        <v>213</v>
      </c>
      <c r="T641" s="90" t="s">
        <v>213</v>
      </c>
      <c r="U641" s="91" t="s">
        <v>213</v>
      </c>
      <c r="V641" s="92" t="s">
        <v>213</v>
      </c>
      <c r="W641" s="93" t="s">
        <v>213</v>
      </c>
      <c r="X641" s="92" t="s">
        <v>213</v>
      </c>
      <c r="Y641" s="90" t="s">
        <v>213</v>
      </c>
      <c r="Z641" s="93" t="s">
        <v>213</v>
      </c>
    </row>
    <row r="642" ht="15.75" customHeight="1">
      <c r="A642" s="84"/>
      <c r="B642" s="85"/>
      <c r="C642" s="85"/>
      <c r="D642" s="84"/>
      <c r="E642" s="84"/>
      <c r="F642" s="84"/>
      <c r="G642" s="86"/>
      <c r="H642" s="86"/>
      <c r="I642" s="87"/>
      <c r="J642" s="87"/>
      <c r="K642" s="88"/>
      <c r="L642" s="84"/>
      <c r="M642" s="84"/>
      <c r="N642" s="89" t="s">
        <v>213</v>
      </c>
      <c r="O642" s="89" t="s">
        <v>213</v>
      </c>
      <c r="P642" s="89" t="s">
        <v>213</v>
      </c>
      <c r="Q642" s="89" t="s">
        <v>213</v>
      </c>
      <c r="R642" s="89" t="s">
        <v>213</v>
      </c>
      <c r="S642" s="89" t="s">
        <v>213</v>
      </c>
      <c r="T642" s="90" t="s">
        <v>213</v>
      </c>
      <c r="U642" s="91" t="s">
        <v>213</v>
      </c>
      <c r="V642" s="92" t="s">
        <v>213</v>
      </c>
      <c r="W642" s="93" t="s">
        <v>213</v>
      </c>
      <c r="X642" s="92" t="s">
        <v>213</v>
      </c>
      <c r="Y642" s="90" t="s">
        <v>213</v>
      </c>
      <c r="Z642" s="93" t="s">
        <v>213</v>
      </c>
    </row>
    <row r="643" ht="15.75" customHeight="1">
      <c r="A643" s="84"/>
      <c r="B643" s="85"/>
      <c r="C643" s="85"/>
      <c r="D643" s="84"/>
      <c r="E643" s="84"/>
      <c r="F643" s="84"/>
      <c r="G643" s="86"/>
      <c r="H643" s="86"/>
      <c r="I643" s="87"/>
      <c r="J643" s="87"/>
      <c r="K643" s="88"/>
      <c r="L643" s="84"/>
      <c r="M643" s="84"/>
      <c r="N643" s="89" t="s">
        <v>213</v>
      </c>
      <c r="O643" s="89" t="s">
        <v>213</v>
      </c>
      <c r="P643" s="89" t="s">
        <v>213</v>
      </c>
      <c r="Q643" s="89" t="s">
        <v>213</v>
      </c>
      <c r="R643" s="89" t="s">
        <v>213</v>
      </c>
      <c r="S643" s="89" t="s">
        <v>213</v>
      </c>
      <c r="T643" s="90" t="s">
        <v>213</v>
      </c>
      <c r="U643" s="91" t="s">
        <v>213</v>
      </c>
      <c r="V643" s="92" t="s">
        <v>213</v>
      </c>
      <c r="W643" s="93" t="s">
        <v>213</v>
      </c>
      <c r="X643" s="92" t="s">
        <v>213</v>
      </c>
      <c r="Y643" s="90" t="s">
        <v>213</v>
      </c>
      <c r="Z643" s="93" t="s">
        <v>213</v>
      </c>
    </row>
    <row r="644" ht="15.75" customHeight="1">
      <c r="A644" s="84"/>
      <c r="B644" s="85"/>
      <c r="C644" s="85"/>
      <c r="D644" s="84"/>
      <c r="E644" s="84"/>
      <c r="F644" s="84"/>
      <c r="G644" s="86"/>
      <c r="H644" s="86"/>
      <c r="I644" s="87"/>
      <c r="J644" s="87"/>
      <c r="K644" s="88"/>
      <c r="L644" s="84"/>
      <c r="M644" s="84"/>
      <c r="N644" s="89" t="s">
        <v>213</v>
      </c>
      <c r="O644" s="89" t="s">
        <v>213</v>
      </c>
      <c r="P644" s="89" t="s">
        <v>213</v>
      </c>
      <c r="Q644" s="89" t="s">
        <v>213</v>
      </c>
      <c r="R644" s="89" t="s">
        <v>213</v>
      </c>
      <c r="S644" s="89" t="s">
        <v>213</v>
      </c>
      <c r="T644" s="90" t="s">
        <v>213</v>
      </c>
      <c r="U644" s="91" t="s">
        <v>213</v>
      </c>
      <c r="V644" s="92" t="s">
        <v>213</v>
      </c>
      <c r="W644" s="93" t="s">
        <v>213</v>
      </c>
      <c r="X644" s="92" t="s">
        <v>213</v>
      </c>
      <c r="Y644" s="90" t="s">
        <v>213</v>
      </c>
      <c r="Z644" s="93" t="s">
        <v>213</v>
      </c>
    </row>
    <row r="645" ht="15.75" customHeight="1">
      <c r="A645" s="84"/>
      <c r="B645" s="85"/>
      <c r="C645" s="85"/>
      <c r="D645" s="84"/>
      <c r="E645" s="84"/>
      <c r="F645" s="84"/>
      <c r="G645" s="86"/>
      <c r="H645" s="86"/>
      <c r="I645" s="87"/>
      <c r="J645" s="87"/>
      <c r="K645" s="88"/>
      <c r="L645" s="84"/>
      <c r="M645" s="84"/>
      <c r="N645" s="89" t="s">
        <v>213</v>
      </c>
      <c r="O645" s="89" t="s">
        <v>213</v>
      </c>
      <c r="P645" s="89" t="s">
        <v>213</v>
      </c>
      <c r="Q645" s="89" t="s">
        <v>213</v>
      </c>
      <c r="R645" s="89" t="s">
        <v>213</v>
      </c>
      <c r="S645" s="89" t="s">
        <v>213</v>
      </c>
      <c r="T645" s="90" t="s">
        <v>213</v>
      </c>
      <c r="U645" s="91" t="s">
        <v>213</v>
      </c>
      <c r="V645" s="92" t="s">
        <v>213</v>
      </c>
      <c r="W645" s="93" t="s">
        <v>213</v>
      </c>
      <c r="X645" s="92" t="s">
        <v>213</v>
      </c>
      <c r="Y645" s="90" t="s">
        <v>213</v>
      </c>
      <c r="Z645" s="93" t="s">
        <v>213</v>
      </c>
    </row>
    <row r="646" ht="15.75" customHeight="1">
      <c r="A646" s="84"/>
      <c r="B646" s="85"/>
      <c r="C646" s="85"/>
      <c r="D646" s="84"/>
      <c r="E646" s="84"/>
      <c r="F646" s="84"/>
      <c r="G646" s="86"/>
      <c r="H646" s="86"/>
      <c r="I646" s="87"/>
      <c r="J646" s="87"/>
      <c r="K646" s="88"/>
      <c r="L646" s="84"/>
      <c r="M646" s="84"/>
      <c r="N646" s="89" t="s">
        <v>213</v>
      </c>
      <c r="O646" s="89" t="s">
        <v>213</v>
      </c>
      <c r="P646" s="89" t="s">
        <v>213</v>
      </c>
      <c r="Q646" s="89" t="s">
        <v>213</v>
      </c>
      <c r="R646" s="89" t="s">
        <v>213</v>
      </c>
      <c r="S646" s="89" t="s">
        <v>213</v>
      </c>
      <c r="T646" s="90" t="s">
        <v>213</v>
      </c>
      <c r="U646" s="91" t="s">
        <v>213</v>
      </c>
      <c r="V646" s="92" t="s">
        <v>213</v>
      </c>
      <c r="W646" s="93" t="s">
        <v>213</v>
      </c>
      <c r="X646" s="92" t="s">
        <v>213</v>
      </c>
      <c r="Y646" s="90" t="s">
        <v>213</v>
      </c>
      <c r="Z646" s="93" t="s">
        <v>213</v>
      </c>
    </row>
    <row r="647" ht="15.75" customHeight="1">
      <c r="A647" s="84"/>
      <c r="B647" s="85"/>
      <c r="C647" s="85"/>
      <c r="D647" s="84"/>
      <c r="E647" s="84"/>
      <c r="F647" s="84"/>
      <c r="G647" s="86"/>
      <c r="H647" s="86"/>
      <c r="I647" s="87"/>
      <c r="J647" s="87"/>
      <c r="K647" s="88"/>
      <c r="L647" s="84"/>
      <c r="M647" s="84"/>
      <c r="N647" s="89" t="s">
        <v>213</v>
      </c>
      <c r="O647" s="89" t="s">
        <v>213</v>
      </c>
      <c r="P647" s="89" t="s">
        <v>213</v>
      </c>
      <c r="Q647" s="89" t="s">
        <v>213</v>
      </c>
      <c r="R647" s="89" t="s">
        <v>213</v>
      </c>
      <c r="S647" s="89" t="s">
        <v>213</v>
      </c>
      <c r="T647" s="90" t="s">
        <v>213</v>
      </c>
      <c r="U647" s="91" t="s">
        <v>213</v>
      </c>
      <c r="V647" s="92" t="s">
        <v>213</v>
      </c>
      <c r="W647" s="93" t="s">
        <v>213</v>
      </c>
      <c r="X647" s="92" t="s">
        <v>213</v>
      </c>
      <c r="Y647" s="90" t="s">
        <v>213</v>
      </c>
      <c r="Z647" s="93" t="s">
        <v>213</v>
      </c>
    </row>
    <row r="648" ht="15.75" customHeight="1">
      <c r="A648" s="84"/>
      <c r="B648" s="85"/>
      <c r="C648" s="85"/>
      <c r="D648" s="84"/>
      <c r="E648" s="84"/>
      <c r="F648" s="84"/>
      <c r="G648" s="86"/>
      <c r="H648" s="86"/>
      <c r="I648" s="87"/>
      <c r="J648" s="87"/>
      <c r="K648" s="88"/>
      <c r="L648" s="84"/>
      <c r="M648" s="84"/>
      <c r="N648" s="89" t="s">
        <v>213</v>
      </c>
      <c r="O648" s="89" t="s">
        <v>213</v>
      </c>
      <c r="P648" s="89" t="s">
        <v>213</v>
      </c>
      <c r="Q648" s="89" t="s">
        <v>213</v>
      </c>
      <c r="R648" s="89" t="s">
        <v>213</v>
      </c>
      <c r="S648" s="89" t="s">
        <v>213</v>
      </c>
      <c r="T648" s="90" t="s">
        <v>213</v>
      </c>
      <c r="U648" s="91" t="s">
        <v>213</v>
      </c>
      <c r="V648" s="92" t="s">
        <v>213</v>
      </c>
      <c r="W648" s="93" t="s">
        <v>213</v>
      </c>
      <c r="X648" s="92" t="s">
        <v>213</v>
      </c>
      <c r="Y648" s="90" t="s">
        <v>213</v>
      </c>
      <c r="Z648" s="93" t="s">
        <v>213</v>
      </c>
    </row>
    <row r="649" ht="15.75" customHeight="1">
      <c r="A649" s="84"/>
      <c r="B649" s="85"/>
      <c r="C649" s="85"/>
      <c r="D649" s="84"/>
      <c r="E649" s="84"/>
      <c r="F649" s="84"/>
      <c r="G649" s="86"/>
      <c r="H649" s="86"/>
      <c r="I649" s="87"/>
      <c r="J649" s="87"/>
      <c r="K649" s="88"/>
      <c r="L649" s="84"/>
      <c r="M649" s="84"/>
      <c r="N649" s="89" t="s">
        <v>213</v>
      </c>
      <c r="O649" s="89" t="s">
        <v>213</v>
      </c>
      <c r="P649" s="89" t="s">
        <v>213</v>
      </c>
      <c r="Q649" s="89" t="s">
        <v>213</v>
      </c>
      <c r="R649" s="89" t="s">
        <v>213</v>
      </c>
      <c r="S649" s="89" t="s">
        <v>213</v>
      </c>
      <c r="T649" s="90" t="s">
        <v>213</v>
      </c>
      <c r="U649" s="91" t="s">
        <v>213</v>
      </c>
      <c r="V649" s="92" t="s">
        <v>213</v>
      </c>
      <c r="W649" s="93" t="s">
        <v>213</v>
      </c>
      <c r="X649" s="92" t="s">
        <v>213</v>
      </c>
      <c r="Y649" s="90" t="s">
        <v>213</v>
      </c>
      <c r="Z649" s="93" t="s">
        <v>213</v>
      </c>
    </row>
    <row r="650" ht="15.75" customHeight="1">
      <c r="A650" s="84"/>
      <c r="B650" s="85"/>
      <c r="C650" s="85"/>
      <c r="D650" s="84"/>
      <c r="E650" s="84"/>
      <c r="F650" s="84"/>
      <c r="G650" s="86"/>
      <c r="H650" s="86"/>
      <c r="I650" s="87"/>
      <c r="J650" s="87"/>
      <c r="K650" s="88"/>
      <c r="L650" s="84"/>
      <c r="M650" s="84"/>
      <c r="N650" s="89" t="s">
        <v>213</v>
      </c>
      <c r="O650" s="89" t="s">
        <v>213</v>
      </c>
      <c r="P650" s="89" t="s">
        <v>213</v>
      </c>
      <c r="Q650" s="89" t="s">
        <v>213</v>
      </c>
      <c r="R650" s="89" t="s">
        <v>213</v>
      </c>
      <c r="S650" s="89" t="s">
        <v>213</v>
      </c>
      <c r="T650" s="90" t="s">
        <v>213</v>
      </c>
      <c r="U650" s="91" t="s">
        <v>213</v>
      </c>
      <c r="V650" s="92" t="s">
        <v>213</v>
      </c>
      <c r="W650" s="93" t="s">
        <v>213</v>
      </c>
      <c r="X650" s="92" t="s">
        <v>213</v>
      </c>
      <c r="Y650" s="90" t="s">
        <v>213</v>
      </c>
      <c r="Z650" s="93" t="s">
        <v>213</v>
      </c>
    </row>
    <row r="651" ht="15.75" customHeight="1">
      <c r="A651" s="84"/>
      <c r="B651" s="85"/>
      <c r="C651" s="85"/>
      <c r="D651" s="84"/>
      <c r="E651" s="84"/>
      <c r="F651" s="84"/>
      <c r="G651" s="86"/>
      <c r="H651" s="86"/>
      <c r="I651" s="87"/>
      <c r="J651" s="87"/>
      <c r="K651" s="88"/>
      <c r="L651" s="84"/>
      <c r="M651" s="84"/>
      <c r="N651" s="89" t="s">
        <v>213</v>
      </c>
      <c r="O651" s="89" t="s">
        <v>213</v>
      </c>
      <c r="P651" s="89" t="s">
        <v>213</v>
      </c>
      <c r="Q651" s="89" t="s">
        <v>213</v>
      </c>
      <c r="R651" s="89" t="s">
        <v>213</v>
      </c>
      <c r="S651" s="89" t="s">
        <v>213</v>
      </c>
      <c r="T651" s="90" t="s">
        <v>213</v>
      </c>
      <c r="U651" s="91" t="s">
        <v>213</v>
      </c>
      <c r="V651" s="92" t="s">
        <v>213</v>
      </c>
      <c r="W651" s="93" t="s">
        <v>213</v>
      </c>
      <c r="X651" s="92" t="s">
        <v>213</v>
      </c>
      <c r="Y651" s="90" t="s">
        <v>213</v>
      </c>
      <c r="Z651" s="93" t="s">
        <v>213</v>
      </c>
    </row>
    <row r="652" ht="15.75" customHeight="1">
      <c r="A652" s="84"/>
      <c r="B652" s="85"/>
      <c r="C652" s="85"/>
      <c r="D652" s="84"/>
      <c r="E652" s="84"/>
      <c r="F652" s="84"/>
      <c r="G652" s="86"/>
      <c r="H652" s="86"/>
      <c r="I652" s="87"/>
      <c r="J652" s="87"/>
      <c r="K652" s="88"/>
      <c r="L652" s="84"/>
      <c r="M652" s="84"/>
      <c r="N652" s="89" t="s">
        <v>213</v>
      </c>
      <c r="O652" s="89" t="s">
        <v>213</v>
      </c>
      <c r="P652" s="89" t="s">
        <v>213</v>
      </c>
      <c r="Q652" s="89" t="s">
        <v>213</v>
      </c>
      <c r="R652" s="89" t="s">
        <v>213</v>
      </c>
      <c r="S652" s="89" t="s">
        <v>213</v>
      </c>
      <c r="T652" s="90" t="s">
        <v>213</v>
      </c>
      <c r="U652" s="91" t="s">
        <v>213</v>
      </c>
      <c r="V652" s="92" t="s">
        <v>213</v>
      </c>
      <c r="W652" s="93" t="s">
        <v>213</v>
      </c>
      <c r="X652" s="92" t="s">
        <v>213</v>
      </c>
      <c r="Y652" s="90" t="s">
        <v>213</v>
      </c>
      <c r="Z652" s="93" t="s">
        <v>213</v>
      </c>
    </row>
    <row r="653" ht="15.75" customHeight="1">
      <c r="A653" s="84"/>
      <c r="B653" s="85"/>
      <c r="C653" s="85"/>
      <c r="D653" s="84"/>
      <c r="E653" s="84"/>
      <c r="F653" s="84"/>
      <c r="G653" s="86"/>
      <c r="H653" s="86"/>
      <c r="I653" s="87"/>
      <c r="J653" s="87"/>
      <c r="K653" s="88"/>
      <c r="L653" s="84"/>
      <c r="M653" s="84"/>
      <c r="N653" s="89" t="s">
        <v>213</v>
      </c>
      <c r="O653" s="89" t="s">
        <v>213</v>
      </c>
      <c r="P653" s="89" t="s">
        <v>213</v>
      </c>
      <c r="Q653" s="89" t="s">
        <v>213</v>
      </c>
      <c r="R653" s="89" t="s">
        <v>213</v>
      </c>
      <c r="S653" s="89" t="s">
        <v>213</v>
      </c>
      <c r="T653" s="90" t="s">
        <v>213</v>
      </c>
      <c r="U653" s="91" t="s">
        <v>213</v>
      </c>
      <c r="V653" s="92" t="s">
        <v>213</v>
      </c>
      <c r="W653" s="93" t="s">
        <v>213</v>
      </c>
      <c r="X653" s="92" t="s">
        <v>213</v>
      </c>
      <c r="Y653" s="90" t="s">
        <v>213</v>
      </c>
      <c r="Z653" s="93" t="s">
        <v>213</v>
      </c>
    </row>
    <row r="654" ht="15.75" customHeight="1">
      <c r="A654" s="84"/>
      <c r="B654" s="85"/>
      <c r="C654" s="85"/>
      <c r="D654" s="84"/>
      <c r="E654" s="84"/>
      <c r="F654" s="84"/>
      <c r="G654" s="86"/>
      <c r="H654" s="86"/>
      <c r="I654" s="87"/>
      <c r="J654" s="87"/>
      <c r="K654" s="88"/>
      <c r="L654" s="84"/>
      <c r="M654" s="84"/>
      <c r="N654" s="89" t="s">
        <v>213</v>
      </c>
      <c r="O654" s="89" t="s">
        <v>213</v>
      </c>
      <c r="P654" s="89" t="s">
        <v>213</v>
      </c>
      <c r="Q654" s="89" t="s">
        <v>213</v>
      </c>
      <c r="R654" s="89" t="s">
        <v>213</v>
      </c>
      <c r="S654" s="89" t="s">
        <v>213</v>
      </c>
      <c r="T654" s="90" t="s">
        <v>213</v>
      </c>
      <c r="U654" s="91" t="s">
        <v>213</v>
      </c>
      <c r="V654" s="92" t="s">
        <v>213</v>
      </c>
      <c r="W654" s="93" t="s">
        <v>213</v>
      </c>
      <c r="X654" s="92" t="s">
        <v>213</v>
      </c>
      <c r="Y654" s="90" t="s">
        <v>213</v>
      </c>
      <c r="Z654" s="93" t="s">
        <v>213</v>
      </c>
    </row>
    <row r="655" ht="15.75" customHeight="1">
      <c r="A655" s="84"/>
      <c r="B655" s="85"/>
      <c r="C655" s="85"/>
      <c r="D655" s="84"/>
      <c r="E655" s="84"/>
      <c r="F655" s="84"/>
      <c r="G655" s="86"/>
      <c r="H655" s="86"/>
      <c r="I655" s="87"/>
      <c r="J655" s="87"/>
      <c r="K655" s="88"/>
      <c r="L655" s="84"/>
      <c r="M655" s="84"/>
      <c r="N655" s="89" t="s">
        <v>213</v>
      </c>
      <c r="O655" s="89" t="s">
        <v>213</v>
      </c>
      <c r="P655" s="89" t="s">
        <v>213</v>
      </c>
      <c r="Q655" s="89" t="s">
        <v>213</v>
      </c>
      <c r="R655" s="89" t="s">
        <v>213</v>
      </c>
      <c r="S655" s="89" t="s">
        <v>213</v>
      </c>
      <c r="T655" s="90" t="s">
        <v>213</v>
      </c>
      <c r="U655" s="91" t="s">
        <v>213</v>
      </c>
      <c r="V655" s="92" t="s">
        <v>213</v>
      </c>
      <c r="W655" s="93" t="s">
        <v>213</v>
      </c>
      <c r="X655" s="92" t="s">
        <v>213</v>
      </c>
      <c r="Y655" s="90" t="s">
        <v>213</v>
      </c>
      <c r="Z655" s="93" t="s">
        <v>213</v>
      </c>
    </row>
    <row r="656" ht="15.75" customHeight="1">
      <c r="A656" s="84"/>
      <c r="B656" s="85"/>
      <c r="C656" s="85"/>
      <c r="D656" s="84"/>
      <c r="E656" s="84"/>
      <c r="F656" s="84"/>
      <c r="G656" s="86"/>
      <c r="H656" s="86"/>
      <c r="I656" s="87"/>
      <c r="J656" s="87"/>
      <c r="K656" s="88"/>
      <c r="L656" s="84"/>
      <c r="M656" s="84"/>
      <c r="N656" s="89" t="s">
        <v>213</v>
      </c>
      <c r="O656" s="89" t="s">
        <v>213</v>
      </c>
      <c r="P656" s="89" t="s">
        <v>213</v>
      </c>
      <c r="Q656" s="89" t="s">
        <v>213</v>
      </c>
      <c r="R656" s="89" t="s">
        <v>213</v>
      </c>
      <c r="S656" s="89" t="s">
        <v>213</v>
      </c>
      <c r="T656" s="90" t="s">
        <v>213</v>
      </c>
      <c r="U656" s="91" t="s">
        <v>213</v>
      </c>
      <c r="V656" s="92" t="s">
        <v>213</v>
      </c>
      <c r="W656" s="93" t="s">
        <v>213</v>
      </c>
      <c r="X656" s="92" t="s">
        <v>213</v>
      </c>
      <c r="Y656" s="90" t="s">
        <v>213</v>
      </c>
      <c r="Z656" s="93" t="s">
        <v>213</v>
      </c>
    </row>
    <row r="657" ht="15.75" customHeight="1">
      <c r="A657" s="84"/>
      <c r="B657" s="85"/>
      <c r="C657" s="85"/>
      <c r="D657" s="84"/>
      <c r="E657" s="84"/>
      <c r="F657" s="84"/>
      <c r="G657" s="86"/>
      <c r="H657" s="86"/>
      <c r="I657" s="87"/>
      <c r="J657" s="87"/>
      <c r="K657" s="88"/>
      <c r="L657" s="84"/>
      <c r="M657" s="84"/>
      <c r="N657" s="89" t="s">
        <v>213</v>
      </c>
      <c r="O657" s="89" t="s">
        <v>213</v>
      </c>
      <c r="P657" s="89" t="s">
        <v>213</v>
      </c>
      <c r="Q657" s="89" t="s">
        <v>213</v>
      </c>
      <c r="R657" s="89" t="s">
        <v>213</v>
      </c>
      <c r="S657" s="89" t="s">
        <v>213</v>
      </c>
      <c r="T657" s="90" t="s">
        <v>213</v>
      </c>
      <c r="U657" s="91" t="s">
        <v>213</v>
      </c>
      <c r="V657" s="92" t="s">
        <v>213</v>
      </c>
      <c r="W657" s="93" t="s">
        <v>213</v>
      </c>
      <c r="X657" s="92" t="s">
        <v>213</v>
      </c>
      <c r="Y657" s="90" t="s">
        <v>213</v>
      </c>
      <c r="Z657" s="93" t="s">
        <v>213</v>
      </c>
    </row>
    <row r="658" ht="15.75" customHeight="1">
      <c r="A658" s="84"/>
      <c r="B658" s="85"/>
      <c r="C658" s="85"/>
      <c r="D658" s="84"/>
      <c r="E658" s="84"/>
      <c r="F658" s="84"/>
      <c r="G658" s="86"/>
      <c r="H658" s="86"/>
      <c r="I658" s="87"/>
      <c r="J658" s="87"/>
      <c r="K658" s="88"/>
      <c r="L658" s="84"/>
      <c r="M658" s="84"/>
      <c r="N658" s="89" t="s">
        <v>213</v>
      </c>
      <c r="O658" s="89" t="s">
        <v>213</v>
      </c>
      <c r="P658" s="89" t="s">
        <v>213</v>
      </c>
      <c r="Q658" s="89" t="s">
        <v>213</v>
      </c>
      <c r="R658" s="89" t="s">
        <v>213</v>
      </c>
      <c r="S658" s="89" t="s">
        <v>213</v>
      </c>
      <c r="T658" s="90" t="s">
        <v>213</v>
      </c>
      <c r="U658" s="91" t="s">
        <v>213</v>
      </c>
      <c r="V658" s="92" t="s">
        <v>213</v>
      </c>
      <c r="W658" s="93" t="s">
        <v>213</v>
      </c>
      <c r="X658" s="92" t="s">
        <v>213</v>
      </c>
      <c r="Y658" s="90" t="s">
        <v>213</v>
      </c>
      <c r="Z658" s="93" t="s">
        <v>213</v>
      </c>
    </row>
    <row r="659" ht="15.75" customHeight="1">
      <c r="A659" s="84"/>
      <c r="B659" s="85"/>
      <c r="C659" s="85"/>
      <c r="D659" s="84"/>
      <c r="E659" s="84"/>
      <c r="F659" s="84"/>
      <c r="G659" s="86"/>
      <c r="H659" s="86"/>
      <c r="I659" s="87"/>
      <c r="J659" s="87"/>
      <c r="K659" s="88"/>
      <c r="L659" s="84"/>
      <c r="M659" s="84"/>
      <c r="N659" s="89" t="s">
        <v>213</v>
      </c>
      <c r="O659" s="89" t="s">
        <v>213</v>
      </c>
      <c r="P659" s="89" t="s">
        <v>213</v>
      </c>
      <c r="Q659" s="89" t="s">
        <v>213</v>
      </c>
      <c r="R659" s="89" t="s">
        <v>213</v>
      </c>
      <c r="S659" s="89" t="s">
        <v>213</v>
      </c>
      <c r="T659" s="90" t="s">
        <v>213</v>
      </c>
      <c r="U659" s="91" t="s">
        <v>213</v>
      </c>
      <c r="V659" s="92" t="s">
        <v>213</v>
      </c>
      <c r="W659" s="93" t="s">
        <v>213</v>
      </c>
      <c r="X659" s="92" t="s">
        <v>213</v>
      </c>
      <c r="Y659" s="90" t="s">
        <v>213</v>
      </c>
      <c r="Z659" s="93" t="s">
        <v>213</v>
      </c>
    </row>
    <row r="660" ht="15.75" customHeight="1">
      <c r="A660" s="84"/>
      <c r="B660" s="85"/>
      <c r="C660" s="85"/>
      <c r="D660" s="84"/>
      <c r="E660" s="84"/>
      <c r="F660" s="84"/>
      <c r="G660" s="86"/>
      <c r="H660" s="86"/>
      <c r="I660" s="87"/>
      <c r="J660" s="87"/>
      <c r="K660" s="88"/>
      <c r="L660" s="84"/>
      <c r="M660" s="84"/>
      <c r="N660" s="89" t="s">
        <v>213</v>
      </c>
      <c r="O660" s="89" t="s">
        <v>213</v>
      </c>
      <c r="P660" s="89" t="s">
        <v>213</v>
      </c>
      <c r="Q660" s="89" t="s">
        <v>213</v>
      </c>
      <c r="R660" s="89" t="s">
        <v>213</v>
      </c>
      <c r="S660" s="89" t="s">
        <v>213</v>
      </c>
      <c r="T660" s="90" t="s">
        <v>213</v>
      </c>
      <c r="U660" s="91" t="s">
        <v>213</v>
      </c>
      <c r="V660" s="92" t="s">
        <v>213</v>
      </c>
      <c r="W660" s="93" t="s">
        <v>213</v>
      </c>
      <c r="X660" s="92" t="s">
        <v>213</v>
      </c>
      <c r="Y660" s="90" t="s">
        <v>213</v>
      </c>
      <c r="Z660" s="93" t="s">
        <v>213</v>
      </c>
    </row>
    <row r="661" ht="15.75" customHeight="1">
      <c r="A661" s="84"/>
      <c r="B661" s="85"/>
      <c r="C661" s="85"/>
      <c r="D661" s="84"/>
      <c r="E661" s="84"/>
      <c r="F661" s="84"/>
      <c r="G661" s="86"/>
      <c r="H661" s="86"/>
      <c r="I661" s="87"/>
      <c r="J661" s="87"/>
      <c r="K661" s="88"/>
      <c r="L661" s="84"/>
      <c r="M661" s="84"/>
      <c r="N661" s="89" t="s">
        <v>213</v>
      </c>
      <c r="O661" s="89" t="s">
        <v>213</v>
      </c>
      <c r="P661" s="89" t="s">
        <v>213</v>
      </c>
      <c r="Q661" s="89" t="s">
        <v>213</v>
      </c>
      <c r="R661" s="89" t="s">
        <v>213</v>
      </c>
      <c r="S661" s="89" t="s">
        <v>213</v>
      </c>
      <c r="T661" s="90" t="s">
        <v>213</v>
      </c>
      <c r="U661" s="91" t="s">
        <v>213</v>
      </c>
      <c r="V661" s="92" t="s">
        <v>213</v>
      </c>
      <c r="W661" s="93" t="s">
        <v>213</v>
      </c>
      <c r="X661" s="92" t="s">
        <v>213</v>
      </c>
      <c r="Y661" s="90" t="s">
        <v>213</v>
      </c>
      <c r="Z661" s="93" t="s">
        <v>213</v>
      </c>
    </row>
    <row r="662" ht="15.75" customHeight="1">
      <c r="A662" s="84"/>
      <c r="B662" s="85"/>
      <c r="C662" s="85"/>
      <c r="D662" s="84"/>
      <c r="E662" s="84"/>
      <c r="F662" s="84"/>
      <c r="G662" s="86"/>
      <c r="H662" s="86"/>
      <c r="I662" s="87"/>
      <c r="J662" s="87"/>
      <c r="K662" s="88"/>
      <c r="L662" s="84"/>
      <c r="M662" s="84"/>
      <c r="N662" s="89" t="s">
        <v>213</v>
      </c>
      <c r="O662" s="89" t="s">
        <v>213</v>
      </c>
      <c r="P662" s="89" t="s">
        <v>213</v>
      </c>
      <c r="Q662" s="89" t="s">
        <v>213</v>
      </c>
      <c r="R662" s="89" t="s">
        <v>213</v>
      </c>
      <c r="S662" s="89" t="s">
        <v>213</v>
      </c>
      <c r="T662" s="90" t="s">
        <v>213</v>
      </c>
      <c r="U662" s="91" t="s">
        <v>213</v>
      </c>
      <c r="V662" s="92" t="s">
        <v>213</v>
      </c>
      <c r="W662" s="93" t="s">
        <v>213</v>
      </c>
      <c r="X662" s="92" t="s">
        <v>213</v>
      </c>
      <c r="Y662" s="90" t="s">
        <v>213</v>
      </c>
      <c r="Z662" s="93" t="s">
        <v>213</v>
      </c>
    </row>
    <row r="663" ht="15.75" customHeight="1">
      <c r="A663" s="84"/>
      <c r="B663" s="85"/>
      <c r="C663" s="85"/>
      <c r="D663" s="84"/>
      <c r="E663" s="84"/>
      <c r="F663" s="84"/>
      <c r="G663" s="86"/>
      <c r="H663" s="86"/>
      <c r="I663" s="87"/>
      <c r="J663" s="87"/>
      <c r="K663" s="88"/>
      <c r="L663" s="84"/>
      <c r="M663" s="84"/>
      <c r="N663" s="89" t="s">
        <v>213</v>
      </c>
      <c r="O663" s="89" t="s">
        <v>213</v>
      </c>
      <c r="P663" s="89" t="s">
        <v>213</v>
      </c>
      <c r="Q663" s="89" t="s">
        <v>213</v>
      </c>
      <c r="R663" s="89" t="s">
        <v>213</v>
      </c>
      <c r="S663" s="89" t="s">
        <v>213</v>
      </c>
      <c r="T663" s="90" t="s">
        <v>213</v>
      </c>
      <c r="U663" s="91" t="s">
        <v>213</v>
      </c>
      <c r="V663" s="92" t="s">
        <v>213</v>
      </c>
      <c r="W663" s="93" t="s">
        <v>213</v>
      </c>
      <c r="X663" s="92" t="s">
        <v>213</v>
      </c>
      <c r="Y663" s="90" t="s">
        <v>213</v>
      </c>
      <c r="Z663" s="93" t="s">
        <v>213</v>
      </c>
    </row>
    <row r="664" ht="15.75" customHeight="1">
      <c r="A664" s="84"/>
      <c r="B664" s="85"/>
      <c r="C664" s="85"/>
      <c r="D664" s="84"/>
      <c r="E664" s="84"/>
      <c r="F664" s="84"/>
      <c r="G664" s="86"/>
      <c r="H664" s="86"/>
      <c r="I664" s="87"/>
      <c r="J664" s="87"/>
      <c r="K664" s="88"/>
      <c r="L664" s="84"/>
      <c r="M664" s="84"/>
      <c r="N664" s="89" t="s">
        <v>213</v>
      </c>
      <c r="O664" s="89" t="s">
        <v>213</v>
      </c>
      <c r="P664" s="89" t="s">
        <v>213</v>
      </c>
      <c r="Q664" s="89" t="s">
        <v>213</v>
      </c>
      <c r="R664" s="89" t="s">
        <v>213</v>
      </c>
      <c r="S664" s="89" t="s">
        <v>213</v>
      </c>
      <c r="T664" s="90" t="s">
        <v>213</v>
      </c>
      <c r="U664" s="91" t="s">
        <v>213</v>
      </c>
      <c r="V664" s="92" t="s">
        <v>213</v>
      </c>
      <c r="W664" s="93" t="s">
        <v>213</v>
      </c>
      <c r="X664" s="92" t="s">
        <v>213</v>
      </c>
      <c r="Y664" s="90" t="s">
        <v>213</v>
      </c>
      <c r="Z664" s="93" t="s">
        <v>213</v>
      </c>
    </row>
    <row r="665" ht="15.75" customHeight="1">
      <c r="A665" s="84"/>
      <c r="B665" s="85"/>
      <c r="C665" s="85"/>
      <c r="D665" s="84"/>
      <c r="E665" s="84"/>
      <c r="F665" s="84"/>
      <c r="G665" s="86"/>
      <c r="H665" s="86"/>
      <c r="I665" s="87"/>
      <c r="J665" s="87"/>
      <c r="K665" s="88"/>
      <c r="L665" s="84"/>
      <c r="M665" s="84"/>
      <c r="N665" s="89" t="s">
        <v>213</v>
      </c>
      <c r="O665" s="89" t="s">
        <v>213</v>
      </c>
      <c r="P665" s="89" t="s">
        <v>213</v>
      </c>
      <c r="Q665" s="89" t="s">
        <v>213</v>
      </c>
      <c r="R665" s="89" t="s">
        <v>213</v>
      </c>
      <c r="S665" s="89" t="s">
        <v>213</v>
      </c>
      <c r="T665" s="90" t="s">
        <v>213</v>
      </c>
      <c r="U665" s="91" t="s">
        <v>213</v>
      </c>
      <c r="V665" s="92" t="s">
        <v>213</v>
      </c>
      <c r="W665" s="93" t="s">
        <v>213</v>
      </c>
      <c r="X665" s="92" t="s">
        <v>213</v>
      </c>
      <c r="Y665" s="90" t="s">
        <v>213</v>
      </c>
      <c r="Z665" s="93" t="s">
        <v>213</v>
      </c>
    </row>
    <row r="666" ht="15.75" customHeight="1">
      <c r="A666" s="84"/>
      <c r="B666" s="85"/>
      <c r="C666" s="85"/>
      <c r="D666" s="84"/>
      <c r="E666" s="84"/>
      <c r="F666" s="84"/>
      <c r="G666" s="86"/>
      <c r="H666" s="86"/>
      <c r="I666" s="87"/>
      <c r="J666" s="87"/>
      <c r="K666" s="88"/>
      <c r="L666" s="84"/>
      <c r="M666" s="84"/>
      <c r="N666" s="89" t="s">
        <v>213</v>
      </c>
      <c r="O666" s="89" t="s">
        <v>213</v>
      </c>
      <c r="P666" s="89" t="s">
        <v>213</v>
      </c>
      <c r="Q666" s="89" t="s">
        <v>213</v>
      </c>
      <c r="R666" s="89" t="s">
        <v>213</v>
      </c>
      <c r="S666" s="89" t="s">
        <v>213</v>
      </c>
      <c r="T666" s="90" t="s">
        <v>213</v>
      </c>
      <c r="U666" s="91" t="s">
        <v>213</v>
      </c>
      <c r="V666" s="92" t="s">
        <v>213</v>
      </c>
      <c r="W666" s="93" t="s">
        <v>213</v>
      </c>
      <c r="X666" s="92" t="s">
        <v>213</v>
      </c>
      <c r="Y666" s="90" t="s">
        <v>213</v>
      </c>
      <c r="Z666" s="93" t="s">
        <v>213</v>
      </c>
    </row>
    <row r="667" ht="15.75" customHeight="1">
      <c r="A667" s="84"/>
      <c r="B667" s="85"/>
      <c r="C667" s="85"/>
      <c r="D667" s="84"/>
      <c r="E667" s="84"/>
      <c r="F667" s="84"/>
      <c r="G667" s="86"/>
      <c r="H667" s="86"/>
      <c r="I667" s="87"/>
      <c r="J667" s="87"/>
      <c r="K667" s="88"/>
      <c r="L667" s="84"/>
      <c r="M667" s="84"/>
      <c r="N667" s="89" t="s">
        <v>213</v>
      </c>
      <c r="O667" s="89" t="s">
        <v>213</v>
      </c>
      <c r="P667" s="89" t="s">
        <v>213</v>
      </c>
      <c r="Q667" s="89" t="s">
        <v>213</v>
      </c>
      <c r="R667" s="89" t="s">
        <v>213</v>
      </c>
      <c r="S667" s="89" t="s">
        <v>213</v>
      </c>
      <c r="T667" s="90" t="s">
        <v>213</v>
      </c>
      <c r="U667" s="91" t="s">
        <v>213</v>
      </c>
      <c r="V667" s="92" t="s">
        <v>213</v>
      </c>
      <c r="W667" s="93" t="s">
        <v>213</v>
      </c>
      <c r="X667" s="92" t="s">
        <v>213</v>
      </c>
      <c r="Y667" s="90" t="s">
        <v>213</v>
      </c>
      <c r="Z667" s="93" t="s">
        <v>213</v>
      </c>
    </row>
    <row r="668" ht="15.75" customHeight="1">
      <c r="A668" s="84"/>
      <c r="B668" s="85"/>
      <c r="C668" s="85"/>
      <c r="D668" s="84"/>
      <c r="E668" s="84"/>
      <c r="F668" s="84"/>
      <c r="G668" s="86"/>
      <c r="H668" s="86"/>
      <c r="I668" s="87"/>
      <c r="J668" s="87"/>
      <c r="K668" s="88"/>
      <c r="L668" s="84"/>
      <c r="M668" s="84"/>
      <c r="N668" s="89" t="s">
        <v>213</v>
      </c>
      <c r="O668" s="89" t="s">
        <v>213</v>
      </c>
      <c r="P668" s="89" t="s">
        <v>213</v>
      </c>
      <c r="Q668" s="89" t="s">
        <v>213</v>
      </c>
      <c r="R668" s="89" t="s">
        <v>213</v>
      </c>
      <c r="S668" s="89" t="s">
        <v>213</v>
      </c>
      <c r="T668" s="90" t="s">
        <v>213</v>
      </c>
      <c r="U668" s="91" t="s">
        <v>213</v>
      </c>
      <c r="V668" s="92" t="s">
        <v>213</v>
      </c>
      <c r="W668" s="93" t="s">
        <v>213</v>
      </c>
      <c r="X668" s="92" t="s">
        <v>213</v>
      </c>
      <c r="Y668" s="90" t="s">
        <v>213</v>
      </c>
      <c r="Z668" s="93" t="s">
        <v>213</v>
      </c>
    </row>
    <row r="669" ht="15.75" customHeight="1">
      <c r="A669" s="84"/>
      <c r="B669" s="85"/>
      <c r="C669" s="85"/>
      <c r="D669" s="84"/>
      <c r="E669" s="84"/>
      <c r="F669" s="84"/>
      <c r="G669" s="86"/>
      <c r="H669" s="86"/>
      <c r="I669" s="87"/>
      <c r="J669" s="87"/>
      <c r="K669" s="88"/>
      <c r="L669" s="84"/>
      <c r="M669" s="84"/>
      <c r="N669" s="89" t="s">
        <v>213</v>
      </c>
      <c r="O669" s="89" t="s">
        <v>213</v>
      </c>
      <c r="P669" s="89" t="s">
        <v>213</v>
      </c>
      <c r="Q669" s="89" t="s">
        <v>213</v>
      </c>
      <c r="R669" s="89" t="s">
        <v>213</v>
      </c>
      <c r="S669" s="89" t="s">
        <v>213</v>
      </c>
      <c r="T669" s="90" t="s">
        <v>213</v>
      </c>
      <c r="U669" s="91" t="s">
        <v>213</v>
      </c>
      <c r="V669" s="92" t="s">
        <v>213</v>
      </c>
      <c r="W669" s="93" t="s">
        <v>213</v>
      </c>
      <c r="X669" s="92" t="s">
        <v>213</v>
      </c>
      <c r="Y669" s="90" t="s">
        <v>213</v>
      </c>
      <c r="Z669" s="93" t="s">
        <v>213</v>
      </c>
    </row>
    <row r="670" ht="15.75" customHeight="1">
      <c r="A670" s="84"/>
      <c r="B670" s="85"/>
      <c r="C670" s="85"/>
      <c r="D670" s="84"/>
      <c r="E670" s="84"/>
      <c r="F670" s="84"/>
      <c r="G670" s="86"/>
      <c r="H670" s="86"/>
      <c r="I670" s="87"/>
      <c r="J670" s="87"/>
      <c r="K670" s="88"/>
      <c r="L670" s="84"/>
      <c r="M670" s="84"/>
      <c r="N670" s="89" t="s">
        <v>213</v>
      </c>
      <c r="O670" s="89" t="s">
        <v>213</v>
      </c>
      <c r="P670" s="89" t="s">
        <v>213</v>
      </c>
      <c r="Q670" s="89" t="s">
        <v>213</v>
      </c>
      <c r="R670" s="89" t="s">
        <v>213</v>
      </c>
      <c r="S670" s="89" t="s">
        <v>213</v>
      </c>
      <c r="T670" s="90" t="s">
        <v>213</v>
      </c>
      <c r="U670" s="91" t="s">
        <v>213</v>
      </c>
      <c r="V670" s="92" t="s">
        <v>213</v>
      </c>
      <c r="W670" s="93" t="s">
        <v>213</v>
      </c>
      <c r="X670" s="92" t="s">
        <v>213</v>
      </c>
      <c r="Y670" s="90" t="s">
        <v>213</v>
      </c>
      <c r="Z670" s="93" t="s">
        <v>213</v>
      </c>
    </row>
    <row r="671" ht="15.75" customHeight="1">
      <c r="A671" s="84"/>
      <c r="B671" s="85"/>
      <c r="C671" s="85"/>
      <c r="D671" s="84"/>
      <c r="E671" s="84"/>
      <c r="F671" s="84"/>
      <c r="G671" s="86"/>
      <c r="H671" s="86"/>
      <c r="I671" s="87"/>
      <c r="J671" s="87"/>
      <c r="K671" s="88"/>
      <c r="L671" s="84"/>
      <c r="M671" s="84"/>
      <c r="N671" s="89" t="s">
        <v>213</v>
      </c>
      <c r="O671" s="89" t="s">
        <v>213</v>
      </c>
      <c r="P671" s="89" t="s">
        <v>213</v>
      </c>
      <c r="Q671" s="89" t="s">
        <v>213</v>
      </c>
      <c r="R671" s="89" t="s">
        <v>213</v>
      </c>
      <c r="S671" s="89" t="s">
        <v>213</v>
      </c>
      <c r="T671" s="90" t="s">
        <v>213</v>
      </c>
      <c r="U671" s="91" t="s">
        <v>213</v>
      </c>
      <c r="V671" s="92" t="s">
        <v>213</v>
      </c>
      <c r="W671" s="93" t="s">
        <v>213</v>
      </c>
      <c r="X671" s="92" t="s">
        <v>213</v>
      </c>
      <c r="Y671" s="90" t="s">
        <v>213</v>
      </c>
      <c r="Z671" s="93" t="s">
        <v>213</v>
      </c>
    </row>
    <row r="672" ht="15.75" customHeight="1">
      <c r="A672" s="84"/>
      <c r="B672" s="85"/>
      <c r="C672" s="85"/>
      <c r="D672" s="84"/>
      <c r="E672" s="84"/>
      <c r="F672" s="84"/>
      <c r="G672" s="86"/>
      <c r="H672" s="86"/>
      <c r="I672" s="87"/>
      <c r="J672" s="87"/>
      <c r="K672" s="88"/>
      <c r="L672" s="84"/>
      <c r="M672" s="84"/>
      <c r="N672" s="89" t="s">
        <v>213</v>
      </c>
      <c r="O672" s="89" t="s">
        <v>213</v>
      </c>
      <c r="P672" s="89" t="s">
        <v>213</v>
      </c>
      <c r="Q672" s="89" t="s">
        <v>213</v>
      </c>
      <c r="R672" s="89" t="s">
        <v>213</v>
      </c>
      <c r="S672" s="89" t="s">
        <v>213</v>
      </c>
      <c r="T672" s="90" t="s">
        <v>213</v>
      </c>
      <c r="U672" s="91" t="s">
        <v>213</v>
      </c>
      <c r="V672" s="92" t="s">
        <v>213</v>
      </c>
      <c r="W672" s="93" t="s">
        <v>213</v>
      </c>
      <c r="X672" s="92" t="s">
        <v>213</v>
      </c>
      <c r="Y672" s="90" t="s">
        <v>213</v>
      </c>
      <c r="Z672" s="93" t="s">
        <v>213</v>
      </c>
    </row>
    <row r="673" ht="15.75" customHeight="1">
      <c r="A673" s="84"/>
      <c r="B673" s="85"/>
      <c r="C673" s="85"/>
      <c r="D673" s="84"/>
      <c r="E673" s="84"/>
      <c r="F673" s="84"/>
      <c r="G673" s="86"/>
      <c r="H673" s="86"/>
      <c r="I673" s="87"/>
      <c r="J673" s="87"/>
      <c r="K673" s="88"/>
      <c r="L673" s="84"/>
      <c r="M673" s="84"/>
      <c r="N673" s="89" t="s">
        <v>213</v>
      </c>
      <c r="O673" s="89" t="s">
        <v>213</v>
      </c>
      <c r="P673" s="89" t="s">
        <v>213</v>
      </c>
      <c r="Q673" s="89" t="s">
        <v>213</v>
      </c>
      <c r="R673" s="89" t="s">
        <v>213</v>
      </c>
      <c r="S673" s="89" t="s">
        <v>213</v>
      </c>
      <c r="T673" s="90" t="s">
        <v>213</v>
      </c>
      <c r="U673" s="91" t="s">
        <v>213</v>
      </c>
      <c r="V673" s="92" t="s">
        <v>213</v>
      </c>
      <c r="W673" s="93" t="s">
        <v>213</v>
      </c>
      <c r="X673" s="92" t="s">
        <v>213</v>
      </c>
      <c r="Y673" s="90" t="s">
        <v>213</v>
      </c>
      <c r="Z673" s="93" t="s">
        <v>213</v>
      </c>
    </row>
    <row r="674" ht="15.75" customHeight="1">
      <c r="A674" s="84"/>
      <c r="B674" s="85"/>
      <c r="C674" s="85"/>
      <c r="D674" s="84"/>
      <c r="E674" s="84"/>
      <c r="F674" s="84"/>
      <c r="G674" s="86"/>
      <c r="H674" s="86"/>
      <c r="I674" s="87"/>
      <c r="J674" s="87"/>
      <c r="K674" s="88"/>
      <c r="L674" s="84"/>
      <c r="M674" s="84"/>
      <c r="N674" s="89" t="s">
        <v>213</v>
      </c>
      <c r="O674" s="89" t="s">
        <v>213</v>
      </c>
      <c r="P674" s="89" t="s">
        <v>213</v>
      </c>
      <c r="Q674" s="89" t="s">
        <v>213</v>
      </c>
      <c r="R674" s="89" t="s">
        <v>213</v>
      </c>
      <c r="S674" s="89" t="s">
        <v>213</v>
      </c>
      <c r="T674" s="90" t="s">
        <v>213</v>
      </c>
      <c r="U674" s="91" t="s">
        <v>213</v>
      </c>
      <c r="V674" s="92" t="s">
        <v>213</v>
      </c>
      <c r="W674" s="93" t="s">
        <v>213</v>
      </c>
      <c r="X674" s="92" t="s">
        <v>213</v>
      </c>
      <c r="Y674" s="90" t="s">
        <v>213</v>
      </c>
      <c r="Z674" s="93" t="s">
        <v>213</v>
      </c>
    </row>
    <row r="675" ht="15.75" customHeight="1">
      <c r="A675" s="84"/>
      <c r="B675" s="85"/>
      <c r="C675" s="85"/>
      <c r="D675" s="84"/>
      <c r="E675" s="84"/>
      <c r="F675" s="84"/>
      <c r="G675" s="86"/>
      <c r="H675" s="86"/>
      <c r="I675" s="87"/>
      <c r="J675" s="87"/>
      <c r="K675" s="88"/>
      <c r="L675" s="84"/>
      <c r="M675" s="84"/>
      <c r="N675" s="89" t="s">
        <v>213</v>
      </c>
      <c r="O675" s="89" t="s">
        <v>213</v>
      </c>
      <c r="P675" s="89" t="s">
        <v>213</v>
      </c>
      <c r="Q675" s="89" t="s">
        <v>213</v>
      </c>
      <c r="R675" s="89" t="s">
        <v>213</v>
      </c>
      <c r="S675" s="89" t="s">
        <v>213</v>
      </c>
      <c r="T675" s="90" t="s">
        <v>213</v>
      </c>
      <c r="U675" s="91" t="s">
        <v>213</v>
      </c>
      <c r="V675" s="92" t="s">
        <v>213</v>
      </c>
      <c r="W675" s="93" t="s">
        <v>213</v>
      </c>
      <c r="X675" s="92" t="s">
        <v>213</v>
      </c>
      <c r="Y675" s="90" t="s">
        <v>213</v>
      </c>
      <c r="Z675" s="93" t="s">
        <v>213</v>
      </c>
    </row>
    <row r="676" ht="15.75" customHeight="1">
      <c r="A676" s="84"/>
      <c r="B676" s="85"/>
      <c r="C676" s="85"/>
      <c r="D676" s="84"/>
      <c r="E676" s="84"/>
      <c r="F676" s="84"/>
      <c r="G676" s="86"/>
      <c r="H676" s="86"/>
      <c r="I676" s="87"/>
      <c r="J676" s="87"/>
      <c r="K676" s="88"/>
      <c r="L676" s="84"/>
      <c r="M676" s="84"/>
      <c r="N676" s="89" t="s">
        <v>213</v>
      </c>
      <c r="O676" s="89" t="s">
        <v>213</v>
      </c>
      <c r="P676" s="89" t="s">
        <v>213</v>
      </c>
      <c r="Q676" s="89" t="s">
        <v>213</v>
      </c>
      <c r="R676" s="89" t="s">
        <v>213</v>
      </c>
      <c r="S676" s="89" t="s">
        <v>213</v>
      </c>
      <c r="T676" s="90" t="s">
        <v>213</v>
      </c>
      <c r="U676" s="91" t="s">
        <v>213</v>
      </c>
      <c r="V676" s="92" t="s">
        <v>213</v>
      </c>
      <c r="W676" s="93" t="s">
        <v>213</v>
      </c>
      <c r="X676" s="92" t="s">
        <v>213</v>
      </c>
      <c r="Y676" s="90" t="s">
        <v>213</v>
      </c>
      <c r="Z676" s="93" t="s">
        <v>213</v>
      </c>
    </row>
    <row r="677" ht="15.75" customHeight="1">
      <c r="A677" s="84"/>
      <c r="B677" s="85"/>
      <c r="C677" s="85"/>
      <c r="D677" s="84"/>
      <c r="E677" s="84"/>
      <c r="F677" s="84"/>
      <c r="G677" s="86"/>
      <c r="H677" s="86"/>
      <c r="I677" s="87"/>
      <c r="J677" s="87"/>
      <c r="K677" s="88"/>
      <c r="L677" s="84"/>
      <c r="M677" s="84"/>
      <c r="N677" s="89" t="s">
        <v>213</v>
      </c>
      <c r="O677" s="89" t="s">
        <v>213</v>
      </c>
      <c r="P677" s="89" t="s">
        <v>213</v>
      </c>
      <c r="Q677" s="89" t="s">
        <v>213</v>
      </c>
      <c r="R677" s="89" t="s">
        <v>213</v>
      </c>
      <c r="S677" s="89" t="s">
        <v>213</v>
      </c>
      <c r="T677" s="90" t="s">
        <v>213</v>
      </c>
      <c r="U677" s="91" t="s">
        <v>213</v>
      </c>
      <c r="V677" s="92" t="s">
        <v>213</v>
      </c>
      <c r="W677" s="93" t="s">
        <v>213</v>
      </c>
      <c r="X677" s="92" t="s">
        <v>213</v>
      </c>
      <c r="Y677" s="90" t="s">
        <v>213</v>
      </c>
      <c r="Z677" s="93" t="s">
        <v>213</v>
      </c>
    </row>
    <row r="678" ht="15.75" customHeight="1">
      <c r="A678" s="84"/>
      <c r="B678" s="85"/>
      <c r="C678" s="85"/>
      <c r="D678" s="84"/>
      <c r="E678" s="84"/>
      <c r="F678" s="84"/>
      <c r="G678" s="86"/>
      <c r="H678" s="86"/>
      <c r="I678" s="87"/>
      <c r="J678" s="87"/>
      <c r="K678" s="88"/>
      <c r="L678" s="84"/>
      <c r="M678" s="84"/>
      <c r="N678" s="89" t="s">
        <v>213</v>
      </c>
      <c r="O678" s="89" t="s">
        <v>213</v>
      </c>
      <c r="P678" s="89" t="s">
        <v>213</v>
      </c>
      <c r="Q678" s="89" t="s">
        <v>213</v>
      </c>
      <c r="R678" s="89" t="s">
        <v>213</v>
      </c>
      <c r="S678" s="89" t="s">
        <v>213</v>
      </c>
      <c r="T678" s="90" t="s">
        <v>213</v>
      </c>
      <c r="U678" s="91" t="s">
        <v>213</v>
      </c>
      <c r="V678" s="92" t="s">
        <v>213</v>
      </c>
      <c r="W678" s="93" t="s">
        <v>213</v>
      </c>
      <c r="X678" s="92" t="s">
        <v>213</v>
      </c>
      <c r="Y678" s="90" t="s">
        <v>213</v>
      </c>
      <c r="Z678" s="93" t="s">
        <v>213</v>
      </c>
    </row>
    <row r="679" ht="15.75" customHeight="1">
      <c r="A679" s="84"/>
      <c r="B679" s="85"/>
      <c r="C679" s="85"/>
      <c r="D679" s="84"/>
      <c r="E679" s="84"/>
      <c r="F679" s="84"/>
      <c r="G679" s="86"/>
      <c r="H679" s="86"/>
      <c r="I679" s="87"/>
      <c r="J679" s="87"/>
      <c r="K679" s="88"/>
      <c r="L679" s="84"/>
      <c r="M679" s="84"/>
      <c r="N679" s="89" t="s">
        <v>213</v>
      </c>
      <c r="O679" s="89" t="s">
        <v>213</v>
      </c>
      <c r="P679" s="89" t="s">
        <v>213</v>
      </c>
      <c r="Q679" s="89" t="s">
        <v>213</v>
      </c>
      <c r="R679" s="89" t="s">
        <v>213</v>
      </c>
      <c r="S679" s="89" t="s">
        <v>213</v>
      </c>
      <c r="T679" s="90" t="s">
        <v>213</v>
      </c>
      <c r="U679" s="91" t="s">
        <v>213</v>
      </c>
      <c r="V679" s="92" t="s">
        <v>213</v>
      </c>
      <c r="W679" s="93" t="s">
        <v>213</v>
      </c>
      <c r="X679" s="92" t="s">
        <v>213</v>
      </c>
      <c r="Y679" s="90" t="s">
        <v>213</v>
      </c>
      <c r="Z679" s="93" t="s">
        <v>213</v>
      </c>
    </row>
    <row r="680" ht="15.75" customHeight="1">
      <c r="A680" s="84"/>
      <c r="B680" s="85"/>
      <c r="C680" s="85"/>
      <c r="D680" s="84"/>
      <c r="E680" s="84"/>
      <c r="F680" s="84"/>
      <c r="G680" s="86"/>
      <c r="H680" s="86"/>
      <c r="I680" s="87"/>
      <c r="J680" s="87"/>
      <c r="K680" s="88"/>
      <c r="L680" s="84"/>
      <c r="M680" s="84"/>
      <c r="N680" s="89" t="s">
        <v>213</v>
      </c>
      <c r="O680" s="89" t="s">
        <v>213</v>
      </c>
      <c r="P680" s="89" t="s">
        <v>213</v>
      </c>
      <c r="Q680" s="89" t="s">
        <v>213</v>
      </c>
      <c r="R680" s="89" t="s">
        <v>213</v>
      </c>
      <c r="S680" s="89" t="s">
        <v>213</v>
      </c>
      <c r="T680" s="90" t="s">
        <v>213</v>
      </c>
      <c r="U680" s="91" t="s">
        <v>213</v>
      </c>
      <c r="V680" s="92" t="s">
        <v>213</v>
      </c>
      <c r="W680" s="93" t="s">
        <v>213</v>
      </c>
      <c r="X680" s="92" t="s">
        <v>213</v>
      </c>
      <c r="Y680" s="90" t="s">
        <v>213</v>
      </c>
      <c r="Z680" s="93" t="s">
        <v>213</v>
      </c>
    </row>
    <row r="681" ht="15.75" customHeight="1">
      <c r="A681" s="84"/>
      <c r="B681" s="85"/>
      <c r="C681" s="85"/>
      <c r="D681" s="84"/>
      <c r="E681" s="84"/>
      <c r="F681" s="84"/>
      <c r="G681" s="86"/>
      <c r="H681" s="86"/>
      <c r="I681" s="87"/>
      <c r="J681" s="87"/>
      <c r="K681" s="88"/>
      <c r="L681" s="84"/>
      <c r="M681" s="84"/>
      <c r="N681" s="89" t="s">
        <v>213</v>
      </c>
      <c r="O681" s="89" t="s">
        <v>213</v>
      </c>
      <c r="P681" s="89" t="s">
        <v>213</v>
      </c>
      <c r="Q681" s="89" t="s">
        <v>213</v>
      </c>
      <c r="R681" s="89" t="s">
        <v>213</v>
      </c>
      <c r="S681" s="89" t="s">
        <v>213</v>
      </c>
      <c r="T681" s="90" t="s">
        <v>213</v>
      </c>
      <c r="U681" s="91" t="s">
        <v>213</v>
      </c>
      <c r="V681" s="92" t="s">
        <v>213</v>
      </c>
      <c r="W681" s="93" t="s">
        <v>213</v>
      </c>
      <c r="X681" s="92" t="s">
        <v>213</v>
      </c>
      <c r="Y681" s="90" t="s">
        <v>213</v>
      </c>
      <c r="Z681" s="93" t="s">
        <v>213</v>
      </c>
    </row>
    <row r="682" ht="15.75" customHeight="1">
      <c r="A682" s="84"/>
      <c r="B682" s="85"/>
      <c r="C682" s="85"/>
      <c r="D682" s="84"/>
      <c r="E682" s="84"/>
      <c r="F682" s="84"/>
      <c r="G682" s="86"/>
      <c r="H682" s="86"/>
      <c r="I682" s="87"/>
      <c r="J682" s="87"/>
      <c r="K682" s="88"/>
      <c r="L682" s="84"/>
      <c r="M682" s="84"/>
      <c r="N682" s="89" t="s">
        <v>213</v>
      </c>
      <c r="O682" s="89" t="s">
        <v>213</v>
      </c>
      <c r="P682" s="89" t="s">
        <v>213</v>
      </c>
      <c r="Q682" s="89" t="s">
        <v>213</v>
      </c>
      <c r="R682" s="89" t="s">
        <v>213</v>
      </c>
      <c r="S682" s="89" t="s">
        <v>213</v>
      </c>
      <c r="T682" s="90" t="s">
        <v>213</v>
      </c>
      <c r="U682" s="91" t="s">
        <v>213</v>
      </c>
      <c r="V682" s="92" t="s">
        <v>213</v>
      </c>
      <c r="W682" s="93" t="s">
        <v>213</v>
      </c>
      <c r="X682" s="92" t="s">
        <v>213</v>
      </c>
      <c r="Y682" s="90" t="s">
        <v>213</v>
      </c>
      <c r="Z682" s="93" t="s">
        <v>213</v>
      </c>
    </row>
    <row r="683" ht="15.75" customHeight="1">
      <c r="A683" s="84"/>
      <c r="B683" s="85"/>
      <c r="C683" s="85"/>
      <c r="D683" s="84"/>
      <c r="E683" s="84"/>
      <c r="F683" s="84"/>
      <c r="G683" s="86"/>
      <c r="H683" s="86"/>
      <c r="I683" s="87"/>
      <c r="J683" s="87"/>
      <c r="K683" s="88"/>
      <c r="L683" s="84"/>
      <c r="M683" s="84"/>
      <c r="N683" s="89" t="s">
        <v>213</v>
      </c>
      <c r="O683" s="89" t="s">
        <v>213</v>
      </c>
      <c r="P683" s="89" t="s">
        <v>213</v>
      </c>
      <c r="Q683" s="89" t="s">
        <v>213</v>
      </c>
      <c r="R683" s="89" t="s">
        <v>213</v>
      </c>
      <c r="S683" s="89" t="s">
        <v>213</v>
      </c>
      <c r="T683" s="90" t="s">
        <v>213</v>
      </c>
      <c r="U683" s="91" t="s">
        <v>213</v>
      </c>
      <c r="V683" s="92" t="s">
        <v>213</v>
      </c>
      <c r="W683" s="93" t="s">
        <v>213</v>
      </c>
      <c r="X683" s="92" t="s">
        <v>213</v>
      </c>
      <c r="Y683" s="90" t="s">
        <v>213</v>
      </c>
      <c r="Z683" s="93" t="s">
        <v>213</v>
      </c>
    </row>
    <row r="684" ht="15.75" customHeight="1">
      <c r="A684" s="84"/>
      <c r="B684" s="85"/>
      <c r="C684" s="85"/>
      <c r="D684" s="84"/>
      <c r="E684" s="84"/>
      <c r="F684" s="84"/>
      <c r="G684" s="86"/>
      <c r="H684" s="86"/>
      <c r="I684" s="87"/>
      <c r="J684" s="87"/>
      <c r="K684" s="88"/>
      <c r="L684" s="84"/>
      <c r="M684" s="84"/>
      <c r="N684" s="89" t="s">
        <v>213</v>
      </c>
      <c r="O684" s="89" t="s">
        <v>213</v>
      </c>
      <c r="P684" s="89" t="s">
        <v>213</v>
      </c>
      <c r="Q684" s="89" t="s">
        <v>213</v>
      </c>
      <c r="R684" s="89" t="s">
        <v>213</v>
      </c>
      <c r="S684" s="89" t="s">
        <v>213</v>
      </c>
      <c r="T684" s="90" t="s">
        <v>213</v>
      </c>
      <c r="U684" s="91" t="s">
        <v>213</v>
      </c>
      <c r="V684" s="92" t="s">
        <v>213</v>
      </c>
      <c r="W684" s="93" t="s">
        <v>213</v>
      </c>
      <c r="X684" s="92" t="s">
        <v>213</v>
      </c>
      <c r="Y684" s="90" t="s">
        <v>213</v>
      </c>
      <c r="Z684" s="93" t="s">
        <v>213</v>
      </c>
    </row>
    <row r="685" ht="15.75" customHeight="1">
      <c r="A685" s="84"/>
      <c r="B685" s="85"/>
      <c r="C685" s="85"/>
      <c r="D685" s="84"/>
      <c r="E685" s="84"/>
      <c r="F685" s="84"/>
      <c r="G685" s="86"/>
      <c r="H685" s="86"/>
      <c r="I685" s="87"/>
      <c r="J685" s="87"/>
      <c r="K685" s="88"/>
      <c r="L685" s="84"/>
      <c r="M685" s="84"/>
      <c r="N685" s="89" t="s">
        <v>213</v>
      </c>
      <c r="O685" s="89" t="s">
        <v>213</v>
      </c>
      <c r="P685" s="89" t="s">
        <v>213</v>
      </c>
      <c r="Q685" s="89" t="s">
        <v>213</v>
      </c>
      <c r="R685" s="89" t="s">
        <v>213</v>
      </c>
      <c r="S685" s="89" t="s">
        <v>213</v>
      </c>
      <c r="T685" s="90" t="s">
        <v>213</v>
      </c>
      <c r="U685" s="91" t="s">
        <v>213</v>
      </c>
      <c r="V685" s="92" t="s">
        <v>213</v>
      </c>
      <c r="W685" s="93" t="s">
        <v>213</v>
      </c>
      <c r="X685" s="92" t="s">
        <v>213</v>
      </c>
      <c r="Y685" s="90" t="s">
        <v>213</v>
      </c>
      <c r="Z685" s="93" t="s">
        <v>213</v>
      </c>
    </row>
    <row r="686" ht="15.75" customHeight="1">
      <c r="A686" s="84"/>
      <c r="B686" s="85"/>
      <c r="C686" s="85"/>
      <c r="D686" s="84"/>
      <c r="E686" s="84"/>
      <c r="F686" s="84"/>
      <c r="G686" s="86"/>
      <c r="H686" s="86"/>
      <c r="I686" s="87"/>
      <c r="J686" s="87"/>
      <c r="K686" s="88"/>
      <c r="L686" s="84"/>
      <c r="M686" s="84"/>
      <c r="N686" s="89" t="s">
        <v>213</v>
      </c>
      <c r="O686" s="89" t="s">
        <v>213</v>
      </c>
      <c r="P686" s="89" t="s">
        <v>213</v>
      </c>
      <c r="Q686" s="89" t="s">
        <v>213</v>
      </c>
      <c r="R686" s="89" t="s">
        <v>213</v>
      </c>
      <c r="S686" s="89" t="s">
        <v>213</v>
      </c>
      <c r="T686" s="90" t="s">
        <v>213</v>
      </c>
      <c r="U686" s="91" t="s">
        <v>213</v>
      </c>
      <c r="V686" s="92" t="s">
        <v>213</v>
      </c>
      <c r="W686" s="93" t="s">
        <v>213</v>
      </c>
      <c r="X686" s="92" t="s">
        <v>213</v>
      </c>
      <c r="Y686" s="90" t="s">
        <v>213</v>
      </c>
      <c r="Z686" s="93" t="s">
        <v>213</v>
      </c>
    </row>
    <row r="687" ht="15.75" customHeight="1">
      <c r="A687" s="84"/>
      <c r="B687" s="85"/>
      <c r="C687" s="85"/>
      <c r="D687" s="84"/>
      <c r="E687" s="84"/>
      <c r="F687" s="84"/>
      <c r="G687" s="86"/>
      <c r="H687" s="86"/>
      <c r="I687" s="87"/>
      <c r="J687" s="87"/>
      <c r="K687" s="88"/>
      <c r="L687" s="84"/>
      <c r="M687" s="84"/>
      <c r="N687" s="89" t="s">
        <v>213</v>
      </c>
      <c r="O687" s="89" t="s">
        <v>213</v>
      </c>
      <c r="P687" s="89" t="s">
        <v>213</v>
      </c>
      <c r="Q687" s="89" t="s">
        <v>213</v>
      </c>
      <c r="R687" s="89" t="s">
        <v>213</v>
      </c>
      <c r="S687" s="89" t="s">
        <v>213</v>
      </c>
      <c r="T687" s="90" t="s">
        <v>213</v>
      </c>
      <c r="U687" s="91" t="s">
        <v>213</v>
      </c>
      <c r="V687" s="92" t="s">
        <v>213</v>
      </c>
      <c r="W687" s="93" t="s">
        <v>213</v>
      </c>
      <c r="X687" s="92" t="s">
        <v>213</v>
      </c>
      <c r="Y687" s="90" t="s">
        <v>213</v>
      </c>
      <c r="Z687" s="93" t="s">
        <v>213</v>
      </c>
    </row>
    <row r="688" ht="15.75" customHeight="1">
      <c r="A688" s="84"/>
      <c r="B688" s="85"/>
      <c r="C688" s="85"/>
      <c r="D688" s="84"/>
      <c r="E688" s="84"/>
      <c r="F688" s="84"/>
      <c r="G688" s="86"/>
      <c r="H688" s="86"/>
      <c r="I688" s="87"/>
      <c r="J688" s="87"/>
      <c r="K688" s="88"/>
      <c r="L688" s="84"/>
      <c r="M688" s="84"/>
      <c r="N688" s="89" t="s">
        <v>213</v>
      </c>
      <c r="O688" s="89" t="s">
        <v>213</v>
      </c>
      <c r="P688" s="89" t="s">
        <v>213</v>
      </c>
      <c r="Q688" s="89" t="s">
        <v>213</v>
      </c>
      <c r="R688" s="89" t="s">
        <v>213</v>
      </c>
      <c r="S688" s="89" t="s">
        <v>213</v>
      </c>
      <c r="T688" s="90" t="s">
        <v>213</v>
      </c>
      <c r="U688" s="91" t="s">
        <v>213</v>
      </c>
      <c r="V688" s="92" t="s">
        <v>213</v>
      </c>
      <c r="W688" s="93" t="s">
        <v>213</v>
      </c>
      <c r="X688" s="92" t="s">
        <v>213</v>
      </c>
      <c r="Y688" s="90" t="s">
        <v>213</v>
      </c>
      <c r="Z688" s="93" t="s">
        <v>213</v>
      </c>
    </row>
    <row r="689" ht="15.75" customHeight="1">
      <c r="A689" s="84"/>
      <c r="B689" s="85"/>
      <c r="C689" s="85"/>
      <c r="D689" s="84"/>
      <c r="E689" s="84"/>
      <c r="F689" s="84"/>
      <c r="G689" s="86"/>
      <c r="H689" s="86"/>
      <c r="I689" s="87"/>
      <c r="J689" s="87"/>
      <c r="K689" s="88"/>
      <c r="L689" s="84"/>
      <c r="M689" s="84"/>
      <c r="N689" s="89" t="s">
        <v>213</v>
      </c>
      <c r="O689" s="89" t="s">
        <v>213</v>
      </c>
      <c r="P689" s="89" t="s">
        <v>213</v>
      </c>
      <c r="Q689" s="89" t="s">
        <v>213</v>
      </c>
      <c r="R689" s="89" t="s">
        <v>213</v>
      </c>
      <c r="S689" s="89" t="s">
        <v>213</v>
      </c>
      <c r="T689" s="90" t="s">
        <v>213</v>
      </c>
      <c r="U689" s="91" t="s">
        <v>213</v>
      </c>
      <c r="V689" s="92" t="s">
        <v>213</v>
      </c>
      <c r="W689" s="93" t="s">
        <v>213</v>
      </c>
      <c r="X689" s="92" t="s">
        <v>213</v>
      </c>
      <c r="Y689" s="90" t="s">
        <v>213</v>
      </c>
      <c r="Z689" s="93" t="s">
        <v>213</v>
      </c>
    </row>
    <row r="690" ht="15.75" customHeight="1">
      <c r="A690" s="84"/>
      <c r="B690" s="85"/>
      <c r="C690" s="85"/>
      <c r="D690" s="84"/>
      <c r="E690" s="84"/>
      <c r="F690" s="84"/>
      <c r="G690" s="86"/>
      <c r="H690" s="86"/>
      <c r="I690" s="87"/>
      <c r="J690" s="87"/>
      <c r="K690" s="88"/>
      <c r="L690" s="84"/>
      <c r="M690" s="84"/>
      <c r="N690" s="89" t="s">
        <v>213</v>
      </c>
      <c r="O690" s="89" t="s">
        <v>213</v>
      </c>
      <c r="P690" s="89" t="s">
        <v>213</v>
      </c>
      <c r="Q690" s="89" t="s">
        <v>213</v>
      </c>
      <c r="R690" s="89" t="s">
        <v>213</v>
      </c>
      <c r="S690" s="89" t="s">
        <v>213</v>
      </c>
      <c r="T690" s="90" t="s">
        <v>213</v>
      </c>
      <c r="U690" s="91" t="s">
        <v>213</v>
      </c>
      <c r="V690" s="92" t="s">
        <v>213</v>
      </c>
      <c r="W690" s="93" t="s">
        <v>213</v>
      </c>
      <c r="X690" s="92" t="s">
        <v>213</v>
      </c>
      <c r="Y690" s="90" t="s">
        <v>213</v>
      </c>
      <c r="Z690" s="93" t="s">
        <v>213</v>
      </c>
    </row>
    <row r="691" ht="15.75" customHeight="1">
      <c r="A691" s="84"/>
      <c r="B691" s="85"/>
      <c r="C691" s="85"/>
      <c r="D691" s="84"/>
      <c r="E691" s="84"/>
      <c r="F691" s="84"/>
      <c r="G691" s="86"/>
      <c r="H691" s="86"/>
      <c r="I691" s="87"/>
      <c r="J691" s="87"/>
      <c r="K691" s="88"/>
      <c r="L691" s="84"/>
      <c r="M691" s="84"/>
      <c r="N691" s="89" t="s">
        <v>213</v>
      </c>
      <c r="O691" s="89" t="s">
        <v>213</v>
      </c>
      <c r="P691" s="89" t="s">
        <v>213</v>
      </c>
      <c r="Q691" s="89" t="s">
        <v>213</v>
      </c>
      <c r="R691" s="89" t="s">
        <v>213</v>
      </c>
      <c r="S691" s="89" t="s">
        <v>213</v>
      </c>
      <c r="T691" s="90" t="s">
        <v>213</v>
      </c>
      <c r="U691" s="91" t="s">
        <v>213</v>
      </c>
      <c r="V691" s="92" t="s">
        <v>213</v>
      </c>
      <c r="W691" s="93" t="s">
        <v>213</v>
      </c>
      <c r="X691" s="92" t="s">
        <v>213</v>
      </c>
      <c r="Y691" s="90" t="s">
        <v>213</v>
      </c>
      <c r="Z691" s="93" t="s">
        <v>213</v>
      </c>
    </row>
    <row r="692" ht="15.75" customHeight="1">
      <c r="A692" s="84"/>
      <c r="B692" s="85"/>
      <c r="C692" s="85"/>
      <c r="D692" s="84"/>
      <c r="E692" s="84"/>
      <c r="F692" s="84"/>
      <c r="G692" s="86"/>
      <c r="H692" s="86"/>
      <c r="I692" s="87"/>
      <c r="J692" s="87"/>
      <c r="K692" s="88"/>
      <c r="L692" s="84"/>
      <c r="M692" s="84"/>
      <c r="N692" s="89" t="s">
        <v>213</v>
      </c>
      <c r="O692" s="89" t="s">
        <v>213</v>
      </c>
      <c r="P692" s="89" t="s">
        <v>213</v>
      </c>
      <c r="Q692" s="89" t="s">
        <v>213</v>
      </c>
      <c r="R692" s="89" t="s">
        <v>213</v>
      </c>
      <c r="S692" s="89" t="s">
        <v>213</v>
      </c>
      <c r="T692" s="90" t="s">
        <v>213</v>
      </c>
      <c r="U692" s="91" t="s">
        <v>213</v>
      </c>
      <c r="V692" s="92" t="s">
        <v>213</v>
      </c>
      <c r="W692" s="93" t="s">
        <v>213</v>
      </c>
      <c r="X692" s="92" t="s">
        <v>213</v>
      </c>
      <c r="Y692" s="90" t="s">
        <v>213</v>
      </c>
      <c r="Z692" s="93" t="s">
        <v>213</v>
      </c>
    </row>
    <row r="693" ht="15.75" customHeight="1">
      <c r="A693" s="84"/>
      <c r="B693" s="85"/>
      <c r="C693" s="85"/>
      <c r="D693" s="84"/>
      <c r="E693" s="84"/>
      <c r="F693" s="84"/>
      <c r="G693" s="86"/>
      <c r="H693" s="86"/>
      <c r="I693" s="87"/>
      <c r="J693" s="87"/>
      <c r="K693" s="88"/>
      <c r="L693" s="84"/>
      <c r="M693" s="84"/>
      <c r="N693" s="89" t="s">
        <v>213</v>
      </c>
      <c r="O693" s="89" t="s">
        <v>213</v>
      </c>
      <c r="P693" s="89" t="s">
        <v>213</v>
      </c>
      <c r="Q693" s="89" t="s">
        <v>213</v>
      </c>
      <c r="R693" s="89" t="s">
        <v>213</v>
      </c>
      <c r="S693" s="89" t="s">
        <v>213</v>
      </c>
      <c r="T693" s="90" t="s">
        <v>213</v>
      </c>
      <c r="U693" s="91" t="s">
        <v>213</v>
      </c>
      <c r="V693" s="92" t="s">
        <v>213</v>
      </c>
      <c r="W693" s="93" t="s">
        <v>213</v>
      </c>
      <c r="X693" s="92" t="s">
        <v>213</v>
      </c>
      <c r="Y693" s="90" t="s">
        <v>213</v>
      </c>
      <c r="Z693" s="93" t="s">
        <v>213</v>
      </c>
    </row>
    <row r="694" ht="15.75" customHeight="1">
      <c r="A694" s="84"/>
      <c r="B694" s="85"/>
      <c r="C694" s="85"/>
      <c r="D694" s="84"/>
      <c r="E694" s="84"/>
      <c r="F694" s="84"/>
      <c r="G694" s="86"/>
      <c r="H694" s="86"/>
      <c r="I694" s="87"/>
      <c r="J694" s="87"/>
      <c r="K694" s="88"/>
      <c r="L694" s="84"/>
      <c r="M694" s="84"/>
      <c r="N694" s="89" t="s">
        <v>213</v>
      </c>
      <c r="O694" s="89" t="s">
        <v>213</v>
      </c>
      <c r="P694" s="89" t="s">
        <v>213</v>
      </c>
      <c r="Q694" s="89" t="s">
        <v>213</v>
      </c>
      <c r="R694" s="89" t="s">
        <v>213</v>
      </c>
      <c r="S694" s="89" t="s">
        <v>213</v>
      </c>
      <c r="T694" s="90" t="s">
        <v>213</v>
      </c>
      <c r="U694" s="91" t="s">
        <v>213</v>
      </c>
      <c r="V694" s="92" t="s">
        <v>213</v>
      </c>
      <c r="W694" s="93" t="s">
        <v>213</v>
      </c>
      <c r="X694" s="92" t="s">
        <v>213</v>
      </c>
      <c r="Y694" s="90" t="s">
        <v>213</v>
      </c>
      <c r="Z694" s="93" t="s">
        <v>213</v>
      </c>
    </row>
    <row r="695" ht="15.75" customHeight="1">
      <c r="A695" s="84"/>
      <c r="B695" s="85"/>
      <c r="C695" s="85"/>
      <c r="D695" s="84"/>
      <c r="E695" s="84"/>
      <c r="F695" s="84"/>
      <c r="G695" s="86"/>
      <c r="H695" s="86"/>
      <c r="I695" s="87"/>
      <c r="J695" s="87"/>
      <c r="K695" s="88"/>
      <c r="L695" s="84"/>
      <c r="M695" s="84"/>
      <c r="N695" s="89" t="s">
        <v>213</v>
      </c>
      <c r="O695" s="89" t="s">
        <v>213</v>
      </c>
      <c r="P695" s="89" t="s">
        <v>213</v>
      </c>
      <c r="Q695" s="89" t="s">
        <v>213</v>
      </c>
      <c r="R695" s="89" t="s">
        <v>213</v>
      </c>
      <c r="S695" s="89" t="s">
        <v>213</v>
      </c>
      <c r="T695" s="90" t="s">
        <v>213</v>
      </c>
      <c r="U695" s="91" t="s">
        <v>213</v>
      </c>
      <c r="V695" s="92" t="s">
        <v>213</v>
      </c>
      <c r="W695" s="93" t="s">
        <v>213</v>
      </c>
      <c r="X695" s="92" t="s">
        <v>213</v>
      </c>
      <c r="Y695" s="90" t="s">
        <v>213</v>
      </c>
      <c r="Z695" s="93" t="s">
        <v>213</v>
      </c>
    </row>
    <row r="696" ht="15.75" customHeight="1">
      <c r="A696" s="84"/>
      <c r="B696" s="85"/>
      <c r="C696" s="85"/>
      <c r="D696" s="84"/>
      <c r="E696" s="84"/>
      <c r="F696" s="84"/>
      <c r="G696" s="86"/>
      <c r="H696" s="86"/>
      <c r="I696" s="87"/>
      <c r="J696" s="87"/>
      <c r="K696" s="88"/>
      <c r="L696" s="84"/>
      <c r="M696" s="84"/>
      <c r="N696" s="89" t="s">
        <v>213</v>
      </c>
      <c r="O696" s="89" t="s">
        <v>213</v>
      </c>
      <c r="P696" s="89" t="s">
        <v>213</v>
      </c>
      <c r="Q696" s="89" t="s">
        <v>213</v>
      </c>
      <c r="R696" s="89" t="s">
        <v>213</v>
      </c>
      <c r="S696" s="89" t="s">
        <v>213</v>
      </c>
      <c r="T696" s="90" t="s">
        <v>213</v>
      </c>
      <c r="U696" s="91" t="s">
        <v>213</v>
      </c>
      <c r="V696" s="92" t="s">
        <v>213</v>
      </c>
      <c r="W696" s="93" t="s">
        <v>213</v>
      </c>
      <c r="X696" s="92" t="s">
        <v>213</v>
      </c>
      <c r="Y696" s="90" t="s">
        <v>213</v>
      </c>
      <c r="Z696" s="93" t="s">
        <v>213</v>
      </c>
    </row>
    <row r="697" ht="15.75" customHeight="1">
      <c r="A697" s="84"/>
      <c r="B697" s="85"/>
      <c r="C697" s="85"/>
      <c r="D697" s="84"/>
      <c r="E697" s="84"/>
      <c r="F697" s="84"/>
      <c r="G697" s="86"/>
      <c r="H697" s="86"/>
      <c r="I697" s="87"/>
      <c r="J697" s="87"/>
      <c r="K697" s="88"/>
      <c r="L697" s="84"/>
      <c r="M697" s="84"/>
      <c r="N697" s="89" t="s">
        <v>213</v>
      </c>
      <c r="O697" s="89" t="s">
        <v>213</v>
      </c>
      <c r="P697" s="89" t="s">
        <v>213</v>
      </c>
      <c r="Q697" s="89" t="s">
        <v>213</v>
      </c>
      <c r="R697" s="89" t="s">
        <v>213</v>
      </c>
      <c r="S697" s="89" t="s">
        <v>213</v>
      </c>
      <c r="T697" s="90" t="s">
        <v>213</v>
      </c>
      <c r="U697" s="91" t="s">
        <v>213</v>
      </c>
      <c r="V697" s="92" t="s">
        <v>213</v>
      </c>
      <c r="W697" s="93" t="s">
        <v>213</v>
      </c>
      <c r="X697" s="92" t="s">
        <v>213</v>
      </c>
      <c r="Y697" s="90" t="s">
        <v>213</v>
      </c>
      <c r="Z697" s="93" t="s">
        <v>213</v>
      </c>
    </row>
    <row r="698" ht="15.75" customHeight="1">
      <c r="A698" s="84"/>
      <c r="B698" s="85"/>
      <c r="C698" s="85"/>
      <c r="D698" s="84"/>
      <c r="E698" s="84"/>
      <c r="F698" s="84"/>
      <c r="G698" s="86"/>
      <c r="H698" s="86"/>
      <c r="I698" s="87"/>
      <c r="J698" s="87"/>
      <c r="K698" s="88"/>
      <c r="L698" s="84"/>
      <c r="M698" s="84"/>
      <c r="N698" s="89" t="s">
        <v>213</v>
      </c>
      <c r="O698" s="89" t="s">
        <v>213</v>
      </c>
      <c r="P698" s="89" t="s">
        <v>213</v>
      </c>
      <c r="Q698" s="89" t="s">
        <v>213</v>
      </c>
      <c r="R698" s="89" t="s">
        <v>213</v>
      </c>
      <c r="S698" s="89" t="s">
        <v>213</v>
      </c>
      <c r="T698" s="90" t="s">
        <v>213</v>
      </c>
      <c r="U698" s="91" t="s">
        <v>213</v>
      </c>
      <c r="V698" s="92" t="s">
        <v>213</v>
      </c>
      <c r="W698" s="93" t="s">
        <v>213</v>
      </c>
      <c r="X698" s="92" t="s">
        <v>213</v>
      </c>
      <c r="Y698" s="90" t="s">
        <v>213</v>
      </c>
      <c r="Z698" s="93" t="s">
        <v>213</v>
      </c>
    </row>
    <row r="699" ht="15.75" customHeight="1">
      <c r="A699" s="84"/>
      <c r="B699" s="85"/>
      <c r="C699" s="85"/>
      <c r="D699" s="84"/>
      <c r="E699" s="84"/>
      <c r="F699" s="84"/>
      <c r="G699" s="86"/>
      <c r="H699" s="86"/>
      <c r="I699" s="87"/>
      <c r="J699" s="87"/>
      <c r="K699" s="88"/>
      <c r="L699" s="84"/>
      <c r="M699" s="84"/>
      <c r="N699" s="89" t="s">
        <v>213</v>
      </c>
      <c r="O699" s="89" t="s">
        <v>213</v>
      </c>
      <c r="P699" s="89" t="s">
        <v>213</v>
      </c>
      <c r="Q699" s="89" t="s">
        <v>213</v>
      </c>
      <c r="R699" s="89" t="s">
        <v>213</v>
      </c>
      <c r="S699" s="89" t="s">
        <v>213</v>
      </c>
      <c r="T699" s="90" t="s">
        <v>213</v>
      </c>
      <c r="U699" s="91" t="s">
        <v>213</v>
      </c>
      <c r="V699" s="92" t="s">
        <v>213</v>
      </c>
      <c r="W699" s="93" t="s">
        <v>213</v>
      </c>
      <c r="X699" s="92" t="s">
        <v>213</v>
      </c>
      <c r="Y699" s="90" t="s">
        <v>213</v>
      </c>
      <c r="Z699" s="93" t="s">
        <v>213</v>
      </c>
    </row>
    <row r="700" ht="15.75" customHeight="1">
      <c r="A700" s="84"/>
      <c r="B700" s="85"/>
      <c r="C700" s="85"/>
      <c r="D700" s="84"/>
      <c r="E700" s="84"/>
      <c r="F700" s="84"/>
      <c r="G700" s="86"/>
      <c r="H700" s="86"/>
      <c r="I700" s="87"/>
      <c r="J700" s="87"/>
      <c r="K700" s="88"/>
      <c r="L700" s="84"/>
      <c r="M700" s="84"/>
      <c r="N700" s="89" t="s">
        <v>213</v>
      </c>
      <c r="O700" s="89" t="s">
        <v>213</v>
      </c>
      <c r="P700" s="89" t="s">
        <v>213</v>
      </c>
      <c r="Q700" s="89" t="s">
        <v>213</v>
      </c>
      <c r="R700" s="89" t="s">
        <v>213</v>
      </c>
      <c r="S700" s="89" t="s">
        <v>213</v>
      </c>
      <c r="T700" s="90" t="s">
        <v>213</v>
      </c>
      <c r="U700" s="91" t="s">
        <v>213</v>
      </c>
      <c r="V700" s="92" t="s">
        <v>213</v>
      </c>
      <c r="W700" s="93" t="s">
        <v>213</v>
      </c>
      <c r="X700" s="92" t="s">
        <v>213</v>
      </c>
      <c r="Y700" s="90" t="s">
        <v>213</v>
      </c>
      <c r="Z700" s="93" t="s">
        <v>213</v>
      </c>
    </row>
    <row r="701" ht="15.75" customHeight="1">
      <c r="A701" s="84"/>
      <c r="B701" s="85"/>
      <c r="C701" s="85"/>
      <c r="D701" s="84"/>
      <c r="E701" s="84"/>
      <c r="F701" s="84"/>
      <c r="G701" s="86"/>
      <c r="H701" s="86"/>
      <c r="I701" s="87"/>
      <c r="J701" s="87"/>
      <c r="K701" s="88"/>
      <c r="L701" s="84"/>
      <c r="M701" s="84"/>
      <c r="N701" s="89" t="s">
        <v>213</v>
      </c>
      <c r="O701" s="89" t="s">
        <v>213</v>
      </c>
      <c r="P701" s="89" t="s">
        <v>213</v>
      </c>
      <c r="Q701" s="89" t="s">
        <v>213</v>
      </c>
      <c r="R701" s="89" t="s">
        <v>213</v>
      </c>
      <c r="S701" s="89" t="s">
        <v>213</v>
      </c>
      <c r="T701" s="90" t="s">
        <v>213</v>
      </c>
      <c r="U701" s="91" t="s">
        <v>213</v>
      </c>
      <c r="V701" s="92" t="s">
        <v>213</v>
      </c>
      <c r="W701" s="93" t="s">
        <v>213</v>
      </c>
      <c r="X701" s="92" t="s">
        <v>213</v>
      </c>
      <c r="Y701" s="90" t="s">
        <v>213</v>
      </c>
      <c r="Z701" s="93" t="s">
        <v>213</v>
      </c>
    </row>
    <row r="702" ht="15.75" customHeight="1">
      <c r="A702" s="84"/>
      <c r="B702" s="85"/>
      <c r="C702" s="85"/>
      <c r="D702" s="84"/>
      <c r="E702" s="84"/>
      <c r="F702" s="84"/>
      <c r="G702" s="86"/>
      <c r="H702" s="86"/>
      <c r="I702" s="87"/>
      <c r="J702" s="87"/>
      <c r="K702" s="88"/>
      <c r="L702" s="84"/>
      <c r="M702" s="84"/>
      <c r="N702" s="89" t="s">
        <v>213</v>
      </c>
      <c r="O702" s="89" t="s">
        <v>213</v>
      </c>
      <c r="P702" s="89" t="s">
        <v>213</v>
      </c>
      <c r="Q702" s="89" t="s">
        <v>213</v>
      </c>
      <c r="R702" s="89" t="s">
        <v>213</v>
      </c>
      <c r="S702" s="89" t="s">
        <v>213</v>
      </c>
      <c r="T702" s="90" t="s">
        <v>213</v>
      </c>
      <c r="U702" s="91" t="s">
        <v>213</v>
      </c>
      <c r="V702" s="92" t="s">
        <v>213</v>
      </c>
      <c r="W702" s="93" t="s">
        <v>213</v>
      </c>
      <c r="X702" s="92" t="s">
        <v>213</v>
      </c>
      <c r="Y702" s="90" t="s">
        <v>213</v>
      </c>
      <c r="Z702" s="93" t="s">
        <v>213</v>
      </c>
    </row>
    <row r="703" ht="15.75" customHeight="1">
      <c r="A703" s="84"/>
      <c r="B703" s="85"/>
      <c r="C703" s="85"/>
      <c r="D703" s="84"/>
      <c r="E703" s="84"/>
      <c r="F703" s="84"/>
      <c r="G703" s="86"/>
      <c r="H703" s="86"/>
      <c r="I703" s="87"/>
      <c r="J703" s="87"/>
      <c r="K703" s="88"/>
      <c r="L703" s="84"/>
      <c r="M703" s="84"/>
      <c r="N703" s="89" t="s">
        <v>213</v>
      </c>
      <c r="O703" s="89" t="s">
        <v>213</v>
      </c>
      <c r="P703" s="89" t="s">
        <v>213</v>
      </c>
      <c r="Q703" s="89" t="s">
        <v>213</v>
      </c>
      <c r="R703" s="89" t="s">
        <v>213</v>
      </c>
      <c r="S703" s="89" t="s">
        <v>213</v>
      </c>
      <c r="T703" s="90" t="s">
        <v>213</v>
      </c>
      <c r="U703" s="91" t="s">
        <v>213</v>
      </c>
      <c r="V703" s="92" t="s">
        <v>213</v>
      </c>
      <c r="W703" s="93" t="s">
        <v>213</v>
      </c>
      <c r="X703" s="92" t="s">
        <v>213</v>
      </c>
      <c r="Y703" s="90" t="s">
        <v>213</v>
      </c>
      <c r="Z703" s="93" t="s">
        <v>213</v>
      </c>
    </row>
    <row r="704" ht="15.75" customHeight="1">
      <c r="A704" s="84"/>
      <c r="B704" s="85"/>
      <c r="C704" s="85"/>
      <c r="D704" s="84"/>
      <c r="E704" s="84"/>
      <c r="F704" s="84"/>
      <c r="G704" s="86"/>
      <c r="H704" s="86"/>
      <c r="I704" s="87"/>
      <c r="J704" s="87"/>
      <c r="K704" s="88"/>
      <c r="L704" s="84"/>
      <c r="M704" s="84"/>
      <c r="N704" s="89" t="s">
        <v>213</v>
      </c>
      <c r="O704" s="89" t="s">
        <v>213</v>
      </c>
      <c r="P704" s="89" t="s">
        <v>213</v>
      </c>
      <c r="Q704" s="89" t="s">
        <v>213</v>
      </c>
      <c r="R704" s="89" t="s">
        <v>213</v>
      </c>
      <c r="S704" s="89" t="s">
        <v>213</v>
      </c>
      <c r="T704" s="90" t="s">
        <v>213</v>
      </c>
      <c r="U704" s="91" t="s">
        <v>213</v>
      </c>
      <c r="V704" s="92" t="s">
        <v>213</v>
      </c>
      <c r="W704" s="93" t="s">
        <v>213</v>
      </c>
      <c r="X704" s="92" t="s">
        <v>213</v>
      </c>
      <c r="Y704" s="90" t="s">
        <v>213</v>
      </c>
      <c r="Z704" s="93" t="s">
        <v>213</v>
      </c>
    </row>
    <row r="705" ht="15.75" customHeight="1">
      <c r="A705" s="84"/>
      <c r="B705" s="85"/>
      <c r="C705" s="85"/>
      <c r="D705" s="84"/>
      <c r="E705" s="84"/>
      <c r="F705" s="84"/>
      <c r="G705" s="86"/>
      <c r="H705" s="86"/>
      <c r="I705" s="87"/>
      <c r="J705" s="87"/>
      <c r="K705" s="88"/>
      <c r="L705" s="84"/>
      <c r="M705" s="84"/>
      <c r="N705" s="89" t="s">
        <v>213</v>
      </c>
      <c r="O705" s="89" t="s">
        <v>213</v>
      </c>
      <c r="P705" s="89" t="s">
        <v>213</v>
      </c>
      <c r="Q705" s="89" t="s">
        <v>213</v>
      </c>
      <c r="R705" s="89" t="s">
        <v>213</v>
      </c>
      <c r="S705" s="89" t="s">
        <v>213</v>
      </c>
      <c r="T705" s="90" t="s">
        <v>213</v>
      </c>
      <c r="U705" s="91" t="s">
        <v>213</v>
      </c>
      <c r="V705" s="92" t="s">
        <v>213</v>
      </c>
      <c r="W705" s="93" t="s">
        <v>213</v>
      </c>
      <c r="X705" s="92" t="s">
        <v>213</v>
      </c>
      <c r="Y705" s="90" t="s">
        <v>213</v>
      </c>
      <c r="Z705" s="93" t="s">
        <v>213</v>
      </c>
    </row>
    <row r="706" ht="15.75" customHeight="1">
      <c r="A706" s="84"/>
      <c r="B706" s="85"/>
      <c r="C706" s="85"/>
      <c r="D706" s="84"/>
      <c r="E706" s="84"/>
      <c r="F706" s="84"/>
      <c r="G706" s="86"/>
      <c r="H706" s="86"/>
      <c r="I706" s="87"/>
      <c r="J706" s="87"/>
      <c r="K706" s="88"/>
      <c r="L706" s="84"/>
      <c r="M706" s="84"/>
      <c r="N706" s="89" t="s">
        <v>213</v>
      </c>
      <c r="O706" s="89" t="s">
        <v>213</v>
      </c>
      <c r="P706" s="89" t="s">
        <v>213</v>
      </c>
      <c r="Q706" s="89" t="s">
        <v>213</v>
      </c>
      <c r="R706" s="89" t="s">
        <v>213</v>
      </c>
      <c r="S706" s="89" t="s">
        <v>213</v>
      </c>
      <c r="T706" s="90" t="s">
        <v>213</v>
      </c>
      <c r="U706" s="91" t="s">
        <v>213</v>
      </c>
      <c r="V706" s="92" t="s">
        <v>213</v>
      </c>
      <c r="W706" s="93" t="s">
        <v>213</v>
      </c>
      <c r="X706" s="92" t="s">
        <v>213</v>
      </c>
      <c r="Y706" s="90" t="s">
        <v>213</v>
      </c>
      <c r="Z706" s="93" t="s">
        <v>213</v>
      </c>
    </row>
    <row r="707" ht="15.75" customHeight="1">
      <c r="A707" s="84"/>
      <c r="B707" s="85"/>
      <c r="C707" s="85"/>
      <c r="D707" s="84"/>
      <c r="E707" s="84"/>
      <c r="F707" s="84"/>
      <c r="G707" s="86"/>
      <c r="H707" s="86"/>
      <c r="I707" s="87"/>
      <c r="J707" s="87"/>
      <c r="K707" s="88"/>
      <c r="L707" s="84"/>
      <c r="M707" s="84"/>
      <c r="N707" s="89" t="s">
        <v>213</v>
      </c>
      <c r="O707" s="89" t="s">
        <v>213</v>
      </c>
      <c r="P707" s="89" t="s">
        <v>213</v>
      </c>
      <c r="Q707" s="89" t="s">
        <v>213</v>
      </c>
      <c r="R707" s="89" t="s">
        <v>213</v>
      </c>
      <c r="S707" s="89" t="s">
        <v>213</v>
      </c>
      <c r="T707" s="90" t="s">
        <v>213</v>
      </c>
      <c r="U707" s="91" t="s">
        <v>213</v>
      </c>
      <c r="V707" s="92" t="s">
        <v>213</v>
      </c>
      <c r="W707" s="93" t="s">
        <v>213</v>
      </c>
      <c r="X707" s="92" t="s">
        <v>213</v>
      </c>
      <c r="Y707" s="90" t="s">
        <v>213</v>
      </c>
      <c r="Z707" s="93" t="s">
        <v>213</v>
      </c>
    </row>
    <row r="708" ht="15.75" customHeight="1">
      <c r="A708" s="84"/>
      <c r="B708" s="85"/>
      <c r="C708" s="85"/>
      <c r="D708" s="84"/>
      <c r="E708" s="84"/>
      <c r="F708" s="84"/>
      <c r="G708" s="86"/>
      <c r="H708" s="86"/>
      <c r="I708" s="87"/>
      <c r="J708" s="87"/>
      <c r="K708" s="88"/>
      <c r="L708" s="84"/>
      <c r="M708" s="84"/>
      <c r="N708" s="89" t="s">
        <v>213</v>
      </c>
      <c r="O708" s="89" t="s">
        <v>213</v>
      </c>
      <c r="P708" s="89" t="s">
        <v>213</v>
      </c>
      <c r="Q708" s="89" t="s">
        <v>213</v>
      </c>
      <c r="R708" s="89" t="s">
        <v>213</v>
      </c>
      <c r="S708" s="89" t="s">
        <v>213</v>
      </c>
      <c r="T708" s="90" t="s">
        <v>213</v>
      </c>
      <c r="U708" s="91" t="s">
        <v>213</v>
      </c>
      <c r="V708" s="92" t="s">
        <v>213</v>
      </c>
      <c r="W708" s="93" t="s">
        <v>213</v>
      </c>
      <c r="X708" s="92" t="s">
        <v>213</v>
      </c>
      <c r="Y708" s="90" t="s">
        <v>213</v>
      </c>
      <c r="Z708" s="93" t="s">
        <v>213</v>
      </c>
    </row>
    <row r="709" ht="15.75" customHeight="1">
      <c r="A709" s="84"/>
      <c r="B709" s="85"/>
      <c r="C709" s="85"/>
      <c r="D709" s="84"/>
      <c r="E709" s="84"/>
      <c r="F709" s="84"/>
      <c r="G709" s="86"/>
      <c r="H709" s="86"/>
      <c r="I709" s="87"/>
      <c r="J709" s="87"/>
      <c r="K709" s="88"/>
      <c r="L709" s="84"/>
      <c r="M709" s="84"/>
      <c r="N709" s="89" t="s">
        <v>213</v>
      </c>
      <c r="O709" s="89" t="s">
        <v>213</v>
      </c>
      <c r="P709" s="89" t="s">
        <v>213</v>
      </c>
      <c r="Q709" s="89" t="s">
        <v>213</v>
      </c>
      <c r="R709" s="89" t="s">
        <v>213</v>
      </c>
      <c r="S709" s="89" t="s">
        <v>213</v>
      </c>
      <c r="T709" s="90" t="s">
        <v>213</v>
      </c>
      <c r="U709" s="91" t="s">
        <v>213</v>
      </c>
      <c r="V709" s="92" t="s">
        <v>213</v>
      </c>
      <c r="W709" s="93" t="s">
        <v>213</v>
      </c>
      <c r="X709" s="92" t="s">
        <v>213</v>
      </c>
      <c r="Y709" s="90" t="s">
        <v>213</v>
      </c>
      <c r="Z709" s="93" t="s">
        <v>213</v>
      </c>
    </row>
    <row r="710" ht="15.75" customHeight="1">
      <c r="A710" s="84"/>
      <c r="B710" s="85"/>
      <c r="C710" s="85"/>
      <c r="D710" s="84"/>
      <c r="E710" s="84"/>
      <c r="F710" s="84"/>
      <c r="G710" s="86"/>
      <c r="H710" s="86"/>
      <c r="I710" s="87"/>
      <c r="J710" s="87"/>
      <c r="K710" s="88"/>
      <c r="L710" s="84"/>
      <c r="M710" s="84"/>
      <c r="N710" s="89" t="s">
        <v>213</v>
      </c>
      <c r="O710" s="89" t="s">
        <v>213</v>
      </c>
      <c r="P710" s="89" t="s">
        <v>213</v>
      </c>
      <c r="Q710" s="89" t="s">
        <v>213</v>
      </c>
      <c r="R710" s="89" t="s">
        <v>213</v>
      </c>
      <c r="S710" s="89" t="s">
        <v>213</v>
      </c>
      <c r="T710" s="90" t="s">
        <v>213</v>
      </c>
      <c r="U710" s="91" t="s">
        <v>213</v>
      </c>
      <c r="V710" s="92" t="s">
        <v>213</v>
      </c>
      <c r="W710" s="93" t="s">
        <v>213</v>
      </c>
      <c r="X710" s="92" t="s">
        <v>213</v>
      </c>
      <c r="Y710" s="90" t="s">
        <v>213</v>
      </c>
      <c r="Z710" s="93" t="s">
        <v>213</v>
      </c>
    </row>
    <row r="711" ht="15.75" customHeight="1">
      <c r="A711" s="84"/>
      <c r="B711" s="85"/>
      <c r="C711" s="85"/>
      <c r="D711" s="84"/>
      <c r="E711" s="84"/>
      <c r="F711" s="84"/>
      <c r="G711" s="86"/>
      <c r="H711" s="86"/>
      <c r="I711" s="87"/>
      <c r="J711" s="87"/>
      <c r="K711" s="88"/>
      <c r="L711" s="84"/>
      <c r="M711" s="84"/>
      <c r="N711" s="89" t="s">
        <v>213</v>
      </c>
      <c r="O711" s="89" t="s">
        <v>213</v>
      </c>
      <c r="P711" s="89" t="s">
        <v>213</v>
      </c>
      <c r="Q711" s="89" t="s">
        <v>213</v>
      </c>
      <c r="R711" s="89" t="s">
        <v>213</v>
      </c>
      <c r="S711" s="89" t="s">
        <v>213</v>
      </c>
      <c r="T711" s="90" t="s">
        <v>213</v>
      </c>
      <c r="U711" s="91" t="s">
        <v>213</v>
      </c>
      <c r="V711" s="92" t="s">
        <v>213</v>
      </c>
      <c r="W711" s="93" t="s">
        <v>213</v>
      </c>
      <c r="X711" s="92" t="s">
        <v>213</v>
      </c>
      <c r="Y711" s="90" t="s">
        <v>213</v>
      </c>
      <c r="Z711" s="93" t="s">
        <v>213</v>
      </c>
    </row>
    <row r="712" ht="15.75" customHeight="1">
      <c r="A712" s="84"/>
      <c r="B712" s="85"/>
      <c r="C712" s="85"/>
      <c r="D712" s="84"/>
      <c r="E712" s="84"/>
      <c r="F712" s="84"/>
      <c r="G712" s="86"/>
      <c r="H712" s="86"/>
      <c r="I712" s="87"/>
      <c r="J712" s="87"/>
      <c r="K712" s="88"/>
      <c r="L712" s="84"/>
      <c r="M712" s="84"/>
      <c r="N712" s="89" t="s">
        <v>213</v>
      </c>
      <c r="O712" s="89" t="s">
        <v>213</v>
      </c>
      <c r="P712" s="89" t="s">
        <v>213</v>
      </c>
      <c r="Q712" s="89" t="s">
        <v>213</v>
      </c>
      <c r="R712" s="89" t="s">
        <v>213</v>
      </c>
      <c r="S712" s="89" t="s">
        <v>213</v>
      </c>
      <c r="T712" s="90" t="s">
        <v>213</v>
      </c>
      <c r="U712" s="91" t="s">
        <v>213</v>
      </c>
      <c r="V712" s="92" t="s">
        <v>213</v>
      </c>
      <c r="W712" s="93" t="s">
        <v>213</v>
      </c>
      <c r="X712" s="92" t="s">
        <v>213</v>
      </c>
      <c r="Y712" s="90" t="s">
        <v>213</v>
      </c>
      <c r="Z712" s="93" t="s">
        <v>213</v>
      </c>
    </row>
    <row r="713" ht="15.75" customHeight="1">
      <c r="A713" s="84"/>
      <c r="B713" s="85"/>
      <c r="C713" s="85"/>
      <c r="D713" s="84"/>
      <c r="E713" s="84"/>
      <c r="F713" s="84"/>
      <c r="G713" s="86"/>
      <c r="H713" s="86"/>
      <c r="I713" s="87"/>
      <c r="J713" s="87"/>
      <c r="K713" s="88"/>
      <c r="L713" s="84"/>
      <c r="M713" s="84"/>
      <c r="N713" s="89" t="s">
        <v>213</v>
      </c>
      <c r="O713" s="89" t="s">
        <v>213</v>
      </c>
      <c r="P713" s="89" t="s">
        <v>213</v>
      </c>
      <c r="Q713" s="89" t="s">
        <v>213</v>
      </c>
      <c r="R713" s="89" t="s">
        <v>213</v>
      </c>
      <c r="S713" s="89" t="s">
        <v>213</v>
      </c>
      <c r="T713" s="90" t="s">
        <v>213</v>
      </c>
      <c r="U713" s="91" t="s">
        <v>213</v>
      </c>
      <c r="V713" s="92" t="s">
        <v>213</v>
      </c>
      <c r="W713" s="93" t="s">
        <v>213</v>
      </c>
      <c r="X713" s="92" t="s">
        <v>213</v>
      </c>
      <c r="Y713" s="90" t="s">
        <v>213</v>
      </c>
      <c r="Z713" s="93" t="s">
        <v>213</v>
      </c>
    </row>
    <row r="714" ht="15.75" customHeight="1">
      <c r="A714" s="84"/>
      <c r="B714" s="85"/>
      <c r="C714" s="85"/>
      <c r="D714" s="84"/>
      <c r="E714" s="84"/>
      <c r="F714" s="84"/>
      <c r="G714" s="86"/>
      <c r="H714" s="86"/>
      <c r="I714" s="87"/>
      <c r="J714" s="87"/>
      <c r="K714" s="88"/>
      <c r="L714" s="84"/>
      <c r="M714" s="84"/>
      <c r="N714" s="89" t="s">
        <v>213</v>
      </c>
      <c r="O714" s="89" t="s">
        <v>213</v>
      </c>
      <c r="P714" s="89" t="s">
        <v>213</v>
      </c>
      <c r="Q714" s="89" t="s">
        <v>213</v>
      </c>
      <c r="R714" s="89" t="s">
        <v>213</v>
      </c>
      <c r="S714" s="89" t="s">
        <v>213</v>
      </c>
      <c r="T714" s="90" t="s">
        <v>213</v>
      </c>
      <c r="U714" s="91" t="s">
        <v>213</v>
      </c>
      <c r="V714" s="92" t="s">
        <v>213</v>
      </c>
      <c r="W714" s="93" t="s">
        <v>213</v>
      </c>
      <c r="X714" s="92" t="s">
        <v>213</v>
      </c>
      <c r="Y714" s="90" t="s">
        <v>213</v>
      </c>
      <c r="Z714" s="93" t="s">
        <v>213</v>
      </c>
    </row>
    <row r="715" ht="15.75" customHeight="1">
      <c r="A715" s="84"/>
      <c r="B715" s="85"/>
      <c r="C715" s="85"/>
      <c r="D715" s="84"/>
      <c r="E715" s="84"/>
      <c r="F715" s="84"/>
      <c r="G715" s="86"/>
      <c r="H715" s="86"/>
      <c r="I715" s="87"/>
      <c r="J715" s="87"/>
      <c r="K715" s="88"/>
      <c r="L715" s="84"/>
      <c r="M715" s="84"/>
      <c r="N715" s="89" t="s">
        <v>213</v>
      </c>
      <c r="O715" s="89" t="s">
        <v>213</v>
      </c>
      <c r="P715" s="89" t="s">
        <v>213</v>
      </c>
      <c r="Q715" s="89" t="s">
        <v>213</v>
      </c>
      <c r="R715" s="89" t="s">
        <v>213</v>
      </c>
      <c r="S715" s="89" t="s">
        <v>213</v>
      </c>
      <c r="T715" s="90" t="s">
        <v>213</v>
      </c>
      <c r="U715" s="91" t="s">
        <v>213</v>
      </c>
      <c r="V715" s="92" t="s">
        <v>213</v>
      </c>
      <c r="W715" s="93" t="s">
        <v>213</v>
      </c>
      <c r="X715" s="92" t="s">
        <v>213</v>
      </c>
      <c r="Y715" s="90" t="s">
        <v>213</v>
      </c>
      <c r="Z715" s="93" t="s">
        <v>213</v>
      </c>
    </row>
    <row r="716" ht="15.75" customHeight="1">
      <c r="A716" s="84"/>
      <c r="B716" s="85"/>
      <c r="C716" s="85"/>
      <c r="D716" s="84"/>
      <c r="E716" s="84"/>
      <c r="F716" s="84"/>
      <c r="G716" s="86"/>
      <c r="H716" s="86"/>
      <c r="I716" s="87"/>
      <c r="J716" s="87"/>
      <c r="K716" s="88"/>
      <c r="L716" s="84"/>
      <c r="M716" s="84"/>
      <c r="N716" s="89" t="s">
        <v>213</v>
      </c>
      <c r="O716" s="89" t="s">
        <v>213</v>
      </c>
      <c r="P716" s="89" t="s">
        <v>213</v>
      </c>
      <c r="Q716" s="89" t="s">
        <v>213</v>
      </c>
      <c r="R716" s="89" t="s">
        <v>213</v>
      </c>
      <c r="S716" s="89" t="s">
        <v>213</v>
      </c>
      <c r="T716" s="90" t="s">
        <v>213</v>
      </c>
      <c r="U716" s="91" t="s">
        <v>213</v>
      </c>
      <c r="V716" s="92" t="s">
        <v>213</v>
      </c>
      <c r="W716" s="93" t="s">
        <v>213</v>
      </c>
      <c r="X716" s="92" t="s">
        <v>213</v>
      </c>
      <c r="Y716" s="90" t="s">
        <v>213</v>
      </c>
      <c r="Z716" s="93" t="s">
        <v>213</v>
      </c>
    </row>
    <row r="717" ht="15.75" customHeight="1">
      <c r="A717" s="84"/>
      <c r="B717" s="85"/>
      <c r="C717" s="85"/>
      <c r="D717" s="84"/>
      <c r="E717" s="84"/>
      <c r="F717" s="84"/>
      <c r="G717" s="86"/>
      <c r="H717" s="86"/>
      <c r="I717" s="87"/>
      <c r="J717" s="87"/>
      <c r="K717" s="88"/>
      <c r="L717" s="84"/>
      <c r="M717" s="84"/>
      <c r="N717" s="89" t="s">
        <v>213</v>
      </c>
      <c r="O717" s="89" t="s">
        <v>213</v>
      </c>
      <c r="P717" s="89" t="s">
        <v>213</v>
      </c>
      <c r="Q717" s="89" t="s">
        <v>213</v>
      </c>
      <c r="R717" s="89" t="s">
        <v>213</v>
      </c>
      <c r="S717" s="89" t="s">
        <v>213</v>
      </c>
      <c r="T717" s="90" t="s">
        <v>213</v>
      </c>
      <c r="U717" s="91" t="s">
        <v>213</v>
      </c>
      <c r="V717" s="92" t="s">
        <v>213</v>
      </c>
      <c r="W717" s="93" t="s">
        <v>213</v>
      </c>
      <c r="X717" s="92" t="s">
        <v>213</v>
      </c>
      <c r="Y717" s="90" t="s">
        <v>213</v>
      </c>
      <c r="Z717" s="93" t="s">
        <v>213</v>
      </c>
    </row>
    <row r="718" ht="15.75" customHeight="1">
      <c r="A718" s="84"/>
      <c r="B718" s="85"/>
      <c r="C718" s="85"/>
      <c r="D718" s="84"/>
      <c r="E718" s="84"/>
      <c r="F718" s="84"/>
      <c r="G718" s="86"/>
      <c r="H718" s="86"/>
      <c r="I718" s="87"/>
      <c r="J718" s="87"/>
      <c r="K718" s="88"/>
      <c r="L718" s="84"/>
      <c r="M718" s="84"/>
      <c r="N718" s="89" t="s">
        <v>213</v>
      </c>
      <c r="O718" s="89" t="s">
        <v>213</v>
      </c>
      <c r="P718" s="89" t="s">
        <v>213</v>
      </c>
      <c r="Q718" s="89" t="s">
        <v>213</v>
      </c>
      <c r="R718" s="89" t="s">
        <v>213</v>
      </c>
      <c r="S718" s="89" t="s">
        <v>213</v>
      </c>
      <c r="T718" s="90" t="s">
        <v>213</v>
      </c>
      <c r="U718" s="91" t="s">
        <v>213</v>
      </c>
      <c r="V718" s="92" t="s">
        <v>213</v>
      </c>
      <c r="W718" s="93" t="s">
        <v>213</v>
      </c>
      <c r="X718" s="92" t="s">
        <v>213</v>
      </c>
      <c r="Y718" s="90" t="s">
        <v>213</v>
      </c>
      <c r="Z718" s="93" t="s">
        <v>213</v>
      </c>
    </row>
    <row r="719" ht="15.75" customHeight="1">
      <c r="A719" s="84"/>
      <c r="B719" s="85"/>
      <c r="C719" s="85"/>
      <c r="D719" s="84"/>
      <c r="E719" s="84"/>
      <c r="F719" s="84"/>
      <c r="G719" s="86"/>
      <c r="H719" s="86"/>
      <c r="I719" s="87"/>
      <c r="J719" s="87"/>
      <c r="K719" s="88"/>
      <c r="L719" s="84"/>
      <c r="M719" s="84"/>
      <c r="N719" s="89" t="s">
        <v>213</v>
      </c>
      <c r="O719" s="89" t="s">
        <v>213</v>
      </c>
      <c r="P719" s="89" t="s">
        <v>213</v>
      </c>
      <c r="Q719" s="89" t="s">
        <v>213</v>
      </c>
      <c r="R719" s="89" t="s">
        <v>213</v>
      </c>
      <c r="S719" s="89" t="s">
        <v>213</v>
      </c>
      <c r="T719" s="90" t="s">
        <v>213</v>
      </c>
      <c r="U719" s="91" t="s">
        <v>213</v>
      </c>
      <c r="V719" s="92" t="s">
        <v>213</v>
      </c>
      <c r="W719" s="93" t="s">
        <v>213</v>
      </c>
      <c r="X719" s="92" t="s">
        <v>213</v>
      </c>
      <c r="Y719" s="90" t="s">
        <v>213</v>
      </c>
      <c r="Z719" s="93" t="s">
        <v>213</v>
      </c>
    </row>
    <row r="720" ht="15.75" customHeight="1">
      <c r="A720" s="84"/>
      <c r="B720" s="85"/>
      <c r="C720" s="85"/>
      <c r="D720" s="84"/>
      <c r="E720" s="84"/>
      <c r="F720" s="84"/>
      <c r="G720" s="86"/>
      <c r="H720" s="86"/>
      <c r="I720" s="87"/>
      <c r="J720" s="87"/>
      <c r="K720" s="88"/>
      <c r="L720" s="84"/>
      <c r="M720" s="84"/>
      <c r="N720" s="89" t="s">
        <v>213</v>
      </c>
      <c r="O720" s="89" t="s">
        <v>213</v>
      </c>
      <c r="P720" s="89" t="s">
        <v>213</v>
      </c>
      <c r="Q720" s="89" t="s">
        <v>213</v>
      </c>
      <c r="R720" s="89" t="s">
        <v>213</v>
      </c>
      <c r="S720" s="89" t="s">
        <v>213</v>
      </c>
      <c r="T720" s="90" t="s">
        <v>213</v>
      </c>
      <c r="U720" s="91" t="s">
        <v>213</v>
      </c>
      <c r="V720" s="92" t="s">
        <v>213</v>
      </c>
      <c r="W720" s="93" t="s">
        <v>213</v>
      </c>
      <c r="X720" s="92" t="s">
        <v>213</v>
      </c>
      <c r="Y720" s="90" t="s">
        <v>213</v>
      </c>
      <c r="Z720" s="93" t="s">
        <v>213</v>
      </c>
    </row>
    <row r="721" ht="15.75" customHeight="1">
      <c r="A721" s="84"/>
      <c r="B721" s="85"/>
      <c r="C721" s="85"/>
      <c r="D721" s="84"/>
      <c r="E721" s="84"/>
      <c r="F721" s="84"/>
      <c r="G721" s="86"/>
      <c r="H721" s="86"/>
      <c r="I721" s="87"/>
      <c r="J721" s="87"/>
      <c r="K721" s="88"/>
      <c r="L721" s="84"/>
      <c r="M721" s="84"/>
      <c r="N721" s="89" t="s">
        <v>213</v>
      </c>
      <c r="O721" s="89" t="s">
        <v>213</v>
      </c>
      <c r="P721" s="89" t="s">
        <v>213</v>
      </c>
      <c r="Q721" s="89" t="s">
        <v>213</v>
      </c>
      <c r="R721" s="89" t="s">
        <v>213</v>
      </c>
      <c r="S721" s="89" t="s">
        <v>213</v>
      </c>
      <c r="T721" s="90" t="s">
        <v>213</v>
      </c>
      <c r="U721" s="91" t="s">
        <v>213</v>
      </c>
      <c r="V721" s="92" t="s">
        <v>213</v>
      </c>
      <c r="W721" s="93" t="s">
        <v>213</v>
      </c>
      <c r="X721" s="92" t="s">
        <v>213</v>
      </c>
      <c r="Y721" s="90" t="s">
        <v>213</v>
      </c>
      <c r="Z721" s="93" t="s">
        <v>213</v>
      </c>
    </row>
    <row r="722" ht="15.75" customHeight="1">
      <c r="A722" s="84"/>
      <c r="B722" s="85"/>
      <c r="C722" s="85"/>
      <c r="D722" s="84"/>
      <c r="E722" s="84"/>
      <c r="F722" s="84"/>
      <c r="G722" s="86"/>
      <c r="H722" s="86"/>
      <c r="I722" s="87"/>
      <c r="J722" s="87"/>
      <c r="K722" s="88"/>
      <c r="L722" s="84"/>
      <c r="M722" s="84"/>
      <c r="N722" s="89" t="s">
        <v>213</v>
      </c>
      <c r="O722" s="89" t="s">
        <v>213</v>
      </c>
      <c r="P722" s="89" t="s">
        <v>213</v>
      </c>
      <c r="Q722" s="89" t="s">
        <v>213</v>
      </c>
      <c r="R722" s="89" t="s">
        <v>213</v>
      </c>
      <c r="S722" s="89" t="s">
        <v>213</v>
      </c>
      <c r="T722" s="90" t="s">
        <v>213</v>
      </c>
      <c r="U722" s="91" t="s">
        <v>213</v>
      </c>
      <c r="V722" s="92" t="s">
        <v>213</v>
      </c>
      <c r="W722" s="93" t="s">
        <v>213</v>
      </c>
      <c r="X722" s="92" t="s">
        <v>213</v>
      </c>
      <c r="Y722" s="90" t="s">
        <v>213</v>
      </c>
      <c r="Z722" s="93" t="s">
        <v>213</v>
      </c>
    </row>
    <row r="723" ht="15.75" customHeight="1">
      <c r="A723" s="84"/>
      <c r="B723" s="85"/>
      <c r="C723" s="85"/>
      <c r="D723" s="84"/>
      <c r="E723" s="84"/>
      <c r="F723" s="84"/>
      <c r="G723" s="86"/>
      <c r="H723" s="86"/>
      <c r="I723" s="87"/>
      <c r="J723" s="87"/>
      <c r="K723" s="88"/>
      <c r="L723" s="84"/>
      <c r="M723" s="84"/>
      <c r="N723" s="89" t="s">
        <v>213</v>
      </c>
      <c r="O723" s="89" t="s">
        <v>213</v>
      </c>
      <c r="P723" s="89" t="s">
        <v>213</v>
      </c>
      <c r="Q723" s="89" t="s">
        <v>213</v>
      </c>
      <c r="R723" s="89" t="s">
        <v>213</v>
      </c>
      <c r="S723" s="89" t="s">
        <v>213</v>
      </c>
      <c r="T723" s="90" t="s">
        <v>213</v>
      </c>
      <c r="U723" s="91" t="s">
        <v>213</v>
      </c>
      <c r="V723" s="92" t="s">
        <v>213</v>
      </c>
      <c r="W723" s="93" t="s">
        <v>213</v>
      </c>
      <c r="X723" s="92" t="s">
        <v>213</v>
      </c>
      <c r="Y723" s="90" t="s">
        <v>213</v>
      </c>
      <c r="Z723" s="93" t="s">
        <v>213</v>
      </c>
    </row>
    <row r="724" ht="15.75" customHeight="1">
      <c r="A724" s="84"/>
      <c r="B724" s="85"/>
      <c r="C724" s="85"/>
      <c r="D724" s="84"/>
      <c r="E724" s="84"/>
      <c r="F724" s="84"/>
      <c r="G724" s="86"/>
      <c r="H724" s="86"/>
      <c r="I724" s="87"/>
      <c r="J724" s="87"/>
      <c r="K724" s="88"/>
      <c r="L724" s="84"/>
      <c r="M724" s="84"/>
      <c r="N724" s="89" t="s">
        <v>213</v>
      </c>
      <c r="O724" s="89" t="s">
        <v>213</v>
      </c>
      <c r="P724" s="89" t="s">
        <v>213</v>
      </c>
      <c r="Q724" s="89" t="s">
        <v>213</v>
      </c>
      <c r="R724" s="89" t="s">
        <v>213</v>
      </c>
      <c r="S724" s="89" t="s">
        <v>213</v>
      </c>
      <c r="T724" s="90" t="s">
        <v>213</v>
      </c>
      <c r="U724" s="91" t="s">
        <v>213</v>
      </c>
      <c r="V724" s="92" t="s">
        <v>213</v>
      </c>
      <c r="W724" s="93" t="s">
        <v>213</v>
      </c>
      <c r="X724" s="92" t="s">
        <v>213</v>
      </c>
      <c r="Y724" s="90" t="s">
        <v>213</v>
      </c>
      <c r="Z724" s="93" t="s">
        <v>213</v>
      </c>
    </row>
    <row r="725" ht="15.75" customHeight="1">
      <c r="A725" s="84"/>
      <c r="B725" s="85"/>
      <c r="C725" s="85"/>
      <c r="D725" s="84"/>
      <c r="E725" s="84"/>
      <c r="F725" s="84"/>
      <c r="G725" s="86"/>
      <c r="H725" s="86"/>
      <c r="I725" s="87"/>
      <c r="J725" s="87"/>
      <c r="K725" s="88"/>
      <c r="L725" s="84"/>
      <c r="M725" s="84"/>
      <c r="N725" s="89" t="s">
        <v>213</v>
      </c>
      <c r="O725" s="89" t="s">
        <v>213</v>
      </c>
      <c r="P725" s="89" t="s">
        <v>213</v>
      </c>
      <c r="Q725" s="89" t="s">
        <v>213</v>
      </c>
      <c r="R725" s="89" t="s">
        <v>213</v>
      </c>
      <c r="S725" s="89" t="s">
        <v>213</v>
      </c>
      <c r="T725" s="90" t="s">
        <v>213</v>
      </c>
      <c r="U725" s="91" t="s">
        <v>213</v>
      </c>
      <c r="V725" s="92" t="s">
        <v>213</v>
      </c>
      <c r="W725" s="93" t="s">
        <v>213</v>
      </c>
      <c r="X725" s="92" t="s">
        <v>213</v>
      </c>
      <c r="Y725" s="90" t="s">
        <v>213</v>
      </c>
      <c r="Z725" s="93" t="s">
        <v>213</v>
      </c>
    </row>
    <row r="726" ht="15.75" customHeight="1">
      <c r="A726" s="84"/>
      <c r="B726" s="85"/>
      <c r="C726" s="85"/>
      <c r="D726" s="84"/>
      <c r="E726" s="84"/>
      <c r="F726" s="84"/>
      <c r="G726" s="86"/>
      <c r="H726" s="86"/>
      <c r="I726" s="87"/>
      <c r="J726" s="87"/>
      <c r="K726" s="88"/>
      <c r="L726" s="84"/>
      <c r="M726" s="84"/>
      <c r="N726" s="89" t="s">
        <v>213</v>
      </c>
      <c r="O726" s="89" t="s">
        <v>213</v>
      </c>
      <c r="P726" s="89" t="s">
        <v>213</v>
      </c>
      <c r="Q726" s="89" t="s">
        <v>213</v>
      </c>
      <c r="R726" s="89" t="s">
        <v>213</v>
      </c>
      <c r="S726" s="89" t="s">
        <v>213</v>
      </c>
      <c r="T726" s="90" t="s">
        <v>213</v>
      </c>
      <c r="U726" s="91" t="s">
        <v>213</v>
      </c>
      <c r="V726" s="92" t="s">
        <v>213</v>
      </c>
      <c r="W726" s="93" t="s">
        <v>213</v>
      </c>
      <c r="X726" s="92" t="s">
        <v>213</v>
      </c>
      <c r="Y726" s="90" t="s">
        <v>213</v>
      </c>
      <c r="Z726" s="93" t="s">
        <v>213</v>
      </c>
    </row>
    <row r="727" ht="15.75" customHeight="1">
      <c r="A727" s="84"/>
      <c r="B727" s="85"/>
      <c r="C727" s="85"/>
      <c r="D727" s="84"/>
      <c r="E727" s="84"/>
      <c r="F727" s="84"/>
      <c r="G727" s="86"/>
      <c r="H727" s="86"/>
      <c r="I727" s="87"/>
      <c r="J727" s="87"/>
      <c r="K727" s="88"/>
      <c r="L727" s="84"/>
      <c r="M727" s="84"/>
      <c r="N727" s="89" t="s">
        <v>213</v>
      </c>
      <c r="O727" s="89" t="s">
        <v>213</v>
      </c>
      <c r="P727" s="89" t="s">
        <v>213</v>
      </c>
      <c r="Q727" s="89" t="s">
        <v>213</v>
      </c>
      <c r="R727" s="89" t="s">
        <v>213</v>
      </c>
      <c r="S727" s="89" t="s">
        <v>213</v>
      </c>
      <c r="T727" s="90" t="s">
        <v>213</v>
      </c>
      <c r="U727" s="91" t="s">
        <v>213</v>
      </c>
      <c r="V727" s="92" t="s">
        <v>213</v>
      </c>
      <c r="W727" s="93" t="s">
        <v>213</v>
      </c>
      <c r="X727" s="92" t="s">
        <v>213</v>
      </c>
      <c r="Y727" s="90" t="s">
        <v>213</v>
      </c>
      <c r="Z727" s="93" t="s">
        <v>213</v>
      </c>
    </row>
    <row r="728" ht="15.75" customHeight="1">
      <c r="A728" s="84"/>
      <c r="B728" s="85"/>
      <c r="C728" s="85"/>
      <c r="D728" s="84"/>
      <c r="E728" s="84"/>
      <c r="F728" s="84"/>
      <c r="G728" s="86"/>
      <c r="H728" s="86"/>
      <c r="I728" s="87"/>
      <c r="J728" s="87"/>
      <c r="K728" s="88"/>
      <c r="L728" s="84"/>
      <c r="M728" s="84"/>
      <c r="N728" s="89" t="s">
        <v>213</v>
      </c>
      <c r="O728" s="89" t="s">
        <v>213</v>
      </c>
      <c r="P728" s="89" t="s">
        <v>213</v>
      </c>
      <c r="Q728" s="89" t="s">
        <v>213</v>
      </c>
      <c r="R728" s="89" t="s">
        <v>213</v>
      </c>
      <c r="S728" s="89" t="s">
        <v>213</v>
      </c>
      <c r="T728" s="90" t="s">
        <v>213</v>
      </c>
      <c r="U728" s="91" t="s">
        <v>213</v>
      </c>
      <c r="V728" s="92" t="s">
        <v>213</v>
      </c>
      <c r="W728" s="93" t="s">
        <v>213</v>
      </c>
      <c r="X728" s="92" t="s">
        <v>213</v>
      </c>
      <c r="Y728" s="90" t="s">
        <v>213</v>
      </c>
      <c r="Z728" s="93" t="s">
        <v>213</v>
      </c>
    </row>
    <row r="729" ht="15.75" customHeight="1">
      <c r="A729" s="84"/>
      <c r="B729" s="85"/>
      <c r="C729" s="85"/>
      <c r="D729" s="84"/>
      <c r="E729" s="84"/>
      <c r="F729" s="84"/>
      <c r="G729" s="86"/>
      <c r="H729" s="86"/>
      <c r="I729" s="87"/>
      <c r="J729" s="87"/>
      <c r="K729" s="88"/>
      <c r="L729" s="84"/>
      <c r="M729" s="84"/>
      <c r="N729" s="89" t="s">
        <v>213</v>
      </c>
      <c r="O729" s="89" t="s">
        <v>213</v>
      </c>
      <c r="P729" s="89" t="s">
        <v>213</v>
      </c>
      <c r="Q729" s="89" t="s">
        <v>213</v>
      </c>
      <c r="R729" s="89" t="s">
        <v>213</v>
      </c>
      <c r="S729" s="89" t="s">
        <v>213</v>
      </c>
      <c r="T729" s="90" t="s">
        <v>213</v>
      </c>
      <c r="U729" s="91" t="s">
        <v>213</v>
      </c>
      <c r="V729" s="92" t="s">
        <v>213</v>
      </c>
      <c r="W729" s="93" t="s">
        <v>213</v>
      </c>
      <c r="X729" s="92" t="s">
        <v>213</v>
      </c>
      <c r="Y729" s="90" t="s">
        <v>213</v>
      </c>
      <c r="Z729" s="93" t="s">
        <v>213</v>
      </c>
    </row>
    <row r="730" ht="15.75" customHeight="1">
      <c r="A730" s="84"/>
      <c r="B730" s="85"/>
      <c r="C730" s="85"/>
      <c r="D730" s="84"/>
      <c r="E730" s="84"/>
      <c r="F730" s="84"/>
      <c r="G730" s="86"/>
      <c r="H730" s="86"/>
      <c r="I730" s="87"/>
      <c r="J730" s="87"/>
      <c r="K730" s="88"/>
      <c r="L730" s="84"/>
      <c r="M730" s="84"/>
      <c r="N730" s="89" t="s">
        <v>213</v>
      </c>
      <c r="O730" s="89" t="s">
        <v>213</v>
      </c>
      <c r="P730" s="89" t="s">
        <v>213</v>
      </c>
      <c r="Q730" s="89" t="s">
        <v>213</v>
      </c>
      <c r="R730" s="89" t="s">
        <v>213</v>
      </c>
      <c r="S730" s="89" t="s">
        <v>213</v>
      </c>
      <c r="T730" s="90" t="s">
        <v>213</v>
      </c>
      <c r="U730" s="91" t="s">
        <v>213</v>
      </c>
      <c r="V730" s="92" t="s">
        <v>213</v>
      </c>
      <c r="W730" s="93" t="s">
        <v>213</v>
      </c>
      <c r="X730" s="92" t="s">
        <v>213</v>
      </c>
      <c r="Y730" s="90" t="s">
        <v>213</v>
      </c>
      <c r="Z730" s="93" t="s">
        <v>213</v>
      </c>
    </row>
    <row r="731" ht="15.75" customHeight="1">
      <c r="A731" s="84"/>
      <c r="B731" s="85"/>
      <c r="C731" s="85"/>
      <c r="D731" s="84"/>
      <c r="E731" s="84"/>
      <c r="F731" s="84"/>
      <c r="G731" s="86"/>
      <c r="H731" s="86"/>
      <c r="I731" s="87"/>
      <c r="J731" s="87"/>
      <c r="K731" s="88"/>
      <c r="L731" s="84"/>
      <c r="M731" s="84"/>
      <c r="N731" s="89" t="s">
        <v>213</v>
      </c>
      <c r="O731" s="89" t="s">
        <v>213</v>
      </c>
      <c r="P731" s="89" t="s">
        <v>213</v>
      </c>
      <c r="Q731" s="89" t="s">
        <v>213</v>
      </c>
      <c r="R731" s="89" t="s">
        <v>213</v>
      </c>
      <c r="S731" s="89" t="s">
        <v>213</v>
      </c>
      <c r="T731" s="90" t="s">
        <v>213</v>
      </c>
      <c r="U731" s="91" t="s">
        <v>213</v>
      </c>
      <c r="V731" s="92" t="s">
        <v>213</v>
      </c>
      <c r="W731" s="93" t="s">
        <v>213</v>
      </c>
      <c r="X731" s="92" t="s">
        <v>213</v>
      </c>
      <c r="Y731" s="90" t="s">
        <v>213</v>
      </c>
      <c r="Z731" s="93" t="s">
        <v>213</v>
      </c>
    </row>
    <row r="732" ht="15.75" customHeight="1">
      <c r="A732" s="84"/>
      <c r="B732" s="85"/>
      <c r="C732" s="85"/>
      <c r="D732" s="84"/>
      <c r="E732" s="84"/>
      <c r="F732" s="84"/>
      <c r="G732" s="86"/>
      <c r="H732" s="86"/>
      <c r="I732" s="87"/>
      <c r="J732" s="87"/>
      <c r="K732" s="88"/>
      <c r="L732" s="84"/>
      <c r="M732" s="84"/>
      <c r="N732" s="89" t="s">
        <v>213</v>
      </c>
      <c r="O732" s="89" t="s">
        <v>213</v>
      </c>
      <c r="P732" s="89" t="s">
        <v>213</v>
      </c>
      <c r="Q732" s="89" t="s">
        <v>213</v>
      </c>
      <c r="R732" s="89" t="s">
        <v>213</v>
      </c>
      <c r="S732" s="89" t="s">
        <v>213</v>
      </c>
      <c r="T732" s="90" t="s">
        <v>213</v>
      </c>
      <c r="U732" s="91" t="s">
        <v>213</v>
      </c>
      <c r="V732" s="92" t="s">
        <v>213</v>
      </c>
      <c r="W732" s="93" t="s">
        <v>213</v>
      </c>
      <c r="X732" s="92" t="s">
        <v>213</v>
      </c>
      <c r="Y732" s="90" t="s">
        <v>213</v>
      </c>
      <c r="Z732" s="93" t="s">
        <v>213</v>
      </c>
    </row>
    <row r="733" ht="15.75" customHeight="1">
      <c r="A733" s="84"/>
      <c r="B733" s="85"/>
      <c r="C733" s="85"/>
      <c r="D733" s="84"/>
      <c r="E733" s="84"/>
      <c r="F733" s="84"/>
      <c r="G733" s="86"/>
      <c r="H733" s="86"/>
      <c r="I733" s="87"/>
      <c r="J733" s="87"/>
      <c r="K733" s="88"/>
      <c r="L733" s="84"/>
      <c r="M733" s="84"/>
      <c r="N733" s="89" t="s">
        <v>213</v>
      </c>
      <c r="O733" s="89" t="s">
        <v>213</v>
      </c>
      <c r="P733" s="89" t="s">
        <v>213</v>
      </c>
      <c r="Q733" s="89" t="s">
        <v>213</v>
      </c>
      <c r="R733" s="89" t="s">
        <v>213</v>
      </c>
      <c r="S733" s="89" t="s">
        <v>213</v>
      </c>
      <c r="T733" s="90" t="s">
        <v>213</v>
      </c>
      <c r="U733" s="91" t="s">
        <v>213</v>
      </c>
      <c r="V733" s="92" t="s">
        <v>213</v>
      </c>
      <c r="W733" s="93" t="s">
        <v>213</v>
      </c>
      <c r="X733" s="92" t="s">
        <v>213</v>
      </c>
      <c r="Y733" s="90" t="s">
        <v>213</v>
      </c>
      <c r="Z733" s="93" t="s">
        <v>213</v>
      </c>
    </row>
    <row r="734" ht="15.75" customHeight="1">
      <c r="A734" s="84"/>
      <c r="B734" s="85"/>
      <c r="C734" s="85"/>
      <c r="D734" s="84"/>
      <c r="E734" s="84"/>
      <c r="F734" s="84"/>
      <c r="G734" s="86"/>
      <c r="H734" s="86"/>
      <c r="I734" s="87"/>
      <c r="J734" s="87"/>
      <c r="K734" s="88"/>
      <c r="L734" s="84"/>
      <c r="M734" s="84"/>
      <c r="N734" s="89" t="s">
        <v>213</v>
      </c>
      <c r="O734" s="89" t="s">
        <v>213</v>
      </c>
      <c r="P734" s="89" t="s">
        <v>213</v>
      </c>
      <c r="Q734" s="89" t="s">
        <v>213</v>
      </c>
      <c r="R734" s="89" t="s">
        <v>213</v>
      </c>
      <c r="S734" s="89" t="s">
        <v>213</v>
      </c>
      <c r="T734" s="90" t="s">
        <v>213</v>
      </c>
      <c r="U734" s="91" t="s">
        <v>213</v>
      </c>
      <c r="V734" s="92" t="s">
        <v>213</v>
      </c>
      <c r="W734" s="93" t="s">
        <v>213</v>
      </c>
      <c r="X734" s="92" t="s">
        <v>213</v>
      </c>
      <c r="Y734" s="90" t="s">
        <v>213</v>
      </c>
      <c r="Z734" s="93" t="s">
        <v>213</v>
      </c>
    </row>
    <row r="735" ht="15.75" customHeight="1">
      <c r="A735" s="84"/>
      <c r="B735" s="85"/>
      <c r="C735" s="85"/>
      <c r="D735" s="84"/>
      <c r="E735" s="84"/>
      <c r="F735" s="84"/>
      <c r="G735" s="86"/>
      <c r="H735" s="86"/>
      <c r="I735" s="87"/>
      <c r="J735" s="87"/>
      <c r="K735" s="88"/>
      <c r="L735" s="84"/>
      <c r="M735" s="84"/>
      <c r="N735" s="89" t="s">
        <v>213</v>
      </c>
      <c r="O735" s="89" t="s">
        <v>213</v>
      </c>
      <c r="P735" s="89" t="s">
        <v>213</v>
      </c>
      <c r="Q735" s="89" t="s">
        <v>213</v>
      </c>
      <c r="R735" s="89" t="s">
        <v>213</v>
      </c>
      <c r="S735" s="89" t="s">
        <v>213</v>
      </c>
      <c r="T735" s="90" t="s">
        <v>213</v>
      </c>
      <c r="U735" s="91" t="s">
        <v>213</v>
      </c>
      <c r="V735" s="92" t="s">
        <v>213</v>
      </c>
      <c r="W735" s="93" t="s">
        <v>213</v>
      </c>
      <c r="X735" s="92" t="s">
        <v>213</v>
      </c>
      <c r="Y735" s="90" t="s">
        <v>213</v>
      </c>
      <c r="Z735" s="93" t="s">
        <v>213</v>
      </c>
    </row>
    <row r="736" ht="15.75" customHeight="1">
      <c r="A736" s="84"/>
      <c r="B736" s="85"/>
      <c r="C736" s="85"/>
      <c r="D736" s="84"/>
      <c r="E736" s="84"/>
      <c r="F736" s="84"/>
      <c r="G736" s="86"/>
      <c r="H736" s="86"/>
      <c r="I736" s="87"/>
      <c r="J736" s="87"/>
      <c r="K736" s="88"/>
      <c r="L736" s="84"/>
      <c r="M736" s="84"/>
      <c r="N736" s="89" t="s">
        <v>213</v>
      </c>
      <c r="O736" s="89" t="s">
        <v>213</v>
      </c>
      <c r="P736" s="89" t="s">
        <v>213</v>
      </c>
      <c r="Q736" s="89" t="s">
        <v>213</v>
      </c>
      <c r="R736" s="89" t="s">
        <v>213</v>
      </c>
      <c r="S736" s="89" t="s">
        <v>213</v>
      </c>
      <c r="T736" s="90" t="s">
        <v>213</v>
      </c>
      <c r="U736" s="91" t="s">
        <v>213</v>
      </c>
      <c r="V736" s="92" t="s">
        <v>213</v>
      </c>
      <c r="W736" s="93" t="s">
        <v>213</v>
      </c>
      <c r="X736" s="92" t="s">
        <v>213</v>
      </c>
      <c r="Y736" s="90" t="s">
        <v>213</v>
      </c>
      <c r="Z736" s="93" t="s">
        <v>213</v>
      </c>
    </row>
    <row r="737" ht="15.75" customHeight="1">
      <c r="A737" s="84"/>
      <c r="B737" s="85"/>
      <c r="C737" s="85"/>
      <c r="D737" s="84"/>
      <c r="E737" s="84"/>
      <c r="F737" s="84"/>
      <c r="G737" s="86"/>
      <c r="H737" s="86"/>
      <c r="I737" s="87"/>
      <c r="J737" s="87"/>
      <c r="K737" s="88"/>
      <c r="L737" s="84"/>
      <c r="M737" s="84"/>
      <c r="N737" s="89" t="s">
        <v>213</v>
      </c>
      <c r="O737" s="89" t="s">
        <v>213</v>
      </c>
      <c r="P737" s="89" t="s">
        <v>213</v>
      </c>
      <c r="Q737" s="89" t="s">
        <v>213</v>
      </c>
      <c r="R737" s="89" t="s">
        <v>213</v>
      </c>
      <c r="S737" s="89" t="s">
        <v>213</v>
      </c>
      <c r="T737" s="90" t="s">
        <v>213</v>
      </c>
      <c r="U737" s="91" t="s">
        <v>213</v>
      </c>
      <c r="V737" s="92" t="s">
        <v>213</v>
      </c>
      <c r="W737" s="93" t="s">
        <v>213</v>
      </c>
      <c r="X737" s="92" t="s">
        <v>213</v>
      </c>
      <c r="Y737" s="90" t="s">
        <v>213</v>
      </c>
      <c r="Z737" s="93" t="s">
        <v>213</v>
      </c>
    </row>
    <row r="738" ht="15.75" customHeight="1">
      <c r="A738" s="84"/>
      <c r="B738" s="85"/>
      <c r="C738" s="85"/>
      <c r="D738" s="84"/>
      <c r="E738" s="84"/>
      <c r="F738" s="84"/>
      <c r="G738" s="86"/>
      <c r="H738" s="86"/>
      <c r="I738" s="87"/>
      <c r="J738" s="87"/>
      <c r="K738" s="88"/>
      <c r="L738" s="84"/>
      <c r="M738" s="84"/>
      <c r="N738" s="89" t="s">
        <v>213</v>
      </c>
      <c r="O738" s="89" t="s">
        <v>213</v>
      </c>
      <c r="P738" s="89" t="s">
        <v>213</v>
      </c>
      <c r="Q738" s="89" t="s">
        <v>213</v>
      </c>
      <c r="R738" s="89" t="s">
        <v>213</v>
      </c>
      <c r="S738" s="89" t="s">
        <v>213</v>
      </c>
      <c r="T738" s="90" t="s">
        <v>213</v>
      </c>
      <c r="U738" s="91" t="s">
        <v>213</v>
      </c>
      <c r="V738" s="92" t="s">
        <v>213</v>
      </c>
      <c r="W738" s="93" t="s">
        <v>213</v>
      </c>
      <c r="X738" s="92" t="s">
        <v>213</v>
      </c>
      <c r="Y738" s="90" t="s">
        <v>213</v>
      </c>
      <c r="Z738" s="93" t="s">
        <v>213</v>
      </c>
    </row>
    <row r="739" ht="15.75" customHeight="1">
      <c r="A739" s="84"/>
      <c r="B739" s="85"/>
      <c r="C739" s="85"/>
      <c r="D739" s="84"/>
      <c r="E739" s="84"/>
      <c r="F739" s="84"/>
      <c r="G739" s="86"/>
      <c r="H739" s="86"/>
      <c r="I739" s="87"/>
      <c r="J739" s="87"/>
      <c r="K739" s="88"/>
      <c r="L739" s="84"/>
      <c r="M739" s="84"/>
      <c r="N739" s="89" t="s">
        <v>213</v>
      </c>
      <c r="O739" s="89" t="s">
        <v>213</v>
      </c>
      <c r="P739" s="89" t="s">
        <v>213</v>
      </c>
      <c r="Q739" s="89" t="s">
        <v>213</v>
      </c>
      <c r="R739" s="89" t="s">
        <v>213</v>
      </c>
      <c r="S739" s="89" t="s">
        <v>213</v>
      </c>
      <c r="T739" s="90" t="s">
        <v>213</v>
      </c>
      <c r="U739" s="91" t="s">
        <v>213</v>
      </c>
      <c r="V739" s="92" t="s">
        <v>213</v>
      </c>
      <c r="W739" s="93" t="s">
        <v>213</v>
      </c>
      <c r="X739" s="92" t="s">
        <v>213</v>
      </c>
      <c r="Y739" s="90" t="s">
        <v>213</v>
      </c>
      <c r="Z739" s="93" t="s">
        <v>213</v>
      </c>
    </row>
    <row r="740" ht="15.75" customHeight="1">
      <c r="A740" s="84"/>
      <c r="B740" s="85"/>
      <c r="C740" s="85"/>
      <c r="D740" s="84"/>
      <c r="E740" s="84"/>
      <c r="F740" s="84"/>
      <c r="G740" s="86"/>
      <c r="H740" s="86"/>
      <c r="I740" s="87"/>
      <c r="J740" s="87"/>
      <c r="K740" s="88"/>
      <c r="L740" s="84"/>
      <c r="M740" s="84"/>
      <c r="N740" s="89" t="s">
        <v>213</v>
      </c>
      <c r="O740" s="89" t="s">
        <v>213</v>
      </c>
      <c r="P740" s="89" t="s">
        <v>213</v>
      </c>
      <c r="Q740" s="89" t="s">
        <v>213</v>
      </c>
      <c r="R740" s="89" t="s">
        <v>213</v>
      </c>
      <c r="S740" s="89" t="s">
        <v>213</v>
      </c>
      <c r="T740" s="90" t="s">
        <v>213</v>
      </c>
      <c r="U740" s="91" t="s">
        <v>213</v>
      </c>
      <c r="V740" s="92" t="s">
        <v>213</v>
      </c>
      <c r="W740" s="93" t="s">
        <v>213</v>
      </c>
      <c r="X740" s="92" t="s">
        <v>213</v>
      </c>
      <c r="Y740" s="90" t="s">
        <v>213</v>
      </c>
      <c r="Z740" s="93" t="s">
        <v>213</v>
      </c>
    </row>
    <row r="741" ht="15.75" customHeight="1">
      <c r="A741" s="84"/>
      <c r="B741" s="85"/>
      <c r="C741" s="85"/>
      <c r="D741" s="84"/>
      <c r="E741" s="84"/>
      <c r="F741" s="84"/>
      <c r="G741" s="86"/>
      <c r="H741" s="86"/>
      <c r="I741" s="87"/>
      <c r="J741" s="87"/>
      <c r="K741" s="88"/>
      <c r="L741" s="84"/>
      <c r="M741" s="84"/>
      <c r="N741" s="89" t="s">
        <v>213</v>
      </c>
      <c r="O741" s="89" t="s">
        <v>213</v>
      </c>
      <c r="P741" s="89" t="s">
        <v>213</v>
      </c>
      <c r="Q741" s="89" t="s">
        <v>213</v>
      </c>
      <c r="R741" s="89" t="s">
        <v>213</v>
      </c>
      <c r="S741" s="89" t="s">
        <v>213</v>
      </c>
      <c r="T741" s="90" t="s">
        <v>213</v>
      </c>
      <c r="U741" s="91" t="s">
        <v>213</v>
      </c>
      <c r="V741" s="92" t="s">
        <v>213</v>
      </c>
      <c r="W741" s="93" t="s">
        <v>213</v>
      </c>
      <c r="X741" s="92" t="s">
        <v>213</v>
      </c>
      <c r="Y741" s="90" t="s">
        <v>213</v>
      </c>
      <c r="Z741" s="93" t="s">
        <v>213</v>
      </c>
    </row>
    <row r="742" ht="15.75" customHeight="1">
      <c r="A742" s="84"/>
      <c r="B742" s="85"/>
      <c r="C742" s="85"/>
      <c r="D742" s="84"/>
      <c r="E742" s="84"/>
      <c r="F742" s="84"/>
      <c r="G742" s="86"/>
      <c r="H742" s="86"/>
      <c r="I742" s="87"/>
      <c r="J742" s="87"/>
      <c r="K742" s="88"/>
      <c r="L742" s="84"/>
      <c r="M742" s="84"/>
      <c r="N742" s="89" t="s">
        <v>213</v>
      </c>
      <c r="O742" s="89" t="s">
        <v>213</v>
      </c>
      <c r="P742" s="89" t="s">
        <v>213</v>
      </c>
      <c r="Q742" s="89" t="s">
        <v>213</v>
      </c>
      <c r="R742" s="89" t="s">
        <v>213</v>
      </c>
      <c r="S742" s="89" t="s">
        <v>213</v>
      </c>
      <c r="T742" s="90" t="s">
        <v>213</v>
      </c>
      <c r="U742" s="91" t="s">
        <v>213</v>
      </c>
      <c r="V742" s="92" t="s">
        <v>213</v>
      </c>
      <c r="W742" s="93" t="s">
        <v>213</v>
      </c>
      <c r="X742" s="92" t="s">
        <v>213</v>
      </c>
      <c r="Y742" s="90" t="s">
        <v>213</v>
      </c>
      <c r="Z742" s="93" t="s">
        <v>213</v>
      </c>
    </row>
    <row r="743" ht="15.75" customHeight="1">
      <c r="A743" s="84"/>
      <c r="B743" s="85"/>
      <c r="C743" s="85"/>
      <c r="D743" s="84"/>
      <c r="E743" s="84"/>
      <c r="F743" s="84"/>
      <c r="G743" s="86"/>
      <c r="H743" s="86"/>
      <c r="I743" s="87"/>
      <c r="J743" s="87"/>
      <c r="K743" s="88"/>
      <c r="L743" s="84"/>
      <c r="M743" s="84"/>
      <c r="N743" s="89" t="s">
        <v>213</v>
      </c>
      <c r="O743" s="89" t="s">
        <v>213</v>
      </c>
      <c r="P743" s="89" t="s">
        <v>213</v>
      </c>
      <c r="Q743" s="89" t="s">
        <v>213</v>
      </c>
      <c r="R743" s="89" t="s">
        <v>213</v>
      </c>
      <c r="S743" s="89" t="s">
        <v>213</v>
      </c>
      <c r="T743" s="90" t="s">
        <v>213</v>
      </c>
      <c r="U743" s="91" t="s">
        <v>213</v>
      </c>
      <c r="V743" s="92" t="s">
        <v>213</v>
      </c>
      <c r="W743" s="93" t="s">
        <v>213</v>
      </c>
      <c r="X743" s="92" t="s">
        <v>213</v>
      </c>
      <c r="Y743" s="90" t="s">
        <v>213</v>
      </c>
      <c r="Z743" s="93" t="s">
        <v>213</v>
      </c>
    </row>
    <row r="744" ht="15.75" customHeight="1">
      <c r="A744" s="84"/>
      <c r="B744" s="85"/>
      <c r="C744" s="85"/>
      <c r="D744" s="84"/>
      <c r="E744" s="84"/>
      <c r="F744" s="84"/>
      <c r="G744" s="86"/>
      <c r="H744" s="86"/>
      <c r="I744" s="87"/>
      <c r="J744" s="87"/>
      <c r="K744" s="88"/>
      <c r="L744" s="84"/>
      <c r="M744" s="84"/>
      <c r="N744" s="89" t="s">
        <v>213</v>
      </c>
      <c r="O744" s="89" t="s">
        <v>213</v>
      </c>
      <c r="P744" s="89" t="s">
        <v>213</v>
      </c>
      <c r="Q744" s="89" t="s">
        <v>213</v>
      </c>
      <c r="R744" s="89" t="s">
        <v>213</v>
      </c>
      <c r="S744" s="89" t="s">
        <v>213</v>
      </c>
      <c r="T744" s="90" t="s">
        <v>213</v>
      </c>
      <c r="U744" s="91" t="s">
        <v>213</v>
      </c>
      <c r="V744" s="92" t="s">
        <v>213</v>
      </c>
      <c r="W744" s="93" t="s">
        <v>213</v>
      </c>
      <c r="X744" s="92" t="s">
        <v>213</v>
      </c>
      <c r="Y744" s="90" t="s">
        <v>213</v>
      </c>
      <c r="Z744" s="93" t="s">
        <v>213</v>
      </c>
    </row>
    <row r="745" ht="15.75" customHeight="1">
      <c r="A745" s="84"/>
      <c r="B745" s="85"/>
      <c r="C745" s="85"/>
      <c r="D745" s="84"/>
      <c r="E745" s="84"/>
      <c r="F745" s="84"/>
      <c r="G745" s="86"/>
      <c r="H745" s="86"/>
      <c r="I745" s="87"/>
      <c r="J745" s="87"/>
      <c r="K745" s="88"/>
      <c r="L745" s="84"/>
      <c r="M745" s="84"/>
      <c r="N745" s="89" t="s">
        <v>213</v>
      </c>
      <c r="O745" s="89" t="s">
        <v>213</v>
      </c>
      <c r="P745" s="89" t="s">
        <v>213</v>
      </c>
      <c r="Q745" s="89" t="s">
        <v>213</v>
      </c>
      <c r="R745" s="89" t="s">
        <v>213</v>
      </c>
      <c r="S745" s="89" t="s">
        <v>213</v>
      </c>
      <c r="T745" s="90" t="s">
        <v>213</v>
      </c>
      <c r="U745" s="91" t="s">
        <v>213</v>
      </c>
      <c r="V745" s="92" t="s">
        <v>213</v>
      </c>
      <c r="W745" s="93" t="s">
        <v>213</v>
      </c>
      <c r="X745" s="92" t="s">
        <v>213</v>
      </c>
      <c r="Y745" s="90" t="s">
        <v>213</v>
      </c>
      <c r="Z745" s="93" t="s">
        <v>213</v>
      </c>
    </row>
    <row r="746" ht="15.75" customHeight="1">
      <c r="A746" s="84"/>
      <c r="B746" s="85"/>
      <c r="C746" s="85"/>
      <c r="D746" s="84"/>
      <c r="E746" s="84"/>
      <c r="F746" s="84"/>
      <c r="G746" s="86"/>
      <c r="H746" s="86"/>
      <c r="I746" s="87"/>
      <c r="J746" s="87"/>
      <c r="K746" s="88"/>
      <c r="L746" s="84"/>
      <c r="M746" s="84"/>
      <c r="N746" s="89" t="s">
        <v>213</v>
      </c>
      <c r="O746" s="89" t="s">
        <v>213</v>
      </c>
      <c r="P746" s="89" t="s">
        <v>213</v>
      </c>
      <c r="Q746" s="89" t="s">
        <v>213</v>
      </c>
      <c r="R746" s="89" t="s">
        <v>213</v>
      </c>
      <c r="S746" s="89" t="s">
        <v>213</v>
      </c>
      <c r="T746" s="90" t="s">
        <v>213</v>
      </c>
      <c r="U746" s="91" t="s">
        <v>213</v>
      </c>
      <c r="V746" s="92" t="s">
        <v>213</v>
      </c>
      <c r="W746" s="93" t="s">
        <v>213</v>
      </c>
      <c r="X746" s="92" t="s">
        <v>213</v>
      </c>
      <c r="Y746" s="90" t="s">
        <v>213</v>
      </c>
      <c r="Z746" s="93" t="s">
        <v>213</v>
      </c>
    </row>
    <row r="747" ht="15.75" customHeight="1">
      <c r="A747" s="84"/>
      <c r="B747" s="85"/>
      <c r="C747" s="85"/>
      <c r="D747" s="84"/>
      <c r="E747" s="84"/>
      <c r="F747" s="84"/>
      <c r="G747" s="86"/>
      <c r="H747" s="86"/>
      <c r="I747" s="87"/>
      <c r="J747" s="87"/>
      <c r="K747" s="88"/>
      <c r="L747" s="84"/>
      <c r="M747" s="84"/>
      <c r="N747" s="89" t="s">
        <v>213</v>
      </c>
      <c r="O747" s="89" t="s">
        <v>213</v>
      </c>
      <c r="P747" s="89" t="s">
        <v>213</v>
      </c>
      <c r="Q747" s="89" t="s">
        <v>213</v>
      </c>
      <c r="R747" s="89" t="s">
        <v>213</v>
      </c>
      <c r="S747" s="89" t="s">
        <v>213</v>
      </c>
      <c r="T747" s="90" t="s">
        <v>213</v>
      </c>
      <c r="U747" s="91" t="s">
        <v>213</v>
      </c>
      <c r="V747" s="92" t="s">
        <v>213</v>
      </c>
      <c r="W747" s="93" t="s">
        <v>213</v>
      </c>
      <c r="X747" s="92" t="s">
        <v>213</v>
      </c>
      <c r="Y747" s="90" t="s">
        <v>213</v>
      </c>
      <c r="Z747" s="93" t="s">
        <v>213</v>
      </c>
    </row>
    <row r="748" ht="15.75" customHeight="1">
      <c r="A748" s="84"/>
      <c r="B748" s="85"/>
      <c r="C748" s="85"/>
      <c r="D748" s="84"/>
      <c r="E748" s="84"/>
      <c r="F748" s="84"/>
      <c r="G748" s="86"/>
      <c r="H748" s="86"/>
      <c r="I748" s="87"/>
      <c r="J748" s="87"/>
      <c r="K748" s="88"/>
      <c r="L748" s="84"/>
      <c r="M748" s="84"/>
      <c r="N748" s="89" t="s">
        <v>213</v>
      </c>
      <c r="O748" s="89" t="s">
        <v>213</v>
      </c>
      <c r="P748" s="89" t="s">
        <v>213</v>
      </c>
      <c r="Q748" s="89" t="s">
        <v>213</v>
      </c>
      <c r="R748" s="89" t="s">
        <v>213</v>
      </c>
      <c r="S748" s="89" t="s">
        <v>213</v>
      </c>
      <c r="T748" s="90" t="s">
        <v>213</v>
      </c>
      <c r="U748" s="91" t="s">
        <v>213</v>
      </c>
      <c r="V748" s="92" t="s">
        <v>213</v>
      </c>
      <c r="W748" s="93" t="s">
        <v>213</v>
      </c>
      <c r="X748" s="92" t="s">
        <v>213</v>
      </c>
      <c r="Y748" s="90" t="s">
        <v>213</v>
      </c>
      <c r="Z748" s="93" t="s">
        <v>213</v>
      </c>
    </row>
    <row r="749" ht="15.75" customHeight="1">
      <c r="A749" s="84"/>
      <c r="B749" s="85"/>
      <c r="C749" s="85"/>
      <c r="D749" s="84"/>
      <c r="E749" s="84"/>
      <c r="F749" s="84"/>
      <c r="G749" s="86"/>
      <c r="H749" s="86"/>
      <c r="I749" s="87"/>
      <c r="J749" s="87"/>
      <c r="K749" s="88"/>
      <c r="L749" s="84"/>
      <c r="M749" s="84"/>
      <c r="N749" s="89" t="s">
        <v>213</v>
      </c>
      <c r="O749" s="89" t="s">
        <v>213</v>
      </c>
      <c r="P749" s="89" t="s">
        <v>213</v>
      </c>
      <c r="Q749" s="89" t="s">
        <v>213</v>
      </c>
      <c r="R749" s="89" t="s">
        <v>213</v>
      </c>
      <c r="S749" s="89" t="s">
        <v>213</v>
      </c>
      <c r="T749" s="90" t="s">
        <v>213</v>
      </c>
      <c r="U749" s="91" t="s">
        <v>213</v>
      </c>
      <c r="V749" s="92" t="s">
        <v>213</v>
      </c>
      <c r="W749" s="93" t="s">
        <v>213</v>
      </c>
      <c r="X749" s="92" t="s">
        <v>213</v>
      </c>
      <c r="Y749" s="90" t="s">
        <v>213</v>
      </c>
      <c r="Z749" s="93" t="s">
        <v>213</v>
      </c>
    </row>
    <row r="750" ht="15.75" customHeight="1">
      <c r="A750" s="84"/>
      <c r="B750" s="85"/>
      <c r="C750" s="85"/>
      <c r="D750" s="84"/>
      <c r="E750" s="84"/>
      <c r="F750" s="84"/>
      <c r="G750" s="86"/>
      <c r="H750" s="86"/>
      <c r="I750" s="87"/>
      <c r="J750" s="87"/>
      <c r="K750" s="88"/>
      <c r="L750" s="84"/>
      <c r="M750" s="84"/>
      <c r="N750" s="89" t="s">
        <v>213</v>
      </c>
      <c r="O750" s="89" t="s">
        <v>213</v>
      </c>
      <c r="P750" s="89" t="s">
        <v>213</v>
      </c>
      <c r="Q750" s="89" t="s">
        <v>213</v>
      </c>
      <c r="R750" s="89" t="s">
        <v>213</v>
      </c>
      <c r="S750" s="89" t="s">
        <v>213</v>
      </c>
      <c r="T750" s="90" t="s">
        <v>213</v>
      </c>
      <c r="U750" s="91" t="s">
        <v>213</v>
      </c>
      <c r="V750" s="92" t="s">
        <v>213</v>
      </c>
      <c r="W750" s="93" t="s">
        <v>213</v>
      </c>
      <c r="X750" s="92" t="s">
        <v>213</v>
      </c>
      <c r="Y750" s="90" t="s">
        <v>213</v>
      </c>
      <c r="Z750" s="93" t="s">
        <v>213</v>
      </c>
    </row>
    <row r="751" ht="15.75" customHeight="1">
      <c r="A751" s="84"/>
      <c r="B751" s="85"/>
      <c r="C751" s="85"/>
      <c r="D751" s="84"/>
      <c r="E751" s="84"/>
      <c r="F751" s="84"/>
      <c r="G751" s="86"/>
      <c r="H751" s="86"/>
      <c r="I751" s="87"/>
      <c r="J751" s="87"/>
      <c r="K751" s="88"/>
      <c r="L751" s="84"/>
      <c r="M751" s="84"/>
      <c r="N751" s="89" t="s">
        <v>213</v>
      </c>
      <c r="O751" s="89" t="s">
        <v>213</v>
      </c>
      <c r="P751" s="89" t="s">
        <v>213</v>
      </c>
      <c r="Q751" s="89" t="s">
        <v>213</v>
      </c>
      <c r="R751" s="89" t="s">
        <v>213</v>
      </c>
      <c r="S751" s="89" t="s">
        <v>213</v>
      </c>
      <c r="T751" s="90" t="s">
        <v>213</v>
      </c>
      <c r="U751" s="91" t="s">
        <v>213</v>
      </c>
      <c r="V751" s="92" t="s">
        <v>213</v>
      </c>
      <c r="W751" s="93" t="s">
        <v>213</v>
      </c>
      <c r="X751" s="92" t="s">
        <v>213</v>
      </c>
      <c r="Y751" s="90" t="s">
        <v>213</v>
      </c>
      <c r="Z751" s="93" t="s">
        <v>213</v>
      </c>
    </row>
    <row r="752" ht="15.75" customHeight="1">
      <c r="A752" s="84"/>
      <c r="B752" s="85"/>
      <c r="C752" s="85"/>
      <c r="D752" s="84"/>
      <c r="E752" s="84"/>
      <c r="F752" s="84"/>
      <c r="G752" s="86"/>
      <c r="H752" s="86"/>
      <c r="I752" s="87"/>
      <c r="J752" s="87"/>
      <c r="K752" s="88"/>
      <c r="L752" s="84"/>
      <c r="M752" s="84"/>
      <c r="N752" s="89" t="s">
        <v>213</v>
      </c>
      <c r="O752" s="89" t="s">
        <v>213</v>
      </c>
      <c r="P752" s="89" t="s">
        <v>213</v>
      </c>
      <c r="Q752" s="89" t="s">
        <v>213</v>
      </c>
      <c r="R752" s="89" t="s">
        <v>213</v>
      </c>
      <c r="S752" s="89" t="s">
        <v>213</v>
      </c>
      <c r="T752" s="90" t="s">
        <v>213</v>
      </c>
      <c r="U752" s="91" t="s">
        <v>213</v>
      </c>
      <c r="V752" s="92" t="s">
        <v>213</v>
      </c>
      <c r="W752" s="93" t="s">
        <v>213</v>
      </c>
      <c r="X752" s="92" t="s">
        <v>213</v>
      </c>
      <c r="Y752" s="90" t="s">
        <v>213</v>
      </c>
      <c r="Z752" s="93" t="s">
        <v>213</v>
      </c>
    </row>
    <row r="753" ht="15.75" customHeight="1">
      <c r="A753" s="84"/>
      <c r="B753" s="85"/>
      <c r="C753" s="85"/>
      <c r="D753" s="84"/>
      <c r="E753" s="84"/>
      <c r="F753" s="84"/>
      <c r="G753" s="86"/>
      <c r="H753" s="86"/>
      <c r="I753" s="87"/>
      <c r="J753" s="87"/>
      <c r="K753" s="88"/>
      <c r="L753" s="84"/>
      <c r="M753" s="84"/>
      <c r="N753" s="89" t="s">
        <v>213</v>
      </c>
      <c r="O753" s="89" t="s">
        <v>213</v>
      </c>
      <c r="P753" s="89" t="s">
        <v>213</v>
      </c>
      <c r="Q753" s="89" t="s">
        <v>213</v>
      </c>
      <c r="R753" s="89" t="s">
        <v>213</v>
      </c>
      <c r="S753" s="89" t="s">
        <v>213</v>
      </c>
      <c r="T753" s="90" t="s">
        <v>213</v>
      </c>
      <c r="U753" s="91" t="s">
        <v>213</v>
      </c>
      <c r="V753" s="92" t="s">
        <v>213</v>
      </c>
      <c r="W753" s="93" t="s">
        <v>213</v>
      </c>
      <c r="X753" s="92" t="s">
        <v>213</v>
      </c>
      <c r="Y753" s="90" t="s">
        <v>213</v>
      </c>
      <c r="Z753" s="93" t="s">
        <v>213</v>
      </c>
    </row>
    <row r="754" ht="15.75" customHeight="1">
      <c r="A754" s="84"/>
      <c r="B754" s="85"/>
      <c r="C754" s="85"/>
      <c r="D754" s="84"/>
      <c r="E754" s="84"/>
      <c r="F754" s="84"/>
      <c r="G754" s="86"/>
      <c r="H754" s="86"/>
      <c r="I754" s="87"/>
      <c r="J754" s="87"/>
      <c r="K754" s="88"/>
      <c r="L754" s="84"/>
      <c r="M754" s="84"/>
      <c r="N754" s="89" t="s">
        <v>213</v>
      </c>
      <c r="O754" s="89" t="s">
        <v>213</v>
      </c>
      <c r="P754" s="89" t="s">
        <v>213</v>
      </c>
      <c r="Q754" s="89" t="s">
        <v>213</v>
      </c>
      <c r="R754" s="89" t="s">
        <v>213</v>
      </c>
      <c r="S754" s="89" t="s">
        <v>213</v>
      </c>
      <c r="T754" s="90" t="s">
        <v>213</v>
      </c>
      <c r="U754" s="91" t="s">
        <v>213</v>
      </c>
      <c r="V754" s="92" t="s">
        <v>213</v>
      </c>
      <c r="W754" s="93" t="s">
        <v>213</v>
      </c>
      <c r="X754" s="92" t="s">
        <v>213</v>
      </c>
      <c r="Y754" s="90" t="s">
        <v>213</v>
      </c>
      <c r="Z754" s="93" t="s">
        <v>213</v>
      </c>
    </row>
    <row r="755" ht="15.75" customHeight="1">
      <c r="A755" s="84"/>
      <c r="B755" s="85"/>
      <c r="C755" s="85"/>
      <c r="D755" s="84"/>
      <c r="E755" s="84"/>
      <c r="F755" s="84"/>
      <c r="G755" s="86"/>
      <c r="H755" s="86"/>
      <c r="I755" s="87"/>
      <c r="J755" s="87"/>
      <c r="K755" s="88"/>
      <c r="L755" s="84"/>
      <c r="M755" s="84"/>
      <c r="N755" s="89" t="s">
        <v>213</v>
      </c>
      <c r="O755" s="89" t="s">
        <v>213</v>
      </c>
      <c r="P755" s="89" t="s">
        <v>213</v>
      </c>
      <c r="Q755" s="89" t="s">
        <v>213</v>
      </c>
      <c r="R755" s="89" t="s">
        <v>213</v>
      </c>
      <c r="S755" s="89" t="s">
        <v>213</v>
      </c>
      <c r="T755" s="90" t="s">
        <v>213</v>
      </c>
      <c r="U755" s="91" t="s">
        <v>213</v>
      </c>
      <c r="V755" s="92" t="s">
        <v>213</v>
      </c>
      <c r="W755" s="93" t="s">
        <v>213</v>
      </c>
      <c r="X755" s="92" t="s">
        <v>213</v>
      </c>
      <c r="Y755" s="90" t="s">
        <v>213</v>
      </c>
      <c r="Z755" s="93" t="s">
        <v>213</v>
      </c>
    </row>
    <row r="756" ht="15.75" customHeight="1">
      <c r="A756" s="84"/>
      <c r="B756" s="85"/>
      <c r="C756" s="85"/>
      <c r="D756" s="84"/>
      <c r="E756" s="84"/>
      <c r="F756" s="84"/>
      <c r="G756" s="86"/>
      <c r="H756" s="86"/>
      <c r="I756" s="87"/>
      <c r="J756" s="87"/>
      <c r="K756" s="88"/>
      <c r="L756" s="84"/>
      <c r="M756" s="84"/>
      <c r="N756" s="89" t="s">
        <v>213</v>
      </c>
      <c r="O756" s="89" t="s">
        <v>213</v>
      </c>
      <c r="P756" s="89" t="s">
        <v>213</v>
      </c>
      <c r="Q756" s="89" t="s">
        <v>213</v>
      </c>
      <c r="R756" s="89" t="s">
        <v>213</v>
      </c>
      <c r="S756" s="89" t="s">
        <v>213</v>
      </c>
      <c r="T756" s="90" t="s">
        <v>213</v>
      </c>
      <c r="U756" s="91" t="s">
        <v>213</v>
      </c>
      <c r="V756" s="92" t="s">
        <v>213</v>
      </c>
      <c r="W756" s="93" t="s">
        <v>213</v>
      </c>
      <c r="X756" s="92" t="s">
        <v>213</v>
      </c>
      <c r="Y756" s="90" t="s">
        <v>213</v>
      </c>
      <c r="Z756" s="93" t="s">
        <v>213</v>
      </c>
    </row>
    <row r="757" ht="15.75" customHeight="1">
      <c r="A757" s="84"/>
      <c r="B757" s="85"/>
      <c r="C757" s="85"/>
      <c r="D757" s="84"/>
      <c r="E757" s="84"/>
      <c r="F757" s="84"/>
      <c r="G757" s="86"/>
      <c r="H757" s="86"/>
      <c r="I757" s="87"/>
      <c r="J757" s="87"/>
      <c r="K757" s="88"/>
      <c r="L757" s="84"/>
      <c r="M757" s="84"/>
      <c r="N757" s="89" t="s">
        <v>213</v>
      </c>
      <c r="O757" s="89" t="s">
        <v>213</v>
      </c>
      <c r="P757" s="89" t="s">
        <v>213</v>
      </c>
      <c r="Q757" s="89" t="s">
        <v>213</v>
      </c>
      <c r="R757" s="89" t="s">
        <v>213</v>
      </c>
      <c r="S757" s="89" t="s">
        <v>213</v>
      </c>
      <c r="T757" s="90" t="s">
        <v>213</v>
      </c>
      <c r="U757" s="91" t="s">
        <v>213</v>
      </c>
      <c r="V757" s="92" t="s">
        <v>213</v>
      </c>
      <c r="W757" s="93" t="s">
        <v>213</v>
      </c>
      <c r="X757" s="92" t="s">
        <v>213</v>
      </c>
      <c r="Y757" s="90" t="s">
        <v>213</v>
      </c>
      <c r="Z757" s="93" t="s">
        <v>213</v>
      </c>
    </row>
    <row r="758" ht="15.75" customHeight="1">
      <c r="A758" s="84"/>
      <c r="B758" s="85"/>
      <c r="C758" s="85"/>
      <c r="D758" s="84"/>
      <c r="E758" s="84"/>
      <c r="F758" s="84"/>
      <c r="G758" s="86"/>
      <c r="H758" s="86"/>
      <c r="I758" s="87"/>
      <c r="J758" s="87"/>
      <c r="K758" s="88"/>
      <c r="L758" s="84"/>
      <c r="M758" s="84"/>
      <c r="N758" s="89" t="s">
        <v>213</v>
      </c>
      <c r="O758" s="89" t="s">
        <v>213</v>
      </c>
      <c r="P758" s="89" t="s">
        <v>213</v>
      </c>
      <c r="Q758" s="89" t="s">
        <v>213</v>
      </c>
      <c r="R758" s="89" t="s">
        <v>213</v>
      </c>
      <c r="S758" s="89" t="s">
        <v>213</v>
      </c>
      <c r="T758" s="90" t="s">
        <v>213</v>
      </c>
      <c r="U758" s="91" t="s">
        <v>213</v>
      </c>
      <c r="V758" s="92" t="s">
        <v>213</v>
      </c>
      <c r="W758" s="93" t="s">
        <v>213</v>
      </c>
      <c r="X758" s="92" t="s">
        <v>213</v>
      </c>
      <c r="Y758" s="90" t="s">
        <v>213</v>
      </c>
      <c r="Z758" s="93" t="s">
        <v>213</v>
      </c>
    </row>
    <row r="759" ht="15.75" customHeight="1">
      <c r="A759" s="84"/>
      <c r="B759" s="85"/>
      <c r="C759" s="85"/>
      <c r="D759" s="84"/>
      <c r="E759" s="84"/>
      <c r="F759" s="84"/>
      <c r="G759" s="86"/>
      <c r="H759" s="86"/>
      <c r="I759" s="87"/>
      <c r="J759" s="87"/>
      <c r="K759" s="88"/>
      <c r="L759" s="84"/>
      <c r="M759" s="84"/>
      <c r="N759" s="89" t="s">
        <v>213</v>
      </c>
      <c r="O759" s="89" t="s">
        <v>213</v>
      </c>
      <c r="P759" s="89" t="s">
        <v>213</v>
      </c>
      <c r="Q759" s="89" t="s">
        <v>213</v>
      </c>
      <c r="R759" s="89" t="s">
        <v>213</v>
      </c>
      <c r="S759" s="89" t="s">
        <v>213</v>
      </c>
      <c r="T759" s="90" t="s">
        <v>213</v>
      </c>
      <c r="U759" s="91" t="s">
        <v>213</v>
      </c>
      <c r="V759" s="92" t="s">
        <v>213</v>
      </c>
      <c r="W759" s="93" t="s">
        <v>213</v>
      </c>
      <c r="X759" s="92" t="s">
        <v>213</v>
      </c>
      <c r="Y759" s="90" t="s">
        <v>213</v>
      </c>
      <c r="Z759" s="93" t="s">
        <v>213</v>
      </c>
    </row>
    <row r="760" ht="15.75" customHeight="1">
      <c r="A760" s="84"/>
      <c r="B760" s="85"/>
      <c r="C760" s="85"/>
      <c r="D760" s="84"/>
      <c r="E760" s="84"/>
      <c r="F760" s="84"/>
      <c r="G760" s="86"/>
      <c r="H760" s="86"/>
      <c r="I760" s="87"/>
      <c r="J760" s="87"/>
      <c r="K760" s="88"/>
      <c r="L760" s="84"/>
      <c r="M760" s="84"/>
      <c r="N760" s="89" t="s">
        <v>213</v>
      </c>
      <c r="O760" s="89" t="s">
        <v>213</v>
      </c>
      <c r="P760" s="89" t="s">
        <v>213</v>
      </c>
      <c r="Q760" s="89" t="s">
        <v>213</v>
      </c>
      <c r="R760" s="89" t="s">
        <v>213</v>
      </c>
      <c r="S760" s="89" t="s">
        <v>213</v>
      </c>
      <c r="T760" s="90" t="s">
        <v>213</v>
      </c>
      <c r="U760" s="91" t="s">
        <v>213</v>
      </c>
      <c r="V760" s="92" t="s">
        <v>213</v>
      </c>
      <c r="W760" s="93" t="s">
        <v>213</v>
      </c>
      <c r="X760" s="92" t="s">
        <v>213</v>
      </c>
      <c r="Y760" s="90" t="s">
        <v>213</v>
      </c>
      <c r="Z760" s="93" t="s">
        <v>213</v>
      </c>
    </row>
    <row r="761" ht="15.75" customHeight="1">
      <c r="A761" s="84"/>
      <c r="B761" s="85"/>
      <c r="C761" s="85"/>
      <c r="D761" s="84"/>
      <c r="E761" s="84"/>
      <c r="F761" s="84"/>
      <c r="G761" s="86"/>
      <c r="H761" s="86"/>
      <c r="I761" s="87"/>
      <c r="J761" s="87"/>
      <c r="K761" s="88"/>
      <c r="L761" s="84"/>
      <c r="M761" s="84"/>
      <c r="N761" s="89" t="s">
        <v>213</v>
      </c>
      <c r="O761" s="89" t="s">
        <v>213</v>
      </c>
      <c r="P761" s="89" t="s">
        <v>213</v>
      </c>
      <c r="Q761" s="89" t="s">
        <v>213</v>
      </c>
      <c r="R761" s="89" t="s">
        <v>213</v>
      </c>
      <c r="S761" s="89" t="s">
        <v>213</v>
      </c>
      <c r="T761" s="90" t="s">
        <v>213</v>
      </c>
      <c r="U761" s="91" t="s">
        <v>213</v>
      </c>
      <c r="V761" s="92" t="s">
        <v>213</v>
      </c>
      <c r="W761" s="93" t="s">
        <v>213</v>
      </c>
      <c r="X761" s="92" t="s">
        <v>213</v>
      </c>
      <c r="Y761" s="90" t="s">
        <v>213</v>
      </c>
      <c r="Z761" s="93" t="s">
        <v>213</v>
      </c>
    </row>
    <row r="762" ht="15.75" customHeight="1">
      <c r="A762" s="84"/>
      <c r="B762" s="85"/>
      <c r="C762" s="85"/>
      <c r="D762" s="84"/>
      <c r="E762" s="84"/>
      <c r="F762" s="84"/>
      <c r="G762" s="86"/>
      <c r="H762" s="86"/>
      <c r="I762" s="87"/>
      <c r="J762" s="87"/>
      <c r="K762" s="88"/>
      <c r="L762" s="84"/>
      <c r="M762" s="84"/>
      <c r="N762" s="89" t="s">
        <v>213</v>
      </c>
      <c r="O762" s="89" t="s">
        <v>213</v>
      </c>
      <c r="P762" s="89" t="s">
        <v>213</v>
      </c>
      <c r="Q762" s="89" t="s">
        <v>213</v>
      </c>
      <c r="R762" s="89" t="s">
        <v>213</v>
      </c>
      <c r="S762" s="89" t="s">
        <v>213</v>
      </c>
      <c r="T762" s="90" t="s">
        <v>213</v>
      </c>
      <c r="U762" s="91" t="s">
        <v>213</v>
      </c>
      <c r="V762" s="92" t="s">
        <v>213</v>
      </c>
      <c r="W762" s="93" t="s">
        <v>213</v>
      </c>
      <c r="X762" s="92" t="s">
        <v>213</v>
      </c>
      <c r="Y762" s="90" t="s">
        <v>213</v>
      </c>
      <c r="Z762" s="93" t="s">
        <v>213</v>
      </c>
    </row>
    <row r="763" ht="15.75" customHeight="1">
      <c r="A763" s="84"/>
      <c r="B763" s="85"/>
      <c r="C763" s="85"/>
      <c r="D763" s="84"/>
      <c r="E763" s="84"/>
      <c r="F763" s="84"/>
      <c r="G763" s="86"/>
      <c r="H763" s="86"/>
      <c r="I763" s="87"/>
      <c r="J763" s="87"/>
      <c r="K763" s="88"/>
      <c r="L763" s="84"/>
      <c r="M763" s="84"/>
      <c r="N763" s="89" t="s">
        <v>213</v>
      </c>
      <c r="O763" s="89" t="s">
        <v>213</v>
      </c>
      <c r="P763" s="89" t="s">
        <v>213</v>
      </c>
      <c r="Q763" s="89" t="s">
        <v>213</v>
      </c>
      <c r="R763" s="89" t="s">
        <v>213</v>
      </c>
      <c r="S763" s="89" t="s">
        <v>213</v>
      </c>
      <c r="T763" s="90" t="s">
        <v>213</v>
      </c>
      <c r="U763" s="91" t="s">
        <v>213</v>
      </c>
      <c r="V763" s="92" t="s">
        <v>213</v>
      </c>
      <c r="W763" s="93" t="s">
        <v>213</v>
      </c>
      <c r="X763" s="92" t="s">
        <v>213</v>
      </c>
      <c r="Y763" s="90" t="s">
        <v>213</v>
      </c>
      <c r="Z763" s="93" t="s">
        <v>213</v>
      </c>
    </row>
    <row r="764" ht="15.75" customHeight="1">
      <c r="A764" s="84"/>
      <c r="B764" s="85"/>
      <c r="C764" s="85"/>
      <c r="D764" s="84"/>
      <c r="E764" s="84"/>
      <c r="F764" s="84"/>
      <c r="G764" s="86"/>
      <c r="H764" s="86"/>
      <c r="I764" s="87"/>
      <c r="J764" s="87"/>
      <c r="K764" s="88"/>
      <c r="L764" s="84"/>
      <c r="M764" s="84"/>
      <c r="N764" s="89" t="s">
        <v>213</v>
      </c>
      <c r="O764" s="89" t="s">
        <v>213</v>
      </c>
      <c r="P764" s="89" t="s">
        <v>213</v>
      </c>
      <c r="Q764" s="89" t="s">
        <v>213</v>
      </c>
      <c r="R764" s="89" t="s">
        <v>213</v>
      </c>
      <c r="S764" s="89" t="s">
        <v>213</v>
      </c>
      <c r="T764" s="90" t="s">
        <v>213</v>
      </c>
      <c r="U764" s="91" t="s">
        <v>213</v>
      </c>
      <c r="V764" s="92" t="s">
        <v>213</v>
      </c>
      <c r="W764" s="93" t="s">
        <v>213</v>
      </c>
      <c r="X764" s="92" t="s">
        <v>213</v>
      </c>
      <c r="Y764" s="90" t="s">
        <v>213</v>
      </c>
      <c r="Z764" s="93" t="s">
        <v>213</v>
      </c>
    </row>
    <row r="765" ht="15.75" customHeight="1">
      <c r="A765" s="84"/>
      <c r="B765" s="85"/>
      <c r="C765" s="85"/>
      <c r="D765" s="84"/>
      <c r="E765" s="84"/>
      <c r="F765" s="84"/>
      <c r="G765" s="86"/>
      <c r="H765" s="86"/>
      <c r="I765" s="87"/>
      <c r="J765" s="87"/>
      <c r="K765" s="88"/>
      <c r="L765" s="84"/>
      <c r="M765" s="84"/>
      <c r="N765" s="89" t="s">
        <v>213</v>
      </c>
      <c r="O765" s="89" t="s">
        <v>213</v>
      </c>
      <c r="P765" s="89" t="s">
        <v>213</v>
      </c>
      <c r="Q765" s="89" t="s">
        <v>213</v>
      </c>
      <c r="R765" s="89" t="s">
        <v>213</v>
      </c>
      <c r="S765" s="89" t="s">
        <v>213</v>
      </c>
      <c r="T765" s="90" t="s">
        <v>213</v>
      </c>
      <c r="U765" s="91" t="s">
        <v>213</v>
      </c>
      <c r="V765" s="92" t="s">
        <v>213</v>
      </c>
      <c r="W765" s="93" t="s">
        <v>213</v>
      </c>
      <c r="X765" s="92" t="s">
        <v>213</v>
      </c>
      <c r="Y765" s="90" t="s">
        <v>213</v>
      </c>
      <c r="Z765" s="93" t="s">
        <v>213</v>
      </c>
    </row>
    <row r="766" ht="15.75" customHeight="1">
      <c r="A766" s="84"/>
      <c r="B766" s="85"/>
      <c r="C766" s="85"/>
      <c r="D766" s="84"/>
      <c r="E766" s="84"/>
      <c r="F766" s="84"/>
      <c r="G766" s="86"/>
      <c r="H766" s="86"/>
      <c r="I766" s="87"/>
      <c r="J766" s="87"/>
      <c r="K766" s="88"/>
      <c r="L766" s="84"/>
      <c r="M766" s="84"/>
      <c r="N766" s="89" t="s">
        <v>213</v>
      </c>
      <c r="O766" s="89" t="s">
        <v>213</v>
      </c>
      <c r="P766" s="89" t="s">
        <v>213</v>
      </c>
      <c r="Q766" s="89" t="s">
        <v>213</v>
      </c>
      <c r="R766" s="89" t="s">
        <v>213</v>
      </c>
      <c r="S766" s="89" t="s">
        <v>213</v>
      </c>
      <c r="T766" s="90" t="s">
        <v>213</v>
      </c>
      <c r="U766" s="91" t="s">
        <v>213</v>
      </c>
      <c r="V766" s="92" t="s">
        <v>213</v>
      </c>
      <c r="W766" s="93" t="s">
        <v>213</v>
      </c>
      <c r="X766" s="92" t="s">
        <v>213</v>
      </c>
      <c r="Y766" s="90" t="s">
        <v>213</v>
      </c>
      <c r="Z766" s="93" t="s">
        <v>213</v>
      </c>
    </row>
    <row r="767" ht="15.75" customHeight="1">
      <c r="A767" s="84"/>
      <c r="B767" s="85"/>
      <c r="C767" s="85"/>
      <c r="D767" s="84"/>
      <c r="E767" s="84"/>
      <c r="F767" s="84"/>
      <c r="G767" s="86"/>
      <c r="H767" s="86"/>
      <c r="I767" s="87"/>
      <c r="J767" s="87"/>
      <c r="K767" s="88"/>
      <c r="L767" s="84"/>
      <c r="M767" s="84"/>
      <c r="N767" s="89" t="s">
        <v>213</v>
      </c>
      <c r="O767" s="89" t="s">
        <v>213</v>
      </c>
      <c r="P767" s="89" t="s">
        <v>213</v>
      </c>
      <c r="Q767" s="89" t="s">
        <v>213</v>
      </c>
      <c r="R767" s="89" t="s">
        <v>213</v>
      </c>
      <c r="S767" s="89" t="s">
        <v>213</v>
      </c>
      <c r="T767" s="90" t="s">
        <v>213</v>
      </c>
      <c r="U767" s="91" t="s">
        <v>213</v>
      </c>
      <c r="V767" s="92" t="s">
        <v>213</v>
      </c>
      <c r="W767" s="93" t="s">
        <v>213</v>
      </c>
      <c r="X767" s="92" t="s">
        <v>213</v>
      </c>
      <c r="Y767" s="90" t="s">
        <v>213</v>
      </c>
      <c r="Z767" s="93" t="s">
        <v>213</v>
      </c>
    </row>
    <row r="768" ht="15.75" customHeight="1">
      <c r="A768" s="84"/>
      <c r="B768" s="85"/>
      <c r="C768" s="85"/>
      <c r="D768" s="84"/>
      <c r="E768" s="84"/>
      <c r="F768" s="84"/>
      <c r="G768" s="86"/>
      <c r="H768" s="86"/>
      <c r="I768" s="87"/>
      <c r="J768" s="87"/>
      <c r="K768" s="88"/>
      <c r="L768" s="84"/>
      <c r="M768" s="84"/>
      <c r="N768" s="89" t="s">
        <v>213</v>
      </c>
      <c r="O768" s="89" t="s">
        <v>213</v>
      </c>
      <c r="P768" s="89" t="s">
        <v>213</v>
      </c>
      <c r="Q768" s="89" t="s">
        <v>213</v>
      </c>
      <c r="R768" s="89" t="s">
        <v>213</v>
      </c>
      <c r="S768" s="89" t="s">
        <v>213</v>
      </c>
      <c r="T768" s="90" t="s">
        <v>213</v>
      </c>
      <c r="U768" s="91" t="s">
        <v>213</v>
      </c>
      <c r="V768" s="92" t="s">
        <v>213</v>
      </c>
      <c r="W768" s="93" t="s">
        <v>213</v>
      </c>
      <c r="X768" s="92" t="s">
        <v>213</v>
      </c>
      <c r="Y768" s="90" t="s">
        <v>213</v>
      </c>
      <c r="Z768" s="93" t="s">
        <v>213</v>
      </c>
    </row>
    <row r="769" ht="15.75" customHeight="1">
      <c r="A769" s="84"/>
      <c r="B769" s="85"/>
      <c r="C769" s="85"/>
      <c r="D769" s="84"/>
      <c r="E769" s="84"/>
      <c r="F769" s="84"/>
      <c r="G769" s="86"/>
      <c r="H769" s="86"/>
      <c r="I769" s="87"/>
      <c r="J769" s="87"/>
      <c r="K769" s="88"/>
      <c r="L769" s="84"/>
      <c r="M769" s="84"/>
      <c r="N769" s="89" t="s">
        <v>213</v>
      </c>
      <c r="O769" s="89" t="s">
        <v>213</v>
      </c>
      <c r="P769" s="89" t="s">
        <v>213</v>
      </c>
      <c r="Q769" s="89" t="s">
        <v>213</v>
      </c>
      <c r="R769" s="89" t="s">
        <v>213</v>
      </c>
      <c r="S769" s="89" t="s">
        <v>213</v>
      </c>
      <c r="T769" s="90" t="s">
        <v>213</v>
      </c>
      <c r="U769" s="91" t="s">
        <v>213</v>
      </c>
      <c r="V769" s="92" t="s">
        <v>213</v>
      </c>
      <c r="W769" s="93" t="s">
        <v>213</v>
      </c>
      <c r="X769" s="92" t="s">
        <v>213</v>
      </c>
      <c r="Y769" s="90" t="s">
        <v>213</v>
      </c>
      <c r="Z769" s="93" t="s">
        <v>213</v>
      </c>
    </row>
    <row r="770" ht="15.75" customHeight="1">
      <c r="A770" s="84"/>
      <c r="B770" s="85"/>
      <c r="C770" s="85"/>
      <c r="D770" s="84"/>
      <c r="E770" s="84"/>
      <c r="F770" s="84"/>
      <c r="G770" s="86"/>
      <c r="H770" s="86"/>
      <c r="I770" s="87"/>
      <c r="J770" s="87"/>
      <c r="K770" s="88"/>
      <c r="L770" s="84"/>
      <c r="M770" s="84"/>
      <c r="N770" s="89" t="s">
        <v>213</v>
      </c>
      <c r="O770" s="89" t="s">
        <v>213</v>
      </c>
      <c r="P770" s="89" t="s">
        <v>213</v>
      </c>
      <c r="Q770" s="89" t="s">
        <v>213</v>
      </c>
      <c r="R770" s="89" t="s">
        <v>213</v>
      </c>
      <c r="S770" s="89" t="s">
        <v>213</v>
      </c>
      <c r="T770" s="90" t="s">
        <v>213</v>
      </c>
      <c r="U770" s="91" t="s">
        <v>213</v>
      </c>
      <c r="V770" s="92" t="s">
        <v>213</v>
      </c>
      <c r="W770" s="93" t="s">
        <v>213</v>
      </c>
      <c r="X770" s="92" t="s">
        <v>213</v>
      </c>
      <c r="Y770" s="90" t="s">
        <v>213</v>
      </c>
      <c r="Z770" s="93" t="s">
        <v>213</v>
      </c>
    </row>
    <row r="771" ht="15.75" customHeight="1">
      <c r="A771" s="84"/>
      <c r="B771" s="85"/>
      <c r="C771" s="85"/>
      <c r="D771" s="84"/>
      <c r="E771" s="84"/>
      <c r="F771" s="84"/>
      <c r="G771" s="86"/>
      <c r="H771" s="86"/>
      <c r="I771" s="87"/>
      <c r="J771" s="87"/>
      <c r="K771" s="88"/>
      <c r="L771" s="84"/>
      <c r="M771" s="84"/>
      <c r="N771" s="89" t="s">
        <v>213</v>
      </c>
      <c r="O771" s="89" t="s">
        <v>213</v>
      </c>
      <c r="P771" s="89" t="s">
        <v>213</v>
      </c>
      <c r="Q771" s="89" t="s">
        <v>213</v>
      </c>
      <c r="R771" s="89" t="s">
        <v>213</v>
      </c>
      <c r="S771" s="89" t="s">
        <v>213</v>
      </c>
      <c r="T771" s="90" t="s">
        <v>213</v>
      </c>
      <c r="U771" s="91" t="s">
        <v>213</v>
      </c>
      <c r="V771" s="92" t="s">
        <v>213</v>
      </c>
      <c r="W771" s="93" t="s">
        <v>213</v>
      </c>
      <c r="X771" s="92" t="s">
        <v>213</v>
      </c>
      <c r="Y771" s="90" t="s">
        <v>213</v>
      </c>
      <c r="Z771" s="93" t="s">
        <v>213</v>
      </c>
    </row>
    <row r="772" ht="15.75" customHeight="1">
      <c r="A772" s="84"/>
      <c r="B772" s="85"/>
      <c r="C772" s="85"/>
      <c r="D772" s="84"/>
      <c r="E772" s="84"/>
      <c r="F772" s="84"/>
      <c r="G772" s="86"/>
      <c r="H772" s="86"/>
      <c r="I772" s="87"/>
      <c r="J772" s="87"/>
      <c r="K772" s="88"/>
      <c r="L772" s="84"/>
      <c r="M772" s="84"/>
      <c r="N772" s="89" t="s">
        <v>213</v>
      </c>
      <c r="O772" s="89" t="s">
        <v>213</v>
      </c>
      <c r="P772" s="89" t="s">
        <v>213</v>
      </c>
      <c r="Q772" s="89" t="s">
        <v>213</v>
      </c>
      <c r="R772" s="89" t="s">
        <v>213</v>
      </c>
      <c r="S772" s="89" t="s">
        <v>213</v>
      </c>
      <c r="T772" s="90" t="s">
        <v>213</v>
      </c>
      <c r="U772" s="91" t="s">
        <v>213</v>
      </c>
      <c r="V772" s="92" t="s">
        <v>213</v>
      </c>
      <c r="W772" s="93" t="s">
        <v>213</v>
      </c>
      <c r="X772" s="92" t="s">
        <v>213</v>
      </c>
      <c r="Y772" s="90" t="s">
        <v>213</v>
      </c>
      <c r="Z772" s="93" t="s">
        <v>213</v>
      </c>
    </row>
    <row r="773" ht="15.75" customHeight="1">
      <c r="A773" s="84"/>
      <c r="B773" s="85"/>
      <c r="C773" s="85"/>
      <c r="D773" s="84"/>
      <c r="E773" s="84"/>
      <c r="F773" s="84"/>
      <c r="G773" s="86"/>
      <c r="H773" s="86"/>
      <c r="I773" s="87"/>
      <c r="J773" s="87"/>
      <c r="K773" s="88"/>
      <c r="L773" s="84"/>
      <c r="M773" s="84"/>
      <c r="N773" s="89" t="s">
        <v>213</v>
      </c>
      <c r="O773" s="89" t="s">
        <v>213</v>
      </c>
      <c r="P773" s="89" t="s">
        <v>213</v>
      </c>
      <c r="Q773" s="89" t="s">
        <v>213</v>
      </c>
      <c r="R773" s="89" t="s">
        <v>213</v>
      </c>
      <c r="S773" s="89" t="s">
        <v>213</v>
      </c>
      <c r="T773" s="90" t="s">
        <v>213</v>
      </c>
      <c r="U773" s="91" t="s">
        <v>213</v>
      </c>
      <c r="V773" s="92" t="s">
        <v>213</v>
      </c>
      <c r="W773" s="93" t="s">
        <v>213</v>
      </c>
      <c r="X773" s="92" t="s">
        <v>213</v>
      </c>
      <c r="Y773" s="90" t="s">
        <v>213</v>
      </c>
      <c r="Z773" s="93" t="s">
        <v>213</v>
      </c>
    </row>
    <row r="774" ht="15.75" customHeight="1">
      <c r="A774" s="84"/>
      <c r="B774" s="85"/>
      <c r="C774" s="85"/>
      <c r="D774" s="84"/>
      <c r="E774" s="84"/>
      <c r="F774" s="84"/>
      <c r="G774" s="86"/>
      <c r="H774" s="86"/>
      <c r="I774" s="87"/>
      <c r="J774" s="87"/>
      <c r="K774" s="88"/>
      <c r="L774" s="84"/>
      <c r="M774" s="84"/>
      <c r="N774" s="89" t="s">
        <v>213</v>
      </c>
      <c r="O774" s="89" t="s">
        <v>213</v>
      </c>
      <c r="P774" s="89" t="s">
        <v>213</v>
      </c>
      <c r="Q774" s="89" t="s">
        <v>213</v>
      </c>
      <c r="R774" s="89" t="s">
        <v>213</v>
      </c>
      <c r="S774" s="89" t="s">
        <v>213</v>
      </c>
      <c r="T774" s="90" t="s">
        <v>213</v>
      </c>
      <c r="U774" s="91" t="s">
        <v>213</v>
      </c>
      <c r="V774" s="92" t="s">
        <v>213</v>
      </c>
      <c r="W774" s="93" t="s">
        <v>213</v>
      </c>
      <c r="X774" s="92" t="s">
        <v>213</v>
      </c>
      <c r="Y774" s="90" t="s">
        <v>213</v>
      </c>
      <c r="Z774" s="93" t="s">
        <v>213</v>
      </c>
    </row>
    <row r="775" ht="15.75" customHeight="1">
      <c r="A775" s="84"/>
      <c r="B775" s="85"/>
      <c r="C775" s="85"/>
      <c r="D775" s="84"/>
      <c r="E775" s="84"/>
      <c r="F775" s="84"/>
      <c r="G775" s="86"/>
      <c r="H775" s="86"/>
      <c r="I775" s="87"/>
      <c r="J775" s="87"/>
      <c r="K775" s="88"/>
      <c r="L775" s="84"/>
      <c r="M775" s="84"/>
      <c r="N775" s="89" t="s">
        <v>213</v>
      </c>
      <c r="O775" s="89" t="s">
        <v>213</v>
      </c>
      <c r="P775" s="89" t="s">
        <v>213</v>
      </c>
      <c r="Q775" s="89" t="s">
        <v>213</v>
      </c>
      <c r="R775" s="89" t="s">
        <v>213</v>
      </c>
      <c r="S775" s="89" t="s">
        <v>213</v>
      </c>
      <c r="T775" s="90" t="s">
        <v>213</v>
      </c>
      <c r="U775" s="91" t="s">
        <v>213</v>
      </c>
      <c r="V775" s="92" t="s">
        <v>213</v>
      </c>
      <c r="W775" s="93" t="s">
        <v>213</v>
      </c>
      <c r="X775" s="92" t="s">
        <v>213</v>
      </c>
      <c r="Y775" s="90" t="s">
        <v>213</v>
      </c>
      <c r="Z775" s="93" t="s">
        <v>213</v>
      </c>
    </row>
    <row r="776" ht="15.75" customHeight="1">
      <c r="A776" s="84"/>
      <c r="B776" s="85"/>
      <c r="C776" s="85"/>
      <c r="D776" s="84"/>
      <c r="E776" s="84"/>
      <c r="F776" s="84"/>
      <c r="G776" s="86"/>
      <c r="H776" s="86"/>
      <c r="I776" s="87"/>
      <c r="J776" s="87"/>
      <c r="K776" s="88"/>
      <c r="L776" s="84"/>
      <c r="M776" s="84"/>
      <c r="N776" s="89" t="s">
        <v>213</v>
      </c>
      <c r="O776" s="89" t="s">
        <v>213</v>
      </c>
      <c r="P776" s="89" t="s">
        <v>213</v>
      </c>
      <c r="Q776" s="89" t="s">
        <v>213</v>
      </c>
      <c r="R776" s="89" t="s">
        <v>213</v>
      </c>
      <c r="S776" s="89" t="s">
        <v>213</v>
      </c>
      <c r="T776" s="90" t="s">
        <v>213</v>
      </c>
      <c r="U776" s="91" t="s">
        <v>213</v>
      </c>
      <c r="V776" s="92" t="s">
        <v>213</v>
      </c>
      <c r="W776" s="93" t="s">
        <v>213</v>
      </c>
      <c r="X776" s="92" t="s">
        <v>213</v>
      </c>
      <c r="Y776" s="90" t="s">
        <v>213</v>
      </c>
      <c r="Z776" s="93" t="s">
        <v>213</v>
      </c>
    </row>
    <row r="777" ht="15.75" customHeight="1">
      <c r="A777" s="84"/>
      <c r="B777" s="85"/>
      <c r="C777" s="85"/>
      <c r="D777" s="84"/>
      <c r="E777" s="84"/>
      <c r="F777" s="84"/>
      <c r="G777" s="86"/>
      <c r="H777" s="86"/>
      <c r="I777" s="87"/>
      <c r="J777" s="87"/>
      <c r="K777" s="88"/>
      <c r="L777" s="84"/>
      <c r="M777" s="84"/>
      <c r="N777" s="89" t="s">
        <v>213</v>
      </c>
      <c r="O777" s="89" t="s">
        <v>213</v>
      </c>
      <c r="P777" s="89" t="s">
        <v>213</v>
      </c>
      <c r="Q777" s="89" t="s">
        <v>213</v>
      </c>
      <c r="R777" s="89" t="s">
        <v>213</v>
      </c>
      <c r="S777" s="89" t="s">
        <v>213</v>
      </c>
      <c r="T777" s="90" t="s">
        <v>213</v>
      </c>
      <c r="U777" s="91" t="s">
        <v>213</v>
      </c>
      <c r="V777" s="92" t="s">
        <v>213</v>
      </c>
      <c r="W777" s="93" t="s">
        <v>213</v>
      </c>
      <c r="X777" s="92" t="s">
        <v>213</v>
      </c>
      <c r="Y777" s="90" t="s">
        <v>213</v>
      </c>
      <c r="Z777" s="93" t="s">
        <v>213</v>
      </c>
    </row>
    <row r="778" ht="15.75" customHeight="1">
      <c r="A778" s="84"/>
      <c r="B778" s="85"/>
      <c r="C778" s="85"/>
      <c r="D778" s="84"/>
      <c r="E778" s="84"/>
      <c r="F778" s="84"/>
      <c r="G778" s="86"/>
      <c r="H778" s="86"/>
      <c r="I778" s="87"/>
      <c r="J778" s="87"/>
      <c r="K778" s="88"/>
      <c r="L778" s="84"/>
      <c r="M778" s="84"/>
      <c r="N778" s="89" t="s">
        <v>213</v>
      </c>
      <c r="O778" s="89" t="s">
        <v>213</v>
      </c>
      <c r="P778" s="89" t="s">
        <v>213</v>
      </c>
      <c r="Q778" s="89" t="s">
        <v>213</v>
      </c>
      <c r="R778" s="89" t="s">
        <v>213</v>
      </c>
      <c r="S778" s="89" t="s">
        <v>213</v>
      </c>
      <c r="T778" s="90" t="s">
        <v>213</v>
      </c>
      <c r="U778" s="91" t="s">
        <v>213</v>
      </c>
      <c r="V778" s="92" t="s">
        <v>213</v>
      </c>
      <c r="W778" s="93" t="s">
        <v>213</v>
      </c>
      <c r="X778" s="92" t="s">
        <v>213</v>
      </c>
      <c r="Y778" s="90" t="s">
        <v>213</v>
      </c>
      <c r="Z778" s="93" t="s">
        <v>213</v>
      </c>
    </row>
    <row r="779" ht="15.75" customHeight="1">
      <c r="A779" s="84"/>
      <c r="B779" s="85"/>
      <c r="C779" s="85"/>
      <c r="D779" s="84"/>
      <c r="E779" s="84"/>
      <c r="F779" s="84"/>
      <c r="G779" s="86"/>
      <c r="H779" s="86"/>
      <c r="I779" s="87"/>
      <c r="J779" s="87"/>
      <c r="K779" s="88"/>
      <c r="L779" s="84"/>
      <c r="M779" s="84"/>
      <c r="N779" s="89" t="s">
        <v>213</v>
      </c>
      <c r="O779" s="89" t="s">
        <v>213</v>
      </c>
      <c r="P779" s="89" t="s">
        <v>213</v>
      </c>
      <c r="Q779" s="89" t="s">
        <v>213</v>
      </c>
      <c r="R779" s="89" t="s">
        <v>213</v>
      </c>
      <c r="S779" s="89" t="s">
        <v>213</v>
      </c>
      <c r="T779" s="90" t="s">
        <v>213</v>
      </c>
      <c r="U779" s="91" t="s">
        <v>213</v>
      </c>
      <c r="V779" s="92" t="s">
        <v>213</v>
      </c>
      <c r="W779" s="93" t="s">
        <v>213</v>
      </c>
      <c r="X779" s="92" t="s">
        <v>213</v>
      </c>
      <c r="Y779" s="90" t="s">
        <v>213</v>
      </c>
      <c r="Z779" s="93" t="s">
        <v>213</v>
      </c>
    </row>
    <row r="780" ht="15.75" customHeight="1">
      <c r="A780" s="84"/>
      <c r="B780" s="85"/>
      <c r="C780" s="85"/>
      <c r="D780" s="84"/>
      <c r="E780" s="84"/>
      <c r="F780" s="84"/>
      <c r="G780" s="86"/>
      <c r="H780" s="86"/>
      <c r="I780" s="87"/>
      <c r="J780" s="87"/>
      <c r="K780" s="88"/>
      <c r="L780" s="84"/>
      <c r="M780" s="84"/>
      <c r="N780" s="89" t="s">
        <v>213</v>
      </c>
      <c r="O780" s="89" t="s">
        <v>213</v>
      </c>
      <c r="P780" s="89" t="s">
        <v>213</v>
      </c>
      <c r="Q780" s="89" t="s">
        <v>213</v>
      </c>
      <c r="R780" s="89" t="s">
        <v>213</v>
      </c>
      <c r="S780" s="89" t="s">
        <v>213</v>
      </c>
      <c r="T780" s="90" t="s">
        <v>213</v>
      </c>
      <c r="U780" s="91" t="s">
        <v>213</v>
      </c>
      <c r="V780" s="92" t="s">
        <v>213</v>
      </c>
      <c r="W780" s="93" t="s">
        <v>213</v>
      </c>
      <c r="X780" s="92" t="s">
        <v>213</v>
      </c>
      <c r="Y780" s="90" t="s">
        <v>213</v>
      </c>
      <c r="Z780" s="93" t="s">
        <v>213</v>
      </c>
    </row>
    <row r="781" ht="15.75" customHeight="1">
      <c r="A781" s="84"/>
      <c r="B781" s="85"/>
      <c r="C781" s="85"/>
      <c r="D781" s="84"/>
      <c r="E781" s="84"/>
      <c r="F781" s="84"/>
      <c r="G781" s="86"/>
      <c r="H781" s="86"/>
      <c r="I781" s="87"/>
      <c r="J781" s="87"/>
      <c r="K781" s="88"/>
      <c r="L781" s="84"/>
      <c r="M781" s="84"/>
      <c r="N781" s="89" t="s">
        <v>213</v>
      </c>
      <c r="O781" s="89" t="s">
        <v>213</v>
      </c>
      <c r="P781" s="89" t="s">
        <v>213</v>
      </c>
      <c r="Q781" s="89" t="s">
        <v>213</v>
      </c>
      <c r="R781" s="89" t="s">
        <v>213</v>
      </c>
      <c r="S781" s="89" t="s">
        <v>213</v>
      </c>
      <c r="T781" s="90" t="s">
        <v>213</v>
      </c>
      <c r="U781" s="91" t="s">
        <v>213</v>
      </c>
      <c r="V781" s="92" t="s">
        <v>213</v>
      </c>
      <c r="W781" s="93" t="s">
        <v>213</v>
      </c>
      <c r="X781" s="92" t="s">
        <v>213</v>
      </c>
      <c r="Y781" s="90" t="s">
        <v>213</v>
      </c>
      <c r="Z781" s="93" t="s">
        <v>213</v>
      </c>
    </row>
    <row r="782" ht="15.75" customHeight="1">
      <c r="A782" s="84"/>
      <c r="B782" s="85"/>
      <c r="C782" s="85"/>
      <c r="D782" s="84"/>
      <c r="E782" s="84"/>
      <c r="F782" s="84"/>
      <c r="G782" s="86"/>
      <c r="H782" s="86"/>
      <c r="I782" s="87"/>
      <c r="J782" s="87"/>
      <c r="K782" s="88"/>
      <c r="L782" s="84"/>
      <c r="M782" s="84"/>
      <c r="N782" s="89" t="s">
        <v>213</v>
      </c>
      <c r="O782" s="89" t="s">
        <v>213</v>
      </c>
      <c r="P782" s="89" t="s">
        <v>213</v>
      </c>
      <c r="Q782" s="89" t="s">
        <v>213</v>
      </c>
      <c r="R782" s="89" t="s">
        <v>213</v>
      </c>
      <c r="S782" s="89" t="s">
        <v>213</v>
      </c>
      <c r="T782" s="90" t="s">
        <v>213</v>
      </c>
      <c r="U782" s="91" t="s">
        <v>213</v>
      </c>
      <c r="V782" s="92" t="s">
        <v>213</v>
      </c>
      <c r="W782" s="93" t="s">
        <v>213</v>
      </c>
      <c r="X782" s="92" t="s">
        <v>213</v>
      </c>
      <c r="Y782" s="90" t="s">
        <v>213</v>
      </c>
      <c r="Z782" s="93" t="s">
        <v>213</v>
      </c>
    </row>
    <row r="783" ht="15.75" customHeight="1">
      <c r="A783" s="84"/>
      <c r="B783" s="85"/>
      <c r="C783" s="85"/>
      <c r="D783" s="84"/>
      <c r="E783" s="84"/>
      <c r="F783" s="84"/>
      <c r="G783" s="86"/>
      <c r="H783" s="86"/>
      <c r="I783" s="87"/>
      <c r="J783" s="87"/>
      <c r="K783" s="88"/>
      <c r="L783" s="84"/>
      <c r="M783" s="84"/>
      <c r="N783" s="89" t="s">
        <v>213</v>
      </c>
      <c r="O783" s="89" t="s">
        <v>213</v>
      </c>
      <c r="P783" s="89" t="s">
        <v>213</v>
      </c>
      <c r="Q783" s="89" t="s">
        <v>213</v>
      </c>
      <c r="R783" s="89" t="s">
        <v>213</v>
      </c>
      <c r="S783" s="89" t="s">
        <v>213</v>
      </c>
      <c r="T783" s="90" t="s">
        <v>213</v>
      </c>
      <c r="U783" s="91" t="s">
        <v>213</v>
      </c>
      <c r="V783" s="92" t="s">
        <v>213</v>
      </c>
      <c r="W783" s="93" t="s">
        <v>213</v>
      </c>
      <c r="X783" s="92" t="s">
        <v>213</v>
      </c>
      <c r="Y783" s="90" t="s">
        <v>213</v>
      </c>
      <c r="Z783" s="93" t="s">
        <v>213</v>
      </c>
    </row>
    <row r="784" ht="15.75" customHeight="1">
      <c r="A784" s="84"/>
      <c r="B784" s="85"/>
      <c r="C784" s="85"/>
      <c r="D784" s="84"/>
      <c r="E784" s="84"/>
      <c r="F784" s="84"/>
      <c r="G784" s="86"/>
      <c r="H784" s="86"/>
      <c r="I784" s="87"/>
      <c r="J784" s="87"/>
      <c r="K784" s="88"/>
      <c r="L784" s="84"/>
      <c r="M784" s="84"/>
      <c r="N784" s="89" t="s">
        <v>213</v>
      </c>
      <c r="O784" s="89" t="s">
        <v>213</v>
      </c>
      <c r="P784" s="89" t="s">
        <v>213</v>
      </c>
      <c r="Q784" s="89" t="s">
        <v>213</v>
      </c>
      <c r="R784" s="89" t="s">
        <v>213</v>
      </c>
      <c r="S784" s="89" t="s">
        <v>213</v>
      </c>
      <c r="T784" s="90" t="s">
        <v>213</v>
      </c>
      <c r="U784" s="91" t="s">
        <v>213</v>
      </c>
      <c r="V784" s="92" t="s">
        <v>213</v>
      </c>
      <c r="W784" s="93" t="s">
        <v>213</v>
      </c>
      <c r="X784" s="92" t="s">
        <v>213</v>
      </c>
      <c r="Y784" s="90" t="s">
        <v>213</v>
      </c>
      <c r="Z784" s="93" t="s">
        <v>213</v>
      </c>
    </row>
    <row r="785" ht="15.75" customHeight="1">
      <c r="A785" s="84"/>
      <c r="B785" s="85"/>
      <c r="C785" s="85"/>
      <c r="D785" s="84"/>
      <c r="E785" s="84"/>
      <c r="F785" s="84"/>
      <c r="G785" s="86"/>
      <c r="H785" s="86"/>
      <c r="I785" s="87"/>
      <c r="J785" s="87"/>
      <c r="K785" s="88"/>
      <c r="L785" s="84"/>
      <c r="M785" s="84"/>
      <c r="N785" s="89" t="s">
        <v>213</v>
      </c>
      <c r="O785" s="89" t="s">
        <v>213</v>
      </c>
      <c r="P785" s="89" t="s">
        <v>213</v>
      </c>
      <c r="Q785" s="89" t="s">
        <v>213</v>
      </c>
      <c r="R785" s="89" t="s">
        <v>213</v>
      </c>
      <c r="S785" s="89" t="s">
        <v>213</v>
      </c>
      <c r="T785" s="90" t="s">
        <v>213</v>
      </c>
      <c r="U785" s="91" t="s">
        <v>213</v>
      </c>
      <c r="V785" s="92" t="s">
        <v>213</v>
      </c>
      <c r="W785" s="93" t="s">
        <v>213</v>
      </c>
      <c r="X785" s="92" t="s">
        <v>213</v>
      </c>
      <c r="Y785" s="90" t="s">
        <v>213</v>
      </c>
      <c r="Z785" s="93" t="s">
        <v>213</v>
      </c>
    </row>
    <row r="786" ht="15.75" customHeight="1">
      <c r="A786" s="84"/>
      <c r="B786" s="85"/>
      <c r="C786" s="85"/>
      <c r="D786" s="84"/>
      <c r="E786" s="84"/>
      <c r="F786" s="84"/>
      <c r="G786" s="86"/>
      <c r="H786" s="86"/>
      <c r="I786" s="87"/>
      <c r="J786" s="87"/>
      <c r="K786" s="88"/>
      <c r="L786" s="84"/>
      <c r="M786" s="84"/>
      <c r="N786" s="89" t="s">
        <v>213</v>
      </c>
      <c r="O786" s="89" t="s">
        <v>213</v>
      </c>
      <c r="P786" s="89" t="s">
        <v>213</v>
      </c>
      <c r="Q786" s="89" t="s">
        <v>213</v>
      </c>
      <c r="R786" s="89" t="s">
        <v>213</v>
      </c>
      <c r="S786" s="89" t="s">
        <v>213</v>
      </c>
      <c r="T786" s="90" t="s">
        <v>213</v>
      </c>
      <c r="U786" s="91" t="s">
        <v>213</v>
      </c>
      <c r="V786" s="92" t="s">
        <v>213</v>
      </c>
      <c r="W786" s="93" t="s">
        <v>213</v>
      </c>
      <c r="X786" s="92" t="s">
        <v>213</v>
      </c>
      <c r="Y786" s="90" t="s">
        <v>213</v>
      </c>
      <c r="Z786" s="93" t="s">
        <v>213</v>
      </c>
    </row>
    <row r="787" ht="15.75" customHeight="1">
      <c r="A787" s="84"/>
      <c r="B787" s="85"/>
      <c r="C787" s="85"/>
      <c r="D787" s="84"/>
      <c r="E787" s="84"/>
      <c r="F787" s="84"/>
      <c r="G787" s="86"/>
      <c r="H787" s="86"/>
      <c r="I787" s="87"/>
      <c r="J787" s="87"/>
      <c r="K787" s="88"/>
      <c r="L787" s="84"/>
      <c r="M787" s="84"/>
      <c r="N787" s="89" t="s">
        <v>213</v>
      </c>
      <c r="O787" s="89" t="s">
        <v>213</v>
      </c>
      <c r="P787" s="89" t="s">
        <v>213</v>
      </c>
      <c r="Q787" s="89" t="s">
        <v>213</v>
      </c>
      <c r="R787" s="89" t="s">
        <v>213</v>
      </c>
      <c r="S787" s="89" t="s">
        <v>213</v>
      </c>
      <c r="T787" s="90" t="s">
        <v>213</v>
      </c>
      <c r="U787" s="91" t="s">
        <v>213</v>
      </c>
      <c r="V787" s="92" t="s">
        <v>213</v>
      </c>
      <c r="W787" s="93" t="s">
        <v>213</v>
      </c>
      <c r="X787" s="92" t="s">
        <v>213</v>
      </c>
      <c r="Y787" s="90" t="s">
        <v>213</v>
      </c>
      <c r="Z787" s="93" t="s">
        <v>213</v>
      </c>
    </row>
    <row r="788" ht="15.75" customHeight="1">
      <c r="A788" s="84"/>
      <c r="B788" s="85"/>
      <c r="C788" s="85"/>
      <c r="D788" s="84"/>
      <c r="E788" s="84"/>
      <c r="F788" s="84"/>
      <c r="G788" s="86"/>
      <c r="H788" s="86"/>
      <c r="I788" s="87"/>
      <c r="J788" s="87"/>
      <c r="K788" s="88"/>
      <c r="L788" s="84"/>
      <c r="M788" s="84"/>
      <c r="N788" s="89" t="s">
        <v>213</v>
      </c>
      <c r="O788" s="89" t="s">
        <v>213</v>
      </c>
      <c r="P788" s="89" t="s">
        <v>213</v>
      </c>
      <c r="Q788" s="89" t="s">
        <v>213</v>
      </c>
      <c r="R788" s="89" t="s">
        <v>213</v>
      </c>
      <c r="S788" s="89" t="s">
        <v>213</v>
      </c>
      <c r="T788" s="90" t="s">
        <v>213</v>
      </c>
      <c r="U788" s="91" t="s">
        <v>213</v>
      </c>
      <c r="V788" s="92" t="s">
        <v>213</v>
      </c>
      <c r="W788" s="93" t="s">
        <v>213</v>
      </c>
      <c r="X788" s="92" t="s">
        <v>213</v>
      </c>
      <c r="Y788" s="90" t="s">
        <v>213</v>
      </c>
      <c r="Z788" s="93" t="s">
        <v>213</v>
      </c>
    </row>
    <row r="789" ht="15.75" customHeight="1">
      <c r="A789" s="84"/>
      <c r="B789" s="85"/>
      <c r="C789" s="85"/>
      <c r="D789" s="84"/>
      <c r="E789" s="84"/>
      <c r="F789" s="84"/>
      <c r="G789" s="86"/>
      <c r="H789" s="86"/>
      <c r="I789" s="87"/>
      <c r="J789" s="87"/>
      <c r="K789" s="88"/>
      <c r="L789" s="84"/>
      <c r="M789" s="84"/>
      <c r="N789" s="89" t="s">
        <v>213</v>
      </c>
      <c r="O789" s="89" t="s">
        <v>213</v>
      </c>
      <c r="P789" s="89" t="s">
        <v>213</v>
      </c>
      <c r="Q789" s="89" t="s">
        <v>213</v>
      </c>
      <c r="R789" s="89" t="s">
        <v>213</v>
      </c>
      <c r="S789" s="89" t="s">
        <v>213</v>
      </c>
      <c r="T789" s="90" t="s">
        <v>213</v>
      </c>
      <c r="U789" s="91" t="s">
        <v>213</v>
      </c>
      <c r="V789" s="92" t="s">
        <v>213</v>
      </c>
      <c r="W789" s="93" t="s">
        <v>213</v>
      </c>
      <c r="X789" s="92" t="s">
        <v>213</v>
      </c>
      <c r="Y789" s="90" t="s">
        <v>213</v>
      </c>
      <c r="Z789" s="93" t="s">
        <v>213</v>
      </c>
    </row>
    <row r="790" ht="15.75" customHeight="1">
      <c r="A790" s="84"/>
      <c r="B790" s="85"/>
      <c r="C790" s="85"/>
      <c r="D790" s="84"/>
      <c r="E790" s="84"/>
      <c r="F790" s="84"/>
      <c r="G790" s="86"/>
      <c r="H790" s="86"/>
      <c r="I790" s="87"/>
      <c r="J790" s="87"/>
      <c r="K790" s="88"/>
      <c r="L790" s="84"/>
      <c r="M790" s="84"/>
      <c r="N790" s="89" t="s">
        <v>213</v>
      </c>
      <c r="O790" s="89" t="s">
        <v>213</v>
      </c>
      <c r="P790" s="89" t="s">
        <v>213</v>
      </c>
      <c r="Q790" s="89" t="s">
        <v>213</v>
      </c>
      <c r="R790" s="89" t="s">
        <v>213</v>
      </c>
      <c r="S790" s="89" t="s">
        <v>213</v>
      </c>
      <c r="T790" s="90" t="s">
        <v>213</v>
      </c>
      <c r="U790" s="91" t="s">
        <v>213</v>
      </c>
      <c r="V790" s="92" t="s">
        <v>213</v>
      </c>
      <c r="W790" s="93" t="s">
        <v>213</v>
      </c>
      <c r="X790" s="92" t="s">
        <v>213</v>
      </c>
      <c r="Y790" s="90" t="s">
        <v>213</v>
      </c>
      <c r="Z790" s="93" t="s">
        <v>213</v>
      </c>
    </row>
    <row r="791" ht="15.75" customHeight="1">
      <c r="A791" s="84"/>
      <c r="B791" s="85"/>
      <c r="C791" s="85"/>
      <c r="D791" s="84"/>
      <c r="E791" s="84"/>
      <c r="F791" s="84"/>
      <c r="G791" s="86"/>
      <c r="H791" s="86"/>
      <c r="I791" s="87"/>
      <c r="J791" s="87"/>
      <c r="K791" s="88"/>
      <c r="L791" s="84"/>
      <c r="M791" s="84"/>
      <c r="N791" s="89" t="s">
        <v>213</v>
      </c>
      <c r="O791" s="89" t="s">
        <v>213</v>
      </c>
      <c r="P791" s="89" t="s">
        <v>213</v>
      </c>
      <c r="Q791" s="89" t="s">
        <v>213</v>
      </c>
      <c r="R791" s="89" t="s">
        <v>213</v>
      </c>
      <c r="S791" s="89" t="s">
        <v>213</v>
      </c>
      <c r="T791" s="90" t="s">
        <v>213</v>
      </c>
      <c r="U791" s="91" t="s">
        <v>213</v>
      </c>
      <c r="V791" s="92" t="s">
        <v>213</v>
      </c>
      <c r="W791" s="93" t="s">
        <v>213</v>
      </c>
      <c r="X791" s="92" t="s">
        <v>213</v>
      </c>
      <c r="Y791" s="90" t="s">
        <v>213</v>
      </c>
      <c r="Z791" s="93" t="s">
        <v>213</v>
      </c>
    </row>
    <row r="792" ht="15.75" customHeight="1">
      <c r="A792" s="84"/>
      <c r="B792" s="85"/>
      <c r="C792" s="85"/>
      <c r="D792" s="84"/>
      <c r="E792" s="84"/>
      <c r="F792" s="84"/>
      <c r="G792" s="86"/>
      <c r="H792" s="86"/>
      <c r="I792" s="87"/>
      <c r="J792" s="87"/>
      <c r="K792" s="88"/>
      <c r="L792" s="84"/>
      <c r="M792" s="84"/>
      <c r="N792" s="89" t="s">
        <v>213</v>
      </c>
      <c r="O792" s="89" t="s">
        <v>213</v>
      </c>
      <c r="P792" s="89" t="s">
        <v>213</v>
      </c>
      <c r="Q792" s="89" t="s">
        <v>213</v>
      </c>
      <c r="R792" s="89" t="s">
        <v>213</v>
      </c>
      <c r="S792" s="89" t="s">
        <v>213</v>
      </c>
      <c r="T792" s="90" t="s">
        <v>213</v>
      </c>
      <c r="U792" s="91" t="s">
        <v>213</v>
      </c>
      <c r="V792" s="92" t="s">
        <v>213</v>
      </c>
      <c r="W792" s="93" t="s">
        <v>213</v>
      </c>
      <c r="X792" s="92" t="s">
        <v>213</v>
      </c>
      <c r="Y792" s="90" t="s">
        <v>213</v>
      </c>
      <c r="Z792" s="93" t="s">
        <v>213</v>
      </c>
    </row>
    <row r="793" ht="15.75" customHeight="1">
      <c r="A793" s="84"/>
      <c r="B793" s="85"/>
      <c r="C793" s="85"/>
      <c r="D793" s="84"/>
      <c r="E793" s="84"/>
      <c r="F793" s="84"/>
      <c r="G793" s="86"/>
      <c r="H793" s="86"/>
      <c r="I793" s="87"/>
      <c r="J793" s="87"/>
      <c r="K793" s="88"/>
      <c r="L793" s="84"/>
      <c r="M793" s="84"/>
      <c r="N793" s="89" t="s">
        <v>213</v>
      </c>
      <c r="O793" s="89" t="s">
        <v>213</v>
      </c>
      <c r="P793" s="89" t="s">
        <v>213</v>
      </c>
      <c r="Q793" s="89" t="s">
        <v>213</v>
      </c>
      <c r="R793" s="89" t="s">
        <v>213</v>
      </c>
      <c r="S793" s="89" t="s">
        <v>213</v>
      </c>
      <c r="T793" s="90" t="s">
        <v>213</v>
      </c>
      <c r="U793" s="91" t="s">
        <v>213</v>
      </c>
      <c r="V793" s="92" t="s">
        <v>213</v>
      </c>
      <c r="W793" s="93" t="s">
        <v>213</v>
      </c>
      <c r="X793" s="92" t="s">
        <v>213</v>
      </c>
      <c r="Y793" s="90" t="s">
        <v>213</v>
      </c>
      <c r="Z793" s="93" t="s">
        <v>213</v>
      </c>
    </row>
    <row r="794" ht="15.75" customHeight="1">
      <c r="A794" s="84"/>
      <c r="B794" s="85"/>
      <c r="C794" s="85"/>
      <c r="D794" s="84"/>
      <c r="E794" s="84"/>
      <c r="F794" s="84"/>
      <c r="G794" s="86"/>
      <c r="H794" s="86"/>
      <c r="I794" s="87"/>
      <c r="J794" s="87"/>
      <c r="K794" s="88"/>
      <c r="L794" s="84"/>
      <c r="M794" s="84"/>
      <c r="N794" s="89" t="s">
        <v>213</v>
      </c>
      <c r="O794" s="89" t="s">
        <v>213</v>
      </c>
      <c r="P794" s="89" t="s">
        <v>213</v>
      </c>
      <c r="Q794" s="89" t="s">
        <v>213</v>
      </c>
      <c r="R794" s="89" t="s">
        <v>213</v>
      </c>
      <c r="S794" s="89" t="s">
        <v>213</v>
      </c>
      <c r="T794" s="90" t="s">
        <v>213</v>
      </c>
      <c r="U794" s="91" t="s">
        <v>213</v>
      </c>
      <c r="V794" s="92" t="s">
        <v>213</v>
      </c>
      <c r="W794" s="93" t="s">
        <v>213</v>
      </c>
      <c r="X794" s="92" t="s">
        <v>213</v>
      </c>
      <c r="Y794" s="90" t="s">
        <v>213</v>
      </c>
      <c r="Z794" s="93" t="s">
        <v>213</v>
      </c>
    </row>
    <row r="795" ht="15.75" customHeight="1">
      <c r="A795" s="84"/>
      <c r="B795" s="85"/>
      <c r="C795" s="85"/>
      <c r="D795" s="84"/>
      <c r="E795" s="84"/>
      <c r="F795" s="84"/>
      <c r="G795" s="86"/>
      <c r="H795" s="86"/>
      <c r="I795" s="87"/>
      <c r="J795" s="87"/>
      <c r="K795" s="88"/>
      <c r="L795" s="84"/>
      <c r="M795" s="84"/>
      <c r="N795" s="89" t="s">
        <v>213</v>
      </c>
      <c r="O795" s="89" t="s">
        <v>213</v>
      </c>
      <c r="P795" s="89" t="s">
        <v>213</v>
      </c>
      <c r="Q795" s="89" t="s">
        <v>213</v>
      </c>
      <c r="R795" s="89" t="s">
        <v>213</v>
      </c>
      <c r="S795" s="89" t="s">
        <v>213</v>
      </c>
      <c r="T795" s="90" t="s">
        <v>213</v>
      </c>
      <c r="U795" s="91" t="s">
        <v>213</v>
      </c>
      <c r="V795" s="92" t="s">
        <v>213</v>
      </c>
      <c r="W795" s="93" t="s">
        <v>213</v>
      </c>
      <c r="X795" s="92" t="s">
        <v>213</v>
      </c>
      <c r="Y795" s="90" t="s">
        <v>213</v>
      </c>
      <c r="Z795" s="93" t="s">
        <v>213</v>
      </c>
    </row>
    <row r="796" ht="15.75" customHeight="1">
      <c r="A796" s="84"/>
      <c r="B796" s="85"/>
      <c r="C796" s="85"/>
      <c r="D796" s="84"/>
      <c r="E796" s="84"/>
      <c r="F796" s="84"/>
      <c r="G796" s="86"/>
      <c r="H796" s="86"/>
      <c r="I796" s="87"/>
      <c r="J796" s="87"/>
      <c r="K796" s="88"/>
      <c r="L796" s="84"/>
      <c r="M796" s="84"/>
      <c r="N796" s="89" t="s">
        <v>213</v>
      </c>
      <c r="O796" s="89" t="s">
        <v>213</v>
      </c>
      <c r="P796" s="89" t="s">
        <v>213</v>
      </c>
      <c r="Q796" s="89" t="s">
        <v>213</v>
      </c>
      <c r="R796" s="89" t="s">
        <v>213</v>
      </c>
      <c r="S796" s="89" t="s">
        <v>213</v>
      </c>
      <c r="T796" s="90" t="s">
        <v>213</v>
      </c>
      <c r="U796" s="91" t="s">
        <v>213</v>
      </c>
      <c r="V796" s="92" t="s">
        <v>213</v>
      </c>
      <c r="W796" s="93" t="s">
        <v>213</v>
      </c>
      <c r="X796" s="92" t="s">
        <v>213</v>
      </c>
      <c r="Y796" s="90" t="s">
        <v>213</v>
      </c>
      <c r="Z796" s="93" t="s">
        <v>213</v>
      </c>
    </row>
    <row r="797" ht="15.75" customHeight="1">
      <c r="A797" s="84"/>
      <c r="B797" s="85"/>
      <c r="C797" s="85"/>
      <c r="D797" s="84"/>
      <c r="E797" s="84"/>
      <c r="F797" s="84"/>
      <c r="G797" s="86"/>
      <c r="H797" s="86"/>
      <c r="I797" s="87"/>
      <c r="J797" s="87"/>
      <c r="K797" s="88"/>
      <c r="L797" s="84"/>
      <c r="M797" s="84"/>
      <c r="N797" s="89" t="s">
        <v>213</v>
      </c>
      <c r="O797" s="89" t="s">
        <v>213</v>
      </c>
      <c r="P797" s="89" t="s">
        <v>213</v>
      </c>
      <c r="Q797" s="89" t="s">
        <v>213</v>
      </c>
      <c r="R797" s="89" t="s">
        <v>213</v>
      </c>
      <c r="S797" s="89" t="s">
        <v>213</v>
      </c>
      <c r="T797" s="90" t="s">
        <v>213</v>
      </c>
      <c r="U797" s="91" t="s">
        <v>213</v>
      </c>
      <c r="V797" s="92" t="s">
        <v>213</v>
      </c>
      <c r="W797" s="93" t="s">
        <v>213</v>
      </c>
      <c r="X797" s="92" t="s">
        <v>213</v>
      </c>
      <c r="Y797" s="90" t="s">
        <v>213</v>
      </c>
      <c r="Z797" s="93" t="s">
        <v>213</v>
      </c>
    </row>
    <row r="798" ht="15.75" customHeight="1">
      <c r="A798" s="84"/>
      <c r="B798" s="85"/>
      <c r="C798" s="85"/>
      <c r="D798" s="84"/>
      <c r="E798" s="84"/>
      <c r="F798" s="84"/>
      <c r="G798" s="86"/>
      <c r="H798" s="86"/>
      <c r="I798" s="87"/>
      <c r="J798" s="87"/>
      <c r="K798" s="88"/>
      <c r="L798" s="84"/>
      <c r="M798" s="84"/>
      <c r="N798" s="89" t="s">
        <v>213</v>
      </c>
      <c r="O798" s="89" t="s">
        <v>213</v>
      </c>
      <c r="P798" s="89" t="s">
        <v>213</v>
      </c>
      <c r="Q798" s="89" t="s">
        <v>213</v>
      </c>
      <c r="R798" s="89" t="s">
        <v>213</v>
      </c>
      <c r="S798" s="89" t="s">
        <v>213</v>
      </c>
      <c r="T798" s="90" t="s">
        <v>213</v>
      </c>
      <c r="U798" s="91" t="s">
        <v>213</v>
      </c>
      <c r="V798" s="92" t="s">
        <v>213</v>
      </c>
      <c r="W798" s="93" t="s">
        <v>213</v>
      </c>
      <c r="X798" s="92" t="s">
        <v>213</v>
      </c>
      <c r="Y798" s="90" t="s">
        <v>213</v>
      </c>
      <c r="Z798" s="93" t="s">
        <v>213</v>
      </c>
    </row>
    <row r="799" ht="15.75" customHeight="1">
      <c r="A799" s="84"/>
      <c r="B799" s="85"/>
      <c r="C799" s="85"/>
      <c r="D799" s="84"/>
      <c r="E799" s="84"/>
      <c r="F799" s="84"/>
      <c r="G799" s="86"/>
      <c r="H799" s="86"/>
      <c r="I799" s="87"/>
      <c r="J799" s="87"/>
      <c r="K799" s="88"/>
      <c r="L799" s="84"/>
      <c r="M799" s="84"/>
      <c r="N799" s="89" t="s">
        <v>213</v>
      </c>
      <c r="O799" s="89" t="s">
        <v>213</v>
      </c>
      <c r="P799" s="89" t="s">
        <v>213</v>
      </c>
      <c r="Q799" s="89" t="s">
        <v>213</v>
      </c>
      <c r="R799" s="89" t="s">
        <v>213</v>
      </c>
      <c r="S799" s="89" t="s">
        <v>213</v>
      </c>
      <c r="T799" s="90" t="s">
        <v>213</v>
      </c>
      <c r="U799" s="91" t="s">
        <v>213</v>
      </c>
      <c r="V799" s="92" t="s">
        <v>213</v>
      </c>
      <c r="W799" s="93" t="s">
        <v>213</v>
      </c>
      <c r="X799" s="92" t="s">
        <v>213</v>
      </c>
      <c r="Y799" s="90" t="s">
        <v>213</v>
      </c>
      <c r="Z799" s="93" t="s">
        <v>213</v>
      </c>
    </row>
    <row r="800" ht="15.75" customHeight="1">
      <c r="A800" s="84"/>
      <c r="B800" s="85"/>
      <c r="C800" s="85"/>
      <c r="D800" s="84"/>
      <c r="E800" s="84"/>
      <c r="F800" s="84"/>
      <c r="G800" s="86"/>
      <c r="H800" s="86"/>
      <c r="I800" s="87"/>
      <c r="J800" s="87"/>
      <c r="K800" s="88"/>
      <c r="L800" s="84"/>
      <c r="M800" s="84"/>
      <c r="N800" s="89" t="s">
        <v>213</v>
      </c>
      <c r="O800" s="89" t="s">
        <v>213</v>
      </c>
      <c r="P800" s="89" t="s">
        <v>213</v>
      </c>
      <c r="Q800" s="89" t="s">
        <v>213</v>
      </c>
      <c r="R800" s="89" t="s">
        <v>213</v>
      </c>
      <c r="S800" s="89" t="s">
        <v>213</v>
      </c>
      <c r="T800" s="90" t="s">
        <v>213</v>
      </c>
      <c r="U800" s="91" t="s">
        <v>213</v>
      </c>
      <c r="V800" s="92" t="s">
        <v>213</v>
      </c>
      <c r="W800" s="93" t="s">
        <v>213</v>
      </c>
      <c r="X800" s="92" t="s">
        <v>213</v>
      </c>
      <c r="Y800" s="90" t="s">
        <v>213</v>
      </c>
      <c r="Z800" s="93" t="s">
        <v>213</v>
      </c>
    </row>
    <row r="801" ht="15.75" customHeight="1">
      <c r="A801" s="84"/>
      <c r="B801" s="85"/>
      <c r="C801" s="85"/>
      <c r="D801" s="84"/>
      <c r="E801" s="84"/>
      <c r="F801" s="84"/>
      <c r="G801" s="86"/>
      <c r="H801" s="86"/>
      <c r="I801" s="87"/>
      <c r="J801" s="87"/>
      <c r="K801" s="88"/>
      <c r="L801" s="84"/>
      <c r="M801" s="84"/>
      <c r="N801" s="89" t="s">
        <v>213</v>
      </c>
      <c r="O801" s="89" t="s">
        <v>213</v>
      </c>
      <c r="P801" s="89" t="s">
        <v>213</v>
      </c>
      <c r="Q801" s="89" t="s">
        <v>213</v>
      </c>
      <c r="R801" s="89" t="s">
        <v>213</v>
      </c>
      <c r="S801" s="89" t="s">
        <v>213</v>
      </c>
      <c r="T801" s="90" t="s">
        <v>213</v>
      </c>
      <c r="U801" s="91" t="s">
        <v>213</v>
      </c>
      <c r="V801" s="92" t="s">
        <v>213</v>
      </c>
      <c r="W801" s="93" t="s">
        <v>213</v>
      </c>
      <c r="X801" s="92" t="s">
        <v>213</v>
      </c>
      <c r="Y801" s="90" t="s">
        <v>213</v>
      </c>
      <c r="Z801" s="93" t="s">
        <v>213</v>
      </c>
    </row>
    <row r="802" ht="15.75" customHeight="1">
      <c r="A802" s="84"/>
      <c r="B802" s="85"/>
      <c r="C802" s="85"/>
      <c r="D802" s="84"/>
      <c r="E802" s="84"/>
      <c r="F802" s="84"/>
      <c r="G802" s="86"/>
      <c r="H802" s="86"/>
      <c r="I802" s="87"/>
      <c r="J802" s="87"/>
      <c r="K802" s="88"/>
      <c r="L802" s="84"/>
      <c r="M802" s="84"/>
      <c r="N802" s="89" t="s">
        <v>213</v>
      </c>
      <c r="O802" s="89" t="s">
        <v>213</v>
      </c>
      <c r="P802" s="89" t="s">
        <v>213</v>
      </c>
      <c r="Q802" s="89" t="s">
        <v>213</v>
      </c>
      <c r="R802" s="89" t="s">
        <v>213</v>
      </c>
      <c r="S802" s="89" t="s">
        <v>213</v>
      </c>
      <c r="T802" s="90" t="s">
        <v>213</v>
      </c>
      <c r="U802" s="91" t="s">
        <v>213</v>
      </c>
      <c r="V802" s="92" t="s">
        <v>213</v>
      </c>
      <c r="W802" s="93" t="s">
        <v>213</v>
      </c>
      <c r="X802" s="92" t="s">
        <v>213</v>
      </c>
      <c r="Y802" s="90" t="s">
        <v>213</v>
      </c>
      <c r="Z802" s="93" t="s">
        <v>213</v>
      </c>
    </row>
    <row r="803" ht="15.75" customHeight="1">
      <c r="A803" s="84"/>
      <c r="B803" s="85"/>
      <c r="C803" s="85"/>
      <c r="D803" s="84"/>
      <c r="E803" s="84"/>
      <c r="F803" s="84"/>
      <c r="G803" s="86"/>
      <c r="H803" s="86"/>
      <c r="I803" s="87"/>
      <c r="J803" s="87"/>
      <c r="K803" s="88"/>
      <c r="L803" s="84"/>
      <c r="M803" s="84"/>
      <c r="N803" s="89" t="s">
        <v>213</v>
      </c>
      <c r="O803" s="89" t="s">
        <v>213</v>
      </c>
      <c r="P803" s="89" t="s">
        <v>213</v>
      </c>
      <c r="Q803" s="89" t="s">
        <v>213</v>
      </c>
      <c r="R803" s="89" t="s">
        <v>213</v>
      </c>
      <c r="S803" s="89" t="s">
        <v>213</v>
      </c>
      <c r="T803" s="90" t="s">
        <v>213</v>
      </c>
      <c r="U803" s="91" t="s">
        <v>213</v>
      </c>
      <c r="V803" s="92" t="s">
        <v>213</v>
      </c>
      <c r="W803" s="93" t="s">
        <v>213</v>
      </c>
      <c r="X803" s="92" t="s">
        <v>213</v>
      </c>
      <c r="Y803" s="90" t="s">
        <v>213</v>
      </c>
      <c r="Z803" s="93" t="s">
        <v>213</v>
      </c>
    </row>
    <row r="804" ht="15.75" customHeight="1">
      <c r="A804" s="84"/>
      <c r="B804" s="85"/>
      <c r="C804" s="85"/>
      <c r="D804" s="84"/>
      <c r="E804" s="84"/>
      <c r="F804" s="84"/>
      <c r="G804" s="86"/>
      <c r="H804" s="86"/>
      <c r="I804" s="87"/>
      <c r="J804" s="87"/>
      <c r="K804" s="88"/>
      <c r="L804" s="84"/>
      <c r="M804" s="84"/>
      <c r="N804" s="89" t="s">
        <v>213</v>
      </c>
      <c r="O804" s="89" t="s">
        <v>213</v>
      </c>
      <c r="P804" s="89" t="s">
        <v>213</v>
      </c>
      <c r="Q804" s="89" t="s">
        <v>213</v>
      </c>
      <c r="R804" s="89" t="s">
        <v>213</v>
      </c>
      <c r="S804" s="89" t="s">
        <v>213</v>
      </c>
      <c r="T804" s="90" t="s">
        <v>213</v>
      </c>
      <c r="U804" s="91" t="s">
        <v>213</v>
      </c>
      <c r="V804" s="92" t="s">
        <v>213</v>
      </c>
      <c r="W804" s="93" t="s">
        <v>213</v>
      </c>
      <c r="X804" s="92" t="s">
        <v>213</v>
      </c>
      <c r="Y804" s="90" t="s">
        <v>213</v>
      </c>
      <c r="Z804" s="93" t="s">
        <v>213</v>
      </c>
    </row>
    <row r="805" ht="15.75" customHeight="1">
      <c r="A805" s="84"/>
      <c r="B805" s="85"/>
      <c r="C805" s="85"/>
      <c r="D805" s="84"/>
      <c r="E805" s="84"/>
      <c r="F805" s="84"/>
      <c r="G805" s="86"/>
      <c r="H805" s="86"/>
      <c r="I805" s="87"/>
      <c r="J805" s="87"/>
      <c r="K805" s="88"/>
      <c r="L805" s="84"/>
      <c r="M805" s="84"/>
      <c r="N805" s="89" t="s">
        <v>213</v>
      </c>
      <c r="O805" s="89" t="s">
        <v>213</v>
      </c>
      <c r="P805" s="89" t="s">
        <v>213</v>
      </c>
      <c r="Q805" s="89" t="s">
        <v>213</v>
      </c>
      <c r="R805" s="89" t="s">
        <v>213</v>
      </c>
      <c r="S805" s="89" t="s">
        <v>213</v>
      </c>
      <c r="T805" s="90" t="s">
        <v>213</v>
      </c>
      <c r="U805" s="91" t="s">
        <v>213</v>
      </c>
      <c r="V805" s="92" t="s">
        <v>213</v>
      </c>
      <c r="W805" s="93" t="s">
        <v>213</v>
      </c>
      <c r="X805" s="92" t="s">
        <v>213</v>
      </c>
      <c r="Y805" s="90" t="s">
        <v>213</v>
      </c>
      <c r="Z805" s="93" t="s">
        <v>213</v>
      </c>
    </row>
    <row r="806" ht="15.75" customHeight="1">
      <c r="A806" s="84"/>
      <c r="B806" s="85"/>
      <c r="C806" s="85"/>
      <c r="D806" s="84"/>
      <c r="E806" s="84"/>
      <c r="F806" s="84"/>
      <c r="G806" s="86"/>
      <c r="H806" s="86"/>
      <c r="I806" s="87"/>
      <c r="J806" s="87"/>
      <c r="K806" s="88"/>
      <c r="L806" s="84"/>
      <c r="M806" s="84"/>
      <c r="N806" s="89" t="s">
        <v>213</v>
      </c>
      <c r="O806" s="89" t="s">
        <v>213</v>
      </c>
      <c r="P806" s="89" t="s">
        <v>213</v>
      </c>
      <c r="Q806" s="89" t="s">
        <v>213</v>
      </c>
      <c r="R806" s="89" t="s">
        <v>213</v>
      </c>
      <c r="S806" s="89" t="s">
        <v>213</v>
      </c>
      <c r="T806" s="90" t="s">
        <v>213</v>
      </c>
      <c r="U806" s="91" t="s">
        <v>213</v>
      </c>
      <c r="V806" s="92" t="s">
        <v>213</v>
      </c>
      <c r="W806" s="93" t="s">
        <v>213</v>
      </c>
      <c r="X806" s="92" t="s">
        <v>213</v>
      </c>
      <c r="Y806" s="90" t="s">
        <v>213</v>
      </c>
      <c r="Z806" s="93" t="s">
        <v>213</v>
      </c>
    </row>
    <row r="807" ht="15.75" customHeight="1">
      <c r="A807" s="84"/>
      <c r="B807" s="85"/>
      <c r="C807" s="85"/>
      <c r="D807" s="84"/>
      <c r="E807" s="84"/>
      <c r="F807" s="84"/>
      <c r="G807" s="86"/>
      <c r="H807" s="86"/>
      <c r="I807" s="87"/>
      <c r="J807" s="87"/>
      <c r="K807" s="88"/>
      <c r="L807" s="84"/>
      <c r="M807" s="84"/>
      <c r="N807" s="89" t="s">
        <v>213</v>
      </c>
      <c r="O807" s="89" t="s">
        <v>213</v>
      </c>
      <c r="P807" s="89" t="s">
        <v>213</v>
      </c>
      <c r="Q807" s="89" t="s">
        <v>213</v>
      </c>
      <c r="R807" s="89" t="s">
        <v>213</v>
      </c>
      <c r="S807" s="89" t="s">
        <v>213</v>
      </c>
      <c r="T807" s="90" t="s">
        <v>213</v>
      </c>
      <c r="U807" s="91" t="s">
        <v>213</v>
      </c>
      <c r="V807" s="92" t="s">
        <v>213</v>
      </c>
      <c r="W807" s="93" t="s">
        <v>213</v>
      </c>
      <c r="X807" s="92" t="s">
        <v>213</v>
      </c>
      <c r="Y807" s="90" t="s">
        <v>213</v>
      </c>
      <c r="Z807" s="93" t="s">
        <v>213</v>
      </c>
    </row>
    <row r="808" ht="15.75" customHeight="1">
      <c r="A808" s="84"/>
      <c r="B808" s="85"/>
      <c r="C808" s="85"/>
      <c r="D808" s="84"/>
      <c r="E808" s="84"/>
      <c r="F808" s="84"/>
      <c r="G808" s="86"/>
      <c r="H808" s="86"/>
      <c r="I808" s="87"/>
      <c r="J808" s="87"/>
      <c r="K808" s="88"/>
      <c r="L808" s="84"/>
      <c r="M808" s="84"/>
      <c r="N808" s="89" t="s">
        <v>213</v>
      </c>
      <c r="O808" s="89" t="s">
        <v>213</v>
      </c>
      <c r="P808" s="89" t="s">
        <v>213</v>
      </c>
      <c r="Q808" s="89" t="s">
        <v>213</v>
      </c>
      <c r="R808" s="89" t="s">
        <v>213</v>
      </c>
      <c r="S808" s="89" t="s">
        <v>213</v>
      </c>
      <c r="T808" s="90" t="s">
        <v>213</v>
      </c>
      <c r="U808" s="91" t="s">
        <v>213</v>
      </c>
      <c r="V808" s="92" t="s">
        <v>213</v>
      </c>
      <c r="W808" s="93" t="s">
        <v>213</v>
      </c>
      <c r="X808" s="92" t="s">
        <v>213</v>
      </c>
      <c r="Y808" s="90" t="s">
        <v>213</v>
      </c>
      <c r="Z808" s="93" t="s">
        <v>213</v>
      </c>
    </row>
    <row r="809" ht="15.75" customHeight="1">
      <c r="A809" s="84"/>
      <c r="B809" s="85"/>
      <c r="C809" s="85"/>
      <c r="D809" s="84"/>
      <c r="E809" s="84"/>
      <c r="F809" s="84"/>
      <c r="G809" s="86"/>
      <c r="H809" s="86"/>
      <c r="I809" s="87"/>
      <c r="J809" s="87"/>
      <c r="K809" s="88"/>
      <c r="L809" s="84"/>
      <c r="M809" s="84"/>
      <c r="N809" s="89" t="s">
        <v>213</v>
      </c>
      <c r="O809" s="89" t="s">
        <v>213</v>
      </c>
      <c r="P809" s="89" t="s">
        <v>213</v>
      </c>
      <c r="Q809" s="89" t="s">
        <v>213</v>
      </c>
      <c r="R809" s="89" t="s">
        <v>213</v>
      </c>
      <c r="S809" s="89" t="s">
        <v>213</v>
      </c>
      <c r="T809" s="90" t="s">
        <v>213</v>
      </c>
      <c r="U809" s="91" t="s">
        <v>213</v>
      </c>
      <c r="V809" s="92" t="s">
        <v>213</v>
      </c>
      <c r="W809" s="93" t="s">
        <v>213</v>
      </c>
      <c r="X809" s="92" t="s">
        <v>213</v>
      </c>
      <c r="Y809" s="90" t="s">
        <v>213</v>
      </c>
      <c r="Z809" s="93" t="s">
        <v>213</v>
      </c>
    </row>
    <row r="810" ht="15.75" customHeight="1">
      <c r="A810" s="84"/>
      <c r="B810" s="85"/>
      <c r="C810" s="85"/>
      <c r="D810" s="84"/>
      <c r="E810" s="84"/>
      <c r="F810" s="84"/>
      <c r="G810" s="86"/>
      <c r="H810" s="86"/>
      <c r="I810" s="87"/>
      <c r="J810" s="87"/>
      <c r="K810" s="88"/>
      <c r="L810" s="84"/>
      <c r="M810" s="84"/>
      <c r="N810" s="89" t="s">
        <v>213</v>
      </c>
      <c r="O810" s="89" t="s">
        <v>213</v>
      </c>
      <c r="P810" s="89" t="s">
        <v>213</v>
      </c>
      <c r="Q810" s="89" t="s">
        <v>213</v>
      </c>
      <c r="R810" s="89" t="s">
        <v>213</v>
      </c>
      <c r="S810" s="89" t="s">
        <v>213</v>
      </c>
      <c r="T810" s="90" t="s">
        <v>213</v>
      </c>
      <c r="U810" s="91" t="s">
        <v>213</v>
      </c>
      <c r="V810" s="92" t="s">
        <v>213</v>
      </c>
      <c r="W810" s="93" t="s">
        <v>213</v>
      </c>
      <c r="X810" s="92" t="s">
        <v>213</v>
      </c>
      <c r="Y810" s="90" t="s">
        <v>213</v>
      </c>
      <c r="Z810" s="93" t="s">
        <v>213</v>
      </c>
    </row>
    <row r="811" ht="15.75" customHeight="1">
      <c r="A811" s="84"/>
      <c r="B811" s="85"/>
      <c r="C811" s="85"/>
      <c r="D811" s="84"/>
      <c r="E811" s="84"/>
      <c r="F811" s="84"/>
      <c r="G811" s="86"/>
      <c r="H811" s="86"/>
      <c r="I811" s="87"/>
      <c r="J811" s="87"/>
      <c r="K811" s="88"/>
      <c r="L811" s="84"/>
      <c r="M811" s="84"/>
      <c r="N811" s="89" t="s">
        <v>213</v>
      </c>
      <c r="O811" s="89" t="s">
        <v>213</v>
      </c>
      <c r="P811" s="89" t="s">
        <v>213</v>
      </c>
      <c r="Q811" s="89" t="s">
        <v>213</v>
      </c>
      <c r="R811" s="89" t="s">
        <v>213</v>
      </c>
      <c r="S811" s="89" t="s">
        <v>213</v>
      </c>
      <c r="T811" s="90" t="s">
        <v>213</v>
      </c>
      <c r="U811" s="91" t="s">
        <v>213</v>
      </c>
      <c r="V811" s="92" t="s">
        <v>213</v>
      </c>
      <c r="W811" s="93" t="s">
        <v>213</v>
      </c>
      <c r="X811" s="92" t="s">
        <v>213</v>
      </c>
      <c r="Y811" s="90" t="s">
        <v>213</v>
      </c>
      <c r="Z811" s="93" t="s">
        <v>213</v>
      </c>
    </row>
    <row r="812" ht="15.75" customHeight="1">
      <c r="A812" s="84"/>
      <c r="B812" s="85"/>
      <c r="C812" s="85"/>
      <c r="D812" s="84"/>
      <c r="E812" s="84"/>
      <c r="F812" s="84"/>
      <c r="G812" s="86"/>
      <c r="H812" s="86"/>
      <c r="I812" s="87"/>
      <c r="J812" s="87"/>
      <c r="K812" s="88"/>
      <c r="L812" s="84"/>
      <c r="M812" s="84"/>
      <c r="N812" s="89" t="s">
        <v>213</v>
      </c>
      <c r="O812" s="89" t="s">
        <v>213</v>
      </c>
      <c r="P812" s="89" t="s">
        <v>213</v>
      </c>
      <c r="Q812" s="89" t="s">
        <v>213</v>
      </c>
      <c r="R812" s="89" t="s">
        <v>213</v>
      </c>
      <c r="S812" s="89" t="s">
        <v>213</v>
      </c>
      <c r="T812" s="90" t="s">
        <v>213</v>
      </c>
      <c r="U812" s="91" t="s">
        <v>213</v>
      </c>
      <c r="V812" s="92" t="s">
        <v>213</v>
      </c>
      <c r="W812" s="93" t="s">
        <v>213</v>
      </c>
      <c r="X812" s="92" t="s">
        <v>213</v>
      </c>
      <c r="Y812" s="90" t="s">
        <v>213</v>
      </c>
      <c r="Z812" s="93" t="s">
        <v>213</v>
      </c>
    </row>
    <row r="813" ht="15.75" customHeight="1">
      <c r="A813" s="84"/>
      <c r="B813" s="85"/>
      <c r="C813" s="85"/>
      <c r="D813" s="84"/>
      <c r="E813" s="84"/>
      <c r="F813" s="84"/>
      <c r="G813" s="86"/>
      <c r="H813" s="86"/>
      <c r="I813" s="87"/>
      <c r="J813" s="87"/>
      <c r="K813" s="88"/>
      <c r="L813" s="84"/>
      <c r="M813" s="84"/>
      <c r="N813" s="89" t="s">
        <v>213</v>
      </c>
      <c r="O813" s="89" t="s">
        <v>213</v>
      </c>
      <c r="P813" s="89" t="s">
        <v>213</v>
      </c>
      <c r="Q813" s="89" t="s">
        <v>213</v>
      </c>
      <c r="R813" s="89" t="s">
        <v>213</v>
      </c>
      <c r="S813" s="89" t="s">
        <v>213</v>
      </c>
      <c r="T813" s="90" t="s">
        <v>213</v>
      </c>
      <c r="U813" s="91" t="s">
        <v>213</v>
      </c>
      <c r="V813" s="92" t="s">
        <v>213</v>
      </c>
      <c r="W813" s="93" t="s">
        <v>213</v>
      </c>
      <c r="X813" s="92" t="s">
        <v>213</v>
      </c>
      <c r="Y813" s="90" t="s">
        <v>213</v>
      </c>
      <c r="Z813" s="93" t="s">
        <v>213</v>
      </c>
    </row>
    <row r="814" ht="15.75" customHeight="1">
      <c r="A814" s="84"/>
      <c r="B814" s="85"/>
      <c r="C814" s="85"/>
      <c r="D814" s="84"/>
      <c r="E814" s="84"/>
      <c r="F814" s="84"/>
      <c r="G814" s="86"/>
      <c r="H814" s="86"/>
      <c r="I814" s="87"/>
      <c r="J814" s="87"/>
      <c r="K814" s="88"/>
      <c r="L814" s="84"/>
      <c r="M814" s="84"/>
      <c r="N814" s="89" t="s">
        <v>213</v>
      </c>
      <c r="O814" s="89" t="s">
        <v>213</v>
      </c>
      <c r="P814" s="89" t="s">
        <v>213</v>
      </c>
      <c r="Q814" s="89" t="s">
        <v>213</v>
      </c>
      <c r="R814" s="89" t="s">
        <v>213</v>
      </c>
      <c r="S814" s="89" t="s">
        <v>213</v>
      </c>
      <c r="T814" s="90" t="s">
        <v>213</v>
      </c>
      <c r="U814" s="91" t="s">
        <v>213</v>
      </c>
      <c r="V814" s="92" t="s">
        <v>213</v>
      </c>
      <c r="W814" s="93" t="s">
        <v>213</v>
      </c>
      <c r="X814" s="92" t="s">
        <v>213</v>
      </c>
      <c r="Y814" s="90" t="s">
        <v>213</v>
      </c>
      <c r="Z814" s="93" t="s">
        <v>213</v>
      </c>
    </row>
    <row r="815" ht="15.75" customHeight="1">
      <c r="A815" s="84"/>
      <c r="B815" s="85"/>
      <c r="C815" s="85"/>
      <c r="D815" s="84"/>
      <c r="E815" s="84"/>
      <c r="F815" s="84"/>
      <c r="G815" s="86"/>
      <c r="H815" s="86"/>
      <c r="I815" s="87"/>
      <c r="J815" s="87"/>
      <c r="K815" s="88"/>
      <c r="L815" s="84"/>
      <c r="M815" s="84"/>
      <c r="N815" s="89" t="s">
        <v>213</v>
      </c>
      <c r="O815" s="89" t="s">
        <v>213</v>
      </c>
      <c r="P815" s="89" t="s">
        <v>213</v>
      </c>
      <c r="Q815" s="89" t="s">
        <v>213</v>
      </c>
      <c r="R815" s="89" t="s">
        <v>213</v>
      </c>
      <c r="S815" s="89" t="s">
        <v>213</v>
      </c>
      <c r="T815" s="90" t="s">
        <v>213</v>
      </c>
      <c r="U815" s="91" t="s">
        <v>213</v>
      </c>
      <c r="V815" s="92" t="s">
        <v>213</v>
      </c>
      <c r="W815" s="93" t="s">
        <v>213</v>
      </c>
      <c r="X815" s="92" t="s">
        <v>213</v>
      </c>
      <c r="Y815" s="90" t="s">
        <v>213</v>
      </c>
      <c r="Z815" s="93" t="s">
        <v>213</v>
      </c>
    </row>
    <row r="816" ht="15.75" customHeight="1">
      <c r="A816" s="84"/>
      <c r="B816" s="85"/>
      <c r="C816" s="85"/>
      <c r="D816" s="84"/>
      <c r="E816" s="84"/>
      <c r="F816" s="84"/>
      <c r="G816" s="86"/>
      <c r="H816" s="86"/>
      <c r="I816" s="87"/>
      <c r="J816" s="87"/>
      <c r="K816" s="88"/>
      <c r="L816" s="84"/>
      <c r="M816" s="84"/>
      <c r="N816" s="89" t="s">
        <v>213</v>
      </c>
      <c r="O816" s="89" t="s">
        <v>213</v>
      </c>
      <c r="P816" s="89" t="s">
        <v>213</v>
      </c>
      <c r="Q816" s="89" t="s">
        <v>213</v>
      </c>
      <c r="R816" s="89" t="s">
        <v>213</v>
      </c>
      <c r="S816" s="89" t="s">
        <v>213</v>
      </c>
      <c r="T816" s="90" t="s">
        <v>213</v>
      </c>
      <c r="U816" s="91" t="s">
        <v>213</v>
      </c>
      <c r="V816" s="92" t="s">
        <v>213</v>
      </c>
      <c r="W816" s="93" t="s">
        <v>213</v>
      </c>
      <c r="X816" s="92" t="s">
        <v>213</v>
      </c>
      <c r="Y816" s="90" t="s">
        <v>213</v>
      </c>
      <c r="Z816" s="93" t="s">
        <v>213</v>
      </c>
    </row>
    <row r="817" ht="15.75" customHeight="1">
      <c r="A817" s="84"/>
      <c r="B817" s="85"/>
      <c r="C817" s="85"/>
      <c r="D817" s="84"/>
      <c r="E817" s="84"/>
      <c r="F817" s="84"/>
      <c r="G817" s="86"/>
      <c r="H817" s="86"/>
      <c r="I817" s="87"/>
      <c r="J817" s="87"/>
      <c r="K817" s="88"/>
      <c r="L817" s="84"/>
      <c r="M817" s="84"/>
      <c r="N817" s="89" t="s">
        <v>213</v>
      </c>
      <c r="O817" s="89" t="s">
        <v>213</v>
      </c>
      <c r="P817" s="89" t="s">
        <v>213</v>
      </c>
      <c r="Q817" s="89" t="s">
        <v>213</v>
      </c>
      <c r="R817" s="89" t="s">
        <v>213</v>
      </c>
      <c r="S817" s="89" t="s">
        <v>213</v>
      </c>
      <c r="T817" s="90" t="s">
        <v>213</v>
      </c>
      <c r="U817" s="91" t="s">
        <v>213</v>
      </c>
      <c r="V817" s="92" t="s">
        <v>213</v>
      </c>
      <c r="W817" s="93" t="s">
        <v>213</v>
      </c>
      <c r="X817" s="92" t="s">
        <v>213</v>
      </c>
      <c r="Y817" s="90" t="s">
        <v>213</v>
      </c>
      <c r="Z817" s="93" t="s">
        <v>213</v>
      </c>
    </row>
    <row r="818" ht="15.75" customHeight="1">
      <c r="A818" s="84"/>
      <c r="B818" s="85"/>
      <c r="C818" s="85"/>
      <c r="D818" s="84"/>
      <c r="E818" s="84"/>
      <c r="F818" s="84"/>
      <c r="G818" s="86"/>
      <c r="H818" s="86"/>
      <c r="I818" s="87"/>
      <c r="J818" s="87"/>
      <c r="K818" s="88"/>
      <c r="L818" s="84"/>
      <c r="M818" s="84"/>
      <c r="N818" s="89" t="s">
        <v>213</v>
      </c>
      <c r="O818" s="89" t="s">
        <v>213</v>
      </c>
      <c r="P818" s="89" t="s">
        <v>213</v>
      </c>
      <c r="Q818" s="89" t="s">
        <v>213</v>
      </c>
      <c r="R818" s="89" t="s">
        <v>213</v>
      </c>
      <c r="S818" s="89" t="s">
        <v>213</v>
      </c>
      <c r="T818" s="90" t="s">
        <v>213</v>
      </c>
      <c r="U818" s="91" t="s">
        <v>213</v>
      </c>
      <c r="V818" s="92" t="s">
        <v>213</v>
      </c>
      <c r="W818" s="93" t="s">
        <v>213</v>
      </c>
      <c r="X818" s="92" t="s">
        <v>213</v>
      </c>
      <c r="Y818" s="90" t="s">
        <v>213</v>
      </c>
      <c r="Z818" s="93" t="s">
        <v>213</v>
      </c>
    </row>
    <row r="819" ht="15.75" customHeight="1">
      <c r="A819" s="84"/>
      <c r="B819" s="85"/>
      <c r="C819" s="85"/>
      <c r="D819" s="84"/>
      <c r="E819" s="84"/>
      <c r="F819" s="84"/>
      <c r="G819" s="86"/>
      <c r="H819" s="86"/>
      <c r="I819" s="87"/>
      <c r="J819" s="87"/>
      <c r="K819" s="88"/>
      <c r="L819" s="84"/>
      <c r="M819" s="84"/>
      <c r="N819" s="89" t="s">
        <v>213</v>
      </c>
      <c r="O819" s="89" t="s">
        <v>213</v>
      </c>
      <c r="P819" s="89" t="s">
        <v>213</v>
      </c>
      <c r="Q819" s="89" t="s">
        <v>213</v>
      </c>
      <c r="R819" s="89" t="s">
        <v>213</v>
      </c>
      <c r="S819" s="89" t="s">
        <v>213</v>
      </c>
      <c r="T819" s="90" t="s">
        <v>213</v>
      </c>
      <c r="U819" s="91" t="s">
        <v>213</v>
      </c>
      <c r="V819" s="92" t="s">
        <v>213</v>
      </c>
      <c r="W819" s="93" t="s">
        <v>213</v>
      </c>
      <c r="X819" s="92" t="s">
        <v>213</v>
      </c>
      <c r="Y819" s="90" t="s">
        <v>213</v>
      </c>
      <c r="Z819" s="93" t="s">
        <v>213</v>
      </c>
    </row>
    <row r="820" ht="15.75" customHeight="1">
      <c r="A820" s="84"/>
      <c r="B820" s="85"/>
      <c r="C820" s="85"/>
      <c r="D820" s="84"/>
      <c r="E820" s="84"/>
      <c r="F820" s="84"/>
      <c r="G820" s="86"/>
      <c r="H820" s="86"/>
      <c r="I820" s="87"/>
      <c r="J820" s="87"/>
      <c r="K820" s="88"/>
      <c r="L820" s="84"/>
      <c r="M820" s="84"/>
      <c r="N820" s="89" t="s">
        <v>213</v>
      </c>
      <c r="O820" s="89" t="s">
        <v>213</v>
      </c>
      <c r="P820" s="89" t="s">
        <v>213</v>
      </c>
      <c r="Q820" s="89" t="s">
        <v>213</v>
      </c>
      <c r="R820" s="89" t="s">
        <v>213</v>
      </c>
      <c r="S820" s="89" t="s">
        <v>213</v>
      </c>
      <c r="T820" s="90" t="s">
        <v>213</v>
      </c>
      <c r="U820" s="91" t="s">
        <v>213</v>
      </c>
      <c r="V820" s="92" t="s">
        <v>213</v>
      </c>
      <c r="W820" s="93" t="s">
        <v>213</v>
      </c>
      <c r="X820" s="92" t="s">
        <v>213</v>
      </c>
      <c r="Y820" s="90" t="s">
        <v>213</v>
      </c>
      <c r="Z820" s="93" t="s">
        <v>213</v>
      </c>
    </row>
    <row r="821" ht="15.75" customHeight="1">
      <c r="A821" s="84"/>
      <c r="B821" s="85"/>
      <c r="C821" s="85"/>
      <c r="D821" s="84"/>
      <c r="E821" s="84"/>
      <c r="F821" s="84"/>
      <c r="G821" s="86"/>
      <c r="H821" s="86"/>
      <c r="I821" s="87"/>
      <c r="J821" s="87"/>
      <c r="K821" s="88"/>
      <c r="L821" s="84"/>
      <c r="M821" s="84"/>
      <c r="N821" s="89" t="s">
        <v>213</v>
      </c>
      <c r="O821" s="89" t="s">
        <v>213</v>
      </c>
      <c r="P821" s="89" t="s">
        <v>213</v>
      </c>
      <c r="Q821" s="89" t="s">
        <v>213</v>
      </c>
      <c r="R821" s="89" t="s">
        <v>213</v>
      </c>
      <c r="S821" s="89" t="s">
        <v>213</v>
      </c>
      <c r="T821" s="90" t="s">
        <v>213</v>
      </c>
      <c r="U821" s="91" t="s">
        <v>213</v>
      </c>
      <c r="V821" s="92" t="s">
        <v>213</v>
      </c>
      <c r="W821" s="93" t="s">
        <v>213</v>
      </c>
      <c r="X821" s="92" t="s">
        <v>213</v>
      </c>
      <c r="Y821" s="90" t="s">
        <v>213</v>
      </c>
      <c r="Z821" s="93" t="s">
        <v>213</v>
      </c>
    </row>
    <row r="822" ht="15.75" customHeight="1">
      <c r="A822" s="84"/>
      <c r="B822" s="85"/>
      <c r="C822" s="85"/>
      <c r="D822" s="84"/>
      <c r="E822" s="84"/>
      <c r="F822" s="84"/>
      <c r="G822" s="86"/>
      <c r="H822" s="86"/>
      <c r="I822" s="87"/>
      <c r="J822" s="87"/>
      <c r="K822" s="88"/>
      <c r="L822" s="84"/>
      <c r="M822" s="84"/>
      <c r="N822" s="89" t="s">
        <v>213</v>
      </c>
      <c r="O822" s="89" t="s">
        <v>213</v>
      </c>
      <c r="P822" s="89" t="s">
        <v>213</v>
      </c>
      <c r="Q822" s="89" t="s">
        <v>213</v>
      </c>
      <c r="R822" s="89" t="s">
        <v>213</v>
      </c>
      <c r="S822" s="89" t="s">
        <v>213</v>
      </c>
      <c r="T822" s="90" t="s">
        <v>213</v>
      </c>
      <c r="U822" s="91" t="s">
        <v>213</v>
      </c>
      <c r="V822" s="92" t="s">
        <v>213</v>
      </c>
      <c r="W822" s="93" t="s">
        <v>213</v>
      </c>
      <c r="X822" s="92" t="s">
        <v>213</v>
      </c>
      <c r="Y822" s="90" t="s">
        <v>213</v>
      </c>
      <c r="Z822" s="93" t="s">
        <v>213</v>
      </c>
    </row>
    <row r="823" ht="15.75" customHeight="1">
      <c r="A823" s="84"/>
      <c r="B823" s="85"/>
      <c r="C823" s="85"/>
      <c r="D823" s="84"/>
      <c r="E823" s="84"/>
      <c r="F823" s="84"/>
      <c r="G823" s="86"/>
      <c r="H823" s="86"/>
      <c r="I823" s="87"/>
      <c r="J823" s="87"/>
      <c r="K823" s="88"/>
      <c r="L823" s="84"/>
      <c r="M823" s="84"/>
      <c r="N823" s="89" t="s">
        <v>213</v>
      </c>
      <c r="O823" s="89" t="s">
        <v>213</v>
      </c>
      <c r="P823" s="89" t="s">
        <v>213</v>
      </c>
      <c r="Q823" s="89" t="s">
        <v>213</v>
      </c>
      <c r="R823" s="89" t="s">
        <v>213</v>
      </c>
      <c r="S823" s="89" t="s">
        <v>213</v>
      </c>
      <c r="T823" s="90" t="s">
        <v>213</v>
      </c>
      <c r="U823" s="91" t="s">
        <v>213</v>
      </c>
      <c r="V823" s="92" t="s">
        <v>213</v>
      </c>
      <c r="W823" s="93" t="s">
        <v>213</v>
      </c>
      <c r="X823" s="92" t="s">
        <v>213</v>
      </c>
      <c r="Y823" s="90" t="s">
        <v>213</v>
      </c>
      <c r="Z823" s="93" t="s">
        <v>213</v>
      </c>
    </row>
    <row r="824" ht="15.75" customHeight="1">
      <c r="A824" s="84"/>
      <c r="B824" s="85"/>
      <c r="C824" s="85"/>
      <c r="D824" s="84"/>
      <c r="E824" s="84"/>
      <c r="F824" s="84"/>
      <c r="G824" s="86"/>
      <c r="H824" s="86"/>
      <c r="I824" s="87"/>
      <c r="J824" s="87"/>
      <c r="K824" s="88"/>
      <c r="L824" s="84"/>
      <c r="M824" s="84"/>
      <c r="N824" s="89" t="s">
        <v>213</v>
      </c>
      <c r="O824" s="89" t="s">
        <v>213</v>
      </c>
      <c r="P824" s="89" t="s">
        <v>213</v>
      </c>
      <c r="Q824" s="89" t="s">
        <v>213</v>
      </c>
      <c r="R824" s="89" t="s">
        <v>213</v>
      </c>
      <c r="S824" s="89" t="s">
        <v>213</v>
      </c>
      <c r="T824" s="90" t="s">
        <v>213</v>
      </c>
      <c r="U824" s="91" t="s">
        <v>213</v>
      </c>
      <c r="V824" s="92" t="s">
        <v>213</v>
      </c>
      <c r="W824" s="93" t="s">
        <v>213</v>
      </c>
      <c r="X824" s="92" t="s">
        <v>213</v>
      </c>
      <c r="Y824" s="90" t="s">
        <v>213</v>
      </c>
      <c r="Z824" s="93" t="s">
        <v>213</v>
      </c>
    </row>
    <row r="825" ht="15.75" customHeight="1">
      <c r="A825" s="84"/>
      <c r="B825" s="85"/>
      <c r="C825" s="85"/>
      <c r="D825" s="84"/>
      <c r="E825" s="84"/>
      <c r="F825" s="84"/>
      <c r="G825" s="86"/>
      <c r="H825" s="86"/>
      <c r="I825" s="87"/>
      <c r="J825" s="87"/>
      <c r="K825" s="88"/>
      <c r="L825" s="84"/>
      <c r="M825" s="84"/>
      <c r="N825" s="89" t="s">
        <v>213</v>
      </c>
      <c r="O825" s="89" t="s">
        <v>213</v>
      </c>
      <c r="P825" s="89" t="s">
        <v>213</v>
      </c>
      <c r="Q825" s="89" t="s">
        <v>213</v>
      </c>
      <c r="R825" s="89" t="s">
        <v>213</v>
      </c>
      <c r="S825" s="89" t="s">
        <v>213</v>
      </c>
      <c r="T825" s="90" t="s">
        <v>213</v>
      </c>
      <c r="U825" s="91" t="s">
        <v>213</v>
      </c>
      <c r="V825" s="92" t="s">
        <v>213</v>
      </c>
      <c r="W825" s="93" t="s">
        <v>213</v>
      </c>
      <c r="X825" s="92" t="s">
        <v>213</v>
      </c>
      <c r="Y825" s="90" t="s">
        <v>213</v>
      </c>
      <c r="Z825" s="93" t="s">
        <v>213</v>
      </c>
    </row>
    <row r="826" ht="15.75" customHeight="1">
      <c r="A826" s="84"/>
      <c r="B826" s="85"/>
      <c r="C826" s="85"/>
      <c r="D826" s="84"/>
      <c r="E826" s="84"/>
      <c r="F826" s="84"/>
      <c r="G826" s="86"/>
      <c r="H826" s="86"/>
      <c r="I826" s="87"/>
      <c r="J826" s="87"/>
      <c r="K826" s="88"/>
      <c r="L826" s="84"/>
      <c r="M826" s="84"/>
      <c r="N826" s="89" t="s">
        <v>213</v>
      </c>
      <c r="O826" s="89" t="s">
        <v>213</v>
      </c>
      <c r="P826" s="89" t="s">
        <v>213</v>
      </c>
      <c r="Q826" s="89" t="s">
        <v>213</v>
      </c>
      <c r="R826" s="89" t="s">
        <v>213</v>
      </c>
      <c r="S826" s="89" t="s">
        <v>213</v>
      </c>
      <c r="T826" s="90" t="s">
        <v>213</v>
      </c>
      <c r="U826" s="91" t="s">
        <v>213</v>
      </c>
      <c r="V826" s="92" t="s">
        <v>213</v>
      </c>
      <c r="W826" s="93" t="s">
        <v>213</v>
      </c>
      <c r="X826" s="92" t="s">
        <v>213</v>
      </c>
      <c r="Y826" s="90" t="s">
        <v>213</v>
      </c>
      <c r="Z826" s="93" t="s">
        <v>213</v>
      </c>
    </row>
    <row r="827" ht="15.75" customHeight="1">
      <c r="A827" s="84"/>
      <c r="B827" s="85"/>
      <c r="C827" s="85"/>
      <c r="D827" s="84"/>
      <c r="E827" s="84"/>
      <c r="F827" s="84"/>
      <c r="G827" s="86"/>
      <c r="H827" s="86"/>
      <c r="I827" s="87"/>
      <c r="J827" s="87"/>
      <c r="K827" s="88"/>
      <c r="L827" s="84"/>
      <c r="M827" s="84"/>
      <c r="N827" s="89" t="s">
        <v>213</v>
      </c>
      <c r="O827" s="89" t="s">
        <v>213</v>
      </c>
      <c r="P827" s="89" t="s">
        <v>213</v>
      </c>
      <c r="Q827" s="89" t="s">
        <v>213</v>
      </c>
      <c r="R827" s="89" t="s">
        <v>213</v>
      </c>
      <c r="S827" s="89" t="s">
        <v>213</v>
      </c>
      <c r="T827" s="90" t="s">
        <v>213</v>
      </c>
      <c r="U827" s="91" t="s">
        <v>213</v>
      </c>
      <c r="V827" s="92" t="s">
        <v>213</v>
      </c>
      <c r="W827" s="93" t="s">
        <v>213</v>
      </c>
      <c r="X827" s="92" t="s">
        <v>213</v>
      </c>
      <c r="Y827" s="90" t="s">
        <v>213</v>
      </c>
      <c r="Z827" s="93" t="s">
        <v>213</v>
      </c>
    </row>
    <row r="828" ht="15.75" customHeight="1">
      <c r="A828" s="84"/>
      <c r="B828" s="85"/>
      <c r="C828" s="85"/>
      <c r="D828" s="84"/>
      <c r="E828" s="84"/>
      <c r="F828" s="84"/>
      <c r="G828" s="86"/>
      <c r="H828" s="86"/>
      <c r="I828" s="87"/>
      <c r="J828" s="87"/>
      <c r="K828" s="88"/>
      <c r="L828" s="84"/>
      <c r="M828" s="84"/>
      <c r="N828" s="89" t="s">
        <v>213</v>
      </c>
      <c r="O828" s="89" t="s">
        <v>213</v>
      </c>
      <c r="P828" s="89" t="s">
        <v>213</v>
      </c>
      <c r="Q828" s="89" t="s">
        <v>213</v>
      </c>
      <c r="R828" s="89" t="s">
        <v>213</v>
      </c>
      <c r="S828" s="89" t="s">
        <v>213</v>
      </c>
      <c r="T828" s="90" t="s">
        <v>213</v>
      </c>
      <c r="U828" s="91" t="s">
        <v>213</v>
      </c>
      <c r="V828" s="92" t="s">
        <v>213</v>
      </c>
      <c r="W828" s="93" t="s">
        <v>213</v>
      </c>
      <c r="X828" s="92" t="s">
        <v>213</v>
      </c>
      <c r="Y828" s="90" t="s">
        <v>213</v>
      </c>
      <c r="Z828" s="93" t="s">
        <v>213</v>
      </c>
    </row>
    <row r="829" ht="15.75" customHeight="1">
      <c r="A829" s="84"/>
      <c r="B829" s="85"/>
      <c r="C829" s="85"/>
      <c r="D829" s="84"/>
      <c r="E829" s="84"/>
      <c r="F829" s="84"/>
      <c r="G829" s="86"/>
      <c r="H829" s="86"/>
      <c r="I829" s="87"/>
      <c r="J829" s="87"/>
      <c r="K829" s="88"/>
      <c r="L829" s="84"/>
      <c r="M829" s="84"/>
      <c r="N829" s="89" t="s">
        <v>213</v>
      </c>
      <c r="O829" s="89" t="s">
        <v>213</v>
      </c>
      <c r="P829" s="89" t="s">
        <v>213</v>
      </c>
      <c r="Q829" s="89" t="s">
        <v>213</v>
      </c>
      <c r="R829" s="89" t="s">
        <v>213</v>
      </c>
      <c r="S829" s="89" t="s">
        <v>213</v>
      </c>
      <c r="T829" s="90" t="s">
        <v>213</v>
      </c>
      <c r="U829" s="91" t="s">
        <v>213</v>
      </c>
      <c r="V829" s="92" t="s">
        <v>213</v>
      </c>
      <c r="W829" s="93" t="s">
        <v>213</v>
      </c>
      <c r="X829" s="92" t="s">
        <v>213</v>
      </c>
      <c r="Y829" s="90" t="s">
        <v>213</v>
      </c>
      <c r="Z829" s="93" t="s">
        <v>213</v>
      </c>
    </row>
    <row r="830" ht="15.75" customHeight="1">
      <c r="A830" s="84"/>
      <c r="B830" s="85"/>
      <c r="C830" s="85"/>
      <c r="D830" s="84"/>
      <c r="E830" s="84"/>
      <c r="F830" s="84"/>
      <c r="G830" s="86"/>
      <c r="H830" s="86"/>
      <c r="I830" s="87"/>
      <c r="J830" s="87"/>
      <c r="K830" s="88"/>
      <c r="L830" s="84"/>
      <c r="M830" s="84"/>
      <c r="N830" s="89" t="s">
        <v>213</v>
      </c>
      <c r="O830" s="89" t="s">
        <v>213</v>
      </c>
      <c r="P830" s="89" t="s">
        <v>213</v>
      </c>
      <c r="Q830" s="89" t="s">
        <v>213</v>
      </c>
      <c r="R830" s="89" t="s">
        <v>213</v>
      </c>
      <c r="S830" s="89" t="s">
        <v>213</v>
      </c>
      <c r="T830" s="90" t="s">
        <v>213</v>
      </c>
      <c r="U830" s="91" t="s">
        <v>213</v>
      </c>
      <c r="V830" s="92" t="s">
        <v>213</v>
      </c>
      <c r="W830" s="93" t="s">
        <v>213</v>
      </c>
      <c r="X830" s="92" t="s">
        <v>213</v>
      </c>
      <c r="Y830" s="90" t="s">
        <v>213</v>
      </c>
      <c r="Z830" s="93" t="s">
        <v>213</v>
      </c>
    </row>
    <row r="831" ht="15.75" customHeight="1">
      <c r="A831" s="84"/>
      <c r="B831" s="85"/>
      <c r="C831" s="85"/>
      <c r="D831" s="84"/>
      <c r="E831" s="84"/>
      <c r="F831" s="84"/>
      <c r="G831" s="86"/>
      <c r="H831" s="86"/>
      <c r="I831" s="87"/>
      <c r="J831" s="87"/>
      <c r="K831" s="88"/>
      <c r="L831" s="84"/>
      <c r="M831" s="84"/>
      <c r="N831" s="89" t="s">
        <v>213</v>
      </c>
      <c r="O831" s="89" t="s">
        <v>213</v>
      </c>
      <c r="P831" s="89" t="s">
        <v>213</v>
      </c>
      <c r="Q831" s="89" t="s">
        <v>213</v>
      </c>
      <c r="R831" s="89" t="s">
        <v>213</v>
      </c>
      <c r="S831" s="89" t="s">
        <v>213</v>
      </c>
      <c r="T831" s="90" t="s">
        <v>213</v>
      </c>
      <c r="U831" s="91" t="s">
        <v>213</v>
      </c>
      <c r="V831" s="92" t="s">
        <v>213</v>
      </c>
      <c r="W831" s="93" t="s">
        <v>213</v>
      </c>
      <c r="X831" s="92" t="s">
        <v>213</v>
      </c>
      <c r="Y831" s="90" t="s">
        <v>213</v>
      </c>
      <c r="Z831" s="93" t="s">
        <v>213</v>
      </c>
    </row>
    <row r="832" ht="15.75" customHeight="1">
      <c r="A832" s="84"/>
      <c r="B832" s="85"/>
      <c r="C832" s="85"/>
      <c r="D832" s="84"/>
      <c r="E832" s="84"/>
      <c r="F832" s="84"/>
      <c r="G832" s="86"/>
      <c r="H832" s="86"/>
      <c r="I832" s="87"/>
      <c r="J832" s="87"/>
      <c r="K832" s="88"/>
      <c r="L832" s="84"/>
      <c r="M832" s="84"/>
      <c r="N832" s="89" t="s">
        <v>213</v>
      </c>
      <c r="O832" s="89" t="s">
        <v>213</v>
      </c>
      <c r="P832" s="89" t="s">
        <v>213</v>
      </c>
      <c r="Q832" s="89" t="s">
        <v>213</v>
      </c>
      <c r="R832" s="89" t="s">
        <v>213</v>
      </c>
      <c r="S832" s="89" t="s">
        <v>213</v>
      </c>
      <c r="T832" s="90" t="s">
        <v>213</v>
      </c>
      <c r="U832" s="91" t="s">
        <v>213</v>
      </c>
      <c r="V832" s="92" t="s">
        <v>213</v>
      </c>
      <c r="W832" s="93" t="s">
        <v>213</v>
      </c>
      <c r="X832" s="92" t="s">
        <v>213</v>
      </c>
      <c r="Y832" s="90" t="s">
        <v>213</v>
      </c>
      <c r="Z832" s="93" t="s">
        <v>213</v>
      </c>
    </row>
    <row r="833" ht="15.75" customHeight="1">
      <c r="A833" s="84"/>
      <c r="B833" s="85"/>
      <c r="C833" s="85"/>
      <c r="D833" s="84"/>
      <c r="E833" s="84"/>
      <c r="F833" s="84"/>
      <c r="G833" s="86"/>
      <c r="H833" s="86"/>
      <c r="I833" s="87"/>
      <c r="J833" s="87"/>
      <c r="K833" s="88"/>
      <c r="L833" s="84"/>
      <c r="M833" s="84"/>
      <c r="N833" s="89" t="s">
        <v>213</v>
      </c>
      <c r="O833" s="89" t="s">
        <v>213</v>
      </c>
      <c r="P833" s="89" t="s">
        <v>213</v>
      </c>
      <c r="Q833" s="89" t="s">
        <v>213</v>
      </c>
      <c r="R833" s="89" t="s">
        <v>213</v>
      </c>
      <c r="S833" s="89" t="s">
        <v>213</v>
      </c>
      <c r="T833" s="90" t="s">
        <v>213</v>
      </c>
      <c r="U833" s="91" t="s">
        <v>213</v>
      </c>
      <c r="V833" s="92" t="s">
        <v>213</v>
      </c>
      <c r="W833" s="93" t="s">
        <v>213</v>
      </c>
      <c r="X833" s="92" t="s">
        <v>213</v>
      </c>
      <c r="Y833" s="90" t="s">
        <v>213</v>
      </c>
      <c r="Z833" s="93" t="s">
        <v>213</v>
      </c>
    </row>
    <row r="834" ht="15.75" customHeight="1">
      <c r="A834" s="84"/>
      <c r="B834" s="85"/>
      <c r="C834" s="85"/>
      <c r="D834" s="84"/>
      <c r="E834" s="84"/>
      <c r="F834" s="84"/>
      <c r="G834" s="86"/>
      <c r="H834" s="86"/>
      <c r="I834" s="87"/>
      <c r="J834" s="87"/>
      <c r="K834" s="88"/>
      <c r="L834" s="84"/>
      <c r="M834" s="84"/>
      <c r="N834" s="89" t="s">
        <v>213</v>
      </c>
      <c r="O834" s="89" t="s">
        <v>213</v>
      </c>
      <c r="P834" s="89" t="s">
        <v>213</v>
      </c>
      <c r="Q834" s="89" t="s">
        <v>213</v>
      </c>
      <c r="R834" s="89" t="s">
        <v>213</v>
      </c>
      <c r="S834" s="89" t="s">
        <v>213</v>
      </c>
      <c r="T834" s="90" t="s">
        <v>213</v>
      </c>
      <c r="U834" s="91" t="s">
        <v>213</v>
      </c>
      <c r="V834" s="92" t="s">
        <v>213</v>
      </c>
      <c r="W834" s="93" t="s">
        <v>213</v>
      </c>
      <c r="X834" s="92" t="s">
        <v>213</v>
      </c>
      <c r="Y834" s="90" t="s">
        <v>213</v>
      </c>
      <c r="Z834" s="93" t="s">
        <v>213</v>
      </c>
    </row>
    <row r="835" ht="15.75" customHeight="1">
      <c r="A835" s="84"/>
      <c r="B835" s="85"/>
      <c r="C835" s="85"/>
      <c r="D835" s="84"/>
      <c r="E835" s="84"/>
      <c r="F835" s="84"/>
      <c r="G835" s="86"/>
      <c r="H835" s="86"/>
      <c r="I835" s="87"/>
      <c r="J835" s="87"/>
      <c r="K835" s="88"/>
      <c r="L835" s="84"/>
      <c r="M835" s="84"/>
      <c r="N835" s="89" t="s">
        <v>213</v>
      </c>
      <c r="O835" s="89" t="s">
        <v>213</v>
      </c>
      <c r="P835" s="89" t="s">
        <v>213</v>
      </c>
      <c r="Q835" s="89" t="s">
        <v>213</v>
      </c>
      <c r="R835" s="89" t="s">
        <v>213</v>
      </c>
      <c r="S835" s="89" t="s">
        <v>213</v>
      </c>
      <c r="T835" s="90" t="s">
        <v>213</v>
      </c>
      <c r="U835" s="91" t="s">
        <v>213</v>
      </c>
      <c r="V835" s="92" t="s">
        <v>213</v>
      </c>
      <c r="W835" s="93" t="s">
        <v>213</v>
      </c>
      <c r="X835" s="92" t="s">
        <v>213</v>
      </c>
      <c r="Y835" s="90" t="s">
        <v>213</v>
      </c>
      <c r="Z835" s="93" t="s">
        <v>213</v>
      </c>
    </row>
    <row r="836" ht="15.75" customHeight="1">
      <c r="A836" s="84"/>
      <c r="B836" s="85"/>
      <c r="C836" s="85"/>
      <c r="D836" s="84"/>
      <c r="E836" s="84"/>
      <c r="F836" s="84"/>
      <c r="G836" s="86"/>
      <c r="H836" s="86"/>
      <c r="I836" s="87"/>
      <c r="J836" s="87"/>
      <c r="K836" s="88"/>
      <c r="L836" s="84"/>
      <c r="M836" s="84"/>
      <c r="N836" s="89" t="s">
        <v>213</v>
      </c>
      <c r="O836" s="89" t="s">
        <v>213</v>
      </c>
      <c r="P836" s="89" t="s">
        <v>213</v>
      </c>
      <c r="Q836" s="89" t="s">
        <v>213</v>
      </c>
      <c r="R836" s="89" t="s">
        <v>213</v>
      </c>
      <c r="S836" s="89" t="s">
        <v>213</v>
      </c>
      <c r="T836" s="90" t="s">
        <v>213</v>
      </c>
      <c r="U836" s="91" t="s">
        <v>213</v>
      </c>
      <c r="V836" s="92" t="s">
        <v>213</v>
      </c>
      <c r="W836" s="93" t="s">
        <v>213</v>
      </c>
      <c r="X836" s="92" t="s">
        <v>213</v>
      </c>
      <c r="Y836" s="90" t="s">
        <v>213</v>
      </c>
      <c r="Z836" s="93" t="s">
        <v>213</v>
      </c>
    </row>
    <row r="837" ht="15.75" customHeight="1">
      <c r="A837" s="84"/>
      <c r="B837" s="85"/>
      <c r="C837" s="85"/>
      <c r="D837" s="84"/>
      <c r="E837" s="84"/>
      <c r="F837" s="84"/>
      <c r="G837" s="86"/>
      <c r="H837" s="86"/>
      <c r="I837" s="87"/>
      <c r="J837" s="87"/>
      <c r="K837" s="88"/>
      <c r="L837" s="84"/>
      <c r="M837" s="84"/>
      <c r="N837" s="89" t="s">
        <v>213</v>
      </c>
      <c r="O837" s="89" t="s">
        <v>213</v>
      </c>
      <c r="P837" s="89" t="s">
        <v>213</v>
      </c>
      <c r="Q837" s="89" t="s">
        <v>213</v>
      </c>
      <c r="R837" s="89" t="s">
        <v>213</v>
      </c>
      <c r="S837" s="89" t="s">
        <v>213</v>
      </c>
      <c r="T837" s="90" t="s">
        <v>213</v>
      </c>
      <c r="U837" s="91" t="s">
        <v>213</v>
      </c>
      <c r="V837" s="92" t="s">
        <v>213</v>
      </c>
      <c r="W837" s="93" t="s">
        <v>213</v>
      </c>
      <c r="X837" s="92" t="s">
        <v>213</v>
      </c>
      <c r="Y837" s="90" t="s">
        <v>213</v>
      </c>
      <c r="Z837" s="93" t="s">
        <v>213</v>
      </c>
    </row>
    <row r="838" ht="15.75" customHeight="1">
      <c r="A838" s="84"/>
      <c r="B838" s="85"/>
      <c r="C838" s="85"/>
      <c r="D838" s="84"/>
      <c r="E838" s="84"/>
      <c r="F838" s="84"/>
      <c r="G838" s="86"/>
      <c r="H838" s="86"/>
      <c r="I838" s="87"/>
      <c r="J838" s="87"/>
      <c r="K838" s="88"/>
      <c r="L838" s="84"/>
      <c r="M838" s="84"/>
      <c r="N838" s="89" t="s">
        <v>213</v>
      </c>
      <c r="O838" s="89" t="s">
        <v>213</v>
      </c>
      <c r="P838" s="89" t="s">
        <v>213</v>
      </c>
      <c r="Q838" s="89" t="s">
        <v>213</v>
      </c>
      <c r="R838" s="89" t="s">
        <v>213</v>
      </c>
      <c r="S838" s="89" t="s">
        <v>213</v>
      </c>
      <c r="T838" s="90" t="s">
        <v>213</v>
      </c>
      <c r="U838" s="91" t="s">
        <v>213</v>
      </c>
      <c r="V838" s="92" t="s">
        <v>213</v>
      </c>
      <c r="W838" s="93" t="s">
        <v>213</v>
      </c>
      <c r="X838" s="92" t="s">
        <v>213</v>
      </c>
      <c r="Y838" s="90" t="s">
        <v>213</v>
      </c>
      <c r="Z838" s="93" t="s">
        <v>213</v>
      </c>
    </row>
    <row r="839" ht="15.75" customHeight="1">
      <c r="A839" s="84"/>
      <c r="B839" s="85"/>
      <c r="C839" s="85"/>
      <c r="D839" s="84"/>
      <c r="E839" s="84"/>
      <c r="F839" s="84"/>
      <c r="G839" s="86"/>
      <c r="H839" s="86"/>
      <c r="I839" s="87"/>
      <c r="J839" s="87"/>
      <c r="K839" s="88"/>
      <c r="L839" s="84"/>
      <c r="M839" s="84"/>
      <c r="N839" s="89" t="s">
        <v>213</v>
      </c>
      <c r="O839" s="89" t="s">
        <v>213</v>
      </c>
      <c r="P839" s="89" t="s">
        <v>213</v>
      </c>
      <c r="Q839" s="89" t="s">
        <v>213</v>
      </c>
      <c r="R839" s="89" t="s">
        <v>213</v>
      </c>
      <c r="S839" s="89" t="s">
        <v>213</v>
      </c>
      <c r="T839" s="90" t="s">
        <v>213</v>
      </c>
      <c r="U839" s="91" t="s">
        <v>213</v>
      </c>
      <c r="V839" s="92" t="s">
        <v>213</v>
      </c>
      <c r="W839" s="93" t="s">
        <v>213</v>
      </c>
      <c r="X839" s="92" t="s">
        <v>213</v>
      </c>
      <c r="Y839" s="90" t="s">
        <v>213</v>
      </c>
      <c r="Z839" s="93" t="s">
        <v>213</v>
      </c>
    </row>
    <row r="840" ht="15.75" customHeight="1">
      <c r="A840" s="84"/>
      <c r="B840" s="85"/>
      <c r="C840" s="85"/>
      <c r="D840" s="84"/>
      <c r="E840" s="84"/>
      <c r="F840" s="84"/>
      <c r="G840" s="86"/>
      <c r="H840" s="86"/>
      <c r="I840" s="87"/>
      <c r="J840" s="87"/>
      <c r="K840" s="88"/>
      <c r="L840" s="84"/>
      <c r="M840" s="84"/>
      <c r="N840" s="89" t="s">
        <v>213</v>
      </c>
      <c r="O840" s="89" t="s">
        <v>213</v>
      </c>
      <c r="P840" s="89" t="s">
        <v>213</v>
      </c>
      <c r="Q840" s="89" t="s">
        <v>213</v>
      </c>
      <c r="R840" s="89" t="s">
        <v>213</v>
      </c>
      <c r="S840" s="89" t="s">
        <v>213</v>
      </c>
      <c r="T840" s="90" t="s">
        <v>213</v>
      </c>
      <c r="U840" s="91" t="s">
        <v>213</v>
      </c>
      <c r="V840" s="92" t="s">
        <v>213</v>
      </c>
      <c r="W840" s="93" t="s">
        <v>213</v>
      </c>
      <c r="X840" s="92" t="s">
        <v>213</v>
      </c>
      <c r="Y840" s="90" t="s">
        <v>213</v>
      </c>
      <c r="Z840" s="93" t="s">
        <v>213</v>
      </c>
    </row>
    <row r="841" ht="15.75" customHeight="1">
      <c r="A841" s="84"/>
      <c r="B841" s="85"/>
      <c r="C841" s="85"/>
      <c r="D841" s="84"/>
      <c r="E841" s="84"/>
      <c r="F841" s="84"/>
      <c r="G841" s="86"/>
      <c r="H841" s="86"/>
      <c r="I841" s="87"/>
      <c r="J841" s="87"/>
      <c r="K841" s="88"/>
      <c r="L841" s="84"/>
      <c r="M841" s="84"/>
      <c r="N841" s="89" t="s">
        <v>213</v>
      </c>
      <c r="O841" s="89" t="s">
        <v>213</v>
      </c>
      <c r="P841" s="89" t="s">
        <v>213</v>
      </c>
      <c r="Q841" s="89" t="s">
        <v>213</v>
      </c>
      <c r="R841" s="89" t="s">
        <v>213</v>
      </c>
      <c r="S841" s="89" t="s">
        <v>213</v>
      </c>
      <c r="T841" s="90" t="s">
        <v>213</v>
      </c>
      <c r="U841" s="91" t="s">
        <v>213</v>
      </c>
      <c r="V841" s="92" t="s">
        <v>213</v>
      </c>
      <c r="W841" s="93" t="s">
        <v>213</v>
      </c>
      <c r="X841" s="92" t="s">
        <v>213</v>
      </c>
      <c r="Y841" s="90" t="s">
        <v>213</v>
      </c>
      <c r="Z841" s="93" t="s">
        <v>213</v>
      </c>
    </row>
    <row r="842" ht="15.75" customHeight="1">
      <c r="A842" s="84"/>
      <c r="B842" s="85"/>
      <c r="C842" s="85"/>
      <c r="D842" s="84"/>
      <c r="E842" s="84"/>
      <c r="F842" s="84"/>
      <c r="G842" s="86"/>
      <c r="H842" s="86"/>
      <c r="I842" s="87"/>
      <c r="J842" s="87"/>
      <c r="K842" s="88"/>
      <c r="L842" s="84"/>
      <c r="M842" s="84"/>
      <c r="N842" s="89" t="s">
        <v>213</v>
      </c>
      <c r="O842" s="89" t="s">
        <v>213</v>
      </c>
      <c r="P842" s="89" t="s">
        <v>213</v>
      </c>
      <c r="Q842" s="89" t="s">
        <v>213</v>
      </c>
      <c r="R842" s="89" t="s">
        <v>213</v>
      </c>
      <c r="S842" s="89" t="s">
        <v>213</v>
      </c>
      <c r="T842" s="90" t="s">
        <v>213</v>
      </c>
      <c r="U842" s="91" t="s">
        <v>213</v>
      </c>
      <c r="V842" s="92" t="s">
        <v>213</v>
      </c>
      <c r="W842" s="93" t="s">
        <v>213</v>
      </c>
      <c r="X842" s="92" t="s">
        <v>213</v>
      </c>
      <c r="Y842" s="90" t="s">
        <v>213</v>
      </c>
      <c r="Z842" s="93" t="s">
        <v>213</v>
      </c>
    </row>
    <row r="843" ht="15.75" customHeight="1">
      <c r="A843" s="84"/>
      <c r="B843" s="85"/>
      <c r="C843" s="85"/>
      <c r="D843" s="84"/>
      <c r="E843" s="84"/>
      <c r="F843" s="84"/>
      <c r="G843" s="86"/>
      <c r="H843" s="86"/>
      <c r="I843" s="87"/>
      <c r="J843" s="87"/>
      <c r="K843" s="88"/>
      <c r="L843" s="84"/>
      <c r="M843" s="84"/>
      <c r="N843" s="89" t="s">
        <v>213</v>
      </c>
      <c r="O843" s="89" t="s">
        <v>213</v>
      </c>
      <c r="P843" s="89" t="s">
        <v>213</v>
      </c>
      <c r="Q843" s="89" t="s">
        <v>213</v>
      </c>
      <c r="R843" s="89" t="s">
        <v>213</v>
      </c>
      <c r="S843" s="89" t="s">
        <v>213</v>
      </c>
      <c r="T843" s="90" t="s">
        <v>213</v>
      </c>
      <c r="U843" s="91" t="s">
        <v>213</v>
      </c>
      <c r="V843" s="92" t="s">
        <v>213</v>
      </c>
      <c r="W843" s="93" t="s">
        <v>213</v>
      </c>
      <c r="X843" s="92" t="s">
        <v>213</v>
      </c>
      <c r="Y843" s="90" t="s">
        <v>213</v>
      </c>
      <c r="Z843" s="93" t="s">
        <v>213</v>
      </c>
    </row>
    <row r="844" ht="15.75" customHeight="1">
      <c r="A844" s="84"/>
      <c r="B844" s="85"/>
      <c r="C844" s="85"/>
      <c r="D844" s="84"/>
      <c r="E844" s="84"/>
      <c r="F844" s="84"/>
      <c r="G844" s="86"/>
      <c r="H844" s="86"/>
      <c r="I844" s="87"/>
      <c r="J844" s="87"/>
      <c r="K844" s="88"/>
      <c r="L844" s="84"/>
      <c r="M844" s="84"/>
      <c r="N844" s="89" t="s">
        <v>213</v>
      </c>
      <c r="O844" s="89" t="s">
        <v>213</v>
      </c>
      <c r="P844" s="89" t="s">
        <v>213</v>
      </c>
      <c r="Q844" s="89" t="s">
        <v>213</v>
      </c>
      <c r="R844" s="89" t="s">
        <v>213</v>
      </c>
      <c r="S844" s="89" t="s">
        <v>213</v>
      </c>
      <c r="T844" s="90" t="s">
        <v>213</v>
      </c>
      <c r="U844" s="91" t="s">
        <v>213</v>
      </c>
      <c r="V844" s="92" t="s">
        <v>213</v>
      </c>
      <c r="W844" s="93" t="s">
        <v>213</v>
      </c>
      <c r="X844" s="92" t="s">
        <v>213</v>
      </c>
      <c r="Y844" s="90" t="s">
        <v>213</v>
      </c>
      <c r="Z844" s="93" t="s">
        <v>213</v>
      </c>
    </row>
    <row r="845" ht="15.75" customHeight="1">
      <c r="A845" s="84"/>
      <c r="B845" s="85"/>
      <c r="C845" s="85"/>
      <c r="D845" s="84"/>
      <c r="E845" s="84"/>
      <c r="F845" s="84"/>
      <c r="G845" s="86"/>
      <c r="H845" s="86"/>
      <c r="I845" s="87"/>
      <c r="J845" s="87"/>
      <c r="K845" s="88"/>
      <c r="L845" s="84"/>
      <c r="M845" s="84"/>
      <c r="N845" s="89" t="s">
        <v>213</v>
      </c>
      <c r="O845" s="89" t="s">
        <v>213</v>
      </c>
      <c r="P845" s="89" t="s">
        <v>213</v>
      </c>
      <c r="Q845" s="89" t="s">
        <v>213</v>
      </c>
      <c r="R845" s="89" t="s">
        <v>213</v>
      </c>
      <c r="S845" s="89" t="s">
        <v>213</v>
      </c>
      <c r="T845" s="90" t="s">
        <v>213</v>
      </c>
      <c r="U845" s="91" t="s">
        <v>213</v>
      </c>
      <c r="V845" s="92" t="s">
        <v>213</v>
      </c>
      <c r="W845" s="93" t="s">
        <v>213</v>
      </c>
      <c r="X845" s="92" t="s">
        <v>213</v>
      </c>
      <c r="Y845" s="90" t="s">
        <v>213</v>
      </c>
      <c r="Z845" s="93" t="s">
        <v>213</v>
      </c>
    </row>
    <row r="846" ht="15.75" customHeight="1">
      <c r="A846" s="84"/>
      <c r="B846" s="85"/>
      <c r="C846" s="85"/>
      <c r="D846" s="84"/>
      <c r="E846" s="84"/>
      <c r="F846" s="84"/>
      <c r="G846" s="86"/>
      <c r="H846" s="86"/>
      <c r="I846" s="87"/>
      <c r="J846" s="87"/>
      <c r="K846" s="88"/>
      <c r="L846" s="84"/>
      <c r="M846" s="84"/>
      <c r="N846" s="89" t="s">
        <v>213</v>
      </c>
      <c r="O846" s="89" t="s">
        <v>213</v>
      </c>
      <c r="P846" s="89" t="s">
        <v>213</v>
      </c>
      <c r="Q846" s="89" t="s">
        <v>213</v>
      </c>
      <c r="R846" s="89" t="s">
        <v>213</v>
      </c>
      <c r="S846" s="89" t="s">
        <v>213</v>
      </c>
      <c r="T846" s="90" t="s">
        <v>213</v>
      </c>
      <c r="U846" s="91" t="s">
        <v>213</v>
      </c>
      <c r="V846" s="92" t="s">
        <v>213</v>
      </c>
      <c r="W846" s="93" t="s">
        <v>213</v>
      </c>
      <c r="X846" s="92" t="s">
        <v>213</v>
      </c>
      <c r="Y846" s="90" t="s">
        <v>213</v>
      </c>
      <c r="Z846" s="93" t="s">
        <v>213</v>
      </c>
    </row>
    <row r="847" ht="15.75" customHeight="1">
      <c r="A847" s="84"/>
      <c r="B847" s="85"/>
      <c r="C847" s="85"/>
      <c r="D847" s="84"/>
      <c r="E847" s="84"/>
      <c r="F847" s="84"/>
      <c r="G847" s="86"/>
      <c r="H847" s="86"/>
      <c r="I847" s="87"/>
      <c r="J847" s="87"/>
      <c r="K847" s="88"/>
      <c r="L847" s="84"/>
      <c r="M847" s="84"/>
      <c r="N847" s="89" t="s">
        <v>213</v>
      </c>
      <c r="O847" s="89" t="s">
        <v>213</v>
      </c>
      <c r="P847" s="89" t="s">
        <v>213</v>
      </c>
      <c r="Q847" s="89" t="s">
        <v>213</v>
      </c>
      <c r="R847" s="89" t="s">
        <v>213</v>
      </c>
      <c r="S847" s="89" t="s">
        <v>213</v>
      </c>
      <c r="T847" s="90" t="s">
        <v>213</v>
      </c>
      <c r="U847" s="91" t="s">
        <v>213</v>
      </c>
      <c r="V847" s="92" t="s">
        <v>213</v>
      </c>
      <c r="W847" s="93" t="s">
        <v>213</v>
      </c>
      <c r="X847" s="92" t="s">
        <v>213</v>
      </c>
      <c r="Y847" s="90" t="s">
        <v>213</v>
      </c>
      <c r="Z847" s="93" t="s">
        <v>213</v>
      </c>
    </row>
    <row r="848" ht="15.75" customHeight="1">
      <c r="A848" s="84"/>
      <c r="B848" s="85"/>
      <c r="C848" s="85"/>
      <c r="D848" s="84"/>
      <c r="E848" s="84"/>
      <c r="F848" s="84"/>
      <c r="G848" s="86"/>
      <c r="H848" s="86"/>
      <c r="I848" s="87"/>
      <c r="J848" s="87"/>
      <c r="K848" s="88"/>
      <c r="L848" s="84"/>
      <c r="M848" s="84"/>
      <c r="N848" s="89" t="s">
        <v>213</v>
      </c>
      <c r="O848" s="89" t="s">
        <v>213</v>
      </c>
      <c r="P848" s="89" t="s">
        <v>213</v>
      </c>
      <c r="Q848" s="89" t="s">
        <v>213</v>
      </c>
      <c r="R848" s="89" t="s">
        <v>213</v>
      </c>
      <c r="S848" s="89" t="s">
        <v>213</v>
      </c>
      <c r="T848" s="90" t="s">
        <v>213</v>
      </c>
      <c r="U848" s="91" t="s">
        <v>213</v>
      </c>
      <c r="V848" s="92" t="s">
        <v>213</v>
      </c>
      <c r="W848" s="93" t="s">
        <v>213</v>
      </c>
      <c r="X848" s="92" t="s">
        <v>213</v>
      </c>
      <c r="Y848" s="90" t="s">
        <v>213</v>
      </c>
      <c r="Z848" s="93" t="s">
        <v>213</v>
      </c>
    </row>
    <row r="849" ht="15.75" customHeight="1">
      <c r="A849" s="84"/>
      <c r="B849" s="85"/>
      <c r="C849" s="85"/>
      <c r="D849" s="84"/>
      <c r="E849" s="84"/>
      <c r="F849" s="84"/>
      <c r="G849" s="86"/>
      <c r="H849" s="86"/>
      <c r="I849" s="87"/>
      <c r="J849" s="87"/>
      <c r="K849" s="88"/>
      <c r="L849" s="84"/>
      <c r="M849" s="84"/>
      <c r="N849" s="89" t="s">
        <v>213</v>
      </c>
      <c r="O849" s="89" t="s">
        <v>213</v>
      </c>
      <c r="P849" s="89" t="s">
        <v>213</v>
      </c>
      <c r="Q849" s="89" t="s">
        <v>213</v>
      </c>
      <c r="R849" s="89" t="s">
        <v>213</v>
      </c>
      <c r="S849" s="89" t="s">
        <v>213</v>
      </c>
      <c r="T849" s="90" t="s">
        <v>213</v>
      </c>
      <c r="U849" s="91" t="s">
        <v>213</v>
      </c>
      <c r="V849" s="92" t="s">
        <v>213</v>
      </c>
      <c r="W849" s="93" t="s">
        <v>213</v>
      </c>
      <c r="X849" s="92" t="s">
        <v>213</v>
      </c>
      <c r="Y849" s="90" t="s">
        <v>213</v>
      </c>
      <c r="Z849" s="93" t="s">
        <v>213</v>
      </c>
    </row>
    <row r="850" ht="15.75" customHeight="1">
      <c r="A850" s="84"/>
      <c r="B850" s="85"/>
      <c r="C850" s="85"/>
      <c r="D850" s="84"/>
      <c r="E850" s="84"/>
      <c r="F850" s="84"/>
      <c r="G850" s="86"/>
      <c r="H850" s="86"/>
      <c r="I850" s="87"/>
      <c r="J850" s="87"/>
      <c r="K850" s="88"/>
      <c r="L850" s="84"/>
      <c r="M850" s="84"/>
      <c r="N850" s="89" t="s">
        <v>213</v>
      </c>
      <c r="O850" s="89" t="s">
        <v>213</v>
      </c>
      <c r="P850" s="89" t="s">
        <v>213</v>
      </c>
      <c r="Q850" s="89" t="s">
        <v>213</v>
      </c>
      <c r="R850" s="89" t="s">
        <v>213</v>
      </c>
      <c r="S850" s="89" t="s">
        <v>213</v>
      </c>
      <c r="T850" s="90" t="s">
        <v>213</v>
      </c>
      <c r="U850" s="91" t="s">
        <v>213</v>
      </c>
      <c r="V850" s="92" t="s">
        <v>213</v>
      </c>
      <c r="W850" s="93" t="s">
        <v>213</v>
      </c>
      <c r="X850" s="92" t="s">
        <v>213</v>
      </c>
      <c r="Y850" s="90" t="s">
        <v>213</v>
      </c>
      <c r="Z850" s="93" t="s">
        <v>213</v>
      </c>
    </row>
    <row r="851" ht="15.75" customHeight="1">
      <c r="A851" s="84"/>
      <c r="B851" s="85"/>
      <c r="C851" s="85"/>
      <c r="D851" s="84"/>
      <c r="E851" s="84"/>
      <c r="F851" s="84"/>
      <c r="G851" s="86"/>
      <c r="H851" s="86"/>
      <c r="I851" s="87"/>
      <c r="J851" s="87"/>
      <c r="K851" s="88"/>
      <c r="L851" s="84"/>
      <c r="M851" s="84"/>
      <c r="N851" s="89" t="s">
        <v>213</v>
      </c>
      <c r="O851" s="89" t="s">
        <v>213</v>
      </c>
      <c r="P851" s="89" t="s">
        <v>213</v>
      </c>
      <c r="Q851" s="89" t="s">
        <v>213</v>
      </c>
      <c r="R851" s="89" t="s">
        <v>213</v>
      </c>
      <c r="S851" s="89" t="s">
        <v>213</v>
      </c>
      <c r="T851" s="90" t="s">
        <v>213</v>
      </c>
      <c r="U851" s="91" t="s">
        <v>213</v>
      </c>
      <c r="V851" s="92" t="s">
        <v>213</v>
      </c>
      <c r="W851" s="93" t="s">
        <v>213</v>
      </c>
      <c r="X851" s="92" t="s">
        <v>213</v>
      </c>
      <c r="Y851" s="90" t="s">
        <v>213</v>
      </c>
      <c r="Z851" s="93" t="s">
        <v>213</v>
      </c>
    </row>
    <row r="852" ht="15.75" customHeight="1">
      <c r="A852" s="84"/>
      <c r="B852" s="85"/>
      <c r="C852" s="85"/>
      <c r="D852" s="84"/>
      <c r="E852" s="84"/>
      <c r="F852" s="84"/>
      <c r="G852" s="86"/>
      <c r="H852" s="86"/>
      <c r="I852" s="87"/>
      <c r="J852" s="87"/>
      <c r="K852" s="88"/>
      <c r="L852" s="84"/>
      <c r="M852" s="84"/>
      <c r="N852" s="89" t="s">
        <v>213</v>
      </c>
      <c r="O852" s="89" t="s">
        <v>213</v>
      </c>
      <c r="P852" s="89" t="s">
        <v>213</v>
      </c>
      <c r="Q852" s="89" t="s">
        <v>213</v>
      </c>
      <c r="R852" s="89" t="s">
        <v>213</v>
      </c>
      <c r="S852" s="89" t="s">
        <v>213</v>
      </c>
      <c r="T852" s="90" t="s">
        <v>213</v>
      </c>
      <c r="U852" s="91" t="s">
        <v>213</v>
      </c>
      <c r="V852" s="92" t="s">
        <v>213</v>
      </c>
      <c r="W852" s="93" t="s">
        <v>213</v>
      </c>
      <c r="X852" s="92" t="s">
        <v>213</v>
      </c>
      <c r="Y852" s="90" t="s">
        <v>213</v>
      </c>
      <c r="Z852" s="93" t="s">
        <v>213</v>
      </c>
    </row>
    <row r="853" ht="15.75" customHeight="1">
      <c r="A853" s="84"/>
      <c r="B853" s="85"/>
      <c r="C853" s="85"/>
      <c r="D853" s="84"/>
      <c r="E853" s="84"/>
      <c r="F853" s="84"/>
      <c r="G853" s="86"/>
      <c r="H853" s="86"/>
      <c r="I853" s="87"/>
      <c r="J853" s="87"/>
      <c r="K853" s="88"/>
      <c r="L853" s="84"/>
      <c r="M853" s="84"/>
      <c r="N853" s="89" t="s">
        <v>213</v>
      </c>
      <c r="O853" s="89" t="s">
        <v>213</v>
      </c>
      <c r="P853" s="89" t="s">
        <v>213</v>
      </c>
      <c r="Q853" s="89" t="s">
        <v>213</v>
      </c>
      <c r="R853" s="89" t="s">
        <v>213</v>
      </c>
      <c r="S853" s="89" t="s">
        <v>213</v>
      </c>
      <c r="T853" s="90" t="s">
        <v>213</v>
      </c>
      <c r="U853" s="91" t="s">
        <v>213</v>
      </c>
      <c r="V853" s="92" t="s">
        <v>213</v>
      </c>
      <c r="W853" s="93" t="s">
        <v>213</v>
      </c>
      <c r="X853" s="92" t="s">
        <v>213</v>
      </c>
      <c r="Y853" s="90" t="s">
        <v>213</v>
      </c>
      <c r="Z853" s="93" t="s">
        <v>213</v>
      </c>
    </row>
    <row r="854" ht="15.75" customHeight="1">
      <c r="A854" s="84"/>
      <c r="B854" s="85"/>
      <c r="C854" s="85"/>
      <c r="D854" s="84"/>
      <c r="E854" s="84"/>
      <c r="F854" s="84"/>
      <c r="G854" s="86"/>
      <c r="H854" s="86"/>
      <c r="I854" s="87"/>
      <c r="J854" s="87"/>
      <c r="K854" s="88"/>
      <c r="L854" s="84"/>
      <c r="M854" s="84"/>
      <c r="N854" s="89" t="s">
        <v>213</v>
      </c>
      <c r="O854" s="89" t="s">
        <v>213</v>
      </c>
      <c r="P854" s="89" t="s">
        <v>213</v>
      </c>
      <c r="Q854" s="89" t="s">
        <v>213</v>
      </c>
      <c r="R854" s="89" t="s">
        <v>213</v>
      </c>
      <c r="S854" s="89" t="s">
        <v>213</v>
      </c>
      <c r="T854" s="90" t="s">
        <v>213</v>
      </c>
      <c r="U854" s="91" t="s">
        <v>213</v>
      </c>
      <c r="V854" s="92" t="s">
        <v>213</v>
      </c>
      <c r="W854" s="93" t="s">
        <v>213</v>
      </c>
      <c r="X854" s="92" t="s">
        <v>213</v>
      </c>
      <c r="Y854" s="90" t="s">
        <v>213</v>
      </c>
      <c r="Z854" s="93" t="s">
        <v>213</v>
      </c>
    </row>
    <row r="855" ht="15.75" customHeight="1">
      <c r="A855" s="84"/>
      <c r="B855" s="85"/>
      <c r="C855" s="85"/>
      <c r="D855" s="84"/>
      <c r="E855" s="84"/>
      <c r="F855" s="84"/>
      <c r="G855" s="86"/>
      <c r="H855" s="86"/>
      <c r="I855" s="87"/>
      <c r="J855" s="87"/>
      <c r="K855" s="88"/>
      <c r="L855" s="84"/>
      <c r="M855" s="84"/>
      <c r="N855" s="89" t="s">
        <v>213</v>
      </c>
      <c r="O855" s="89" t="s">
        <v>213</v>
      </c>
      <c r="P855" s="89" t="s">
        <v>213</v>
      </c>
      <c r="Q855" s="89" t="s">
        <v>213</v>
      </c>
      <c r="R855" s="89" t="s">
        <v>213</v>
      </c>
      <c r="S855" s="89" t="s">
        <v>213</v>
      </c>
      <c r="T855" s="90" t="s">
        <v>213</v>
      </c>
      <c r="U855" s="91" t="s">
        <v>213</v>
      </c>
      <c r="V855" s="92" t="s">
        <v>213</v>
      </c>
      <c r="W855" s="93" t="s">
        <v>213</v>
      </c>
      <c r="X855" s="92" t="s">
        <v>213</v>
      </c>
      <c r="Y855" s="90" t="s">
        <v>213</v>
      </c>
      <c r="Z855" s="93" t="s">
        <v>213</v>
      </c>
    </row>
    <row r="856" ht="15.75" customHeight="1">
      <c r="A856" s="84"/>
      <c r="B856" s="85"/>
      <c r="C856" s="85"/>
      <c r="D856" s="84"/>
      <c r="E856" s="84"/>
      <c r="F856" s="84"/>
      <c r="G856" s="86"/>
      <c r="H856" s="86"/>
      <c r="I856" s="87"/>
      <c r="J856" s="87"/>
      <c r="K856" s="88"/>
      <c r="L856" s="84"/>
      <c r="M856" s="84"/>
      <c r="N856" s="89" t="s">
        <v>213</v>
      </c>
      <c r="O856" s="89" t="s">
        <v>213</v>
      </c>
      <c r="P856" s="89" t="s">
        <v>213</v>
      </c>
      <c r="Q856" s="89" t="s">
        <v>213</v>
      </c>
      <c r="R856" s="89" t="s">
        <v>213</v>
      </c>
      <c r="S856" s="89" t="s">
        <v>213</v>
      </c>
      <c r="T856" s="90" t="s">
        <v>213</v>
      </c>
      <c r="U856" s="91" t="s">
        <v>213</v>
      </c>
      <c r="V856" s="92" t="s">
        <v>213</v>
      </c>
      <c r="W856" s="93" t="s">
        <v>213</v>
      </c>
      <c r="X856" s="92" t="s">
        <v>213</v>
      </c>
      <c r="Y856" s="90" t="s">
        <v>213</v>
      </c>
      <c r="Z856" s="93" t="s">
        <v>213</v>
      </c>
    </row>
    <row r="857" ht="15.75" customHeight="1">
      <c r="A857" s="84"/>
      <c r="B857" s="85"/>
      <c r="C857" s="85"/>
      <c r="D857" s="84"/>
      <c r="E857" s="84"/>
      <c r="F857" s="84"/>
      <c r="G857" s="86"/>
      <c r="H857" s="86"/>
      <c r="I857" s="87"/>
      <c r="J857" s="87"/>
      <c r="K857" s="88"/>
      <c r="L857" s="84"/>
      <c r="M857" s="84"/>
      <c r="N857" s="89" t="s">
        <v>213</v>
      </c>
      <c r="O857" s="89" t="s">
        <v>213</v>
      </c>
      <c r="P857" s="89" t="s">
        <v>213</v>
      </c>
      <c r="Q857" s="89" t="s">
        <v>213</v>
      </c>
      <c r="R857" s="89" t="s">
        <v>213</v>
      </c>
      <c r="S857" s="89" t="s">
        <v>213</v>
      </c>
      <c r="T857" s="90" t="s">
        <v>213</v>
      </c>
      <c r="U857" s="91" t="s">
        <v>213</v>
      </c>
      <c r="V857" s="92" t="s">
        <v>213</v>
      </c>
      <c r="W857" s="93" t="s">
        <v>213</v>
      </c>
      <c r="X857" s="92" t="s">
        <v>213</v>
      </c>
      <c r="Y857" s="90" t="s">
        <v>213</v>
      </c>
      <c r="Z857" s="93" t="s">
        <v>213</v>
      </c>
    </row>
    <row r="858" ht="15.75" customHeight="1">
      <c r="A858" s="84"/>
      <c r="B858" s="85"/>
      <c r="C858" s="85"/>
      <c r="D858" s="84"/>
      <c r="E858" s="84"/>
      <c r="F858" s="84"/>
      <c r="G858" s="86"/>
      <c r="H858" s="86"/>
      <c r="I858" s="87"/>
      <c r="J858" s="87"/>
      <c r="K858" s="88"/>
      <c r="L858" s="84"/>
      <c r="M858" s="84"/>
      <c r="N858" s="89" t="s">
        <v>213</v>
      </c>
      <c r="O858" s="89" t="s">
        <v>213</v>
      </c>
      <c r="P858" s="89" t="s">
        <v>213</v>
      </c>
      <c r="Q858" s="89" t="s">
        <v>213</v>
      </c>
      <c r="R858" s="89" t="s">
        <v>213</v>
      </c>
      <c r="S858" s="89" t="s">
        <v>213</v>
      </c>
      <c r="T858" s="90" t="s">
        <v>213</v>
      </c>
      <c r="U858" s="91" t="s">
        <v>213</v>
      </c>
      <c r="V858" s="92" t="s">
        <v>213</v>
      </c>
      <c r="W858" s="93" t="s">
        <v>213</v>
      </c>
      <c r="X858" s="92" t="s">
        <v>213</v>
      </c>
      <c r="Y858" s="90" t="s">
        <v>213</v>
      </c>
      <c r="Z858" s="93" t="s">
        <v>213</v>
      </c>
    </row>
    <row r="859" ht="15.75" customHeight="1">
      <c r="A859" s="84"/>
      <c r="B859" s="85"/>
      <c r="C859" s="85"/>
      <c r="D859" s="84"/>
      <c r="E859" s="84"/>
      <c r="F859" s="84"/>
      <c r="G859" s="86"/>
      <c r="H859" s="86"/>
      <c r="I859" s="87"/>
      <c r="J859" s="87"/>
      <c r="K859" s="88"/>
      <c r="L859" s="84"/>
      <c r="M859" s="84"/>
      <c r="N859" s="89" t="s">
        <v>213</v>
      </c>
      <c r="O859" s="89" t="s">
        <v>213</v>
      </c>
      <c r="P859" s="89" t="s">
        <v>213</v>
      </c>
      <c r="Q859" s="89" t="s">
        <v>213</v>
      </c>
      <c r="R859" s="89" t="s">
        <v>213</v>
      </c>
      <c r="S859" s="89" t="s">
        <v>213</v>
      </c>
      <c r="T859" s="90" t="s">
        <v>213</v>
      </c>
      <c r="U859" s="91" t="s">
        <v>213</v>
      </c>
      <c r="V859" s="92" t="s">
        <v>213</v>
      </c>
      <c r="W859" s="93" t="s">
        <v>213</v>
      </c>
      <c r="X859" s="92" t="s">
        <v>213</v>
      </c>
      <c r="Y859" s="90" t="s">
        <v>213</v>
      </c>
      <c r="Z859" s="93" t="s">
        <v>213</v>
      </c>
    </row>
    <row r="860" ht="15.75" customHeight="1">
      <c r="A860" s="84"/>
      <c r="B860" s="85"/>
      <c r="C860" s="85"/>
      <c r="D860" s="84"/>
      <c r="E860" s="84"/>
      <c r="F860" s="84"/>
      <c r="G860" s="86"/>
      <c r="H860" s="86"/>
      <c r="I860" s="87"/>
      <c r="J860" s="87"/>
      <c r="K860" s="88"/>
      <c r="L860" s="84"/>
      <c r="M860" s="84"/>
      <c r="N860" s="89" t="s">
        <v>213</v>
      </c>
      <c r="O860" s="89" t="s">
        <v>213</v>
      </c>
      <c r="P860" s="89" t="s">
        <v>213</v>
      </c>
      <c r="Q860" s="89" t="s">
        <v>213</v>
      </c>
      <c r="R860" s="89" t="s">
        <v>213</v>
      </c>
      <c r="S860" s="89" t="s">
        <v>213</v>
      </c>
      <c r="T860" s="90" t="s">
        <v>213</v>
      </c>
      <c r="U860" s="91" t="s">
        <v>213</v>
      </c>
      <c r="V860" s="92" t="s">
        <v>213</v>
      </c>
      <c r="W860" s="93" t="s">
        <v>213</v>
      </c>
      <c r="X860" s="92" t="s">
        <v>213</v>
      </c>
      <c r="Y860" s="90" t="s">
        <v>213</v>
      </c>
      <c r="Z860" s="93" t="s">
        <v>213</v>
      </c>
    </row>
    <row r="861" ht="15.75" customHeight="1">
      <c r="A861" s="84"/>
      <c r="B861" s="85"/>
      <c r="C861" s="85"/>
      <c r="D861" s="84"/>
      <c r="E861" s="84"/>
      <c r="F861" s="84"/>
      <c r="G861" s="86"/>
      <c r="H861" s="86"/>
      <c r="I861" s="87"/>
      <c r="J861" s="87"/>
      <c r="K861" s="88"/>
      <c r="L861" s="84"/>
      <c r="M861" s="84"/>
      <c r="N861" s="89" t="s">
        <v>213</v>
      </c>
      <c r="O861" s="89" t="s">
        <v>213</v>
      </c>
      <c r="P861" s="89" t="s">
        <v>213</v>
      </c>
      <c r="Q861" s="89" t="s">
        <v>213</v>
      </c>
      <c r="R861" s="89" t="s">
        <v>213</v>
      </c>
      <c r="S861" s="89" t="s">
        <v>213</v>
      </c>
      <c r="T861" s="90" t="s">
        <v>213</v>
      </c>
      <c r="U861" s="91" t="s">
        <v>213</v>
      </c>
      <c r="V861" s="92" t="s">
        <v>213</v>
      </c>
      <c r="W861" s="93" t="s">
        <v>213</v>
      </c>
      <c r="X861" s="92" t="s">
        <v>213</v>
      </c>
      <c r="Y861" s="90" t="s">
        <v>213</v>
      </c>
      <c r="Z861" s="93" t="s">
        <v>213</v>
      </c>
    </row>
    <row r="862" ht="15.75" customHeight="1">
      <c r="A862" s="84"/>
      <c r="B862" s="85"/>
      <c r="C862" s="85"/>
      <c r="D862" s="84"/>
      <c r="E862" s="84"/>
      <c r="F862" s="84"/>
      <c r="G862" s="86"/>
      <c r="H862" s="86"/>
      <c r="I862" s="87"/>
      <c r="J862" s="87"/>
      <c r="K862" s="88"/>
      <c r="L862" s="84"/>
      <c r="M862" s="84"/>
      <c r="N862" s="89" t="s">
        <v>213</v>
      </c>
      <c r="O862" s="89" t="s">
        <v>213</v>
      </c>
      <c r="P862" s="89" t="s">
        <v>213</v>
      </c>
      <c r="Q862" s="89" t="s">
        <v>213</v>
      </c>
      <c r="R862" s="89" t="s">
        <v>213</v>
      </c>
      <c r="S862" s="89" t="s">
        <v>213</v>
      </c>
      <c r="T862" s="90" t="s">
        <v>213</v>
      </c>
      <c r="U862" s="91" t="s">
        <v>213</v>
      </c>
      <c r="V862" s="92" t="s">
        <v>213</v>
      </c>
      <c r="W862" s="93" t="s">
        <v>213</v>
      </c>
      <c r="X862" s="92" t="s">
        <v>213</v>
      </c>
      <c r="Y862" s="90" t="s">
        <v>213</v>
      </c>
      <c r="Z862" s="93" t="s">
        <v>213</v>
      </c>
    </row>
    <row r="863" ht="15.75" customHeight="1">
      <c r="A863" s="84"/>
      <c r="B863" s="85"/>
      <c r="C863" s="85"/>
      <c r="D863" s="84"/>
      <c r="E863" s="84"/>
      <c r="F863" s="84"/>
      <c r="G863" s="86"/>
      <c r="H863" s="86"/>
      <c r="I863" s="87"/>
      <c r="J863" s="87"/>
      <c r="K863" s="88"/>
      <c r="L863" s="84"/>
      <c r="M863" s="84"/>
      <c r="N863" s="89" t="s">
        <v>213</v>
      </c>
      <c r="O863" s="89" t="s">
        <v>213</v>
      </c>
      <c r="P863" s="89" t="s">
        <v>213</v>
      </c>
      <c r="Q863" s="89" t="s">
        <v>213</v>
      </c>
      <c r="R863" s="89" t="s">
        <v>213</v>
      </c>
      <c r="S863" s="89" t="s">
        <v>213</v>
      </c>
      <c r="T863" s="90" t="s">
        <v>213</v>
      </c>
      <c r="U863" s="91" t="s">
        <v>213</v>
      </c>
      <c r="V863" s="92" t="s">
        <v>213</v>
      </c>
      <c r="W863" s="93" t="s">
        <v>213</v>
      </c>
      <c r="X863" s="92" t="s">
        <v>213</v>
      </c>
      <c r="Y863" s="90" t="s">
        <v>213</v>
      </c>
      <c r="Z863" s="93" t="s">
        <v>213</v>
      </c>
    </row>
    <row r="864" ht="15.75" customHeight="1">
      <c r="A864" s="84"/>
      <c r="B864" s="85"/>
      <c r="C864" s="85"/>
      <c r="D864" s="84"/>
      <c r="E864" s="84"/>
      <c r="F864" s="84"/>
      <c r="G864" s="86"/>
      <c r="H864" s="86"/>
      <c r="I864" s="87"/>
      <c r="J864" s="87"/>
      <c r="K864" s="88"/>
      <c r="L864" s="84"/>
      <c r="M864" s="84"/>
      <c r="N864" s="89" t="s">
        <v>213</v>
      </c>
      <c r="O864" s="89" t="s">
        <v>213</v>
      </c>
      <c r="P864" s="89" t="s">
        <v>213</v>
      </c>
      <c r="Q864" s="89" t="s">
        <v>213</v>
      </c>
      <c r="R864" s="89" t="s">
        <v>213</v>
      </c>
      <c r="S864" s="89" t="s">
        <v>213</v>
      </c>
      <c r="T864" s="90" t="s">
        <v>213</v>
      </c>
      <c r="U864" s="91" t="s">
        <v>213</v>
      </c>
      <c r="V864" s="92" t="s">
        <v>213</v>
      </c>
      <c r="W864" s="93" t="s">
        <v>213</v>
      </c>
      <c r="X864" s="92" t="s">
        <v>213</v>
      </c>
      <c r="Y864" s="90" t="s">
        <v>213</v>
      </c>
      <c r="Z864" s="93" t="s">
        <v>213</v>
      </c>
    </row>
    <row r="865" ht="15.75" customHeight="1">
      <c r="A865" s="84"/>
      <c r="B865" s="85"/>
      <c r="C865" s="85"/>
      <c r="D865" s="84"/>
      <c r="E865" s="84"/>
      <c r="F865" s="84"/>
      <c r="G865" s="86"/>
      <c r="H865" s="86"/>
      <c r="I865" s="87"/>
      <c r="J865" s="87"/>
      <c r="K865" s="88"/>
      <c r="L865" s="84"/>
      <c r="M865" s="84"/>
      <c r="N865" s="89" t="s">
        <v>213</v>
      </c>
      <c r="O865" s="89" t="s">
        <v>213</v>
      </c>
      <c r="P865" s="89" t="s">
        <v>213</v>
      </c>
      <c r="Q865" s="89" t="s">
        <v>213</v>
      </c>
      <c r="R865" s="89" t="s">
        <v>213</v>
      </c>
      <c r="S865" s="89" t="s">
        <v>213</v>
      </c>
      <c r="T865" s="90" t="s">
        <v>213</v>
      </c>
      <c r="U865" s="91" t="s">
        <v>213</v>
      </c>
      <c r="V865" s="92" t="s">
        <v>213</v>
      </c>
      <c r="W865" s="93" t="s">
        <v>213</v>
      </c>
      <c r="X865" s="92" t="s">
        <v>213</v>
      </c>
      <c r="Y865" s="90" t="s">
        <v>213</v>
      </c>
      <c r="Z865" s="93" t="s">
        <v>213</v>
      </c>
    </row>
    <row r="866" ht="15.75" customHeight="1">
      <c r="A866" s="84"/>
      <c r="B866" s="85"/>
      <c r="C866" s="85"/>
      <c r="D866" s="84"/>
      <c r="E866" s="84"/>
      <c r="F866" s="84"/>
      <c r="G866" s="86"/>
      <c r="H866" s="86"/>
      <c r="I866" s="87"/>
      <c r="J866" s="87"/>
      <c r="K866" s="88"/>
      <c r="L866" s="84"/>
      <c r="M866" s="84"/>
      <c r="N866" s="89" t="s">
        <v>213</v>
      </c>
      <c r="O866" s="89" t="s">
        <v>213</v>
      </c>
      <c r="P866" s="89" t="s">
        <v>213</v>
      </c>
      <c r="Q866" s="89" t="s">
        <v>213</v>
      </c>
      <c r="R866" s="89" t="s">
        <v>213</v>
      </c>
      <c r="S866" s="89" t="s">
        <v>213</v>
      </c>
      <c r="T866" s="90" t="s">
        <v>213</v>
      </c>
      <c r="U866" s="91" t="s">
        <v>213</v>
      </c>
      <c r="V866" s="92" t="s">
        <v>213</v>
      </c>
      <c r="W866" s="93" t="s">
        <v>213</v>
      </c>
      <c r="X866" s="92" t="s">
        <v>213</v>
      </c>
      <c r="Y866" s="90" t="s">
        <v>213</v>
      </c>
      <c r="Z866" s="93" t="s">
        <v>213</v>
      </c>
    </row>
    <row r="867" ht="15.75" customHeight="1">
      <c r="A867" s="84"/>
      <c r="B867" s="85"/>
      <c r="C867" s="85"/>
      <c r="D867" s="84"/>
      <c r="E867" s="84"/>
      <c r="F867" s="84"/>
      <c r="G867" s="86"/>
      <c r="H867" s="86"/>
      <c r="I867" s="87"/>
      <c r="J867" s="87"/>
      <c r="K867" s="88"/>
      <c r="L867" s="84"/>
      <c r="M867" s="84"/>
      <c r="N867" s="89" t="s">
        <v>213</v>
      </c>
      <c r="O867" s="89" t="s">
        <v>213</v>
      </c>
      <c r="P867" s="89" t="s">
        <v>213</v>
      </c>
      <c r="Q867" s="89" t="s">
        <v>213</v>
      </c>
      <c r="R867" s="89" t="s">
        <v>213</v>
      </c>
      <c r="S867" s="89" t="s">
        <v>213</v>
      </c>
      <c r="T867" s="90" t="s">
        <v>213</v>
      </c>
      <c r="U867" s="91" t="s">
        <v>213</v>
      </c>
      <c r="V867" s="92" t="s">
        <v>213</v>
      </c>
      <c r="W867" s="93" t="s">
        <v>213</v>
      </c>
      <c r="X867" s="92" t="s">
        <v>213</v>
      </c>
      <c r="Y867" s="90" t="s">
        <v>213</v>
      </c>
      <c r="Z867" s="93" t="s">
        <v>213</v>
      </c>
    </row>
    <row r="868" ht="15.75" customHeight="1">
      <c r="A868" s="84"/>
      <c r="B868" s="85"/>
      <c r="C868" s="85"/>
      <c r="D868" s="84"/>
      <c r="E868" s="84"/>
      <c r="F868" s="84"/>
      <c r="G868" s="86"/>
      <c r="H868" s="86"/>
      <c r="I868" s="87"/>
      <c r="J868" s="87"/>
      <c r="K868" s="88"/>
      <c r="L868" s="84"/>
      <c r="M868" s="84"/>
      <c r="N868" s="89" t="s">
        <v>213</v>
      </c>
      <c r="O868" s="89" t="s">
        <v>213</v>
      </c>
      <c r="P868" s="89" t="s">
        <v>213</v>
      </c>
      <c r="Q868" s="89" t="s">
        <v>213</v>
      </c>
      <c r="R868" s="89" t="s">
        <v>213</v>
      </c>
      <c r="S868" s="89" t="s">
        <v>213</v>
      </c>
      <c r="T868" s="90" t="s">
        <v>213</v>
      </c>
      <c r="U868" s="91" t="s">
        <v>213</v>
      </c>
      <c r="V868" s="92" t="s">
        <v>213</v>
      </c>
      <c r="W868" s="93" t="s">
        <v>213</v>
      </c>
      <c r="X868" s="92" t="s">
        <v>213</v>
      </c>
      <c r="Y868" s="90" t="s">
        <v>213</v>
      </c>
      <c r="Z868" s="93" t="s">
        <v>213</v>
      </c>
    </row>
    <row r="869" ht="15.75" customHeight="1">
      <c r="A869" s="84"/>
      <c r="B869" s="85"/>
      <c r="C869" s="85"/>
      <c r="D869" s="84"/>
      <c r="E869" s="84"/>
      <c r="F869" s="84"/>
      <c r="G869" s="86"/>
      <c r="H869" s="86"/>
      <c r="I869" s="87"/>
      <c r="J869" s="87"/>
      <c r="K869" s="88"/>
      <c r="L869" s="84"/>
      <c r="M869" s="84"/>
      <c r="N869" s="89" t="s">
        <v>213</v>
      </c>
      <c r="O869" s="89" t="s">
        <v>213</v>
      </c>
      <c r="P869" s="89" t="s">
        <v>213</v>
      </c>
      <c r="Q869" s="89" t="s">
        <v>213</v>
      </c>
      <c r="R869" s="89" t="s">
        <v>213</v>
      </c>
      <c r="S869" s="89" t="s">
        <v>213</v>
      </c>
      <c r="T869" s="90" t="s">
        <v>213</v>
      </c>
      <c r="U869" s="91" t="s">
        <v>213</v>
      </c>
      <c r="V869" s="92" t="s">
        <v>213</v>
      </c>
      <c r="W869" s="93" t="s">
        <v>213</v>
      </c>
      <c r="X869" s="92" t="s">
        <v>213</v>
      </c>
      <c r="Y869" s="90" t="s">
        <v>213</v>
      </c>
      <c r="Z869" s="93" t="s">
        <v>213</v>
      </c>
    </row>
    <row r="870" ht="15.75" customHeight="1">
      <c r="A870" s="84"/>
      <c r="B870" s="85"/>
      <c r="C870" s="85"/>
      <c r="D870" s="84"/>
      <c r="E870" s="84"/>
      <c r="F870" s="84"/>
      <c r="G870" s="86"/>
      <c r="H870" s="86"/>
      <c r="I870" s="87"/>
      <c r="J870" s="87"/>
      <c r="K870" s="88"/>
      <c r="L870" s="84"/>
      <c r="M870" s="84"/>
      <c r="N870" s="89" t="s">
        <v>213</v>
      </c>
      <c r="O870" s="89" t="s">
        <v>213</v>
      </c>
      <c r="P870" s="89" t="s">
        <v>213</v>
      </c>
      <c r="Q870" s="89" t="s">
        <v>213</v>
      </c>
      <c r="R870" s="89" t="s">
        <v>213</v>
      </c>
      <c r="S870" s="89" t="s">
        <v>213</v>
      </c>
      <c r="T870" s="90" t="s">
        <v>213</v>
      </c>
      <c r="U870" s="91" t="s">
        <v>213</v>
      </c>
      <c r="V870" s="92" t="s">
        <v>213</v>
      </c>
      <c r="W870" s="93" t="s">
        <v>213</v>
      </c>
      <c r="X870" s="92" t="s">
        <v>213</v>
      </c>
      <c r="Y870" s="90" t="s">
        <v>213</v>
      </c>
      <c r="Z870" s="93" t="s">
        <v>213</v>
      </c>
    </row>
    <row r="871" ht="15.75" customHeight="1">
      <c r="A871" s="84"/>
      <c r="B871" s="85"/>
      <c r="C871" s="85"/>
      <c r="D871" s="84"/>
      <c r="E871" s="84"/>
      <c r="F871" s="84"/>
      <c r="G871" s="86"/>
      <c r="H871" s="86"/>
      <c r="I871" s="87"/>
      <c r="J871" s="87"/>
      <c r="K871" s="88"/>
      <c r="L871" s="84"/>
      <c r="M871" s="84"/>
      <c r="N871" s="89" t="s">
        <v>213</v>
      </c>
      <c r="O871" s="89" t="s">
        <v>213</v>
      </c>
      <c r="P871" s="89" t="s">
        <v>213</v>
      </c>
      <c r="Q871" s="89" t="s">
        <v>213</v>
      </c>
      <c r="R871" s="89" t="s">
        <v>213</v>
      </c>
      <c r="S871" s="89" t="s">
        <v>213</v>
      </c>
      <c r="T871" s="90" t="s">
        <v>213</v>
      </c>
      <c r="U871" s="91" t="s">
        <v>213</v>
      </c>
      <c r="V871" s="92" t="s">
        <v>213</v>
      </c>
      <c r="W871" s="93" t="s">
        <v>213</v>
      </c>
      <c r="X871" s="92" t="s">
        <v>213</v>
      </c>
      <c r="Y871" s="90" t="s">
        <v>213</v>
      </c>
      <c r="Z871" s="93" t="s">
        <v>213</v>
      </c>
    </row>
    <row r="872" ht="15.75" customHeight="1">
      <c r="A872" s="84"/>
      <c r="B872" s="85"/>
      <c r="C872" s="85"/>
      <c r="D872" s="84"/>
      <c r="E872" s="84"/>
      <c r="F872" s="84"/>
      <c r="G872" s="86"/>
      <c r="H872" s="86"/>
      <c r="I872" s="87"/>
      <c r="J872" s="87"/>
      <c r="K872" s="88"/>
      <c r="L872" s="84"/>
      <c r="M872" s="84"/>
      <c r="N872" s="89" t="s">
        <v>213</v>
      </c>
      <c r="O872" s="89" t="s">
        <v>213</v>
      </c>
      <c r="P872" s="89" t="s">
        <v>213</v>
      </c>
      <c r="Q872" s="89" t="s">
        <v>213</v>
      </c>
      <c r="R872" s="89" t="s">
        <v>213</v>
      </c>
      <c r="S872" s="89" t="s">
        <v>213</v>
      </c>
      <c r="T872" s="90" t="s">
        <v>213</v>
      </c>
      <c r="U872" s="91" t="s">
        <v>213</v>
      </c>
      <c r="V872" s="92" t="s">
        <v>213</v>
      </c>
      <c r="W872" s="93" t="s">
        <v>213</v>
      </c>
      <c r="X872" s="92" t="s">
        <v>213</v>
      </c>
      <c r="Y872" s="90" t="s">
        <v>213</v>
      </c>
      <c r="Z872" s="93" t="s">
        <v>213</v>
      </c>
    </row>
    <row r="873" ht="15.75" customHeight="1">
      <c r="A873" s="84"/>
      <c r="B873" s="85"/>
      <c r="C873" s="85"/>
      <c r="D873" s="84"/>
      <c r="E873" s="84"/>
      <c r="F873" s="84"/>
      <c r="G873" s="86"/>
      <c r="H873" s="86"/>
      <c r="I873" s="87"/>
      <c r="J873" s="87"/>
      <c r="K873" s="88"/>
      <c r="L873" s="84"/>
      <c r="M873" s="84"/>
      <c r="N873" s="89" t="s">
        <v>213</v>
      </c>
      <c r="O873" s="89" t="s">
        <v>213</v>
      </c>
      <c r="P873" s="89" t="s">
        <v>213</v>
      </c>
      <c r="Q873" s="89" t="s">
        <v>213</v>
      </c>
      <c r="R873" s="89" t="s">
        <v>213</v>
      </c>
      <c r="S873" s="89" t="s">
        <v>213</v>
      </c>
      <c r="T873" s="90" t="s">
        <v>213</v>
      </c>
      <c r="U873" s="91" t="s">
        <v>213</v>
      </c>
      <c r="V873" s="92" t="s">
        <v>213</v>
      </c>
      <c r="W873" s="93" t="s">
        <v>213</v>
      </c>
      <c r="X873" s="92" t="s">
        <v>213</v>
      </c>
      <c r="Y873" s="90" t="s">
        <v>213</v>
      </c>
      <c r="Z873" s="93" t="s">
        <v>213</v>
      </c>
    </row>
    <row r="874" ht="15.75" customHeight="1">
      <c r="A874" s="84"/>
      <c r="B874" s="85"/>
      <c r="C874" s="85"/>
      <c r="D874" s="84"/>
      <c r="E874" s="84"/>
      <c r="F874" s="84"/>
      <c r="G874" s="86"/>
      <c r="H874" s="86"/>
      <c r="I874" s="87"/>
      <c r="J874" s="87"/>
      <c r="K874" s="88"/>
      <c r="L874" s="84"/>
      <c r="M874" s="84"/>
      <c r="N874" s="89" t="s">
        <v>213</v>
      </c>
      <c r="O874" s="89" t="s">
        <v>213</v>
      </c>
      <c r="P874" s="89" t="s">
        <v>213</v>
      </c>
      <c r="Q874" s="89" t="s">
        <v>213</v>
      </c>
      <c r="R874" s="89" t="s">
        <v>213</v>
      </c>
      <c r="S874" s="89" t="s">
        <v>213</v>
      </c>
      <c r="T874" s="90" t="s">
        <v>213</v>
      </c>
      <c r="U874" s="91" t="s">
        <v>213</v>
      </c>
      <c r="V874" s="92" t="s">
        <v>213</v>
      </c>
      <c r="W874" s="93" t="s">
        <v>213</v>
      </c>
      <c r="X874" s="92" t="s">
        <v>213</v>
      </c>
      <c r="Y874" s="90" t="s">
        <v>213</v>
      </c>
      <c r="Z874" s="93" t="s">
        <v>213</v>
      </c>
    </row>
    <row r="875" ht="15.75" customHeight="1">
      <c r="A875" s="84"/>
      <c r="B875" s="85"/>
      <c r="C875" s="85"/>
      <c r="D875" s="84"/>
      <c r="E875" s="84"/>
      <c r="F875" s="84"/>
      <c r="G875" s="86"/>
      <c r="H875" s="86"/>
      <c r="I875" s="87"/>
      <c r="J875" s="87"/>
      <c r="K875" s="88"/>
      <c r="L875" s="84"/>
      <c r="M875" s="84"/>
      <c r="N875" s="89" t="s">
        <v>213</v>
      </c>
      <c r="O875" s="89" t="s">
        <v>213</v>
      </c>
      <c r="P875" s="89" t="s">
        <v>213</v>
      </c>
      <c r="Q875" s="89" t="s">
        <v>213</v>
      </c>
      <c r="R875" s="89" t="s">
        <v>213</v>
      </c>
      <c r="S875" s="89" t="s">
        <v>213</v>
      </c>
      <c r="T875" s="90" t="s">
        <v>213</v>
      </c>
      <c r="U875" s="91" t="s">
        <v>213</v>
      </c>
      <c r="V875" s="92" t="s">
        <v>213</v>
      </c>
      <c r="W875" s="93" t="s">
        <v>213</v>
      </c>
      <c r="X875" s="92" t="s">
        <v>213</v>
      </c>
      <c r="Y875" s="90" t="s">
        <v>213</v>
      </c>
      <c r="Z875" s="93" t="s">
        <v>213</v>
      </c>
    </row>
    <row r="876" ht="15.75" customHeight="1">
      <c r="A876" s="84"/>
      <c r="B876" s="85"/>
      <c r="C876" s="85"/>
      <c r="D876" s="84"/>
      <c r="E876" s="84"/>
      <c r="F876" s="84"/>
      <c r="G876" s="86"/>
      <c r="H876" s="86"/>
      <c r="I876" s="87"/>
      <c r="J876" s="87"/>
      <c r="K876" s="88"/>
      <c r="L876" s="84"/>
      <c r="M876" s="84"/>
      <c r="N876" s="89" t="s">
        <v>213</v>
      </c>
      <c r="O876" s="89" t="s">
        <v>213</v>
      </c>
      <c r="P876" s="89" t="s">
        <v>213</v>
      </c>
      <c r="Q876" s="89" t="s">
        <v>213</v>
      </c>
      <c r="R876" s="89" t="s">
        <v>213</v>
      </c>
      <c r="S876" s="89" t="s">
        <v>213</v>
      </c>
      <c r="T876" s="90" t="s">
        <v>213</v>
      </c>
      <c r="U876" s="91" t="s">
        <v>213</v>
      </c>
      <c r="V876" s="92" t="s">
        <v>213</v>
      </c>
      <c r="W876" s="93" t="s">
        <v>213</v>
      </c>
      <c r="X876" s="92" t="s">
        <v>213</v>
      </c>
      <c r="Y876" s="90" t="s">
        <v>213</v>
      </c>
      <c r="Z876" s="93" t="s">
        <v>213</v>
      </c>
    </row>
    <row r="877" ht="15.75" customHeight="1">
      <c r="A877" s="84"/>
      <c r="B877" s="85"/>
      <c r="C877" s="85"/>
      <c r="D877" s="84"/>
      <c r="E877" s="84"/>
      <c r="F877" s="84"/>
      <c r="G877" s="86"/>
      <c r="H877" s="86"/>
      <c r="I877" s="87"/>
      <c r="J877" s="87"/>
      <c r="K877" s="88"/>
      <c r="L877" s="84"/>
      <c r="M877" s="84"/>
      <c r="N877" s="89" t="s">
        <v>213</v>
      </c>
      <c r="O877" s="89" t="s">
        <v>213</v>
      </c>
      <c r="P877" s="89" t="s">
        <v>213</v>
      </c>
      <c r="Q877" s="89" t="s">
        <v>213</v>
      </c>
      <c r="R877" s="89" t="s">
        <v>213</v>
      </c>
      <c r="S877" s="89" t="s">
        <v>213</v>
      </c>
      <c r="T877" s="90" t="s">
        <v>213</v>
      </c>
      <c r="U877" s="91" t="s">
        <v>213</v>
      </c>
      <c r="V877" s="92" t="s">
        <v>213</v>
      </c>
      <c r="W877" s="93" t="s">
        <v>213</v>
      </c>
      <c r="X877" s="92" t="s">
        <v>213</v>
      </c>
      <c r="Y877" s="90" t="s">
        <v>213</v>
      </c>
      <c r="Z877" s="93" t="s">
        <v>213</v>
      </c>
    </row>
    <row r="878" ht="15.75" customHeight="1">
      <c r="A878" s="84"/>
      <c r="B878" s="85"/>
      <c r="C878" s="85"/>
      <c r="D878" s="84"/>
      <c r="E878" s="84"/>
      <c r="F878" s="84"/>
      <c r="G878" s="86"/>
      <c r="H878" s="86"/>
      <c r="I878" s="87"/>
      <c r="J878" s="87"/>
      <c r="K878" s="88"/>
      <c r="L878" s="84"/>
      <c r="M878" s="84"/>
      <c r="N878" s="89" t="s">
        <v>213</v>
      </c>
      <c r="O878" s="89" t="s">
        <v>213</v>
      </c>
      <c r="P878" s="89" t="s">
        <v>213</v>
      </c>
      <c r="Q878" s="89" t="s">
        <v>213</v>
      </c>
      <c r="R878" s="89" t="s">
        <v>213</v>
      </c>
      <c r="S878" s="89" t="s">
        <v>213</v>
      </c>
      <c r="T878" s="90" t="s">
        <v>213</v>
      </c>
      <c r="U878" s="91" t="s">
        <v>213</v>
      </c>
      <c r="V878" s="92" t="s">
        <v>213</v>
      </c>
      <c r="W878" s="93" t="s">
        <v>213</v>
      </c>
      <c r="X878" s="92" t="s">
        <v>213</v>
      </c>
      <c r="Y878" s="90" t="s">
        <v>213</v>
      </c>
      <c r="Z878" s="93" t="s">
        <v>213</v>
      </c>
    </row>
    <row r="879" ht="15.75" customHeight="1">
      <c r="A879" s="84"/>
      <c r="B879" s="85"/>
      <c r="C879" s="85"/>
      <c r="D879" s="84"/>
      <c r="E879" s="84"/>
      <c r="F879" s="84"/>
      <c r="G879" s="86"/>
      <c r="H879" s="86"/>
      <c r="I879" s="87"/>
      <c r="J879" s="87"/>
      <c r="K879" s="88"/>
      <c r="L879" s="84"/>
      <c r="M879" s="84"/>
      <c r="N879" s="89" t="s">
        <v>213</v>
      </c>
      <c r="O879" s="89" t="s">
        <v>213</v>
      </c>
      <c r="P879" s="89" t="s">
        <v>213</v>
      </c>
      <c r="Q879" s="89" t="s">
        <v>213</v>
      </c>
      <c r="R879" s="89" t="s">
        <v>213</v>
      </c>
      <c r="S879" s="89" t="s">
        <v>213</v>
      </c>
      <c r="T879" s="90" t="s">
        <v>213</v>
      </c>
      <c r="U879" s="91" t="s">
        <v>213</v>
      </c>
      <c r="V879" s="92" t="s">
        <v>213</v>
      </c>
      <c r="W879" s="93" t="s">
        <v>213</v>
      </c>
      <c r="X879" s="92" t="s">
        <v>213</v>
      </c>
      <c r="Y879" s="90" t="s">
        <v>213</v>
      </c>
      <c r="Z879" s="93" t="s">
        <v>213</v>
      </c>
    </row>
    <row r="880" ht="15.75" customHeight="1">
      <c r="A880" s="84"/>
      <c r="B880" s="85"/>
      <c r="C880" s="85"/>
      <c r="D880" s="84"/>
      <c r="E880" s="84"/>
      <c r="F880" s="84"/>
      <c r="G880" s="86"/>
      <c r="H880" s="86"/>
      <c r="I880" s="87"/>
      <c r="J880" s="87"/>
      <c r="K880" s="88"/>
      <c r="L880" s="84"/>
      <c r="M880" s="84"/>
      <c r="N880" s="89" t="s">
        <v>213</v>
      </c>
      <c r="O880" s="89" t="s">
        <v>213</v>
      </c>
      <c r="P880" s="89" t="s">
        <v>213</v>
      </c>
      <c r="Q880" s="89" t="s">
        <v>213</v>
      </c>
      <c r="R880" s="89" t="s">
        <v>213</v>
      </c>
      <c r="S880" s="89" t="s">
        <v>213</v>
      </c>
      <c r="T880" s="90" t="s">
        <v>213</v>
      </c>
      <c r="U880" s="91" t="s">
        <v>213</v>
      </c>
      <c r="V880" s="92" t="s">
        <v>213</v>
      </c>
      <c r="W880" s="93" t="s">
        <v>213</v>
      </c>
      <c r="X880" s="92" t="s">
        <v>213</v>
      </c>
      <c r="Y880" s="90" t="s">
        <v>213</v>
      </c>
      <c r="Z880" s="93" t="s">
        <v>213</v>
      </c>
    </row>
    <row r="881" ht="15.75" customHeight="1">
      <c r="A881" s="84"/>
      <c r="B881" s="85"/>
      <c r="C881" s="85"/>
      <c r="D881" s="84"/>
      <c r="E881" s="84"/>
      <c r="F881" s="84"/>
      <c r="G881" s="86"/>
      <c r="H881" s="86"/>
      <c r="I881" s="87"/>
      <c r="J881" s="87"/>
      <c r="K881" s="88"/>
      <c r="L881" s="84"/>
      <c r="M881" s="84"/>
      <c r="N881" s="89" t="s">
        <v>213</v>
      </c>
      <c r="O881" s="89" t="s">
        <v>213</v>
      </c>
      <c r="P881" s="89" t="s">
        <v>213</v>
      </c>
      <c r="Q881" s="89" t="s">
        <v>213</v>
      </c>
      <c r="R881" s="89" t="s">
        <v>213</v>
      </c>
      <c r="S881" s="89" t="s">
        <v>213</v>
      </c>
      <c r="T881" s="90" t="s">
        <v>213</v>
      </c>
      <c r="U881" s="91" t="s">
        <v>213</v>
      </c>
      <c r="V881" s="92" t="s">
        <v>213</v>
      </c>
      <c r="W881" s="93" t="s">
        <v>213</v>
      </c>
      <c r="X881" s="92" t="s">
        <v>213</v>
      </c>
      <c r="Y881" s="90" t="s">
        <v>213</v>
      </c>
      <c r="Z881" s="93" t="s">
        <v>213</v>
      </c>
    </row>
    <row r="882" ht="15.75" customHeight="1">
      <c r="A882" s="84"/>
      <c r="B882" s="85"/>
      <c r="C882" s="85"/>
      <c r="D882" s="84"/>
      <c r="E882" s="84"/>
      <c r="F882" s="84"/>
      <c r="G882" s="86"/>
      <c r="H882" s="86"/>
      <c r="I882" s="87"/>
      <c r="J882" s="87"/>
      <c r="K882" s="88"/>
      <c r="L882" s="84"/>
      <c r="M882" s="84"/>
      <c r="N882" s="89" t="s">
        <v>213</v>
      </c>
      <c r="O882" s="89" t="s">
        <v>213</v>
      </c>
      <c r="P882" s="89" t="s">
        <v>213</v>
      </c>
      <c r="Q882" s="89" t="s">
        <v>213</v>
      </c>
      <c r="R882" s="89" t="s">
        <v>213</v>
      </c>
      <c r="S882" s="89" t="s">
        <v>213</v>
      </c>
      <c r="T882" s="90" t="s">
        <v>213</v>
      </c>
      <c r="U882" s="91" t="s">
        <v>213</v>
      </c>
      <c r="V882" s="92" t="s">
        <v>213</v>
      </c>
      <c r="W882" s="93" t="s">
        <v>213</v>
      </c>
      <c r="X882" s="92" t="s">
        <v>213</v>
      </c>
      <c r="Y882" s="90" t="s">
        <v>213</v>
      </c>
      <c r="Z882" s="93" t="s">
        <v>213</v>
      </c>
    </row>
    <row r="883" ht="15.75" customHeight="1">
      <c r="A883" s="84"/>
      <c r="B883" s="85"/>
      <c r="C883" s="85"/>
      <c r="D883" s="84"/>
      <c r="E883" s="84"/>
      <c r="F883" s="84"/>
      <c r="G883" s="86"/>
      <c r="H883" s="86"/>
      <c r="I883" s="87"/>
      <c r="J883" s="87"/>
      <c r="K883" s="88"/>
      <c r="L883" s="84"/>
      <c r="M883" s="84"/>
      <c r="N883" s="89" t="s">
        <v>213</v>
      </c>
      <c r="O883" s="89" t="s">
        <v>213</v>
      </c>
      <c r="P883" s="89" t="s">
        <v>213</v>
      </c>
      <c r="Q883" s="89" t="s">
        <v>213</v>
      </c>
      <c r="R883" s="89" t="s">
        <v>213</v>
      </c>
      <c r="S883" s="89" t="s">
        <v>213</v>
      </c>
      <c r="T883" s="90" t="s">
        <v>213</v>
      </c>
      <c r="U883" s="91" t="s">
        <v>213</v>
      </c>
      <c r="V883" s="92" t="s">
        <v>213</v>
      </c>
      <c r="W883" s="93" t="s">
        <v>213</v>
      </c>
      <c r="X883" s="92" t="s">
        <v>213</v>
      </c>
      <c r="Y883" s="90" t="s">
        <v>213</v>
      </c>
      <c r="Z883" s="93" t="s">
        <v>213</v>
      </c>
    </row>
    <row r="884" ht="15.75" customHeight="1">
      <c r="A884" s="84"/>
      <c r="B884" s="85"/>
      <c r="C884" s="85"/>
      <c r="D884" s="84"/>
      <c r="E884" s="84"/>
      <c r="F884" s="84"/>
      <c r="G884" s="86"/>
      <c r="H884" s="86"/>
      <c r="I884" s="87"/>
      <c r="J884" s="87"/>
      <c r="K884" s="88"/>
      <c r="L884" s="84"/>
      <c r="M884" s="84"/>
      <c r="N884" s="89" t="s">
        <v>213</v>
      </c>
      <c r="O884" s="89" t="s">
        <v>213</v>
      </c>
      <c r="P884" s="89" t="s">
        <v>213</v>
      </c>
      <c r="Q884" s="89" t="s">
        <v>213</v>
      </c>
      <c r="R884" s="89" t="s">
        <v>213</v>
      </c>
      <c r="S884" s="89" t="s">
        <v>213</v>
      </c>
      <c r="T884" s="90" t="s">
        <v>213</v>
      </c>
      <c r="U884" s="91" t="s">
        <v>213</v>
      </c>
      <c r="V884" s="92" t="s">
        <v>213</v>
      </c>
      <c r="W884" s="93" t="s">
        <v>213</v>
      </c>
      <c r="X884" s="92" t="s">
        <v>213</v>
      </c>
      <c r="Y884" s="90" t="s">
        <v>213</v>
      </c>
      <c r="Z884" s="93" t="s">
        <v>213</v>
      </c>
    </row>
    <row r="885" ht="15.75" customHeight="1">
      <c r="A885" s="84"/>
      <c r="B885" s="85"/>
      <c r="C885" s="85"/>
      <c r="D885" s="84"/>
      <c r="E885" s="84"/>
      <c r="F885" s="84"/>
      <c r="G885" s="86"/>
      <c r="H885" s="86"/>
      <c r="I885" s="87"/>
      <c r="J885" s="87"/>
      <c r="K885" s="88"/>
      <c r="L885" s="84"/>
      <c r="M885" s="84"/>
      <c r="N885" s="89" t="s">
        <v>213</v>
      </c>
      <c r="O885" s="89" t="s">
        <v>213</v>
      </c>
      <c r="P885" s="89" t="s">
        <v>213</v>
      </c>
      <c r="Q885" s="89" t="s">
        <v>213</v>
      </c>
      <c r="R885" s="89" t="s">
        <v>213</v>
      </c>
      <c r="S885" s="89" t="s">
        <v>213</v>
      </c>
      <c r="T885" s="90" t="s">
        <v>213</v>
      </c>
      <c r="U885" s="91" t="s">
        <v>213</v>
      </c>
      <c r="V885" s="92" t="s">
        <v>213</v>
      </c>
      <c r="W885" s="93" t="s">
        <v>213</v>
      </c>
      <c r="X885" s="92" t="s">
        <v>213</v>
      </c>
      <c r="Y885" s="90" t="s">
        <v>213</v>
      </c>
      <c r="Z885" s="93" t="s">
        <v>213</v>
      </c>
    </row>
    <row r="886" ht="15.75" customHeight="1">
      <c r="A886" s="84"/>
      <c r="B886" s="85"/>
      <c r="C886" s="85"/>
      <c r="D886" s="84"/>
      <c r="E886" s="84"/>
      <c r="F886" s="84"/>
      <c r="G886" s="86"/>
      <c r="H886" s="86"/>
      <c r="I886" s="87"/>
      <c r="J886" s="87"/>
      <c r="K886" s="88"/>
      <c r="L886" s="84"/>
      <c r="M886" s="84"/>
      <c r="N886" s="89" t="s">
        <v>213</v>
      </c>
      <c r="O886" s="89" t="s">
        <v>213</v>
      </c>
      <c r="P886" s="89" t="s">
        <v>213</v>
      </c>
      <c r="Q886" s="89" t="s">
        <v>213</v>
      </c>
      <c r="R886" s="89" t="s">
        <v>213</v>
      </c>
      <c r="S886" s="89" t="s">
        <v>213</v>
      </c>
      <c r="T886" s="90" t="s">
        <v>213</v>
      </c>
      <c r="U886" s="91" t="s">
        <v>213</v>
      </c>
      <c r="V886" s="92" t="s">
        <v>213</v>
      </c>
      <c r="W886" s="93" t="s">
        <v>213</v>
      </c>
      <c r="X886" s="92" t="s">
        <v>213</v>
      </c>
      <c r="Y886" s="90" t="s">
        <v>213</v>
      </c>
      <c r="Z886" s="93" t="s">
        <v>213</v>
      </c>
    </row>
    <row r="887" ht="15.75" customHeight="1">
      <c r="A887" s="84"/>
      <c r="B887" s="85"/>
      <c r="C887" s="85"/>
      <c r="D887" s="84"/>
      <c r="E887" s="84"/>
      <c r="F887" s="84"/>
      <c r="G887" s="86"/>
      <c r="H887" s="86"/>
      <c r="I887" s="87"/>
      <c r="J887" s="87"/>
      <c r="K887" s="88"/>
      <c r="L887" s="84"/>
      <c r="M887" s="84"/>
      <c r="N887" s="89" t="s">
        <v>213</v>
      </c>
      <c r="O887" s="89" t="s">
        <v>213</v>
      </c>
      <c r="P887" s="89" t="s">
        <v>213</v>
      </c>
      <c r="Q887" s="89" t="s">
        <v>213</v>
      </c>
      <c r="R887" s="89" t="s">
        <v>213</v>
      </c>
      <c r="S887" s="89" t="s">
        <v>213</v>
      </c>
      <c r="T887" s="90" t="s">
        <v>213</v>
      </c>
      <c r="U887" s="91" t="s">
        <v>213</v>
      </c>
      <c r="V887" s="92" t="s">
        <v>213</v>
      </c>
      <c r="W887" s="93" t="s">
        <v>213</v>
      </c>
      <c r="X887" s="92" t="s">
        <v>213</v>
      </c>
      <c r="Y887" s="90" t="s">
        <v>213</v>
      </c>
      <c r="Z887" s="93" t="s">
        <v>213</v>
      </c>
    </row>
    <row r="888" ht="15.75" customHeight="1">
      <c r="A888" s="84"/>
      <c r="B888" s="85"/>
      <c r="C888" s="85"/>
      <c r="D888" s="84"/>
      <c r="E888" s="84"/>
      <c r="F888" s="84"/>
      <c r="G888" s="86"/>
      <c r="H888" s="86"/>
      <c r="I888" s="87"/>
      <c r="J888" s="87"/>
      <c r="K888" s="88"/>
      <c r="L888" s="84"/>
      <c r="M888" s="84"/>
      <c r="N888" s="89" t="s">
        <v>213</v>
      </c>
      <c r="O888" s="89" t="s">
        <v>213</v>
      </c>
      <c r="P888" s="89" t="s">
        <v>213</v>
      </c>
      <c r="Q888" s="89" t="s">
        <v>213</v>
      </c>
      <c r="R888" s="89" t="s">
        <v>213</v>
      </c>
      <c r="S888" s="89" t="s">
        <v>213</v>
      </c>
      <c r="T888" s="90" t="s">
        <v>213</v>
      </c>
      <c r="U888" s="91" t="s">
        <v>213</v>
      </c>
      <c r="V888" s="92" t="s">
        <v>213</v>
      </c>
      <c r="W888" s="93" t="s">
        <v>213</v>
      </c>
      <c r="X888" s="92" t="s">
        <v>213</v>
      </c>
      <c r="Y888" s="90" t="s">
        <v>213</v>
      </c>
      <c r="Z888" s="93" t="s">
        <v>213</v>
      </c>
    </row>
    <row r="889" ht="15.75" customHeight="1">
      <c r="A889" s="84"/>
      <c r="B889" s="85"/>
      <c r="C889" s="85"/>
      <c r="D889" s="84"/>
      <c r="E889" s="84"/>
      <c r="F889" s="84"/>
      <c r="G889" s="86"/>
      <c r="H889" s="86"/>
      <c r="I889" s="87"/>
      <c r="J889" s="87"/>
      <c r="K889" s="88"/>
      <c r="L889" s="84"/>
      <c r="M889" s="84"/>
      <c r="N889" s="89" t="s">
        <v>213</v>
      </c>
      <c r="O889" s="89" t="s">
        <v>213</v>
      </c>
      <c r="P889" s="89" t="s">
        <v>213</v>
      </c>
      <c r="Q889" s="89" t="s">
        <v>213</v>
      </c>
      <c r="R889" s="89" t="s">
        <v>213</v>
      </c>
      <c r="S889" s="89" t="s">
        <v>213</v>
      </c>
      <c r="T889" s="90" t="s">
        <v>213</v>
      </c>
      <c r="U889" s="91" t="s">
        <v>213</v>
      </c>
      <c r="V889" s="92" t="s">
        <v>213</v>
      </c>
      <c r="W889" s="93" t="s">
        <v>213</v>
      </c>
      <c r="X889" s="92" t="s">
        <v>213</v>
      </c>
      <c r="Y889" s="90" t="s">
        <v>213</v>
      </c>
      <c r="Z889" s="93" t="s">
        <v>213</v>
      </c>
    </row>
    <row r="890" ht="15.75" customHeight="1">
      <c r="A890" s="84"/>
      <c r="B890" s="85"/>
      <c r="C890" s="85"/>
      <c r="D890" s="84"/>
      <c r="E890" s="84"/>
      <c r="F890" s="84"/>
      <c r="G890" s="86"/>
      <c r="H890" s="86"/>
      <c r="I890" s="87"/>
      <c r="J890" s="87"/>
      <c r="K890" s="88"/>
      <c r="L890" s="84"/>
      <c r="M890" s="84"/>
      <c r="N890" s="89" t="s">
        <v>213</v>
      </c>
      <c r="O890" s="89" t="s">
        <v>213</v>
      </c>
      <c r="P890" s="89" t="s">
        <v>213</v>
      </c>
      <c r="Q890" s="89" t="s">
        <v>213</v>
      </c>
      <c r="R890" s="89" t="s">
        <v>213</v>
      </c>
      <c r="S890" s="89" t="s">
        <v>213</v>
      </c>
      <c r="T890" s="90" t="s">
        <v>213</v>
      </c>
      <c r="U890" s="91" t="s">
        <v>213</v>
      </c>
      <c r="V890" s="92" t="s">
        <v>213</v>
      </c>
      <c r="W890" s="93" t="s">
        <v>213</v>
      </c>
      <c r="X890" s="92" t="s">
        <v>213</v>
      </c>
      <c r="Y890" s="90" t="s">
        <v>213</v>
      </c>
      <c r="Z890" s="93" t="s">
        <v>213</v>
      </c>
    </row>
    <row r="891" ht="15.75" customHeight="1">
      <c r="A891" s="84"/>
      <c r="B891" s="85"/>
      <c r="C891" s="85"/>
      <c r="D891" s="84"/>
      <c r="E891" s="84"/>
      <c r="F891" s="84"/>
      <c r="G891" s="86"/>
      <c r="H891" s="86"/>
      <c r="I891" s="87"/>
      <c r="J891" s="87"/>
      <c r="K891" s="88"/>
      <c r="L891" s="84"/>
      <c r="M891" s="84"/>
      <c r="N891" s="89" t="s">
        <v>213</v>
      </c>
      <c r="O891" s="89" t="s">
        <v>213</v>
      </c>
      <c r="P891" s="89" t="s">
        <v>213</v>
      </c>
      <c r="Q891" s="89" t="s">
        <v>213</v>
      </c>
      <c r="R891" s="89" t="s">
        <v>213</v>
      </c>
      <c r="S891" s="89" t="s">
        <v>213</v>
      </c>
      <c r="T891" s="90" t="s">
        <v>213</v>
      </c>
      <c r="U891" s="91" t="s">
        <v>213</v>
      </c>
      <c r="V891" s="92" t="s">
        <v>213</v>
      </c>
      <c r="W891" s="93" t="s">
        <v>213</v>
      </c>
      <c r="X891" s="92" t="s">
        <v>213</v>
      </c>
      <c r="Y891" s="90" t="s">
        <v>213</v>
      </c>
      <c r="Z891" s="93" t="s">
        <v>213</v>
      </c>
    </row>
    <row r="892" ht="15.75" customHeight="1">
      <c r="A892" s="84"/>
      <c r="B892" s="85"/>
      <c r="C892" s="85"/>
      <c r="D892" s="84"/>
      <c r="E892" s="84"/>
      <c r="F892" s="84"/>
      <c r="G892" s="86"/>
      <c r="H892" s="86"/>
      <c r="I892" s="87"/>
      <c r="J892" s="87"/>
      <c r="K892" s="88"/>
      <c r="L892" s="84"/>
      <c r="M892" s="84"/>
      <c r="N892" s="89" t="s">
        <v>213</v>
      </c>
      <c r="O892" s="89" t="s">
        <v>213</v>
      </c>
      <c r="P892" s="89" t="s">
        <v>213</v>
      </c>
      <c r="Q892" s="89" t="s">
        <v>213</v>
      </c>
      <c r="R892" s="89" t="s">
        <v>213</v>
      </c>
      <c r="S892" s="89" t="s">
        <v>213</v>
      </c>
      <c r="T892" s="90" t="s">
        <v>213</v>
      </c>
      <c r="U892" s="91" t="s">
        <v>213</v>
      </c>
      <c r="V892" s="92" t="s">
        <v>213</v>
      </c>
      <c r="W892" s="93" t="s">
        <v>213</v>
      </c>
      <c r="X892" s="92" t="s">
        <v>213</v>
      </c>
      <c r="Y892" s="90" t="s">
        <v>213</v>
      </c>
      <c r="Z892" s="93" t="s">
        <v>213</v>
      </c>
    </row>
    <row r="893" ht="15.75" customHeight="1">
      <c r="A893" s="84"/>
      <c r="B893" s="85"/>
      <c r="C893" s="85"/>
      <c r="D893" s="84"/>
      <c r="E893" s="84"/>
      <c r="F893" s="84"/>
      <c r="G893" s="86"/>
      <c r="H893" s="86"/>
      <c r="I893" s="87"/>
      <c r="J893" s="87"/>
      <c r="K893" s="88"/>
      <c r="L893" s="84"/>
      <c r="M893" s="84"/>
      <c r="N893" s="89" t="s">
        <v>213</v>
      </c>
      <c r="O893" s="89" t="s">
        <v>213</v>
      </c>
      <c r="P893" s="89" t="s">
        <v>213</v>
      </c>
      <c r="Q893" s="89" t="s">
        <v>213</v>
      </c>
      <c r="R893" s="89" t="s">
        <v>213</v>
      </c>
      <c r="S893" s="89" t="s">
        <v>213</v>
      </c>
      <c r="T893" s="90" t="s">
        <v>213</v>
      </c>
      <c r="U893" s="91" t="s">
        <v>213</v>
      </c>
      <c r="V893" s="92" t="s">
        <v>213</v>
      </c>
      <c r="W893" s="93" t="s">
        <v>213</v>
      </c>
      <c r="X893" s="92" t="s">
        <v>213</v>
      </c>
      <c r="Y893" s="90" t="s">
        <v>213</v>
      </c>
      <c r="Z893" s="93" t="s">
        <v>213</v>
      </c>
    </row>
    <row r="894" ht="15.75" customHeight="1">
      <c r="A894" s="84"/>
      <c r="B894" s="85"/>
      <c r="C894" s="85"/>
      <c r="D894" s="84"/>
      <c r="E894" s="84"/>
      <c r="F894" s="84"/>
      <c r="G894" s="86"/>
      <c r="H894" s="86"/>
      <c r="I894" s="87"/>
      <c r="J894" s="87"/>
      <c r="K894" s="88"/>
      <c r="L894" s="84"/>
      <c r="M894" s="84"/>
      <c r="N894" s="89" t="s">
        <v>213</v>
      </c>
      <c r="O894" s="89" t="s">
        <v>213</v>
      </c>
      <c r="P894" s="89" t="s">
        <v>213</v>
      </c>
      <c r="Q894" s="89" t="s">
        <v>213</v>
      </c>
      <c r="R894" s="89" t="s">
        <v>213</v>
      </c>
      <c r="S894" s="89" t="s">
        <v>213</v>
      </c>
      <c r="T894" s="90" t="s">
        <v>213</v>
      </c>
      <c r="U894" s="91" t="s">
        <v>213</v>
      </c>
      <c r="V894" s="92" t="s">
        <v>213</v>
      </c>
      <c r="W894" s="93" t="s">
        <v>213</v>
      </c>
      <c r="X894" s="92" t="s">
        <v>213</v>
      </c>
      <c r="Y894" s="90" t="s">
        <v>213</v>
      </c>
      <c r="Z894" s="93" t="s">
        <v>213</v>
      </c>
    </row>
    <row r="895" ht="15.75" customHeight="1">
      <c r="A895" s="84"/>
      <c r="B895" s="85"/>
      <c r="C895" s="85"/>
      <c r="D895" s="84"/>
      <c r="E895" s="84"/>
      <c r="F895" s="84"/>
      <c r="G895" s="86"/>
      <c r="H895" s="86"/>
      <c r="I895" s="87"/>
      <c r="J895" s="87"/>
      <c r="K895" s="88"/>
      <c r="L895" s="84"/>
      <c r="M895" s="84"/>
      <c r="N895" s="89" t="s">
        <v>213</v>
      </c>
      <c r="O895" s="89" t="s">
        <v>213</v>
      </c>
      <c r="P895" s="89" t="s">
        <v>213</v>
      </c>
      <c r="Q895" s="89" t="s">
        <v>213</v>
      </c>
      <c r="R895" s="89" t="s">
        <v>213</v>
      </c>
      <c r="S895" s="89" t="s">
        <v>213</v>
      </c>
      <c r="T895" s="90" t="s">
        <v>213</v>
      </c>
      <c r="U895" s="91" t="s">
        <v>213</v>
      </c>
      <c r="V895" s="92" t="s">
        <v>213</v>
      </c>
      <c r="W895" s="93" t="s">
        <v>213</v>
      </c>
      <c r="X895" s="92" t="s">
        <v>213</v>
      </c>
      <c r="Y895" s="90" t="s">
        <v>213</v>
      </c>
      <c r="Z895" s="93" t="s">
        <v>213</v>
      </c>
    </row>
    <row r="896" ht="15.75" customHeight="1">
      <c r="A896" s="84"/>
      <c r="B896" s="85"/>
      <c r="C896" s="85"/>
      <c r="D896" s="84"/>
      <c r="E896" s="84"/>
      <c r="F896" s="84"/>
      <c r="G896" s="86"/>
      <c r="H896" s="86"/>
      <c r="I896" s="87"/>
      <c r="J896" s="87"/>
      <c r="K896" s="88"/>
      <c r="L896" s="84"/>
      <c r="M896" s="84"/>
      <c r="N896" s="89" t="s">
        <v>213</v>
      </c>
      <c r="O896" s="89" t="s">
        <v>213</v>
      </c>
      <c r="P896" s="89" t="s">
        <v>213</v>
      </c>
      <c r="Q896" s="89" t="s">
        <v>213</v>
      </c>
      <c r="R896" s="89" t="s">
        <v>213</v>
      </c>
      <c r="S896" s="89" t="s">
        <v>213</v>
      </c>
      <c r="T896" s="90" t="s">
        <v>213</v>
      </c>
      <c r="U896" s="91" t="s">
        <v>213</v>
      </c>
      <c r="V896" s="92" t="s">
        <v>213</v>
      </c>
      <c r="W896" s="93" t="s">
        <v>213</v>
      </c>
      <c r="X896" s="92" t="s">
        <v>213</v>
      </c>
      <c r="Y896" s="90" t="s">
        <v>213</v>
      </c>
      <c r="Z896" s="93" t="s">
        <v>213</v>
      </c>
    </row>
    <row r="897" ht="15.75" customHeight="1">
      <c r="A897" s="84"/>
      <c r="B897" s="85"/>
      <c r="C897" s="85"/>
      <c r="D897" s="84"/>
      <c r="E897" s="84"/>
      <c r="F897" s="84"/>
      <c r="G897" s="86"/>
      <c r="H897" s="86"/>
      <c r="I897" s="87"/>
      <c r="J897" s="87"/>
      <c r="K897" s="88"/>
      <c r="L897" s="84"/>
      <c r="M897" s="84"/>
      <c r="N897" s="89" t="s">
        <v>213</v>
      </c>
      <c r="O897" s="89" t="s">
        <v>213</v>
      </c>
      <c r="P897" s="89" t="s">
        <v>213</v>
      </c>
      <c r="Q897" s="89" t="s">
        <v>213</v>
      </c>
      <c r="R897" s="89" t="s">
        <v>213</v>
      </c>
      <c r="S897" s="89" t="s">
        <v>213</v>
      </c>
      <c r="T897" s="90" t="s">
        <v>213</v>
      </c>
      <c r="U897" s="91" t="s">
        <v>213</v>
      </c>
      <c r="V897" s="92" t="s">
        <v>213</v>
      </c>
      <c r="W897" s="93" t="s">
        <v>213</v>
      </c>
      <c r="X897" s="92" t="s">
        <v>213</v>
      </c>
      <c r="Y897" s="90" t="s">
        <v>213</v>
      </c>
      <c r="Z897" s="93" t="s">
        <v>213</v>
      </c>
    </row>
    <row r="898" ht="15.75" customHeight="1">
      <c r="A898" s="84"/>
      <c r="B898" s="85"/>
      <c r="C898" s="85"/>
      <c r="D898" s="84"/>
      <c r="E898" s="84"/>
      <c r="F898" s="84"/>
      <c r="G898" s="86"/>
      <c r="H898" s="86"/>
      <c r="I898" s="87"/>
      <c r="J898" s="87"/>
      <c r="K898" s="88"/>
      <c r="L898" s="84"/>
      <c r="M898" s="84"/>
      <c r="N898" s="89" t="s">
        <v>213</v>
      </c>
      <c r="O898" s="89" t="s">
        <v>213</v>
      </c>
      <c r="P898" s="89" t="s">
        <v>213</v>
      </c>
      <c r="Q898" s="89" t="s">
        <v>213</v>
      </c>
      <c r="R898" s="89" t="s">
        <v>213</v>
      </c>
      <c r="S898" s="89" t="s">
        <v>213</v>
      </c>
      <c r="T898" s="90" t="s">
        <v>213</v>
      </c>
      <c r="U898" s="91" t="s">
        <v>213</v>
      </c>
      <c r="V898" s="92" t="s">
        <v>213</v>
      </c>
      <c r="W898" s="93" t="s">
        <v>213</v>
      </c>
      <c r="X898" s="92" t="s">
        <v>213</v>
      </c>
      <c r="Y898" s="90" t="s">
        <v>213</v>
      </c>
      <c r="Z898" s="93" t="s">
        <v>213</v>
      </c>
    </row>
    <row r="899" ht="15.75" customHeight="1">
      <c r="A899" s="84"/>
      <c r="B899" s="85"/>
      <c r="C899" s="85"/>
      <c r="D899" s="84"/>
      <c r="E899" s="84"/>
      <c r="F899" s="84"/>
      <c r="G899" s="86"/>
      <c r="H899" s="86"/>
      <c r="I899" s="87"/>
      <c r="J899" s="87"/>
      <c r="K899" s="88"/>
      <c r="L899" s="84"/>
      <c r="M899" s="84"/>
      <c r="N899" s="89" t="s">
        <v>213</v>
      </c>
      <c r="O899" s="89" t="s">
        <v>213</v>
      </c>
      <c r="P899" s="89" t="s">
        <v>213</v>
      </c>
      <c r="Q899" s="89" t="s">
        <v>213</v>
      </c>
      <c r="R899" s="89" t="s">
        <v>213</v>
      </c>
      <c r="S899" s="89" t="s">
        <v>213</v>
      </c>
      <c r="T899" s="90" t="s">
        <v>213</v>
      </c>
      <c r="U899" s="91" t="s">
        <v>213</v>
      </c>
      <c r="V899" s="92" t="s">
        <v>213</v>
      </c>
      <c r="W899" s="93" t="s">
        <v>213</v>
      </c>
      <c r="X899" s="92" t="s">
        <v>213</v>
      </c>
      <c r="Y899" s="90" t="s">
        <v>213</v>
      </c>
      <c r="Z899" s="93" t="s">
        <v>213</v>
      </c>
    </row>
    <row r="900" ht="15.75" customHeight="1">
      <c r="A900" s="84"/>
      <c r="B900" s="85"/>
      <c r="C900" s="85"/>
      <c r="D900" s="84"/>
      <c r="E900" s="84"/>
      <c r="F900" s="84"/>
      <c r="G900" s="86"/>
      <c r="H900" s="86"/>
      <c r="I900" s="87"/>
      <c r="J900" s="87"/>
      <c r="K900" s="88"/>
      <c r="L900" s="84"/>
      <c r="M900" s="84"/>
      <c r="N900" s="89" t="s">
        <v>213</v>
      </c>
      <c r="O900" s="89" t="s">
        <v>213</v>
      </c>
      <c r="P900" s="89" t="s">
        <v>213</v>
      </c>
      <c r="Q900" s="89" t="s">
        <v>213</v>
      </c>
      <c r="R900" s="89" t="s">
        <v>213</v>
      </c>
      <c r="S900" s="89" t="s">
        <v>213</v>
      </c>
      <c r="T900" s="90" t="s">
        <v>213</v>
      </c>
      <c r="U900" s="91" t="s">
        <v>213</v>
      </c>
      <c r="V900" s="92" t="s">
        <v>213</v>
      </c>
      <c r="W900" s="93" t="s">
        <v>213</v>
      </c>
      <c r="X900" s="92" t="s">
        <v>213</v>
      </c>
      <c r="Y900" s="90" t="s">
        <v>213</v>
      </c>
      <c r="Z900" s="93" t="s">
        <v>213</v>
      </c>
    </row>
    <row r="901" ht="15.75" customHeight="1">
      <c r="A901" s="84"/>
      <c r="B901" s="85"/>
      <c r="C901" s="85"/>
      <c r="D901" s="84"/>
      <c r="E901" s="84"/>
      <c r="F901" s="84"/>
      <c r="G901" s="86"/>
      <c r="H901" s="86"/>
      <c r="I901" s="87"/>
      <c r="J901" s="87"/>
      <c r="K901" s="88"/>
      <c r="L901" s="84"/>
      <c r="M901" s="84"/>
      <c r="N901" s="89" t="s">
        <v>213</v>
      </c>
      <c r="O901" s="89" t="s">
        <v>213</v>
      </c>
      <c r="P901" s="89" t="s">
        <v>213</v>
      </c>
      <c r="Q901" s="89" t="s">
        <v>213</v>
      </c>
      <c r="R901" s="89" t="s">
        <v>213</v>
      </c>
      <c r="S901" s="89" t="s">
        <v>213</v>
      </c>
      <c r="T901" s="90" t="s">
        <v>213</v>
      </c>
      <c r="U901" s="91" t="s">
        <v>213</v>
      </c>
      <c r="V901" s="92" t="s">
        <v>213</v>
      </c>
      <c r="W901" s="93" t="s">
        <v>213</v>
      </c>
      <c r="X901" s="92" t="s">
        <v>213</v>
      </c>
      <c r="Y901" s="90" t="s">
        <v>213</v>
      </c>
      <c r="Z901" s="93" t="s">
        <v>213</v>
      </c>
    </row>
    <row r="902" ht="15.75" customHeight="1">
      <c r="A902" s="84"/>
      <c r="B902" s="85"/>
      <c r="C902" s="85"/>
      <c r="D902" s="84"/>
      <c r="E902" s="84"/>
      <c r="F902" s="84"/>
      <c r="G902" s="86"/>
      <c r="H902" s="86"/>
      <c r="I902" s="87"/>
      <c r="J902" s="87"/>
      <c r="K902" s="88"/>
      <c r="L902" s="84"/>
      <c r="M902" s="84"/>
      <c r="N902" s="89" t="s">
        <v>213</v>
      </c>
      <c r="O902" s="89" t="s">
        <v>213</v>
      </c>
      <c r="P902" s="89" t="s">
        <v>213</v>
      </c>
      <c r="Q902" s="89" t="s">
        <v>213</v>
      </c>
      <c r="R902" s="89" t="s">
        <v>213</v>
      </c>
      <c r="S902" s="89" t="s">
        <v>213</v>
      </c>
      <c r="T902" s="90" t="s">
        <v>213</v>
      </c>
      <c r="U902" s="91" t="s">
        <v>213</v>
      </c>
      <c r="V902" s="92" t="s">
        <v>213</v>
      </c>
      <c r="W902" s="93" t="s">
        <v>213</v>
      </c>
      <c r="X902" s="92" t="s">
        <v>213</v>
      </c>
      <c r="Y902" s="90" t="s">
        <v>213</v>
      </c>
      <c r="Z902" s="93" t="s">
        <v>213</v>
      </c>
    </row>
    <row r="903" ht="15.75" customHeight="1">
      <c r="A903" s="84"/>
      <c r="B903" s="85"/>
      <c r="C903" s="85"/>
      <c r="D903" s="84"/>
      <c r="E903" s="84"/>
      <c r="F903" s="84"/>
      <c r="G903" s="86"/>
      <c r="H903" s="86"/>
      <c r="I903" s="87"/>
      <c r="J903" s="87"/>
      <c r="K903" s="88"/>
      <c r="L903" s="84"/>
      <c r="M903" s="84"/>
      <c r="N903" s="89" t="s">
        <v>213</v>
      </c>
      <c r="O903" s="89" t="s">
        <v>213</v>
      </c>
      <c r="P903" s="89" t="s">
        <v>213</v>
      </c>
      <c r="Q903" s="89" t="s">
        <v>213</v>
      </c>
      <c r="R903" s="89" t="s">
        <v>213</v>
      </c>
      <c r="S903" s="89" t="s">
        <v>213</v>
      </c>
      <c r="T903" s="90" t="s">
        <v>213</v>
      </c>
      <c r="U903" s="91" t="s">
        <v>213</v>
      </c>
      <c r="V903" s="92" t="s">
        <v>213</v>
      </c>
      <c r="W903" s="93" t="s">
        <v>213</v>
      </c>
      <c r="X903" s="92" t="s">
        <v>213</v>
      </c>
      <c r="Y903" s="90" t="s">
        <v>213</v>
      </c>
      <c r="Z903" s="93" t="s">
        <v>213</v>
      </c>
    </row>
    <row r="904" ht="15.75" customHeight="1">
      <c r="A904" s="84"/>
      <c r="B904" s="85"/>
      <c r="C904" s="85"/>
      <c r="D904" s="84"/>
      <c r="E904" s="84"/>
      <c r="F904" s="84"/>
      <c r="G904" s="86"/>
      <c r="H904" s="86"/>
      <c r="I904" s="87"/>
      <c r="J904" s="87"/>
      <c r="K904" s="88"/>
      <c r="L904" s="84"/>
      <c r="M904" s="84"/>
      <c r="N904" s="89" t="s">
        <v>213</v>
      </c>
      <c r="O904" s="89" t="s">
        <v>213</v>
      </c>
      <c r="P904" s="89" t="s">
        <v>213</v>
      </c>
      <c r="Q904" s="89" t="s">
        <v>213</v>
      </c>
      <c r="R904" s="89" t="s">
        <v>213</v>
      </c>
      <c r="S904" s="89" t="s">
        <v>213</v>
      </c>
      <c r="T904" s="90" t="s">
        <v>213</v>
      </c>
      <c r="U904" s="91" t="s">
        <v>213</v>
      </c>
      <c r="V904" s="92" t="s">
        <v>213</v>
      </c>
      <c r="W904" s="93" t="s">
        <v>213</v>
      </c>
      <c r="X904" s="92" t="s">
        <v>213</v>
      </c>
      <c r="Y904" s="90" t="s">
        <v>213</v>
      </c>
      <c r="Z904" s="93" t="s">
        <v>213</v>
      </c>
    </row>
    <row r="905" ht="15.75" customHeight="1">
      <c r="A905" s="84"/>
      <c r="B905" s="85"/>
      <c r="C905" s="85"/>
      <c r="D905" s="84"/>
      <c r="E905" s="84"/>
      <c r="F905" s="84"/>
      <c r="G905" s="86"/>
      <c r="H905" s="86"/>
      <c r="I905" s="87"/>
      <c r="J905" s="87"/>
      <c r="K905" s="88"/>
      <c r="L905" s="84"/>
      <c r="M905" s="84"/>
      <c r="N905" s="89" t="s">
        <v>213</v>
      </c>
      <c r="O905" s="89" t="s">
        <v>213</v>
      </c>
      <c r="P905" s="89" t="s">
        <v>213</v>
      </c>
      <c r="Q905" s="89" t="s">
        <v>213</v>
      </c>
      <c r="R905" s="89" t="s">
        <v>213</v>
      </c>
      <c r="S905" s="89" t="s">
        <v>213</v>
      </c>
      <c r="T905" s="90" t="s">
        <v>213</v>
      </c>
      <c r="U905" s="91" t="s">
        <v>213</v>
      </c>
      <c r="V905" s="92" t="s">
        <v>213</v>
      </c>
      <c r="W905" s="93" t="s">
        <v>213</v>
      </c>
      <c r="X905" s="92" t="s">
        <v>213</v>
      </c>
      <c r="Y905" s="90" t="s">
        <v>213</v>
      </c>
      <c r="Z905" s="93" t="s">
        <v>213</v>
      </c>
    </row>
    <row r="906" ht="15.75" customHeight="1">
      <c r="A906" s="84"/>
      <c r="B906" s="85"/>
      <c r="C906" s="85"/>
      <c r="D906" s="84"/>
      <c r="E906" s="84"/>
      <c r="F906" s="84"/>
      <c r="G906" s="86"/>
      <c r="H906" s="86"/>
      <c r="I906" s="87"/>
      <c r="J906" s="87"/>
      <c r="K906" s="88"/>
      <c r="L906" s="84"/>
      <c r="M906" s="84"/>
      <c r="N906" s="89" t="s">
        <v>213</v>
      </c>
      <c r="O906" s="89" t="s">
        <v>213</v>
      </c>
      <c r="P906" s="89" t="s">
        <v>213</v>
      </c>
      <c r="Q906" s="89" t="s">
        <v>213</v>
      </c>
      <c r="R906" s="89" t="s">
        <v>213</v>
      </c>
      <c r="S906" s="89" t="s">
        <v>213</v>
      </c>
      <c r="T906" s="90" t="s">
        <v>213</v>
      </c>
      <c r="U906" s="91" t="s">
        <v>213</v>
      </c>
      <c r="V906" s="92" t="s">
        <v>213</v>
      </c>
      <c r="W906" s="93" t="s">
        <v>213</v>
      </c>
      <c r="X906" s="92" t="s">
        <v>213</v>
      </c>
      <c r="Y906" s="90" t="s">
        <v>213</v>
      </c>
      <c r="Z906" s="93" t="s">
        <v>213</v>
      </c>
    </row>
    <row r="907" ht="15.75" customHeight="1">
      <c r="A907" s="84"/>
      <c r="B907" s="85"/>
      <c r="C907" s="85"/>
      <c r="D907" s="84"/>
      <c r="E907" s="84"/>
      <c r="F907" s="84"/>
      <c r="G907" s="86"/>
      <c r="H907" s="86"/>
      <c r="I907" s="87"/>
      <c r="J907" s="87"/>
      <c r="K907" s="88"/>
      <c r="L907" s="84"/>
      <c r="M907" s="84"/>
      <c r="N907" s="89" t="s">
        <v>213</v>
      </c>
      <c r="O907" s="89" t="s">
        <v>213</v>
      </c>
      <c r="P907" s="89" t="s">
        <v>213</v>
      </c>
      <c r="Q907" s="89" t="s">
        <v>213</v>
      </c>
      <c r="R907" s="89" t="s">
        <v>213</v>
      </c>
      <c r="S907" s="89" t="s">
        <v>213</v>
      </c>
      <c r="T907" s="90" t="s">
        <v>213</v>
      </c>
      <c r="U907" s="91" t="s">
        <v>213</v>
      </c>
      <c r="V907" s="92" t="s">
        <v>213</v>
      </c>
      <c r="W907" s="93" t="s">
        <v>213</v>
      </c>
      <c r="X907" s="92" t="s">
        <v>213</v>
      </c>
      <c r="Y907" s="90" t="s">
        <v>213</v>
      </c>
      <c r="Z907" s="93" t="s">
        <v>213</v>
      </c>
    </row>
    <row r="908" ht="15.75" customHeight="1">
      <c r="A908" s="84"/>
      <c r="B908" s="85"/>
      <c r="C908" s="85"/>
      <c r="D908" s="84"/>
      <c r="E908" s="84"/>
      <c r="F908" s="84"/>
      <c r="G908" s="86"/>
      <c r="H908" s="86"/>
      <c r="I908" s="87"/>
      <c r="J908" s="87"/>
      <c r="K908" s="88"/>
      <c r="L908" s="84"/>
      <c r="M908" s="84"/>
      <c r="N908" s="89" t="s">
        <v>213</v>
      </c>
      <c r="O908" s="89" t="s">
        <v>213</v>
      </c>
      <c r="P908" s="89" t="s">
        <v>213</v>
      </c>
      <c r="Q908" s="89" t="s">
        <v>213</v>
      </c>
      <c r="R908" s="89" t="s">
        <v>213</v>
      </c>
      <c r="S908" s="89" t="s">
        <v>213</v>
      </c>
      <c r="T908" s="90" t="s">
        <v>213</v>
      </c>
      <c r="U908" s="91" t="s">
        <v>213</v>
      </c>
      <c r="V908" s="92" t="s">
        <v>213</v>
      </c>
      <c r="W908" s="93" t="s">
        <v>213</v>
      </c>
      <c r="X908" s="92" t="s">
        <v>213</v>
      </c>
      <c r="Y908" s="90" t="s">
        <v>213</v>
      </c>
      <c r="Z908" s="93" t="s">
        <v>213</v>
      </c>
    </row>
    <row r="909" ht="15.75" customHeight="1">
      <c r="A909" s="84"/>
      <c r="B909" s="85"/>
      <c r="C909" s="85"/>
      <c r="D909" s="84"/>
      <c r="E909" s="84"/>
      <c r="F909" s="84"/>
      <c r="G909" s="86"/>
      <c r="H909" s="86"/>
      <c r="I909" s="87"/>
      <c r="J909" s="87"/>
      <c r="K909" s="88"/>
      <c r="L909" s="84"/>
      <c r="M909" s="84"/>
      <c r="N909" s="89" t="s">
        <v>213</v>
      </c>
      <c r="O909" s="89" t="s">
        <v>213</v>
      </c>
      <c r="P909" s="89" t="s">
        <v>213</v>
      </c>
      <c r="Q909" s="89" t="s">
        <v>213</v>
      </c>
      <c r="R909" s="89" t="s">
        <v>213</v>
      </c>
      <c r="S909" s="89" t="s">
        <v>213</v>
      </c>
      <c r="T909" s="90" t="s">
        <v>213</v>
      </c>
      <c r="U909" s="91" t="s">
        <v>213</v>
      </c>
      <c r="V909" s="92" t="s">
        <v>213</v>
      </c>
      <c r="W909" s="93" t="s">
        <v>213</v>
      </c>
      <c r="X909" s="92" t="s">
        <v>213</v>
      </c>
      <c r="Y909" s="90" t="s">
        <v>213</v>
      </c>
      <c r="Z909" s="93" t="s">
        <v>213</v>
      </c>
    </row>
    <row r="910" ht="15.75" customHeight="1">
      <c r="A910" s="84"/>
      <c r="B910" s="85"/>
      <c r="C910" s="85"/>
      <c r="D910" s="84"/>
      <c r="E910" s="84"/>
      <c r="F910" s="84"/>
      <c r="G910" s="86"/>
      <c r="H910" s="86"/>
      <c r="I910" s="87"/>
      <c r="J910" s="87"/>
      <c r="K910" s="88"/>
      <c r="L910" s="84"/>
      <c r="M910" s="84"/>
      <c r="N910" s="89" t="s">
        <v>213</v>
      </c>
      <c r="O910" s="89" t="s">
        <v>213</v>
      </c>
      <c r="P910" s="89" t="s">
        <v>213</v>
      </c>
      <c r="Q910" s="89" t="s">
        <v>213</v>
      </c>
      <c r="R910" s="89" t="s">
        <v>213</v>
      </c>
      <c r="S910" s="89" t="s">
        <v>213</v>
      </c>
      <c r="T910" s="90" t="s">
        <v>213</v>
      </c>
      <c r="U910" s="91" t="s">
        <v>213</v>
      </c>
      <c r="V910" s="92" t="s">
        <v>213</v>
      </c>
      <c r="W910" s="93" t="s">
        <v>213</v>
      </c>
      <c r="X910" s="92" t="s">
        <v>213</v>
      </c>
      <c r="Y910" s="90" t="s">
        <v>213</v>
      </c>
      <c r="Z910" s="93" t="s">
        <v>213</v>
      </c>
    </row>
    <row r="911" ht="15.75" customHeight="1">
      <c r="A911" s="84"/>
      <c r="B911" s="85"/>
      <c r="C911" s="85"/>
      <c r="D911" s="84"/>
      <c r="E911" s="84"/>
      <c r="F911" s="84"/>
      <c r="G911" s="86"/>
      <c r="H911" s="86"/>
      <c r="I911" s="87"/>
      <c r="J911" s="87"/>
      <c r="K911" s="88"/>
      <c r="L911" s="84"/>
      <c r="M911" s="84"/>
      <c r="N911" s="89" t="s">
        <v>213</v>
      </c>
      <c r="O911" s="89" t="s">
        <v>213</v>
      </c>
      <c r="P911" s="89" t="s">
        <v>213</v>
      </c>
      <c r="Q911" s="89" t="s">
        <v>213</v>
      </c>
      <c r="R911" s="89" t="s">
        <v>213</v>
      </c>
      <c r="S911" s="89" t="s">
        <v>213</v>
      </c>
      <c r="T911" s="90" t="s">
        <v>213</v>
      </c>
      <c r="U911" s="91" t="s">
        <v>213</v>
      </c>
      <c r="V911" s="92" t="s">
        <v>213</v>
      </c>
      <c r="W911" s="93" t="s">
        <v>213</v>
      </c>
      <c r="X911" s="92" t="s">
        <v>213</v>
      </c>
      <c r="Y911" s="90" t="s">
        <v>213</v>
      </c>
      <c r="Z911" s="93" t="s">
        <v>213</v>
      </c>
    </row>
    <row r="912" ht="15.75" customHeight="1">
      <c r="A912" s="84"/>
      <c r="B912" s="85"/>
      <c r="C912" s="85"/>
      <c r="D912" s="84"/>
      <c r="E912" s="84"/>
      <c r="F912" s="84"/>
      <c r="G912" s="86"/>
      <c r="H912" s="86"/>
      <c r="I912" s="87"/>
      <c r="J912" s="87"/>
      <c r="K912" s="88"/>
      <c r="L912" s="84"/>
      <c r="M912" s="84"/>
      <c r="N912" s="89" t="s">
        <v>213</v>
      </c>
      <c r="O912" s="89" t="s">
        <v>213</v>
      </c>
      <c r="P912" s="89" t="s">
        <v>213</v>
      </c>
      <c r="Q912" s="89" t="s">
        <v>213</v>
      </c>
      <c r="R912" s="89" t="s">
        <v>213</v>
      </c>
      <c r="S912" s="89" t="s">
        <v>213</v>
      </c>
      <c r="T912" s="90" t="s">
        <v>213</v>
      </c>
      <c r="U912" s="91" t="s">
        <v>213</v>
      </c>
      <c r="V912" s="92" t="s">
        <v>213</v>
      </c>
      <c r="W912" s="93" t="s">
        <v>213</v>
      </c>
      <c r="X912" s="92" t="s">
        <v>213</v>
      </c>
      <c r="Y912" s="90" t="s">
        <v>213</v>
      </c>
      <c r="Z912" s="93" t="s">
        <v>213</v>
      </c>
    </row>
    <row r="913" ht="15.75" customHeight="1">
      <c r="A913" s="84"/>
      <c r="B913" s="85"/>
      <c r="C913" s="85"/>
      <c r="D913" s="84"/>
      <c r="E913" s="84"/>
      <c r="F913" s="84"/>
      <c r="G913" s="86"/>
      <c r="H913" s="86"/>
      <c r="I913" s="87"/>
      <c r="J913" s="87"/>
      <c r="K913" s="88"/>
      <c r="L913" s="84"/>
      <c r="M913" s="84"/>
      <c r="N913" s="89" t="s">
        <v>213</v>
      </c>
      <c r="O913" s="89" t="s">
        <v>213</v>
      </c>
      <c r="P913" s="89" t="s">
        <v>213</v>
      </c>
      <c r="Q913" s="89" t="s">
        <v>213</v>
      </c>
      <c r="R913" s="89" t="s">
        <v>213</v>
      </c>
      <c r="S913" s="89" t="s">
        <v>213</v>
      </c>
      <c r="T913" s="90" t="s">
        <v>213</v>
      </c>
      <c r="U913" s="91" t="s">
        <v>213</v>
      </c>
      <c r="V913" s="92" t="s">
        <v>213</v>
      </c>
      <c r="W913" s="93" t="s">
        <v>213</v>
      </c>
      <c r="X913" s="92" t="s">
        <v>213</v>
      </c>
      <c r="Y913" s="90" t="s">
        <v>213</v>
      </c>
      <c r="Z913" s="93" t="s">
        <v>213</v>
      </c>
    </row>
    <row r="914" ht="15.75" customHeight="1">
      <c r="A914" s="84"/>
      <c r="B914" s="85"/>
      <c r="C914" s="85"/>
      <c r="D914" s="84"/>
      <c r="E914" s="84"/>
      <c r="F914" s="84"/>
      <c r="G914" s="86"/>
      <c r="H914" s="86"/>
      <c r="I914" s="87"/>
      <c r="J914" s="87"/>
      <c r="K914" s="88"/>
      <c r="L914" s="84"/>
      <c r="M914" s="84"/>
      <c r="N914" s="89" t="s">
        <v>213</v>
      </c>
      <c r="O914" s="89" t="s">
        <v>213</v>
      </c>
      <c r="P914" s="89" t="s">
        <v>213</v>
      </c>
      <c r="Q914" s="89" t="s">
        <v>213</v>
      </c>
      <c r="R914" s="89" t="s">
        <v>213</v>
      </c>
      <c r="S914" s="89" t="s">
        <v>213</v>
      </c>
      <c r="T914" s="90" t="s">
        <v>213</v>
      </c>
      <c r="U914" s="91" t="s">
        <v>213</v>
      </c>
      <c r="V914" s="92" t="s">
        <v>213</v>
      </c>
      <c r="W914" s="93" t="s">
        <v>213</v>
      </c>
      <c r="X914" s="92" t="s">
        <v>213</v>
      </c>
      <c r="Y914" s="90" t="s">
        <v>213</v>
      </c>
      <c r="Z914" s="93" t="s">
        <v>213</v>
      </c>
    </row>
    <row r="915" ht="15.75" customHeight="1">
      <c r="A915" s="84"/>
      <c r="B915" s="85"/>
      <c r="C915" s="85"/>
      <c r="D915" s="84"/>
      <c r="E915" s="84"/>
      <c r="F915" s="84"/>
      <c r="G915" s="86"/>
      <c r="H915" s="86"/>
      <c r="I915" s="87"/>
      <c r="J915" s="87"/>
      <c r="K915" s="88"/>
      <c r="L915" s="84"/>
      <c r="M915" s="84"/>
      <c r="N915" s="89" t="s">
        <v>213</v>
      </c>
      <c r="O915" s="89" t="s">
        <v>213</v>
      </c>
      <c r="P915" s="89" t="s">
        <v>213</v>
      </c>
      <c r="Q915" s="89" t="s">
        <v>213</v>
      </c>
      <c r="R915" s="89" t="s">
        <v>213</v>
      </c>
      <c r="S915" s="89" t="s">
        <v>213</v>
      </c>
      <c r="T915" s="90" t="s">
        <v>213</v>
      </c>
      <c r="U915" s="91" t="s">
        <v>213</v>
      </c>
      <c r="V915" s="92" t="s">
        <v>213</v>
      </c>
      <c r="W915" s="93" t="s">
        <v>213</v>
      </c>
      <c r="X915" s="92" t="s">
        <v>213</v>
      </c>
      <c r="Y915" s="90" t="s">
        <v>213</v>
      </c>
      <c r="Z915" s="93" t="s">
        <v>213</v>
      </c>
    </row>
    <row r="916" ht="15.75" customHeight="1">
      <c r="A916" s="84"/>
      <c r="B916" s="85"/>
      <c r="C916" s="85"/>
      <c r="D916" s="84"/>
      <c r="E916" s="84"/>
      <c r="F916" s="84"/>
      <c r="G916" s="86"/>
      <c r="H916" s="86"/>
      <c r="I916" s="87"/>
      <c r="J916" s="87"/>
      <c r="K916" s="88"/>
      <c r="L916" s="84"/>
      <c r="M916" s="84"/>
      <c r="N916" s="89" t="s">
        <v>213</v>
      </c>
      <c r="O916" s="89" t="s">
        <v>213</v>
      </c>
      <c r="P916" s="89" t="s">
        <v>213</v>
      </c>
      <c r="Q916" s="89" t="s">
        <v>213</v>
      </c>
      <c r="R916" s="89" t="s">
        <v>213</v>
      </c>
      <c r="S916" s="89" t="s">
        <v>213</v>
      </c>
      <c r="T916" s="90" t="s">
        <v>213</v>
      </c>
      <c r="U916" s="91" t="s">
        <v>213</v>
      </c>
      <c r="V916" s="92" t="s">
        <v>213</v>
      </c>
      <c r="W916" s="93" t="s">
        <v>213</v>
      </c>
      <c r="X916" s="92" t="s">
        <v>213</v>
      </c>
      <c r="Y916" s="90" t="s">
        <v>213</v>
      </c>
      <c r="Z916" s="93" t="s">
        <v>213</v>
      </c>
    </row>
    <row r="917" ht="15.75" customHeight="1">
      <c r="A917" s="84"/>
      <c r="B917" s="85"/>
      <c r="C917" s="85"/>
      <c r="D917" s="84"/>
      <c r="E917" s="84"/>
      <c r="F917" s="84"/>
      <c r="G917" s="86"/>
      <c r="H917" s="86"/>
      <c r="I917" s="87"/>
      <c r="J917" s="87"/>
      <c r="K917" s="88"/>
      <c r="L917" s="84"/>
      <c r="M917" s="84"/>
      <c r="N917" s="89" t="s">
        <v>213</v>
      </c>
      <c r="O917" s="89" t="s">
        <v>213</v>
      </c>
      <c r="P917" s="89" t="s">
        <v>213</v>
      </c>
      <c r="Q917" s="89" t="s">
        <v>213</v>
      </c>
      <c r="R917" s="89" t="s">
        <v>213</v>
      </c>
      <c r="S917" s="89" t="s">
        <v>213</v>
      </c>
      <c r="T917" s="90" t="s">
        <v>213</v>
      </c>
      <c r="U917" s="91" t="s">
        <v>213</v>
      </c>
      <c r="V917" s="92" t="s">
        <v>213</v>
      </c>
      <c r="W917" s="93" t="s">
        <v>213</v>
      </c>
      <c r="X917" s="92" t="s">
        <v>213</v>
      </c>
      <c r="Y917" s="90" t="s">
        <v>213</v>
      </c>
      <c r="Z917" s="93" t="s">
        <v>213</v>
      </c>
    </row>
    <row r="918" ht="15.75" customHeight="1">
      <c r="A918" s="84"/>
      <c r="B918" s="85"/>
      <c r="C918" s="85"/>
      <c r="D918" s="84"/>
      <c r="E918" s="84"/>
      <c r="F918" s="84"/>
      <c r="G918" s="86"/>
      <c r="H918" s="86"/>
      <c r="I918" s="87"/>
      <c r="J918" s="87"/>
      <c r="K918" s="88"/>
      <c r="L918" s="84"/>
      <c r="M918" s="84"/>
      <c r="N918" s="89" t="s">
        <v>213</v>
      </c>
      <c r="O918" s="89" t="s">
        <v>213</v>
      </c>
      <c r="P918" s="89" t="s">
        <v>213</v>
      </c>
      <c r="Q918" s="89" t="s">
        <v>213</v>
      </c>
      <c r="R918" s="89" t="s">
        <v>213</v>
      </c>
      <c r="S918" s="89" t="s">
        <v>213</v>
      </c>
      <c r="T918" s="90" t="s">
        <v>213</v>
      </c>
      <c r="U918" s="91" t="s">
        <v>213</v>
      </c>
      <c r="V918" s="92" t="s">
        <v>213</v>
      </c>
      <c r="W918" s="93" t="s">
        <v>213</v>
      </c>
      <c r="X918" s="92" t="s">
        <v>213</v>
      </c>
      <c r="Y918" s="90" t="s">
        <v>213</v>
      </c>
      <c r="Z918" s="93" t="s">
        <v>213</v>
      </c>
    </row>
    <row r="919" ht="15.75" customHeight="1">
      <c r="A919" s="84"/>
      <c r="B919" s="85"/>
      <c r="C919" s="85"/>
      <c r="D919" s="84"/>
      <c r="E919" s="84"/>
      <c r="F919" s="84"/>
      <c r="G919" s="86"/>
      <c r="H919" s="86"/>
      <c r="I919" s="87"/>
      <c r="J919" s="87"/>
      <c r="K919" s="88"/>
      <c r="L919" s="84"/>
      <c r="M919" s="84"/>
      <c r="N919" s="89" t="s">
        <v>213</v>
      </c>
      <c r="O919" s="89" t="s">
        <v>213</v>
      </c>
      <c r="P919" s="89" t="s">
        <v>213</v>
      </c>
      <c r="Q919" s="89" t="s">
        <v>213</v>
      </c>
      <c r="R919" s="89" t="s">
        <v>213</v>
      </c>
      <c r="S919" s="89" t="s">
        <v>213</v>
      </c>
      <c r="T919" s="90" t="s">
        <v>213</v>
      </c>
      <c r="U919" s="91" t="s">
        <v>213</v>
      </c>
      <c r="V919" s="92" t="s">
        <v>213</v>
      </c>
      <c r="W919" s="93" t="s">
        <v>213</v>
      </c>
      <c r="X919" s="92" t="s">
        <v>213</v>
      </c>
      <c r="Y919" s="90" t="s">
        <v>213</v>
      </c>
      <c r="Z919" s="93" t="s">
        <v>213</v>
      </c>
    </row>
    <row r="920" ht="15.75" customHeight="1">
      <c r="A920" s="84"/>
      <c r="B920" s="85"/>
      <c r="C920" s="85"/>
      <c r="D920" s="84"/>
      <c r="E920" s="84"/>
      <c r="F920" s="84"/>
      <c r="G920" s="86"/>
      <c r="H920" s="86"/>
      <c r="I920" s="87"/>
      <c r="J920" s="87"/>
      <c r="K920" s="88"/>
      <c r="L920" s="84"/>
      <c r="M920" s="84"/>
      <c r="N920" s="89" t="s">
        <v>213</v>
      </c>
      <c r="O920" s="89" t="s">
        <v>213</v>
      </c>
      <c r="P920" s="89" t="s">
        <v>213</v>
      </c>
      <c r="Q920" s="89" t="s">
        <v>213</v>
      </c>
      <c r="R920" s="89" t="s">
        <v>213</v>
      </c>
      <c r="S920" s="89" t="s">
        <v>213</v>
      </c>
      <c r="T920" s="90" t="s">
        <v>213</v>
      </c>
      <c r="U920" s="91" t="s">
        <v>213</v>
      </c>
      <c r="V920" s="92" t="s">
        <v>213</v>
      </c>
      <c r="W920" s="93" t="s">
        <v>213</v>
      </c>
      <c r="X920" s="92" t="s">
        <v>213</v>
      </c>
      <c r="Y920" s="90" t="s">
        <v>213</v>
      </c>
      <c r="Z920" s="93" t="s">
        <v>213</v>
      </c>
    </row>
    <row r="921" ht="15.75" customHeight="1">
      <c r="A921" s="84"/>
      <c r="B921" s="85"/>
      <c r="C921" s="85"/>
      <c r="D921" s="84"/>
      <c r="E921" s="84"/>
      <c r="F921" s="84"/>
      <c r="G921" s="86"/>
      <c r="H921" s="86"/>
      <c r="I921" s="87"/>
      <c r="J921" s="87"/>
      <c r="K921" s="88"/>
      <c r="L921" s="84"/>
      <c r="M921" s="84"/>
      <c r="N921" s="89" t="s">
        <v>213</v>
      </c>
      <c r="O921" s="89" t="s">
        <v>213</v>
      </c>
      <c r="P921" s="89" t="s">
        <v>213</v>
      </c>
      <c r="Q921" s="89" t="s">
        <v>213</v>
      </c>
      <c r="R921" s="89" t="s">
        <v>213</v>
      </c>
      <c r="S921" s="89" t="s">
        <v>213</v>
      </c>
      <c r="T921" s="90" t="s">
        <v>213</v>
      </c>
      <c r="U921" s="91" t="s">
        <v>213</v>
      </c>
      <c r="V921" s="92" t="s">
        <v>213</v>
      </c>
      <c r="W921" s="93" t="s">
        <v>213</v>
      </c>
      <c r="X921" s="92" t="s">
        <v>213</v>
      </c>
      <c r="Y921" s="90" t="s">
        <v>213</v>
      </c>
      <c r="Z921" s="93" t="s">
        <v>213</v>
      </c>
    </row>
    <row r="922" ht="15.75" customHeight="1">
      <c r="A922" s="84"/>
      <c r="B922" s="85"/>
      <c r="C922" s="85"/>
      <c r="D922" s="84"/>
      <c r="E922" s="84"/>
      <c r="F922" s="84"/>
      <c r="G922" s="86"/>
      <c r="H922" s="86"/>
      <c r="I922" s="87"/>
      <c r="J922" s="87"/>
      <c r="K922" s="88"/>
      <c r="L922" s="84"/>
      <c r="M922" s="84"/>
      <c r="N922" s="89" t="s">
        <v>213</v>
      </c>
      <c r="O922" s="89" t="s">
        <v>213</v>
      </c>
      <c r="P922" s="89" t="s">
        <v>213</v>
      </c>
      <c r="Q922" s="89" t="s">
        <v>213</v>
      </c>
      <c r="R922" s="89" t="s">
        <v>213</v>
      </c>
      <c r="S922" s="89" t="s">
        <v>213</v>
      </c>
      <c r="T922" s="90" t="s">
        <v>213</v>
      </c>
      <c r="U922" s="91" t="s">
        <v>213</v>
      </c>
      <c r="V922" s="92" t="s">
        <v>213</v>
      </c>
      <c r="W922" s="93" t="s">
        <v>213</v>
      </c>
      <c r="X922" s="92" t="s">
        <v>213</v>
      </c>
      <c r="Y922" s="90" t="s">
        <v>213</v>
      </c>
      <c r="Z922" s="93" t="s">
        <v>213</v>
      </c>
    </row>
    <row r="923" ht="15.75" customHeight="1">
      <c r="A923" s="84"/>
      <c r="B923" s="85"/>
      <c r="C923" s="85"/>
      <c r="D923" s="84"/>
      <c r="E923" s="84"/>
      <c r="F923" s="84"/>
      <c r="G923" s="86"/>
      <c r="H923" s="86"/>
      <c r="I923" s="87"/>
      <c r="J923" s="87"/>
      <c r="K923" s="88"/>
      <c r="L923" s="84"/>
      <c r="M923" s="84"/>
      <c r="N923" s="89" t="s">
        <v>213</v>
      </c>
      <c r="O923" s="89" t="s">
        <v>213</v>
      </c>
      <c r="P923" s="89" t="s">
        <v>213</v>
      </c>
      <c r="Q923" s="89" t="s">
        <v>213</v>
      </c>
      <c r="R923" s="89" t="s">
        <v>213</v>
      </c>
      <c r="S923" s="89" t="s">
        <v>213</v>
      </c>
      <c r="T923" s="90" t="s">
        <v>213</v>
      </c>
      <c r="U923" s="91" t="s">
        <v>213</v>
      </c>
      <c r="V923" s="92" t="s">
        <v>213</v>
      </c>
      <c r="W923" s="93" t="s">
        <v>213</v>
      </c>
      <c r="X923" s="92" t="s">
        <v>213</v>
      </c>
      <c r="Y923" s="90" t="s">
        <v>213</v>
      </c>
      <c r="Z923" s="93" t="s">
        <v>213</v>
      </c>
    </row>
    <row r="924" ht="15.75" customHeight="1">
      <c r="A924" s="84"/>
      <c r="B924" s="85"/>
      <c r="C924" s="85"/>
      <c r="D924" s="84"/>
      <c r="E924" s="84"/>
      <c r="F924" s="84"/>
      <c r="G924" s="86"/>
      <c r="H924" s="86"/>
      <c r="I924" s="87"/>
      <c r="J924" s="87"/>
      <c r="K924" s="88"/>
      <c r="L924" s="84"/>
      <c r="M924" s="84"/>
      <c r="N924" s="89" t="s">
        <v>213</v>
      </c>
      <c r="O924" s="89" t="s">
        <v>213</v>
      </c>
      <c r="P924" s="89" t="s">
        <v>213</v>
      </c>
      <c r="Q924" s="89" t="s">
        <v>213</v>
      </c>
      <c r="R924" s="89" t="s">
        <v>213</v>
      </c>
      <c r="S924" s="89" t="s">
        <v>213</v>
      </c>
      <c r="T924" s="90" t="s">
        <v>213</v>
      </c>
      <c r="U924" s="91" t="s">
        <v>213</v>
      </c>
      <c r="V924" s="92" t="s">
        <v>213</v>
      </c>
      <c r="W924" s="93" t="s">
        <v>213</v>
      </c>
      <c r="X924" s="92" t="s">
        <v>213</v>
      </c>
      <c r="Y924" s="90" t="s">
        <v>213</v>
      </c>
      <c r="Z924" s="93" t="s">
        <v>213</v>
      </c>
    </row>
    <row r="925" ht="15.75" customHeight="1">
      <c r="A925" s="84"/>
      <c r="B925" s="85"/>
      <c r="C925" s="85"/>
      <c r="D925" s="84"/>
      <c r="E925" s="84"/>
      <c r="F925" s="84"/>
      <c r="G925" s="86"/>
      <c r="H925" s="86"/>
      <c r="I925" s="87"/>
      <c r="J925" s="87"/>
      <c r="K925" s="88"/>
      <c r="L925" s="84"/>
      <c r="M925" s="84"/>
      <c r="N925" s="89" t="s">
        <v>213</v>
      </c>
      <c r="O925" s="89" t="s">
        <v>213</v>
      </c>
      <c r="P925" s="89" t="s">
        <v>213</v>
      </c>
      <c r="Q925" s="89" t="s">
        <v>213</v>
      </c>
      <c r="R925" s="89" t="s">
        <v>213</v>
      </c>
      <c r="S925" s="89" t="s">
        <v>213</v>
      </c>
      <c r="T925" s="90" t="s">
        <v>213</v>
      </c>
      <c r="U925" s="91" t="s">
        <v>213</v>
      </c>
      <c r="V925" s="92" t="s">
        <v>213</v>
      </c>
      <c r="W925" s="93" t="s">
        <v>213</v>
      </c>
      <c r="X925" s="92" t="s">
        <v>213</v>
      </c>
      <c r="Y925" s="90" t="s">
        <v>213</v>
      </c>
      <c r="Z925" s="93" t="s">
        <v>213</v>
      </c>
    </row>
    <row r="926" ht="15.75" customHeight="1">
      <c r="A926" s="84"/>
      <c r="B926" s="85"/>
      <c r="C926" s="85"/>
      <c r="D926" s="84"/>
      <c r="E926" s="84"/>
      <c r="F926" s="84"/>
      <c r="G926" s="86"/>
      <c r="H926" s="86"/>
      <c r="I926" s="87"/>
      <c r="J926" s="87"/>
      <c r="K926" s="88"/>
      <c r="L926" s="84"/>
      <c r="M926" s="84"/>
      <c r="N926" s="89" t="s">
        <v>213</v>
      </c>
      <c r="O926" s="89" t="s">
        <v>213</v>
      </c>
      <c r="P926" s="89" t="s">
        <v>213</v>
      </c>
      <c r="Q926" s="89" t="s">
        <v>213</v>
      </c>
      <c r="R926" s="89" t="s">
        <v>213</v>
      </c>
      <c r="S926" s="89" t="s">
        <v>213</v>
      </c>
      <c r="T926" s="90" t="s">
        <v>213</v>
      </c>
      <c r="U926" s="91" t="s">
        <v>213</v>
      </c>
      <c r="V926" s="92" t="s">
        <v>213</v>
      </c>
      <c r="W926" s="93" t="s">
        <v>213</v>
      </c>
      <c r="X926" s="92" t="s">
        <v>213</v>
      </c>
      <c r="Y926" s="90" t="s">
        <v>213</v>
      </c>
      <c r="Z926" s="93" t="s">
        <v>213</v>
      </c>
    </row>
    <row r="927" ht="15.75" customHeight="1">
      <c r="A927" s="84"/>
      <c r="B927" s="85"/>
      <c r="C927" s="85"/>
      <c r="D927" s="84"/>
      <c r="E927" s="84"/>
      <c r="F927" s="84"/>
      <c r="G927" s="86"/>
      <c r="H927" s="86"/>
      <c r="I927" s="87"/>
      <c r="J927" s="87"/>
      <c r="K927" s="88"/>
      <c r="L927" s="84"/>
      <c r="M927" s="84"/>
      <c r="N927" s="89" t="s">
        <v>213</v>
      </c>
      <c r="O927" s="89" t="s">
        <v>213</v>
      </c>
      <c r="P927" s="89" t="s">
        <v>213</v>
      </c>
      <c r="Q927" s="89" t="s">
        <v>213</v>
      </c>
      <c r="R927" s="89" t="s">
        <v>213</v>
      </c>
      <c r="S927" s="89" t="s">
        <v>213</v>
      </c>
      <c r="T927" s="90" t="s">
        <v>213</v>
      </c>
      <c r="U927" s="91" t="s">
        <v>213</v>
      </c>
      <c r="V927" s="92" t="s">
        <v>213</v>
      </c>
      <c r="W927" s="93" t="s">
        <v>213</v>
      </c>
      <c r="X927" s="92" t="s">
        <v>213</v>
      </c>
      <c r="Y927" s="90" t="s">
        <v>213</v>
      </c>
      <c r="Z927" s="93" t="s">
        <v>213</v>
      </c>
    </row>
    <row r="928" ht="15.75" customHeight="1">
      <c r="A928" s="84"/>
      <c r="B928" s="85"/>
      <c r="C928" s="85"/>
      <c r="D928" s="84"/>
      <c r="E928" s="84"/>
      <c r="F928" s="84"/>
      <c r="G928" s="86"/>
      <c r="H928" s="86"/>
      <c r="I928" s="87"/>
      <c r="J928" s="87"/>
      <c r="K928" s="88"/>
      <c r="L928" s="84"/>
      <c r="M928" s="84"/>
      <c r="N928" s="89" t="s">
        <v>213</v>
      </c>
      <c r="O928" s="89" t="s">
        <v>213</v>
      </c>
      <c r="P928" s="89" t="s">
        <v>213</v>
      </c>
      <c r="Q928" s="89" t="s">
        <v>213</v>
      </c>
      <c r="R928" s="89" t="s">
        <v>213</v>
      </c>
      <c r="S928" s="89" t="s">
        <v>213</v>
      </c>
      <c r="T928" s="90" t="s">
        <v>213</v>
      </c>
      <c r="U928" s="91" t="s">
        <v>213</v>
      </c>
      <c r="V928" s="92" t="s">
        <v>213</v>
      </c>
      <c r="W928" s="93" t="s">
        <v>213</v>
      </c>
      <c r="X928" s="92" t="s">
        <v>213</v>
      </c>
      <c r="Y928" s="90" t="s">
        <v>213</v>
      </c>
      <c r="Z928" s="93" t="s">
        <v>213</v>
      </c>
    </row>
    <row r="929" ht="15.75" customHeight="1">
      <c r="A929" s="84"/>
      <c r="B929" s="85"/>
      <c r="C929" s="85"/>
      <c r="D929" s="84"/>
      <c r="E929" s="84"/>
      <c r="F929" s="84"/>
      <c r="G929" s="86"/>
      <c r="H929" s="86"/>
      <c r="I929" s="87"/>
      <c r="J929" s="87"/>
      <c r="K929" s="88"/>
      <c r="L929" s="84"/>
      <c r="M929" s="84"/>
      <c r="N929" s="89" t="s">
        <v>213</v>
      </c>
      <c r="O929" s="89" t="s">
        <v>213</v>
      </c>
      <c r="P929" s="89" t="s">
        <v>213</v>
      </c>
      <c r="Q929" s="89" t="s">
        <v>213</v>
      </c>
      <c r="R929" s="89" t="s">
        <v>213</v>
      </c>
      <c r="S929" s="89" t="s">
        <v>213</v>
      </c>
      <c r="T929" s="90" t="s">
        <v>213</v>
      </c>
      <c r="U929" s="91" t="s">
        <v>213</v>
      </c>
      <c r="V929" s="92" t="s">
        <v>213</v>
      </c>
      <c r="W929" s="93" t="s">
        <v>213</v>
      </c>
      <c r="X929" s="92" t="s">
        <v>213</v>
      </c>
      <c r="Y929" s="90" t="s">
        <v>213</v>
      </c>
      <c r="Z929" s="93" t="s">
        <v>213</v>
      </c>
    </row>
    <row r="930" ht="15.75" customHeight="1">
      <c r="A930" s="84"/>
      <c r="B930" s="85"/>
      <c r="C930" s="85"/>
      <c r="D930" s="84"/>
      <c r="E930" s="84"/>
      <c r="F930" s="84"/>
      <c r="G930" s="86"/>
      <c r="H930" s="86"/>
      <c r="I930" s="87"/>
      <c r="J930" s="87"/>
      <c r="K930" s="88"/>
      <c r="L930" s="84"/>
      <c r="M930" s="84"/>
      <c r="N930" s="89" t="s">
        <v>213</v>
      </c>
      <c r="O930" s="89" t="s">
        <v>213</v>
      </c>
      <c r="P930" s="89" t="s">
        <v>213</v>
      </c>
      <c r="Q930" s="89" t="s">
        <v>213</v>
      </c>
      <c r="R930" s="89" t="s">
        <v>213</v>
      </c>
      <c r="S930" s="89" t="s">
        <v>213</v>
      </c>
      <c r="T930" s="90" t="s">
        <v>213</v>
      </c>
      <c r="U930" s="91" t="s">
        <v>213</v>
      </c>
      <c r="V930" s="92" t="s">
        <v>213</v>
      </c>
      <c r="W930" s="93" t="s">
        <v>213</v>
      </c>
      <c r="X930" s="92" t="s">
        <v>213</v>
      </c>
      <c r="Y930" s="90" t="s">
        <v>213</v>
      </c>
      <c r="Z930" s="93" t="s">
        <v>213</v>
      </c>
    </row>
    <row r="931" ht="15.75" customHeight="1">
      <c r="A931" s="84"/>
      <c r="B931" s="85"/>
      <c r="C931" s="85"/>
      <c r="D931" s="84"/>
      <c r="E931" s="84"/>
      <c r="F931" s="84"/>
      <c r="G931" s="86"/>
      <c r="H931" s="86"/>
      <c r="I931" s="87"/>
      <c r="J931" s="87"/>
      <c r="K931" s="88"/>
      <c r="L931" s="84"/>
      <c r="M931" s="84"/>
      <c r="N931" s="89" t="s">
        <v>213</v>
      </c>
      <c r="O931" s="89" t="s">
        <v>213</v>
      </c>
      <c r="P931" s="89" t="s">
        <v>213</v>
      </c>
      <c r="Q931" s="89" t="s">
        <v>213</v>
      </c>
      <c r="R931" s="89" t="s">
        <v>213</v>
      </c>
      <c r="S931" s="89" t="s">
        <v>213</v>
      </c>
      <c r="T931" s="90" t="s">
        <v>213</v>
      </c>
      <c r="U931" s="91" t="s">
        <v>213</v>
      </c>
      <c r="V931" s="92" t="s">
        <v>213</v>
      </c>
      <c r="W931" s="93" t="s">
        <v>213</v>
      </c>
      <c r="X931" s="92" t="s">
        <v>213</v>
      </c>
      <c r="Y931" s="90" t="s">
        <v>213</v>
      </c>
      <c r="Z931" s="93" t="s">
        <v>213</v>
      </c>
    </row>
    <row r="932" ht="15.75" customHeight="1">
      <c r="A932" s="84"/>
      <c r="B932" s="85"/>
      <c r="C932" s="85"/>
      <c r="D932" s="84"/>
      <c r="E932" s="84"/>
      <c r="F932" s="84"/>
      <c r="G932" s="86"/>
      <c r="H932" s="86"/>
      <c r="I932" s="87"/>
      <c r="J932" s="87"/>
      <c r="K932" s="88"/>
      <c r="L932" s="84"/>
      <c r="M932" s="84"/>
      <c r="N932" s="89" t="s">
        <v>213</v>
      </c>
      <c r="O932" s="89" t="s">
        <v>213</v>
      </c>
      <c r="P932" s="89" t="s">
        <v>213</v>
      </c>
      <c r="Q932" s="89" t="s">
        <v>213</v>
      </c>
      <c r="R932" s="89" t="s">
        <v>213</v>
      </c>
      <c r="S932" s="89" t="s">
        <v>213</v>
      </c>
      <c r="T932" s="90" t="s">
        <v>213</v>
      </c>
      <c r="U932" s="91" t="s">
        <v>213</v>
      </c>
      <c r="V932" s="92" t="s">
        <v>213</v>
      </c>
      <c r="W932" s="93" t="s">
        <v>213</v>
      </c>
      <c r="X932" s="92" t="s">
        <v>213</v>
      </c>
      <c r="Y932" s="90" t="s">
        <v>213</v>
      </c>
      <c r="Z932" s="93" t="s">
        <v>213</v>
      </c>
    </row>
    <row r="933" ht="15.75" customHeight="1">
      <c r="A933" s="84"/>
      <c r="B933" s="85"/>
      <c r="C933" s="85"/>
      <c r="D933" s="84"/>
      <c r="E933" s="84"/>
      <c r="F933" s="84"/>
      <c r="G933" s="86"/>
      <c r="H933" s="86"/>
      <c r="I933" s="87"/>
      <c r="J933" s="87"/>
      <c r="K933" s="88"/>
      <c r="L933" s="84"/>
      <c r="M933" s="84"/>
      <c r="N933" s="89" t="s">
        <v>213</v>
      </c>
      <c r="O933" s="89" t="s">
        <v>213</v>
      </c>
      <c r="P933" s="89" t="s">
        <v>213</v>
      </c>
      <c r="Q933" s="89" t="s">
        <v>213</v>
      </c>
      <c r="R933" s="89" t="s">
        <v>213</v>
      </c>
      <c r="S933" s="89" t="s">
        <v>213</v>
      </c>
      <c r="T933" s="90" t="s">
        <v>213</v>
      </c>
      <c r="U933" s="91" t="s">
        <v>213</v>
      </c>
      <c r="V933" s="92" t="s">
        <v>213</v>
      </c>
      <c r="W933" s="93" t="s">
        <v>213</v>
      </c>
      <c r="X933" s="92" t="s">
        <v>213</v>
      </c>
      <c r="Y933" s="90" t="s">
        <v>213</v>
      </c>
      <c r="Z933" s="93" t="s">
        <v>213</v>
      </c>
    </row>
    <row r="934" ht="15.75" customHeight="1">
      <c r="A934" s="84"/>
      <c r="B934" s="85"/>
      <c r="C934" s="85"/>
      <c r="D934" s="84"/>
      <c r="E934" s="84"/>
      <c r="F934" s="84"/>
      <c r="G934" s="86"/>
      <c r="H934" s="86"/>
      <c r="I934" s="87"/>
      <c r="J934" s="87"/>
      <c r="K934" s="88"/>
      <c r="L934" s="84"/>
      <c r="M934" s="84"/>
      <c r="N934" s="89" t="s">
        <v>213</v>
      </c>
      <c r="O934" s="89" t="s">
        <v>213</v>
      </c>
      <c r="P934" s="89" t="s">
        <v>213</v>
      </c>
      <c r="Q934" s="89" t="s">
        <v>213</v>
      </c>
      <c r="R934" s="89" t="s">
        <v>213</v>
      </c>
      <c r="S934" s="89" t="s">
        <v>213</v>
      </c>
      <c r="T934" s="90" t="s">
        <v>213</v>
      </c>
      <c r="U934" s="91" t="s">
        <v>213</v>
      </c>
      <c r="V934" s="92" t="s">
        <v>213</v>
      </c>
      <c r="W934" s="93" t="s">
        <v>213</v>
      </c>
      <c r="X934" s="92" t="s">
        <v>213</v>
      </c>
      <c r="Y934" s="90" t="s">
        <v>213</v>
      </c>
      <c r="Z934" s="93" t="s">
        <v>213</v>
      </c>
    </row>
    <row r="935" ht="15.75" customHeight="1">
      <c r="A935" s="84"/>
      <c r="B935" s="85"/>
      <c r="C935" s="85"/>
      <c r="D935" s="84"/>
      <c r="E935" s="84"/>
      <c r="F935" s="84"/>
      <c r="G935" s="86"/>
      <c r="H935" s="86"/>
      <c r="I935" s="87"/>
      <c r="J935" s="87"/>
      <c r="K935" s="88"/>
      <c r="L935" s="84"/>
      <c r="M935" s="84"/>
      <c r="N935" s="89" t="s">
        <v>213</v>
      </c>
      <c r="O935" s="89" t="s">
        <v>213</v>
      </c>
      <c r="P935" s="89" t="s">
        <v>213</v>
      </c>
      <c r="Q935" s="89" t="s">
        <v>213</v>
      </c>
      <c r="R935" s="89" t="s">
        <v>213</v>
      </c>
      <c r="S935" s="89" t="s">
        <v>213</v>
      </c>
      <c r="T935" s="90" t="s">
        <v>213</v>
      </c>
      <c r="U935" s="91" t="s">
        <v>213</v>
      </c>
      <c r="V935" s="92" t="s">
        <v>213</v>
      </c>
      <c r="W935" s="93" t="s">
        <v>213</v>
      </c>
      <c r="X935" s="92" t="s">
        <v>213</v>
      </c>
      <c r="Y935" s="90" t="s">
        <v>213</v>
      </c>
      <c r="Z935" s="93" t="s">
        <v>213</v>
      </c>
    </row>
    <row r="936" ht="15.75" customHeight="1">
      <c r="A936" s="84"/>
      <c r="B936" s="85"/>
      <c r="C936" s="85"/>
      <c r="D936" s="84"/>
      <c r="E936" s="84"/>
      <c r="F936" s="84"/>
      <c r="G936" s="86"/>
      <c r="H936" s="86"/>
      <c r="I936" s="87"/>
      <c r="J936" s="87"/>
      <c r="K936" s="88"/>
      <c r="L936" s="84"/>
      <c r="M936" s="84"/>
      <c r="N936" s="89" t="s">
        <v>213</v>
      </c>
      <c r="O936" s="89" t="s">
        <v>213</v>
      </c>
      <c r="P936" s="89" t="s">
        <v>213</v>
      </c>
      <c r="Q936" s="89" t="s">
        <v>213</v>
      </c>
      <c r="R936" s="89" t="s">
        <v>213</v>
      </c>
      <c r="S936" s="89" t="s">
        <v>213</v>
      </c>
      <c r="T936" s="90" t="s">
        <v>213</v>
      </c>
      <c r="U936" s="91" t="s">
        <v>213</v>
      </c>
      <c r="V936" s="92" t="s">
        <v>213</v>
      </c>
      <c r="W936" s="93" t="s">
        <v>213</v>
      </c>
      <c r="X936" s="92" t="s">
        <v>213</v>
      </c>
      <c r="Y936" s="90" t="s">
        <v>213</v>
      </c>
      <c r="Z936" s="93" t="s">
        <v>213</v>
      </c>
    </row>
    <row r="937" ht="15.75" customHeight="1">
      <c r="A937" s="84"/>
      <c r="B937" s="85"/>
      <c r="C937" s="85"/>
      <c r="D937" s="84"/>
      <c r="E937" s="84"/>
      <c r="F937" s="84"/>
      <c r="G937" s="86"/>
      <c r="H937" s="86"/>
      <c r="I937" s="87"/>
      <c r="J937" s="87"/>
      <c r="K937" s="88"/>
      <c r="L937" s="84"/>
      <c r="M937" s="84"/>
      <c r="N937" s="89" t="s">
        <v>213</v>
      </c>
      <c r="O937" s="89" t="s">
        <v>213</v>
      </c>
      <c r="P937" s="89" t="s">
        <v>213</v>
      </c>
      <c r="Q937" s="89" t="s">
        <v>213</v>
      </c>
      <c r="R937" s="89" t="s">
        <v>213</v>
      </c>
      <c r="S937" s="89" t="s">
        <v>213</v>
      </c>
      <c r="T937" s="90" t="s">
        <v>213</v>
      </c>
      <c r="U937" s="91" t="s">
        <v>213</v>
      </c>
      <c r="V937" s="92" t="s">
        <v>213</v>
      </c>
      <c r="W937" s="93" t="s">
        <v>213</v>
      </c>
      <c r="X937" s="92" t="s">
        <v>213</v>
      </c>
      <c r="Y937" s="90" t="s">
        <v>213</v>
      </c>
      <c r="Z937" s="93" t="s">
        <v>213</v>
      </c>
    </row>
    <row r="938" ht="15.75" customHeight="1">
      <c r="A938" s="84"/>
      <c r="B938" s="85"/>
      <c r="C938" s="85"/>
      <c r="D938" s="84"/>
      <c r="E938" s="84"/>
      <c r="F938" s="84"/>
      <c r="G938" s="86"/>
      <c r="H938" s="86"/>
      <c r="I938" s="87"/>
      <c r="J938" s="87"/>
      <c r="K938" s="88"/>
      <c r="L938" s="84"/>
      <c r="M938" s="84"/>
      <c r="N938" s="89" t="s">
        <v>213</v>
      </c>
      <c r="O938" s="89" t="s">
        <v>213</v>
      </c>
      <c r="P938" s="89" t="s">
        <v>213</v>
      </c>
      <c r="Q938" s="89" t="s">
        <v>213</v>
      </c>
      <c r="R938" s="89" t="s">
        <v>213</v>
      </c>
      <c r="S938" s="89" t="s">
        <v>213</v>
      </c>
      <c r="T938" s="90" t="s">
        <v>213</v>
      </c>
      <c r="U938" s="91" t="s">
        <v>213</v>
      </c>
      <c r="V938" s="92" t="s">
        <v>213</v>
      </c>
      <c r="W938" s="93" t="s">
        <v>213</v>
      </c>
      <c r="X938" s="92" t="s">
        <v>213</v>
      </c>
      <c r="Y938" s="90" t="s">
        <v>213</v>
      </c>
      <c r="Z938" s="93" t="s">
        <v>213</v>
      </c>
    </row>
    <row r="939" ht="15.75" customHeight="1">
      <c r="A939" s="84"/>
      <c r="B939" s="85"/>
      <c r="C939" s="85"/>
      <c r="D939" s="84"/>
      <c r="E939" s="84"/>
      <c r="F939" s="84"/>
      <c r="G939" s="86"/>
      <c r="H939" s="86"/>
      <c r="I939" s="87"/>
      <c r="J939" s="87"/>
      <c r="K939" s="88"/>
      <c r="L939" s="84"/>
      <c r="M939" s="84"/>
      <c r="N939" s="89" t="s">
        <v>213</v>
      </c>
      <c r="O939" s="89" t="s">
        <v>213</v>
      </c>
      <c r="P939" s="89" t="s">
        <v>213</v>
      </c>
      <c r="Q939" s="89" t="s">
        <v>213</v>
      </c>
      <c r="R939" s="89" t="s">
        <v>213</v>
      </c>
      <c r="S939" s="89" t="s">
        <v>213</v>
      </c>
      <c r="T939" s="90" t="s">
        <v>213</v>
      </c>
      <c r="U939" s="91" t="s">
        <v>213</v>
      </c>
      <c r="V939" s="92" t="s">
        <v>213</v>
      </c>
      <c r="W939" s="93" t="s">
        <v>213</v>
      </c>
      <c r="X939" s="92" t="s">
        <v>213</v>
      </c>
      <c r="Y939" s="90" t="s">
        <v>213</v>
      </c>
      <c r="Z939" s="93" t="s">
        <v>213</v>
      </c>
    </row>
    <row r="940" ht="15.75" customHeight="1">
      <c r="A940" s="84"/>
      <c r="B940" s="85"/>
      <c r="C940" s="85"/>
      <c r="D940" s="84"/>
      <c r="E940" s="84"/>
      <c r="F940" s="84"/>
      <c r="G940" s="86"/>
      <c r="H940" s="86"/>
      <c r="I940" s="87"/>
      <c r="J940" s="87"/>
      <c r="K940" s="88"/>
      <c r="L940" s="84"/>
      <c r="M940" s="84"/>
      <c r="N940" s="89" t="s">
        <v>213</v>
      </c>
      <c r="O940" s="89" t="s">
        <v>213</v>
      </c>
      <c r="P940" s="89" t="s">
        <v>213</v>
      </c>
      <c r="Q940" s="89" t="s">
        <v>213</v>
      </c>
      <c r="R940" s="89" t="s">
        <v>213</v>
      </c>
      <c r="S940" s="89" t="s">
        <v>213</v>
      </c>
      <c r="T940" s="90" t="s">
        <v>213</v>
      </c>
      <c r="U940" s="91" t="s">
        <v>213</v>
      </c>
      <c r="V940" s="92" t="s">
        <v>213</v>
      </c>
      <c r="W940" s="93" t="s">
        <v>213</v>
      </c>
      <c r="X940" s="92" t="s">
        <v>213</v>
      </c>
      <c r="Y940" s="90" t="s">
        <v>213</v>
      </c>
      <c r="Z940" s="93" t="s">
        <v>213</v>
      </c>
    </row>
    <row r="941" ht="15.75" customHeight="1">
      <c r="A941" s="84"/>
      <c r="B941" s="85"/>
      <c r="C941" s="85"/>
      <c r="D941" s="84"/>
      <c r="E941" s="84"/>
      <c r="F941" s="84"/>
      <c r="G941" s="86"/>
      <c r="H941" s="86"/>
      <c r="I941" s="87"/>
      <c r="J941" s="87"/>
      <c r="K941" s="88"/>
      <c r="L941" s="84"/>
      <c r="M941" s="84"/>
      <c r="N941" s="89" t="s">
        <v>213</v>
      </c>
      <c r="O941" s="89" t="s">
        <v>213</v>
      </c>
      <c r="P941" s="89" t="s">
        <v>213</v>
      </c>
      <c r="Q941" s="89" t="s">
        <v>213</v>
      </c>
      <c r="R941" s="89" t="s">
        <v>213</v>
      </c>
      <c r="S941" s="89" t="s">
        <v>213</v>
      </c>
      <c r="T941" s="90" t="s">
        <v>213</v>
      </c>
      <c r="U941" s="91" t="s">
        <v>213</v>
      </c>
      <c r="V941" s="92" t="s">
        <v>213</v>
      </c>
      <c r="W941" s="93" t="s">
        <v>213</v>
      </c>
      <c r="X941" s="92" t="s">
        <v>213</v>
      </c>
      <c r="Y941" s="90" t="s">
        <v>213</v>
      </c>
      <c r="Z941" s="93" t="s">
        <v>213</v>
      </c>
    </row>
    <row r="942" ht="15.75" customHeight="1">
      <c r="A942" s="84"/>
      <c r="B942" s="85"/>
      <c r="C942" s="85"/>
      <c r="D942" s="84"/>
      <c r="E942" s="84"/>
      <c r="F942" s="84"/>
      <c r="G942" s="86"/>
      <c r="H942" s="86"/>
      <c r="I942" s="87"/>
      <c r="J942" s="87"/>
      <c r="K942" s="88"/>
      <c r="L942" s="84"/>
      <c r="M942" s="84"/>
      <c r="N942" s="89" t="s">
        <v>213</v>
      </c>
      <c r="O942" s="89" t="s">
        <v>213</v>
      </c>
      <c r="P942" s="89" t="s">
        <v>213</v>
      </c>
      <c r="Q942" s="89" t="s">
        <v>213</v>
      </c>
      <c r="R942" s="89" t="s">
        <v>213</v>
      </c>
      <c r="S942" s="89" t="s">
        <v>213</v>
      </c>
      <c r="T942" s="90" t="s">
        <v>213</v>
      </c>
      <c r="U942" s="91" t="s">
        <v>213</v>
      </c>
      <c r="V942" s="92" t="s">
        <v>213</v>
      </c>
      <c r="W942" s="93" t="s">
        <v>213</v>
      </c>
      <c r="X942" s="92" t="s">
        <v>213</v>
      </c>
      <c r="Y942" s="90" t="s">
        <v>213</v>
      </c>
      <c r="Z942" s="93" t="s">
        <v>213</v>
      </c>
    </row>
    <row r="943" ht="15.75" customHeight="1">
      <c r="A943" s="84"/>
      <c r="B943" s="85"/>
      <c r="C943" s="85"/>
      <c r="D943" s="84"/>
      <c r="E943" s="84"/>
      <c r="F943" s="84"/>
      <c r="G943" s="86"/>
      <c r="H943" s="86"/>
      <c r="I943" s="87"/>
      <c r="J943" s="87"/>
      <c r="K943" s="88"/>
      <c r="L943" s="84"/>
      <c r="M943" s="84"/>
      <c r="N943" s="89" t="s">
        <v>213</v>
      </c>
      <c r="O943" s="89" t="s">
        <v>213</v>
      </c>
      <c r="P943" s="89" t="s">
        <v>213</v>
      </c>
      <c r="Q943" s="89" t="s">
        <v>213</v>
      </c>
      <c r="R943" s="89" t="s">
        <v>213</v>
      </c>
      <c r="S943" s="89" t="s">
        <v>213</v>
      </c>
      <c r="T943" s="90" t="s">
        <v>213</v>
      </c>
      <c r="U943" s="91" t="s">
        <v>213</v>
      </c>
      <c r="V943" s="92" t="s">
        <v>213</v>
      </c>
      <c r="W943" s="93" t="s">
        <v>213</v>
      </c>
      <c r="X943" s="92" t="s">
        <v>213</v>
      </c>
      <c r="Y943" s="90" t="s">
        <v>213</v>
      </c>
      <c r="Z943" s="93" t="s">
        <v>213</v>
      </c>
    </row>
    <row r="944" ht="15.75" customHeight="1">
      <c r="A944" s="84"/>
      <c r="B944" s="85"/>
      <c r="C944" s="85"/>
      <c r="D944" s="84"/>
      <c r="E944" s="84"/>
      <c r="F944" s="84"/>
      <c r="G944" s="86"/>
      <c r="H944" s="86"/>
      <c r="I944" s="87"/>
      <c r="J944" s="87"/>
      <c r="K944" s="88"/>
      <c r="L944" s="84"/>
      <c r="M944" s="84"/>
      <c r="N944" s="89" t="s">
        <v>213</v>
      </c>
      <c r="O944" s="89" t="s">
        <v>213</v>
      </c>
      <c r="P944" s="89" t="s">
        <v>213</v>
      </c>
      <c r="Q944" s="89" t="s">
        <v>213</v>
      </c>
      <c r="R944" s="89" t="s">
        <v>213</v>
      </c>
      <c r="S944" s="89" t="s">
        <v>213</v>
      </c>
      <c r="T944" s="90" t="s">
        <v>213</v>
      </c>
      <c r="U944" s="91" t="s">
        <v>213</v>
      </c>
      <c r="V944" s="92" t="s">
        <v>213</v>
      </c>
      <c r="W944" s="93" t="s">
        <v>213</v>
      </c>
      <c r="X944" s="92" t="s">
        <v>213</v>
      </c>
      <c r="Y944" s="90" t="s">
        <v>213</v>
      </c>
      <c r="Z944" s="93" t="s">
        <v>213</v>
      </c>
    </row>
    <row r="945" ht="15.75" customHeight="1">
      <c r="A945" s="84"/>
      <c r="B945" s="85"/>
      <c r="C945" s="85"/>
      <c r="D945" s="84"/>
      <c r="E945" s="84"/>
      <c r="F945" s="84"/>
      <c r="G945" s="86"/>
      <c r="H945" s="86"/>
      <c r="I945" s="87"/>
      <c r="J945" s="87"/>
      <c r="K945" s="88"/>
      <c r="L945" s="84"/>
      <c r="M945" s="84"/>
      <c r="N945" s="89" t="s">
        <v>213</v>
      </c>
      <c r="O945" s="89" t="s">
        <v>213</v>
      </c>
      <c r="P945" s="89" t="s">
        <v>213</v>
      </c>
      <c r="Q945" s="89" t="s">
        <v>213</v>
      </c>
      <c r="R945" s="89" t="s">
        <v>213</v>
      </c>
      <c r="S945" s="89" t="s">
        <v>213</v>
      </c>
      <c r="T945" s="90" t="s">
        <v>213</v>
      </c>
      <c r="U945" s="91" t="s">
        <v>213</v>
      </c>
      <c r="V945" s="92" t="s">
        <v>213</v>
      </c>
      <c r="W945" s="93" t="s">
        <v>213</v>
      </c>
      <c r="X945" s="92" t="s">
        <v>213</v>
      </c>
      <c r="Y945" s="90" t="s">
        <v>213</v>
      </c>
      <c r="Z945" s="93" t="s">
        <v>213</v>
      </c>
    </row>
    <row r="946" ht="15.75" customHeight="1">
      <c r="A946" s="84"/>
      <c r="B946" s="85"/>
      <c r="C946" s="85"/>
      <c r="D946" s="84"/>
      <c r="E946" s="84"/>
      <c r="F946" s="84"/>
      <c r="G946" s="86"/>
      <c r="H946" s="86"/>
      <c r="I946" s="87"/>
      <c r="J946" s="87"/>
      <c r="K946" s="88"/>
      <c r="L946" s="84"/>
      <c r="M946" s="84"/>
      <c r="N946" s="89" t="s">
        <v>213</v>
      </c>
      <c r="O946" s="89" t="s">
        <v>213</v>
      </c>
      <c r="P946" s="89" t="s">
        <v>213</v>
      </c>
      <c r="Q946" s="89" t="s">
        <v>213</v>
      </c>
      <c r="R946" s="89" t="s">
        <v>213</v>
      </c>
      <c r="S946" s="89" t="s">
        <v>213</v>
      </c>
      <c r="T946" s="90" t="s">
        <v>213</v>
      </c>
      <c r="U946" s="91" t="s">
        <v>213</v>
      </c>
      <c r="V946" s="92" t="s">
        <v>213</v>
      </c>
      <c r="W946" s="93" t="s">
        <v>213</v>
      </c>
      <c r="X946" s="92" t="s">
        <v>213</v>
      </c>
      <c r="Y946" s="90" t="s">
        <v>213</v>
      </c>
      <c r="Z946" s="93" t="s">
        <v>213</v>
      </c>
    </row>
    <row r="947" ht="15.75" customHeight="1">
      <c r="A947" s="84"/>
      <c r="B947" s="85"/>
      <c r="C947" s="85"/>
      <c r="D947" s="84"/>
      <c r="E947" s="84"/>
      <c r="F947" s="84"/>
      <c r="G947" s="86"/>
      <c r="H947" s="86"/>
      <c r="I947" s="87"/>
      <c r="J947" s="87"/>
      <c r="K947" s="88"/>
      <c r="L947" s="84"/>
      <c r="M947" s="84"/>
      <c r="N947" s="89" t="s">
        <v>213</v>
      </c>
      <c r="O947" s="89" t="s">
        <v>213</v>
      </c>
      <c r="P947" s="89" t="s">
        <v>213</v>
      </c>
      <c r="Q947" s="89" t="s">
        <v>213</v>
      </c>
      <c r="R947" s="89" t="s">
        <v>213</v>
      </c>
      <c r="S947" s="89" t="s">
        <v>213</v>
      </c>
      <c r="T947" s="90" t="s">
        <v>213</v>
      </c>
      <c r="U947" s="91" t="s">
        <v>213</v>
      </c>
      <c r="V947" s="92" t="s">
        <v>213</v>
      </c>
      <c r="W947" s="93" t="s">
        <v>213</v>
      </c>
      <c r="X947" s="92" t="s">
        <v>213</v>
      </c>
      <c r="Y947" s="90" t="s">
        <v>213</v>
      </c>
      <c r="Z947" s="93" t="s">
        <v>213</v>
      </c>
    </row>
    <row r="948" ht="15.75" customHeight="1">
      <c r="A948" s="84"/>
      <c r="B948" s="85"/>
      <c r="C948" s="85"/>
      <c r="D948" s="84"/>
      <c r="E948" s="84"/>
      <c r="F948" s="84"/>
      <c r="G948" s="86"/>
      <c r="H948" s="86"/>
      <c r="I948" s="87"/>
      <c r="J948" s="87"/>
      <c r="K948" s="88"/>
      <c r="L948" s="84"/>
      <c r="M948" s="84"/>
      <c r="N948" s="89" t="s">
        <v>213</v>
      </c>
      <c r="O948" s="89" t="s">
        <v>213</v>
      </c>
      <c r="P948" s="89" t="s">
        <v>213</v>
      </c>
      <c r="Q948" s="89" t="s">
        <v>213</v>
      </c>
      <c r="R948" s="89" t="s">
        <v>213</v>
      </c>
      <c r="S948" s="89" t="s">
        <v>213</v>
      </c>
      <c r="T948" s="90" t="s">
        <v>213</v>
      </c>
      <c r="U948" s="91" t="s">
        <v>213</v>
      </c>
      <c r="V948" s="92" t="s">
        <v>213</v>
      </c>
      <c r="W948" s="93" t="s">
        <v>213</v>
      </c>
      <c r="X948" s="92" t="s">
        <v>213</v>
      </c>
      <c r="Y948" s="90" t="s">
        <v>213</v>
      </c>
      <c r="Z948" s="93" t="s">
        <v>213</v>
      </c>
    </row>
    <row r="949" ht="15.75" customHeight="1">
      <c r="A949" s="84"/>
      <c r="B949" s="85"/>
      <c r="C949" s="85"/>
      <c r="D949" s="84"/>
      <c r="E949" s="84"/>
      <c r="F949" s="84"/>
      <c r="G949" s="86"/>
      <c r="H949" s="86"/>
      <c r="I949" s="87"/>
      <c r="J949" s="87"/>
      <c r="K949" s="88"/>
      <c r="L949" s="84"/>
      <c r="M949" s="84"/>
      <c r="N949" s="89" t="s">
        <v>213</v>
      </c>
      <c r="O949" s="89" t="s">
        <v>213</v>
      </c>
      <c r="P949" s="89" t="s">
        <v>213</v>
      </c>
      <c r="Q949" s="89" t="s">
        <v>213</v>
      </c>
      <c r="R949" s="89" t="s">
        <v>213</v>
      </c>
      <c r="S949" s="89" t="s">
        <v>213</v>
      </c>
      <c r="T949" s="90" t="s">
        <v>213</v>
      </c>
      <c r="U949" s="91" t="s">
        <v>213</v>
      </c>
      <c r="V949" s="92" t="s">
        <v>213</v>
      </c>
      <c r="W949" s="93" t="s">
        <v>213</v>
      </c>
      <c r="X949" s="92" t="s">
        <v>213</v>
      </c>
      <c r="Y949" s="90" t="s">
        <v>213</v>
      </c>
      <c r="Z949" s="93" t="s">
        <v>213</v>
      </c>
    </row>
    <row r="950" ht="15.75" customHeight="1">
      <c r="A950" s="84"/>
      <c r="B950" s="85"/>
      <c r="C950" s="85"/>
      <c r="D950" s="84"/>
      <c r="E950" s="84"/>
      <c r="F950" s="84"/>
      <c r="G950" s="86"/>
      <c r="H950" s="86"/>
      <c r="I950" s="87"/>
      <c r="J950" s="87"/>
      <c r="K950" s="88"/>
      <c r="L950" s="84"/>
      <c r="M950" s="84"/>
      <c r="N950" s="89" t="s">
        <v>213</v>
      </c>
      <c r="O950" s="89" t="s">
        <v>213</v>
      </c>
      <c r="P950" s="89" t="s">
        <v>213</v>
      </c>
      <c r="Q950" s="89" t="s">
        <v>213</v>
      </c>
      <c r="R950" s="89" t="s">
        <v>213</v>
      </c>
      <c r="S950" s="89" t="s">
        <v>213</v>
      </c>
      <c r="T950" s="90" t="s">
        <v>213</v>
      </c>
      <c r="U950" s="91" t="s">
        <v>213</v>
      </c>
      <c r="V950" s="92" t="s">
        <v>213</v>
      </c>
      <c r="W950" s="93" t="s">
        <v>213</v>
      </c>
      <c r="X950" s="92" t="s">
        <v>213</v>
      </c>
      <c r="Y950" s="90" t="s">
        <v>213</v>
      </c>
      <c r="Z950" s="93" t="s">
        <v>213</v>
      </c>
    </row>
    <row r="951" ht="15.75" customHeight="1">
      <c r="A951" s="84"/>
      <c r="B951" s="85"/>
      <c r="C951" s="85"/>
      <c r="D951" s="84"/>
      <c r="E951" s="84"/>
      <c r="F951" s="84"/>
      <c r="G951" s="86"/>
      <c r="H951" s="86"/>
      <c r="I951" s="87"/>
      <c r="J951" s="87"/>
      <c r="K951" s="88"/>
      <c r="L951" s="84"/>
      <c r="M951" s="84"/>
      <c r="N951" s="89" t="s">
        <v>213</v>
      </c>
      <c r="O951" s="89" t="s">
        <v>213</v>
      </c>
      <c r="P951" s="89" t="s">
        <v>213</v>
      </c>
      <c r="Q951" s="89" t="s">
        <v>213</v>
      </c>
      <c r="R951" s="89" t="s">
        <v>213</v>
      </c>
      <c r="S951" s="89" t="s">
        <v>213</v>
      </c>
      <c r="T951" s="90" t="s">
        <v>213</v>
      </c>
      <c r="U951" s="91" t="s">
        <v>213</v>
      </c>
      <c r="V951" s="92" t="s">
        <v>213</v>
      </c>
      <c r="W951" s="93" t="s">
        <v>213</v>
      </c>
      <c r="X951" s="92" t="s">
        <v>213</v>
      </c>
      <c r="Y951" s="90" t="s">
        <v>213</v>
      </c>
      <c r="Z951" s="93" t="s">
        <v>213</v>
      </c>
    </row>
    <row r="952" ht="15.75" customHeight="1">
      <c r="A952" s="84"/>
      <c r="B952" s="85"/>
      <c r="C952" s="85"/>
      <c r="D952" s="84"/>
      <c r="E952" s="84"/>
      <c r="F952" s="84"/>
      <c r="G952" s="86"/>
      <c r="H952" s="86"/>
      <c r="I952" s="87"/>
      <c r="J952" s="87"/>
      <c r="K952" s="88"/>
      <c r="L952" s="84"/>
      <c r="M952" s="84"/>
      <c r="N952" s="89" t="s">
        <v>213</v>
      </c>
      <c r="O952" s="89" t="s">
        <v>213</v>
      </c>
      <c r="P952" s="89" t="s">
        <v>213</v>
      </c>
      <c r="Q952" s="89" t="s">
        <v>213</v>
      </c>
      <c r="R952" s="89" t="s">
        <v>213</v>
      </c>
      <c r="S952" s="89" t="s">
        <v>213</v>
      </c>
      <c r="T952" s="90" t="s">
        <v>213</v>
      </c>
      <c r="U952" s="91" t="s">
        <v>213</v>
      </c>
      <c r="V952" s="92" t="s">
        <v>213</v>
      </c>
      <c r="W952" s="93" t="s">
        <v>213</v>
      </c>
      <c r="X952" s="92" t="s">
        <v>213</v>
      </c>
      <c r="Y952" s="90" t="s">
        <v>213</v>
      </c>
      <c r="Z952" s="93" t="s">
        <v>213</v>
      </c>
    </row>
    <row r="953" ht="15.75" customHeight="1">
      <c r="A953" s="84"/>
      <c r="B953" s="85"/>
      <c r="C953" s="85"/>
      <c r="D953" s="84"/>
      <c r="E953" s="84"/>
      <c r="F953" s="84"/>
      <c r="G953" s="86"/>
      <c r="H953" s="86"/>
      <c r="I953" s="87"/>
      <c r="J953" s="87"/>
      <c r="K953" s="88"/>
      <c r="L953" s="84"/>
      <c r="M953" s="84"/>
      <c r="N953" s="89" t="s">
        <v>213</v>
      </c>
      <c r="O953" s="89" t="s">
        <v>213</v>
      </c>
      <c r="P953" s="89" t="s">
        <v>213</v>
      </c>
      <c r="Q953" s="89" t="s">
        <v>213</v>
      </c>
      <c r="R953" s="89" t="s">
        <v>213</v>
      </c>
      <c r="S953" s="89" t="s">
        <v>213</v>
      </c>
      <c r="T953" s="90" t="s">
        <v>213</v>
      </c>
      <c r="U953" s="91" t="s">
        <v>213</v>
      </c>
      <c r="V953" s="92" t="s">
        <v>213</v>
      </c>
      <c r="W953" s="93" t="s">
        <v>213</v>
      </c>
      <c r="X953" s="92" t="s">
        <v>213</v>
      </c>
      <c r="Y953" s="90" t="s">
        <v>213</v>
      </c>
      <c r="Z953" s="93" t="s">
        <v>213</v>
      </c>
    </row>
    <row r="954" ht="15.75" customHeight="1">
      <c r="A954" s="84"/>
      <c r="B954" s="85"/>
      <c r="C954" s="85"/>
      <c r="D954" s="84"/>
      <c r="E954" s="84"/>
      <c r="F954" s="84"/>
      <c r="G954" s="86"/>
      <c r="H954" s="86"/>
      <c r="I954" s="87"/>
      <c r="J954" s="87"/>
      <c r="K954" s="88"/>
      <c r="L954" s="84"/>
      <c r="M954" s="84"/>
      <c r="N954" s="89" t="s">
        <v>213</v>
      </c>
      <c r="O954" s="89" t="s">
        <v>213</v>
      </c>
      <c r="P954" s="89" t="s">
        <v>213</v>
      </c>
      <c r="Q954" s="89" t="s">
        <v>213</v>
      </c>
      <c r="R954" s="89" t="s">
        <v>213</v>
      </c>
      <c r="S954" s="89" t="s">
        <v>213</v>
      </c>
      <c r="T954" s="90" t="s">
        <v>213</v>
      </c>
      <c r="U954" s="91" t="s">
        <v>213</v>
      </c>
      <c r="V954" s="92" t="s">
        <v>213</v>
      </c>
      <c r="W954" s="93" t="s">
        <v>213</v>
      </c>
      <c r="X954" s="92" t="s">
        <v>213</v>
      </c>
      <c r="Y954" s="90" t="s">
        <v>213</v>
      </c>
      <c r="Z954" s="93" t="s">
        <v>213</v>
      </c>
    </row>
    <row r="955" ht="15.75" customHeight="1">
      <c r="A955" s="84"/>
      <c r="B955" s="85"/>
      <c r="C955" s="85"/>
      <c r="D955" s="84"/>
      <c r="E955" s="84"/>
      <c r="F955" s="84"/>
      <c r="G955" s="86"/>
      <c r="H955" s="86"/>
      <c r="I955" s="87"/>
      <c r="J955" s="87"/>
      <c r="K955" s="88"/>
      <c r="L955" s="84"/>
      <c r="M955" s="84"/>
      <c r="N955" s="89" t="s">
        <v>213</v>
      </c>
      <c r="O955" s="89" t="s">
        <v>213</v>
      </c>
      <c r="P955" s="89" t="s">
        <v>213</v>
      </c>
      <c r="Q955" s="89" t="s">
        <v>213</v>
      </c>
      <c r="R955" s="89" t="s">
        <v>213</v>
      </c>
      <c r="S955" s="89" t="s">
        <v>213</v>
      </c>
      <c r="T955" s="90" t="s">
        <v>213</v>
      </c>
      <c r="U955" s="91" t="s">
        <v>213</v>
      </c>
      <c r="V955" s="92" t="s">
        <v>213</v>
      </c>
      <c r="W955" s="93" t="s">
        <v>213</v>
      </c>
      <c r="X955" s="92" t="s">
        <v>213</v>
      </c>
      <c r="Y955" s="90" t="s">
        <v>213</v>
      </c>
      <c r="Z955" s="93" t="s">
        <v>213</v>
      </c>
    </row>
    <row r="956" ht="15.75" customHeight="1">
      <c r="A956" s="84"/>
      <c r="B956" s="85"/>
      <c r="C956" s="85"/>
      <c r="D956" s="84"/>
      <c r="E956" s="84"/>
      <c r="F956" s="84"/>
      <c r="G956" s="86"/>
      <c r="H956" s="86"/>
      <c r="I956" s="87"/>
      <c r="J956" s="87"/>
      <c r="K956" s="88"/>
      <c r="L956" s="84"/>
      <c r="M956" s="84"/>
      <c r="N956" s="89" t="s">
        <v>213</v>
      </c>
      <c r="O956" s="89" t="s">
        <v>213</v>
      </c>
      <c r="P956" s="89" t="s">
        <v>213</v>
      </c>
      <c r="Q956" s="89" t="s">
        <v>213</v>
      </c>
      <c r="R956" s="89" t="s">
        <v>213</v>
      </c>
      <c r="S956" s="89" t="s">
        <v>213</v>
      </c>
      <c r="T956" s="90" t="s">
        <v>213</v>
      </c>
      <c r="U956" s="91" t="s">
        <v>213</v>
      </c>
      <c r="V956" s="92" t="s">
        <v>213</v>
      </c>
      <c r="W956" s="93" t="s">
        <v>213</v>
      </c>
      <c r="X956" s="92" t="s">
        <v>213</v>
      </c>
      <c r="Y956" s="90" t="s">
        <v>213</v>
      </c>
      <c r="Z956" s="93" t="s">
        <v>213</v>
      </c>
    </row>
    <row r="957" ht="15.75" customHeight="1">
      <c r="A957" s="84"/>
      <c r="B957" s="85"/>
      <c r="C957" s="85"/>
      <c r="D957" s="84"/>
      <c r="E957" s="84"/>
      <c r="F957" s="84"/>
      <c r="G957" s="86"/>
      <c r="H957" s="86"/>
      <c r="I957" s="87"/>
      <c r="J957" s="87"/>
      <c r="K957" s="88"/>
      <c r="L957" s="84"/>
      <c r="M957" s="84"/>
      <c r="N957" s="89" t="s">
        <v>213</v>
      </c>
      <c r="O957" s="89" t="s">
        <v>213</v>
      </c>
      <c r="P957" s="89" t="s">
        <v>213</v>
      </c>
      <c r="Q957" s="89" t="s">
        <v>213</v>
      </c>
      <c r="R957" s="89" t="s">
        <v>213</v>
      </c>
      <c r="S957" s="89" t="s">
        <v>213</v>
      </c>
      <c r="T957" s="90" t="s">
        <v>213</v>
      </c>
      <c r="U957" s="91" t="s">
        <v>213</v>
      </c>
      <c r="V957" s="92" t="s">
        <v>213</v>
      </c>
      <c r="W957" s="93" t="s">
        <v>213</v>
      </c>
      <c r="X957" s="92" t="s">
        <v>213</v>
      </c>
      <c r="Y957" s="90" t="s">
        <v>213</v>
      </c>
      <c r="Z957" s="93" t="s">
        <v>213</v>
      </c>
    </row>
    <row r="958" ht="15.75" customHeight="1">
      <c r="A958" s="84"/>
      <c r="B958" s="85"/>
      <c r="C958" s="85"/>
      <c r="D958" s="84"/>
      <c r="E958" s="84"/>
      <c r="F958" s="84"/>
      <c r="G958" s="86"/>
      <c r="H958" s="86"/>
      <c r="I958" s="87"/>
      <c r="J958" s="87"/>
      <c r="K958" s="88"/>
      <c r="L958" s="84"/>
      <c r="M958" s="84"/>
      <c r="N958" s="89" t="s">
        <v>213</v>
      </c>
      <c r="O958" s="89" t="s">
        <v>213</v>
      </c>
      <c r="P958" s="89" t="s">
        <v>213</v>
      </c>
      <c r="Q958" s="89" t="s">
        <v>213</v>
      </c>
      <c r="R958" s="89" t="s">
        <v>213</v>
      </c>
      <c r="S958" s="89" t="s">
        <v>213</v>
      </c>
      <c r="T958" s="90" t="s">
        <v>213</v>
      </c>
      <c r="U958" s="91" t="s">
        <v>213</v>
      </c>
      <c r="V958" s="92" t="s">
        <v>213</v>
      </c>
      <c r="W958" s="93" t="s">
        <v>213</v>
      </c>
      <c r="X958" s="92" t="s">
        <v>213</v>
      </c>
      <c r="Y958" s="90" t="s">
        <v>213</v>
      </c>
      <c r="Z958" s="93" t="s">
        <v>213</v>
      </c>
    </row>
    <row r="959" ht="15.75" customHeight="1">
      <c r="A959" s="84"/>
      <c r="B959" s="85"/>
      <c r="C959" s="85"/>
      <c r="D959" s="84"/>
      <c r="E959" s="84"/>
      <c r="F959" s="84"/>
      <c r="G959" s="86"/>
      <c r="H959" s="86"/>
      <c r="I959" s="87"/>
      <c r="J959" s="87"/>
      <c r="K959" s="88"/>
      <c r="L959" s="84"/>
      <c r="M959" s="84"/>
      <c r="N959" s="89" t="s">
        <v>213</v>
      </c>
      <c r="O959" s="89" t="s">
        <v>213</v>
      </c>
      <c r="P959" s="89" t="s">
        <v>213</v>
      </c>
      <c r="Q959" s="89" t="s">
        <v>213</v>
      </c>
      <c r="R959" s="89" t="s">
        <v>213</v>
      </c>
      <c r="S959" s="89" t="s">
        <v>213</v>
      </c>
      <c r="T959" s="90" t="s">
        <v>213</v>
      </c>
      <c r="U959" s="91" t="s">
        <v>213</v>
      </c>
      <c r="V959" s="92" t="s">
        <v>213</v>
      </c>
      <c r="W959" s="93" t="s">
        <v>213</v>
      </c>
      <c r="X959" s="92" t="s">
        <v>213</v>
      </c>
      <c r="Y959" s="90" t="s">
        <v>213</v>
      </c>
      <c r="Z959" s="93" t="s">
        <v>213</v>
      </c>
    </row>
    <row r="960" ht="15.75" customHeight="1">
      <c r="A960" s="84"/>
      <c r="B960" s="85"/>
      <c r="C960" s="85"/>
      <c r="D960" s="84"/>
      <c r="E960" s="84"/>
      <c r="F960" s="84"/>
      <c r="G960" s="86"/>
      <c r="H960" s="86"/>
      <c r="I960" s="87"/>
      <c r="J960" s="87"/>
      <c r="K960" s="88"/>
      <c r="L960" s="84"/>
      <c r="M960" s="84"/>
      <c r="N960" s="89" t="s">
        <v>213</v>
      </c>
      <c r="O960" s="89" t="s">
        <v>213</v>
      </c>
      <c r="P960" s="89" t="s">
        <v>213</v>
      </c>
      <c r="Q960" s="89" t="s">
        <v>213</v>
      </c>
      <c r="R960" s="89" t="s">
        <v>213</v>
      </c>
      <c r="S960" s="89" t="s">
        <v>213</v>
      </c>
      <c r="T960" s="90" t="s">
        <v>213</v>
      </c>
      <c r="U960" s="91" t="s">
        <v>213</v>
      </c>
      <c r="V960" s="92" t="s">
        <v>213</v>
      </c>
      <c r="W960" s="93" t="s">
        <v>213</v>
      </c>
      <c r="X960" s="92" t="s">
        <v>213</v>
      </c>
      <c r="Y960" s="90" t="s">
        <v>213</v>
      </c>
      <c r="Z960" s="93" t="s">
        <v>213</v>
      </c>
    </row>
    <row r="961" ht="15.75" customHeight="1">
      <c r="A961" s="84"/>
      <c r="B961" s="85"/>
      <c r="C961" s="85"/>
      <c r="D961" s="84"/>
      <c r="E961" s="84"/>
      <c r="F961" s="84"/>
      <c r="G961" s="86"/>
      <c r="H961" s="86"/>
      <c r="I961" s="87"/>
      <c r="J961" s="87"/>
      <c r="K961" s="88"/>
      <c r="L961" s="84"/>
      <c r="M961" s="84"/>
      <c r="N961" s="89" t="s">
        <v>213</v>
      </c>
      <c r="O961" s="89" t="s">
        <v>213</v>
      </c>
      <c r="P961" s="89" t="s">
        <v>213</v>
      </c>
      <c r="Q961" s="89" t="s">
        <v>213</v>
      </c>
      <c r="R961" s="89" t="s">
        <v>213</v>
      </c>
      <c r="S961" s="89" t="s">
        <v>213</v>
      </c>
      <c r="T961" s="90" t="s">
        <v>213</v>
      </c>
      <c r="U961" s="91" t="s">
        <v>213</v>
      </c>
      <c r="V961" s="92" t="s">
        <v>213</v>
      </c>
      <c r="W961" s="93" t="s">
        <v>213</v>
      </c>
      <c r="X961" s="92" t="s">
        <v>213</v>
      </c>
      <c r="Y961" s="90" t="s">
        <v>213</v>
      </c>
      <c r="Z961" s="93" t="s">
        <v>213</v>
      </c>
    </row>
    <row r="962" ht="15.75" customHeight="1">
      <c r="A962" s="84"/>
      <c r="B962" s="85"/>
      <c r="C962" s="85"/>
      <c r="D962" s="84"/>
      <c r="E962" s="84"/>
      <c r="F962" s="84"/>
      <c r="G962" s="86"/>
      <c r="H962" s="86"/>
      <c r="I962" s="87"/>
      <c r="J962" s="87"/>
      <c r="K962" s="88"/>
      <c r="L962" s="84"/>
      <c r="M962" s="84"/>
      <c r="N962" s="89" t="s">
        <v>213</v>
      </c>
      <c r="O962" s="89" t="s">
        <v>213</v>
      </c>
      <c r="P962" s="89" t="s">
        <v>213</v>
      </c>
      <c r="Q962" s="89" t="s">
        <v>213</v>
      </c>
      <c r="R962" s="89" t="s">
        <v>213</v>
      </c>
      <c r="S962" s="89" t="s">
        <v>213</v>
      </c>
      <c r="T962" s="90" t="s">
        <v>213</v>
      </c>
      <c r="U962" s="91" t="s">
        <v>213</v>
      </c>
      <c r="V962" s="92" t="s">
        <v>213</v>
      </c>
      <c r="W962" s="93" t="s">
        <v>213</v>
      </c>
      <c r="X962" s="92" t="s">
        <v>213</v>
      </c>
      <c r="Y962" s="90" t="s">
        <v>213</v>
      </c>
      <c r="Z962" s="93" t="s">
        <v>213</v>
      </c>
    </row>
    <row r="963" ht="15.75" customHeight="1">
      <c r="A963" s="84"/>
      <c r="B963" s="85"/>
      <c r="C963" s="85"/>
      <c r="D963" s="84"/>
      <c r="E963" s="84"/>
      <c r="F963" s="84"/>
      <c r="G963" s="86"/>
      <c r="H963" s="86"/>
      <c r="I963" s="87"/>
      <c r="J963" s="87"/>
      <c r="K963" s="88"/>
      <c r="L963" s="84"/>
      <c r="M963" s="84"/>
      <c r="N963" s="89" t="s">
        <v>213</v>
      </c>
      <c r="O963" s="89" t="s">
        <v>213</v>
      </c>
      <c r="P963" s="89" t="s">
        <v>213</v>
      </c>
      <c r="Q963" s="89" t="s">
        <v>213</v>
      </c>
      <c r="R963" s="89" t="s">
        <v>213</v>
      </c>
      <c r="S963" s="89" t="s">
        <v>213</v>
      </c>
      <c r="T963" s="90" t="s">
        <v>213</v>
      </c>
      <c r="U963" s="91" t="s">
        <v>213</v>
      </c>
      <c r="V963" s="92" t="s">
        <v>213</v>
      </c>
      <c r="W963" s="93" t="s">
        <v>213</v>
      </c>
      <c r="X963" s="92" t="s">
        <v>213</v>
      </c>
      <c r="Y963" s="90" t="s">
        <v>213</v>
      </c>
      <c r="Z963" s="93" t="s">
        <v>213</v>
      </c>
    </row>
    <row r="964" ht="15.75" customHeight="1">
      <c r="A964" s="84"/>
      <c r="B964" s="85"/>
      <c r="C964" s="85"/>
      <c r="D964" s="84"/>
      <c r="E964" s="84"/>
      <c r="F964" s="84"/>
      <c r="G964" s="86"/>
      <c r="H964" s="86"/>
      <c r="I964" s="87"/>
      <c r="J964" s="87"/>
      <c r="K964" s="88"/>
      <c r="L964" s="84"/>
      <c r="M964" s="84"/>
      <c r="N964" s="89" t="s">
        <v>213</v>
      </c>
      <c r="O964" s="89" t="s">
        <v>213</v>
      </c>
      <c r="P964" s="89" t="s">
        <v>213</v>
      </c>
      <c r="Q964" s="89" t="s">
        <v>213</v>
      </c>
      <c r="R964" s="89" t="s">
        <v>213</v>
      </c>
      <c r="S964" s="89" t="s">
        <v>213</v>
      </c>
      <c r="T964" s="90" t="s">
        <v>213</v>
      </c>
      <c r="U964" s="91" t="s">
        <v>213</v>
      </c>
      <c r="V964" s="92" t="s">
        <v>213</v>
      </c>
      <c r="W964" s="93" t="s">
        <v>213</v>
      </c>
      <c r="X964" s="92" t="s">
        <v>213</v>
      </c>
      <c r="Y964" s="90" t="s">
        <v>213</v>
      </c>
      <c r="Z964" s="93" t="s">
        <v>213</v>
      </c>
    </row>
    <row r="965" ht="15.75" customHeight="1">
      <c r="A965" s="84"/>
      <c r="B965" s="85"/>
      <c r="C965" s="85"/>
      <c r="D965" s="84"/>
      <c r="E965" s="84"/>
      <c r="F965" s="84"/>
      <c r="G965" s="86"/>
      <c r="H965" s="86"/>
      <c r="I965" s="87"/>
      <c r="J965" s="87"/>
      <c r="K965" s="88"/>
      <c r="L965" s="84"/>
      <c r="M965" s="84"/>
      <c r="N965" s="89" t="s">
        <v>213</v>
      </c>
      <c r="O965" s="89" t="s">
        <v>213</v>
      </c>
      <c r="P965" s="89" t="s">
        <v>213</v>
      </c>
      <c r="Q965" s="89" t="s">
        <v>213</v>
      </c>
      <c r="R965" s="89" t="s">
        <v>213</v>
      </c>
      <c r="S965" s="89" t="s">
        <v>213</v>
      </c>
      <c r="T965" s="90" t="s">
        <v>213</v>
      </c>
      <c r="U965" s="91" t="s">
        <v>213</v>
      </c>
      <c r="V965" s="92" t="s">
        <v>213</v>
      </c>
      <c r="W965" s="93" t="s">
        <v>213</v>
      </c>
      <c r="X965" s="92" t="s">
        <v>213</v>
      </c>
      <c r="Y965" s="90" t="s">
        <v>213</v>
      </c>
      <c r="Z965" s="93" t="s">
        <v>213</v>
      </c>
    </row>
    <row r="966" ht="15.75" customHeight="1">
      <c r="A966" s="84"/>
      <c r="B966" s="85"/>
      <c r="C966" s="85"/>
      <c r="D966" s="84"/>
      <c r="E966" s="84"/>
      <c r="F966" s="84"/>
      <c r="G966" s="86"/>
      <c r="H966" s="86"/>
      <c r="I966" s="87"/>
      <c r="J966" s="87"/>
      <c r="K966" s="88"/>
      <c r="L966" s="84"/>
      <c r="M966" s="84"/>
      <c r="N966" s="89" t="s">
        <v>213</v>
      </c>
      <c r="O966" s="89" t="s">
        <v>213</v>
      </c>
      <c r="P966" s="89" t="s">
        <v>213</v>
      </c>
      <c r="Q966" s="89" t="s">
        <v>213</v>
      </c>
      <c r="R966" s="89" t="s">
        <v>213</v>
      </c>
      <c r="S966" s="89" t="s">
        <v>213</v>
      </c>
      <c r="T966" s="90" t="s">
        <v>213</v>
      </c>
      <c r="U966" s="91" t="s">
        <v>213</v>
      </c>
      <c r="V966" s="92" t="s">
        <v>213</v>
      </c>
      <c r="W966" s="93" t="s">
        <v>213</v>
      </c>
      <c r="X966" s="92" t="s">
        <v>213</v>
      </c>
      <c r="Y966" s="90" t="s">
        <v>213</v>
      </c>
      <c r="Z966" s="93" t="s">
        <v>213</v>
      </c>
    </row>
    <row r="967" ht="15.75" customHeight="1">
      <c r="A967" s="84"/>
      <c r="B967" s="85"/>
      <c r="C967" s="85"/>
      <c r="D967" s="84"/>
      <c r="E967" s="84"/>
      <c r="F967" s="84"/>
      <c r="G967" s="86"/>
      <c r="H967" s="86"/>
      <c r="I967" s="87"/>
      <c r="J967" s="87"/>
      <c r="K967" s="88"/>
      <c r="L967" s="84"/>
      <c r="M967" s="84"/>
      <c r="N967" s="89" t="s">
        <v>213</v>
      </c>
      <c r="O967" s="89" t="s">
        <v>213</v>
      </c>
      <c r="P967" s="89" t="s">
        <v>213</v>
      </c>
      <c r="Q967" s="89" t="s">
        <v>213</v>
      </c>
      <c r="R967" s="89" t="s">
        <v>213</v>
      </c>
      <c r="S967" s="89" t="s">
        <v>213</v>
      </c>
      <c r="T967" s="90" t="s">
        <v>213</v>
      </c>
      <c r="U967" s="91" t="s">
        <v>213</v>
      </c>
      <c r="V967" s="92" t="s">
        <v>213</v>
      </c>
      <c r="W967" s="93" t="s">
        <v>213</v>
      </c>
      <c r="X967" s="92" t="s">
        <v>213</v>
      </c>
      <c r="Y967" s="90" t="s">
        <v>213</v>
      </c>
      <c r="Z967" s="93" t="s">
        <v>213</v>
      </c>
    </row>
    <row r="968" ht="15.75" customHeight="1">
      <c r="A968" s="84"/>
      <c r="B968" s="85"/>
      <c r="C968" s="85"/>
      <c r="D968" s="84"/>
      <c r="E968" s="84"/>
      <c r="F968" s="84"/>
      <c r="G968" s="86"/>
      <c r="H968" s="86"/>
      <c r="I968" s="87"/>
      <c r="J968" s="87"/>
      <c r="K968" s="88"/>
      <c r="L968" s="84"/>
      <c r="M968" s="84"/>
      <c r="N968" s="89" t="s">
        <v>213</v>
      </c>
      <c r="O968" s="89" t="s">
        <v>213</v>
      </c>
      <c r="P968" s="89" t="s">
        <v>213</v>
      </c>
      <c r="Q968" s="89" t="s">
        <v>213</v>
      </c>
      <c r="R968" s="89" t="s">
        <v>213</v>
      </c>
      <c r="S968" s="89" t="s">
        <v>213</v>
      </c>
      <c r="T968" s="90" t="s">
        <v>213</v>
      </c>
      <c r="U968" s="91" t="s">
        <v>213</v>
      </c>
      <c r="V968" s="92" t="s">
        <v>213</v>
      </c>
      <c r="W968" s="93" t="s">
        <v>213</v>
      </c>
      <c r="X968" s="92" t="s">
        <v>213</v>
      </c>
      <c r="Y968" s="90" t="s">
        <v>213</v>
      </c>
      <c r="Z968" s="93" t="s">
        <v>213</v>
      </c>
    </row>
    <row r="969" ht="15.75" customHeight="1">
      <c r="A969" s="84"/>
      <c r="B969" s="85"/>
      <c r="C969" s="85"/>
      <c r="D969" s="84"/>
      <c r="E969" s="84"/>
      <c r="F969" s="84"/>
      <c r="G969" s="86"/>
      <c r="H969" s="86"/>
      <c r="I969" s="87"/>
      <c r="J969" s="87"/>
      <c r="K969" s="88"/>
      <c r="L969" s="84"/>
      <c r="M969" s="84"/>
      <c r="N969" s="89" t="s">
        <v>213</v>
      </c>
      <c r="O969" s="89" t="s">
        <v>213</v>
      </c>
      <c r="P969" s="89" t="s">
        <v>213</v>
      </c>
      <c r="Q969" s="89" t="s">
        <v>213</v>
      </c>
      <c r="R969" s="89" t="s">
        <v>213</v>
      </c>
      <c r="S969" s="89" t="s">
        <v>213</v>
      </c>
      <c r="T969" s="90" t="s">
        <v>213</v>
      </c>
      <c r="U969" s="91" t="s">
        <v>213</v>
      </c>
      <c r="V969" s="92" t="s">
        <v>213</v>
      </c>
      <c r="W969" s="93" t="s">
        <v>213</v>
      </c>
      <c r="X969" s="92" t="s">
        <v>213</v>
      </c>
      <c r="Y969" s="90" t="s">
        <v>213</v>
      </c>
      <c r="Z969" s="93" t="s">
        <v>213</v>
      </c>
    </row>
    <row r="970" ht="15.75" customHeight="1">
      <c r="A970" s="84"/>
      <c r="B970" s="85"/>
      <c r="C970" s="85"/>
      <c r="D970" s="84"/>
      <c r="E970" s="84"/>
      <c r="F970" s="84"/>
      <c r="G970" s="86"/>
      <c r="H970" s="86"/>
      <c r="I970" s="87"/>
      <c r="J970" s="87"/>
      <c r="K970" s="88"/>
      <c r="L970" s="84"/>
      <c r="M970" s="84"/>
      <c r="N970" s="89" t="s">
        <v>213</v>
      </c>
      <c r="O970" s="89" t="s">
        <v>213</v>
      </c>
      <c r="P970" s="89" t="s">
        <v>213</v>
      </c>
      <c r="Q970" s="89" t="s">
        <v>213</v>
      </c>
      <c r="R970" s="89" t="s">
        <v>213</v>
      </c>
      <c r="S970" s="89" t="s">
        <v>213</v>
      </c>
      <c r="T970" s="90" t="s">
        <v>213</v>
      </c>
      <c r="U970" s="91" t="s">
        <v>213</v>
      </c>
      <c r="V970" s="92" t="s">
        <v>213</v>
      </c>
      <c r="W970" s="93" t="s">
        <v>213</v>
      </c>
      <c r="X970" s="92" t="s">
        <v>213</v>
      </c>
      <c r="Y970" s="90" t="s">
        <v>213</v>
      </c>
      <c r="Z970" s="93" t="s">
        <v>213</v>
      </c>
    </row>
    <row r="971" ht="15.75" customHeight="1">
      <c r="A971" s="84"/>
      <c r="B971" s="85"/>
      <c r="C971" s="85"/>
      <c r="D971" s="84"/>
      <c r="E971" s="84"/>
      <c r="F971" s="84"/>
      <c r="G971" s="86"/>
      <c r="H971" s="86"/>
      <c r="I971" s="87"/>
      <c r="J971" s="87"/>
      <c r="K971" s="88"/>
      <c r="L971" s="84"/>
      <c r="M971" s="84"/>
      <c r="N971" s="89" t="s">
        <v>213</v>
      </c>
      <c r="O971" s="89" t="s">
        <v>213</v>
      </c>
      <c r="P971" s="89" t="s">
        <v>213</v>
      </c>
      <c r="Q971" s="89" t="s">
        <v>213</v>
      </c>
      <c r="R971" s="89" t="s">
        <v>213</v>
      </c>
      <c r="S971" s="89" t="s">
        <v>213</v>
      </c>
      <c r="T971" s="90" t="s">
        <v>213</v>
      </c>
      <c r="U971" s="91" t="s">
        <v>213</v>
      </c>
      <c r="V971" s="92" t="s">
        <v>213</v>
      </c>
      <c r="W971" s="93" t="s">
        <v>213</v>
      </c>
      <c r="X971" s="92" t="s">
        <v>213</v>
      </c>
      <c r="Y971" s="90" t="s">
        <v>213</v>
      </c>
      <c r="Z971" s="93" t="s">
        <v>213</v>
      </c>
    </row>
    <row r="972" ht="15.75" customHeight="1">
      <c r="A972" s="84"/>
      <c r="B972" s="85"/>
      <c r="C972" s="85"/>
      <c r="D972" s="84"/>
      <c r="E972" s="84"/>
      <c r="F972" s="84"/>
      <c r="G972" s="86"/>
      <c r="H972" s="86"/>
      <c r="I972" s="87"/>
      <c r="J972" s="87"/>
      <c r="K972" s="88"/>
      <c r="L972" s="84"/>
      <c r="M972" s="84"/>
      <c r="N972" s="89" t="s">
        <v>213</v>
      </c>
      <c r="O972" s="89" t="s">
        <v>213</v>
      </c>
      <c r="P972" s="89" t="s">
        <v>213</v>
      </c>
      <c r="Q972" s="89" t="s">
        <v>213</v>
      </c>
      <c r="R972" s="89" t="s">
        <v>213</v>
      </c>
      <c r="S972" s="89" t="s">
        <v>213</v>
      </c>
      <c r="T972" s="90" t="s">
        <v>213</v>
      </c>
      <c r="U972" s="91" t="s">
        <v>213</v>
      </c>
      <c r="V972" s="92" t="s">
        <v>213</v>
      </c>
      <c r="W972" s="93" t="s">
        <v>213</v>
      </c>
      <c r="X972" s="92" t="s">
        <v>213</v>
      </c>
      <c r="Y972" s="90" t="s">
        <v>213</v>
      </c>
      <c r="Z972" s="93" t="s">
        <v>213</v>
      </c>
    </row>
    <row r="973" ht="15.75" customHeight="1">
      <c r="A973" s="84"/>
      <c r="B973" s="85"/>
      <c r="C973" s="85"/>
      <c r="D973" s="84"/>
      <c r="E973" s="84"/>
      <c r="F973" s="84"/>
      <c r="G973" s="86"/>
      <c r="H973" s="86"/>
      <c r="I973" s="87"/>
      <c r="J973" s="87"/>
      <c r="K973" s="88"/>
      <c r="L973" s="84"/>
      <c r="M973" s="84"/>
      <c r="N973" s="89" t="s">
        <v>213</v>
      </c>
      <c r="O973" s="89" t="s">
        <v>213</v>
      </c>
      <c r="P973" s="89" t="s">
        <v>213</v>
      </c>
      <c r="Q973" s="89" t="s">
        <v>213</v>
      </c>
      <c r="R973" s="89" t="s">
        <v>213</v>
      </c>
      <c r="S973" s="89" t="s">
        <v>213</v>
      </c>
      <c r="T973" s="90" t="s">
        <v>213</v>
      </c>
      <c r="U973" s="91" t="s">
        <v>213</v>
      </c>
      <c r="V973" s="92" t="s">
        <v>213</v>
      </c>
      <c r="W973" s="93" t="s">
        <v>213</v>
      </c>
      <c r="X973" s="92" t="s">
        <v>213</v>
      </c>
      <c r="Y973" s="90" t="s">
        <v>213</v>
      </c>
      <c r="Z973" s="93" t="s">
        <v>213</v>
      </c>
    </row>
    <row r="974" ht="15.75" customHeight="1">
      <c r="A974" s="84"/>
      <c r="B974" s="85"/>
      <c r="C974" s="85"/>
      <c r="D974" s="84"/>
      <c r="E974" s="84"/>
      <c r="F974" s="84"/>
      <c r="G974" s="86"/>
      <c r="H974" s="86"/>
      <c r="I974" s="87"/>
      <c r="J974" s="87"/>
      <c r="K974" s="88"/>
      <c r="L974" s="84"/>
      <c r="M974" s="84"/>
      <c r="N974" s="89" t="s">
        <v>213</v>
      </c>
      <c r="O974" s="89" t="s">
        <v>213</v>
      </c>
      <c r="P974" s="89" t="s">
        <v>213</v>
      </c>
      <c r="Q974" s="89" t="s">
        <v>213</v>
      </c>
      <c r="R974" s="89" t="s">
        <v>213</v>
      </c>
      <c r="S974" s="89" t="s">
        <v>213</v>
      </c>
      <c r="T974" s="90" t="s">
        <v>213</v>
      </c>
      <c r="U974" s="91" t="s">
        <v>213</v>
      </c>
      <c r="V974" s="92" t="s">
        <v>213</v>
      </c>
      <c r="W974" s="93" t="s">
        <v>213</v>
      </c>
      <c r="X974" s="92" t="s">
        <v>213</v>
      </c>
      <c r="Y974" s="90" t="s">
        <v>213</v>
      </c>
      <c r="Z974" s="93" t="s">
        <v>213</v>
      </c>
    </row>
    <row r="975" ht="15.75" customHeight="1">
      <c r="A975" s="84"/>
      <c r="B975" s="85"/>
      <c r="C975" s="85"/>
      <c r="D975" s="84"/>
      <c r="E975" s="84"/>
      <c r="F975" s="84"/>
      <c r="G975" s="86"/>
      <c r="H975" s="86"/>
      <c r="I975" s="87"/>
      <c r="J975" s="87"/>
      <c r="K975" s="88"/>
      <c r="L975" s="84"/>
      <c r="M975" s="84"/>
      <c r="N975" s="89" t="s">
        <v>213</v>
      </c>
      <c r="O975" s="89" t="s">
        <v>213</v>
      </c>
      <c r="P975" s="89" t="s">
        <v>213</v>
      </c>
      <c r="Q975" s="89" t="s">
        <v>213</v>
      </c>
      <c r="R975" s="89" t="s">
        <v>213</v>
      </c>
      <c r="S975" s="89" t="s">
        <v>213</v>
      </c>
      <c r="T975" s="90" t="s">
        <v>213</v>
      </c>
      <c r="U975" s="91" t="s">
        <v>213</v>
      </c>
      <c r="V975" s="92" t="s">
        <v>213</v>
      </c>
      <c r="W975" s="93" t="s">
        <v>213</v>
      </c>
      <c r="X975" s="92" t="s">
        <v>213</v>
      </c>
      <c r="Y975" s="90" t="s">
        <v>213</v>
      </c>
      <c r="Z975" s="93" t="s">
        <v>213</v>
      </c>
    </row>
    <row r="976" ht="15.75" customHeight="1">
      <c r="A976" s="84"/>
      <c r="B976" s="85"/>
      <c r="C976" s="85"/>
      <c r="D976" s="84"/>
      <c r="E976" s="84"/>
      <c r="F976" s="84"/>
      <c r="G976" s="86"/>
      <c r="H976" s="86"/>
      <c r="I976" s="87"/>
      <c r="J976" s="87"/>
      <c r="K976" s="88"/>
      <c r="L976" s="84"/>
      <c r="M976" s="84"/>
      <c r="N976" s="89" t="s">
        <v>213</v>
      </c>
      <c r="O976" s="89" t="s">
        <v>213</v>
      </c>
      <c r="P976" s="89" t="s">
        <v>213</v>
      </c>
      <c r="Q976" s="89" t="s">
        <v>213</v>
      </c>
      <c r="R976" s="89" t="s">
        <v>213</v>
      </c>
      <c r="S976" s="89" t="s">
        <v>213</v>
      </c>
      <c r="T976" s="90" t="s">
        <v>213</v>
      </c>
      <c r="U976" s="91" t="s">
        <v>213</v>
      </c>
      <c r="V976" s="92" t="s">
        <v>213</v>
      </c>
      <c r="W976" s="93" t="s">
        <v>213</v>
      </c>
      <c r="X976" s="92" t="s">
        <v>213</v>
      </c>
      <c r="Y976" s="90" t="s">
        <v>213</v>
      </c>
      <c r="Z976" s="93" t="s">
        <v>213</v>
      </c>
    </row>
    <row r="977" ht="15.75" customHeight="1">
      <c r="A977" s="84"/>
      <c r="B977" s="85"/>
      <c r="C977" s="85"/>
      <c r="D977" s="84"/>
      <c r="E977" s="84"/>
      <c r="F977" s="84"/>
      <c r="G977" s="86"/>
      <c r="H977" s="86"/>
      <c r="I977" s="87"/>
      <c r="J977" s="87"/>
      <c r="K977" s="88"/>
      <c r="L977" s="84"/>
      <c r="M977" s="84"/>
      <c r="N977" s="89" t="s">
        <v>213</v>
      </c>
      <c r="O977" s="89" t="s">
        <v>213</v>
      </c>
      <c r="P977" s="89" t="s">
        <v>213</v>
      </c>
      <c r="Q977" s="89" t="s">
        <v>213</v>
      </c>
      <c r="R977" s="89" t="s">
        <v>213</v>
      </c>
      <c r="S977" s="89" t="s">
        <v>213</v>
      </c>
      <c r="T977" s="90" t="s">
        <v>213</v>
      </c>
      <c r="U977" s="91" t="s">
        <v>213</v>
      </c>
      <c r="V977" s="92" t="s">
        <v>213</v>
      </c>
      <c r="W977" s="93" t="s">
        <v>213</v>
      </c>
      <c r="X977" s="92" t="s">
        <v>213</v>
      </c>
      <c r="Y977" s="90" t="s">
        <v>213</v>
      </c>
      <c r="Z977" s="93" t="s">
        <v>213</v>
      </c>
    </row>
    <row r="978" ht="15.75" customHeight="1">
      <c r="A978" s="84"/>
      <c r="B978" s="85"/>
      <c r="C978" s="85"/>
      <c r="D978" s="84"/>
      <c r="E978" s="84"/>
      <c r="F978" s="84"/>
      <c r="G978" s="86"/>
      <c r="H978" s="86"/>
      <c r="I978" s="87"/>
      <c r="J978" s="87"/>
      <c r="K978" s="88"/>
      <c r="L978" s="84"/>
      <c r="M978" s="84"/>
      <c r="N978" s="89" t="s">
        <v>213</v>
      </c>
      <c r="O978" s="89" t="s">
        <v>213</v>
      </c>
      <c r="P978" s="89" t="s">
        <v>213</v>
      </c>
      <c r="Q978" s="89" t="s">
        <v>213</v>
      </c>
      <c r="R978" s="89" t="s">
        <v>213</v>
      </c>
      <c r="S978" s="89" t="s">
        <v>213</v>
      </c>
      <c r="T978" s="90" t="s">
        <v>213</v>
      </c>
      <c r="U978" s="91" t="s">
        <v>213</v>
      </c>
      <c r="V978" s="92" t="s">
        <v>213</v>
      </c>
      <c r="W978" s="93" t="s">
        <v>213</v>
      </c>
      <c r="X978" s="92" t="s">
        <v>213</v>
      </c>
      <c r="Y978" s="90" t="s">
        <v>213</v>
      </c>
      <c r="Z978" s="93" t="s">
        <v>213</v>
      </c>
    </row>
    <row r="979" ht="15.75" customHeight="1">
      <c r="A979" s="84"/>
      <c r="B979" s="85"/>
      <c r="C979" s="85"/>
      <c r="D979" s="84"/>
      <c r="E979" s="84"/>
      <c r="F979" s="84"/>
      <c r="G979" s="86"/>
      <c r="H979" s="86"/>
      <c r="I979" s="87"/>
      <c r="J979" s="87"/>
      <c r="K979" s="88"/>
      <c r="L979" s="84"/>
      <c r="M979" s="84"/>
      <c r="N979" s="89" t="s">
        <v>213</v>
      </c>
      <c r="O979" s="89" t="s">
        <v>213</v>
      </c>
      <c r="P979" s="89" t="s">
        <v>213</v>
      </c>
      <c r="Q979" s="89" t="s">
        <v>213</v>
      </c>
      <c r="R979" s="89" t="s">
        <v>213</v>
      </c>
      <c r="S979" s="89" t="s">
        <v>213</v>
      </c>
      <c r="T979" s="90" t="s">
        <v>213</v>
      </c>
      <c r="U979" s="91" t="s">
        <v>213</v>
      </c>
      <c r="V979" s="92" t="s">
        <v>213</v>
      </c>
      <c r="W979" s="93" t="s">
        <v>213</v>
      </c>
      <c r="X979" s="92" t="s">
        <v>213</v>
      </c>
      <c r="Y979" s="90" t="s">
        <v>213</v>
      </c>
      <c r="Z979" s="93" t="s">
        <v>213</v>
      </c>
    </row>
    <row r="980" ht="15.75" customHeight="1">
      <c r="A980" s="84"/>
      <c r="B980" s="85"/>
      <c r="C980" s="85"/>
      <c r="D980" s="84"/>
      <c r="E980" s="84"/>
      <c r="F980" s="84"/>
      <c r="G980" s="86"/>
      <c r="H980" s="86"/>
      <c r="I980" s="87"/>
      <c r="J980" s="87"/>
      <c r="K980" s="88"/>
      <c r="L980" s="84"/>
      <c r="M980" s="84"/>
      <c r="N980" s="89" t="s">
        <v>213</v>
      </c>
      <c r="O980" s="89" t="s">
        <v>213</v>
      </c>
      <c r="P980" s="89" t="s">
        <v>213</v>
      </c>
      <c r="Q980" s="89" t="s">
        <v>213</v>
      </c>
      <c r="R980" s="89" t="s">
        <v>213</v>
      </c>
      <c r="S980" s="89" t="s">
        <v>213</v>
      </c>
      <c r="T980" s="90" t="s">
        <v>213</v>
      </c>
      <c r="U980" s="91" t="s">
        <v>213</v>
      </c>
      <c r="V980" s="92" t="s">
        <v>213</v>
      </c>
      <c r="W980" s="93" t="s">
        <v>213</v>
      </c>
      <c r="X980" s="92" t="s">
        <v>213</v>
      </c>
      <c r="Y980" s="90" t="s">
        <v>213</v>
      </c>
      <c r="Z980" s="93" t="s">
        <v>213</v>
      </c>
    </row>
    <row r="981" ht="15.75" customHeight="1">
      <c r="A981" s="84"/>
      <c r="B981" s="85"/>
      <c r="C981" s="85"/>
      <c r="D981" s="84"/>
      <c r="E981" s="84"/>
      <c r="F981" s="84"/>
      <c r="G981" s="86"/>
      <c r="H981" s="86"/>
      <c r="I981" s="87"/>
      <c r="J981" s="87"/>
      <c r="K981" s="88"/>
      <c r="L981" s="84"/>
      <c r="M981" s="84"/>
      <c r="N981" s="89" t="s">
        <v>213</v>
      </c>
      <c r="O981" s="89" t="s">
        <v>213</v>
      </c>
      <c r="P981" s="89" t="s">
        <v>213</v>
      </c>
      <c r="Q981" s="89" t="s">
        <v>213</v>
      </c>
      <c r="R981" s="89" t="s">
        <v>213</v>
      </c>
      <c r="S981" s="89" t="s">
        <v>213</v>
      </c>
      <c r="T981" s="90" t="s">
        <v>213</v>
      </c>
      <c r="U981" s="91" t="s">
        <v>213</v>
      </c>
      <c r="V981" s="92" t="s">
        <v>213</v>
      </c>
      <c r="W981" s="93" t="s">
        <v>213</v>
      </c>
      <c r="X981" s="92" t="s">
        <v>213</v>
      </c>
      <c r="Y981" s="90" t="s">
        <v>213</v>
      </c>
      <c r="Z981" s="93" t="s">
        <v>213</v>
      </c>
    </row>
    <row r="982" ht="15.75" customHeight="1">
      <c r="A982" s="84"/>
      <c r="B982" s="85"/>
      <c r="C982" s="85"/>
      <c r="D982" s="84"/>
      <c r="E982" s="84"/>
      <c r="F982" s="84"/>
      <c r="G982" s="86"/>
      <c r="H982" s="86"/>
      <c r="I982" s="87"/>
      <c r="J982" s="87"/>
      <c r="K982" s="88"/>
      <c r="L982" s="84"/>
      <c r="M982" s="84"/>
      <c r="N982" s="89" t="s">
        <v>213</v>
      </c>
      <c r="O982" s="89" t="s">
        <v>213</v>
      </c>
      <c r="P982" s="89" t="s">
        <v>213</v>
      </c>
      <c r="Q982" s="89" t="s">
        <v>213</v>
      </c>
      <c r="R982" s="89" t="s">
        <v>213</v>
      </c>
      <c r="S982" s="89" t="s">
        <v>213</v>
      </c>
      <c r="T982" s="90" t="s">
        <v>213</v>
      </c>
      <c r="U982" s="91" t="s">
        <v>213</v>
      </c>
      <c r="V982" s="92" t="s">
        <v>213</v>
      </c>
      <c r="W982" s="93" t="s">
        <v>213</v>
      </c>
      <c r="X982" s="92" t="s">
        <v>213</v>
      </c>
      <c r="Y982" s="90" t="s">
        <v>213</v>
      </c>
      <c r="Z982" s="93" t="s">
        <v>213</v>
      </c>
    </row>
    <row r="983" ht="15.75" customHeight="1">
      <c r="A983" s="84"/>
      <c r="B983" s="85"/>
      <c r="C983" s="85"/>
      <c r="D983" s="84"/>
      <c r="E983" s="84"/>
      <c r="F983" s="84"/>
      <c r="G983" s="86"/>
      <c r="H983" s="86"/>
      <c r="I983" s="87"/>
      <c r="J983" s="87"/>
      <c r="K983" s="88"/>
      <c r="L983" s="84"/>
      <c r="M983" s="84"/>
      <c r="N983" s="89" t="s">
        <v>213</v>
      </c>
      <c r="O983" s="89" t="s">
        <v>213</v>
      </c>
      <c r="P983" s="89" t="s">
        <v>213</v>
      </c>
      <c r="Q983" s="89" t="s">
        <v>213</v>
      </c>
      <c r="R983" s="89" t="s">
        <v>213</v>
      </c>
      <c r="S983" s="89" t="s">
        <v>213</v>
      </c>
      <c r="T983" s="90" t="s">
        <v>213</v>
      </c>
      <c r="U983" s="91" t="s">
        <v>213</v>
      </c>
      <c r="V983" s="92" t="s">
        <v>213</v>
      </c>
      <c r="W983" s="93" t="s">
        <v>213</v>
      </c>
      <c r="X983" s="92" t="s">
        <v>213</v>
      </c>
      <c r="Y983" s="90" t="s">
        <v>213</v>
      </c>
      <c r="Z983" s="93" t="s">
        <v>213</v>
      </c>
    </row>
    <row r="984" ht="15.75" customHeight="1">
      <c r="A984" s="84"/>
      <c r="B984" s="85"/>
      <c r="C984" s="85"/>
      <c r="D984" s="84"/>
      <c r="E984" s="84"/>
      <c r="F984" s="84"/>
      <c r="G984" s="86"/>
      <c r="H984" s="86"/>
      <c r="I984" s="87"/>
      <c r="J984" s="87"/>
      <c r="K984" s="88"/>
      <c r="L984" s="84"/>
      <c r="M984" s="84"/>
      <c r="N984" s="89" t="s">
        <v>213</v>
      </c>
      <c r="O984" s="89" t="s">
        <v>213</v>
      </c>
      <c r="P984" s="89" t="s">
        <v>213</v>
      </c>
      <c r="Q984" s="89" t="s">
        <v>213</v>
      </c>
      <c r="R984" s="89" t="s">
        <v>213</v>
      </c>
      <c r="S984" s="89" t="s">
        <v>213</v>
      </c>
      <c r="T984" s="90" t="s">
        <v>213</v>
      </c>
      <c r="U984" s="91" t="s">
        <v>213</v>
      </c>
      <c r="V984" s="92" t="s">
        <v>213</v>
      </c>
      <c r="W984" s="93" t="s">
        <v>213</v>
      </c>
      <c r="X984" s="92" t="s">
        <v>213</v>
      </c>
      <c r="Y984" s="90" t="s">
        <v>213</v>
      </c>
      <c r="Z984" s="93" t="s">
        <v>213</v>
      </c>
    </row>
    <row r="985" ht="15.75" customHeight="1">
      <c r="A985" s="84"/>
      <c r="B985" s="85"/>
      <c r="C985" s="85"/>
      <c r="D985" s="84"/>
      <c r="E985" s="84"/>
      <c r="F985" s="84"/>
      <c r="G985" s="86"/>
      <c r="H985" s="86"/>
      <c r="I985" s="87"/>
      <c r="J985" s="87"/>
      <c r="K985" s="88"/>
      <c r="L985" s="84"/>
      <c r="M985" s="84"/>
      <c r="N985" s="89" t="s">
        <v>213</v>
      </c>
      <c r="O985" s="89" t="s">
        <v>213</v>
      </c>
      <c r="P985" s="89" t="s">
        <v>213</v>
      </c>
      <c r="Q985" s="89" t="s">
        <v>213</v>
      </c>
      <c r="R985" s="89" t="s">
        <v>213</v>
      </c>
      <c r="S985" s="89" t="s">
        <v>213</v>
      </c>
      <c r="T985" s="90" t="s">
        <v>213</v>
      </c>
      <c r="U985" s="91" t="s">
        <v>213</v>
      </c>
      <c r="V985" s="92" t="s">
        <v>213</v>
      </c>
      <c r="W985" s="93" t="s">
        <v>213</v>
      </c>
      <c r="X985" s="92" t="s">
        <v>213</v>
      </c>
      <c r="Y985" s="90" t="s">
        <v>213</v>
      </c>
      <c r="Z985" s="93" t="s">
        <v>213</v>
      </c>
    </row>
    <row r="986" ht="15.75" customHeight="1">
      <c r="A986" s="84"/>
      <c r="B986" s="85"/>
      <c r="C986" s="85"/>
      <c r="D986" s="84"/>
      <c r="E986" s="84"/>
      <c r="F986" s="84"/>
      <c r="G986" s="86"/>
      <c r="H986" s="86"/>
      <c r="I986" s="87"/>
      <c r="J986" s="87"/>
      <c r="K986" s="88"/>
      <c r="L986" s="84"/>
      <c r="M986" s="84"/>
      <c r="N986" s="89" t="s">
        <v>213</v>
      </c>
      <c r="O986" s="89" t="s">
        <v>213</v>
      </c>
      <c r="P986" s="89" t="s">
        <v>213</v>
      </c>
      <c r="Q986" s="89" t="s">
        <v>213</v>
      </c>
      <c r="R986" s="89" t="s">
        <v>213</v>
      </c>
      <c r="S986" s="89" t="s">
        <v>213</v>
      </c>
      <c r="T986" s="90" t="s">
        <v>213</v>
      </c>
      <c r="U986" s="91" t="s">
        <v>213</v>
      </c>
      <c r="V986" s="92" t="s">
        <v>213</v>
      </c>
      <c r="W986" s="93" t="s">
        <v>213</v>
      </c>
      <c r="X986" s="92" t="s">
        <v>213</v>
      </c>
      <c r="Y986" s="90" t="s">
        <v>213</v>
      </c>
      <c r="Z986" s="93" t="s">
        <v>213</v>
      </c>
    </row>
    <row r="987" ht="15.75" customHeight="1">
      <c r="A987" s="84"/>
      <c r="B987" s="85"/>
      <c r="C987" s="85"/>
      <c r="D987" s="84"/>
      <c r="E987" s="84"/>
      <c r="F987" s="84"/>
      <c r="G987" s="86"/>
      <c r="H987" s="86"/>
      <c r="I987" s="87"/>
      <c r="J987" s="87"/>
      <c r="K987" s="88"/>
      <c r="L987" s="84"/>
      <c r="M987" s="84"/>
      <c r="N987" s="89" t="s">
        <v>213</v>
      </c>
      <c r="O987" s="89" t="s">
        <v>213</v>
      </c>
      <c r="P987" s="89" t="s">
        <v>213</v>
      </c>
      <c r="Q987" s="89" t="s">
        <v>213</v>
      </c>
      <c r="R987" s="89" t="s">
        <v>213</v>
      </c>
      <c r="S987" s="89" t="s">
        <v>213</v>
      </c>
      <c r="T987" s="90" t="s">
        <v>213</v>
      </c>
      <c r="U987" s="91" t="s">
        <v>213</v>
      </c>
      <c r="V987" s="92" t="s">
        <v>213</v>
      </c>
      <c r="W987" s="93" t="s">
        <v>213</v>
      </c>
      <c r="X987" s="92" t="s">
        <v>213</v>
      </c>
      <c r="Y987" s="90" t="s">
        <v>213</v>
      </c>
      <c r="Z987" s="93" t="s">
        <v>213</v>
      </c>
    </row>
    <row r="988" ht="15.75" customHeight="1">
      <c r="A988" s="84"/>
      <c r="B988" s="85"/>
      <c r="C988" s="85"/>
      <c r="D988" s="84"/>
      <c r="E988" s="84"/>
      <c r="F988" s="84"/>
      <c r="G988" s="86"/>
      <c r="H988" s="86"/>
      <c r="I988" s="87"/>
      <c r="J988" s="87"/>
      <c r="K988" s="88"/>
      <c r="L988" s="84"/>
      <c r="M988" s="84"/>
      <c r="N988" s="89" t="s">
        <v>213</v>
      </c>
      <c r="O988" s="89" t="s">
        <v>213</v>
      </c>
      <c r="P988" s="89" t="s">
        <v>213</v>
      </c>
      <c r="Q988" s="89" t="s">
        <v>213</v>
      </c>
      <c r="R988" s="89" t="s">
        <v>213</v>
      </c>
      <c r="S988" s="89" t="s">
        <v>213</v>
      </c>
      <c r="T988" s="90" t="s">
        <v>213</v>
      </c>
      <c r="U988" s="91" t="s">
        <v>213</v>
      </c>
      <c r="V988" s="92" t="s">
        <v>213</v>
      </c>
      <c r="W988" s="93" t="s">
        <v>213</v>
      </c>
      <c r="X988" s="92" t="s">
        <v>213</v>
      </c>
      <c r="Y988" s="90" t="s">
        <v>213</v>
      </c>
      <c r="Z988" s="93" t="s">
        <v>213</v>
      </c>
    </row>
    <row r="989" ht="15.75" customHeight="1">
      <c r="A989" s="84"/>
      <c r="B989" s="85"/>
      <c r="C989" s="85"/>
      <c r="D989" s="84"/>
      <c r="E989" s="84"/>
      <c r="F989" s="84"/>
      <c r="G989" s="86"/>
      <c r="H989" s="86"/>
      <c r="I989" s="87"/>
      <c r="J989" s="87"/>
      <c r="K989" s="88"/>
      <c r="L989" s="84"/>
      <c r="M989" s="84"/>
      <c r="N989" s="89" t="s">
        <v>213</v>
      </c>
      <c r="O989" s="89" t="s">
        <v>213</v>
      </c>
      <c r="P989" s="89" t="s">
        <v>213</v>
      </c>
      <c r="Q989" s="89" t="s">
        <v>213</v>
      </c>
      <c r="R989" s="89" t="s">
        <v>213</v>
      </c>
      <c r="S989" s="89" t="s">
        <v>213</v>
      </c>
      <c r="T989" s="90" t="s">
        <v>213</v>
      </c>
      <c r="U989" s="91" t="s">
        <v>213</v>
      </c>
      <c r="V989" s="92" t="s">
        <v>213</v>
      </c>
      <c r="W989" s="93" t="s">
        <v>213</v>
      </c>
      <c r="X989" s="92" t="s">
        <v>213</v>
      </c>
      <c r="Y989" s="90" t="s">
        <v>213</v>
      </c>
      <c r="Z989" s="93" t="s">
        <v>213</v>
      </c>
    </row>
    <row r="990" ht="15.75" customHeight="1">
      <c r="A990" s="84"/>
      <c r="B990" s="85"/>
      <c r="C990" s="85"/>
      <c r="D990" s="84"/>
      <c r="E990" s="84"/>
      <c r="F990" s="84"/>
      <c r="G990" s="86"/>
      <c r="H990" s="86"/>
      <c r="I990" s="87"/>
      <c r="J990" s="87"/>
      <c r="K990" s="88"/>
      <c r="L990" s="84"/>
      <c r="M990" s="84"/>
      <c r="N990" s="89" t="s">
        <v>213</v>
      </c>
      <c r="O990" s="89" t="s">
        <v>213</v>
      </c>
      <c r="P990" s="89" t="s">
        <v>213</v>
      </c>
      <c r="Q990" s="89" t="s">
        <v>213</v>
      </c>
      <c r="R990" s="89" t="s">
        <v>213</v>
      </c>
      <c r="S990" s="89" t="s">
        <v>213</v>
      </c>
      <c r="T990" s="90" t="s">
        <v>213</v>
      </c>
      <c r="U990" s="91" t="s">
        <v>213</v>
      </c>
      <c r="V990" s="92" t="s">
        <v>213</v>
      </c>
      <c r="W990" s="93" t="s">
        <v>213</v>
      </c>
      <c r="X990" s="92" t="s">
        <v>213</v>
      </c>
      <c r="Y990" s="90" t="s">
        <v>213</v>
      </c>
      <c r="Z990" s="93" t="s">
        <v>213</v>
      </c>
    </row>
    <row r="991" ht="15.75" customHeight="1">
      <c r="A991" s="84"/>
      <c r="B991" s="85"/>
      <c r="C991" s="85"/>
      <c r="D991" s="84"/>
      <c r="E991" s="84"/>
      <c r="F991" s="84"/>
      <c r="G991" s="86"/>
      <c r="H991" s="86"/>
      <c r="I991" s="87"/>
      <c r="J991" s="87"/>
      <c r="K991" s="88"/>
      <c r="L991" s="84"/>
      <c r="M991" s="84"/>
      <c r="N991" s="89" t="s">
        <v>213</v>
      </c>
      <c r="O991" s="89" t="s">
        <v>213</v>
      </c>
      <c r="P991" s="89" t="s">
        <v>213</v>
      </c>
      <c r="Q991" s="89" t="s">
        <v>213</v>
      </c>
      <c r="R991" s="89" t="s">
        <v>213</v>
      </c>
      <c r="S991" s="89" t="s">
        <v>213</v>
      </c>
      <c r="T991" s="90" t="s">
        <v>213</v>
      </c>
      <c r="U991" s="91" t="s">
        <v>213</v>
      </c>
      <c r="V991" s="92" t="s">
        <v>213</v>
      </c>
      <c r="W991" s="93" t="s">
        <v>213</v>
      </c>
      <c r="X991" s="92" t="s">
        <v>213</v>
      </c>
      <c r="Y991" s="90" t="s">
        <v>213</v>
      </c>
      <c r="Z991" s="93" t="s">
        <v>213</v>
      </c>
    </row>
    <row r="992" ht="15.75" customHeight="1">
      <c r="A992" s="84"/>
      <c r="B992" s="85"/>
      <c r="C992" s="85"/>
      <c r="D992" s="84"/>
      <c r="E992" s="84"/>
      <c r="F992" s="84"/>
      <c r="G992" s="86"/>
      <c r="H992" s="86"/>
      <c r="I992" s="87"/>
      <c r="J992" s="87"/>
      <c r="K992" s="88"/>
      <c r="L992" s="84"/>
      <c r="M992" s="84"/>
      <c r="N992" s="89" t="s">
        <v>213</v>
      </c>
      <c r="O992" s="89" t="s">
        <v>213</v>
      </c>
      <c r="P992" s="89" t="s">
        <v>213</v>
      </c>
      <c r="Q992" s="89" t="s">
        <v>213</v>
      </c>
      <c r="R992" s="89" t="s">
        <v>213</v>
      </c>
      <c r="S992" s="89" t="s">
        <v>213</v>
      </c>
      <c r="T992" s="90" t="s">
        <v>213</v>
      </c>
      <c r="U992" s="91" t="s">
        <v>213</v>
      </c>
      <c r="V992" s="92" t="s">
        <v>213</v>
      </c>
      <c r="W992" s="93" t="s">
        <v>213</v>
      </c>
      <c r="X992" s="92" t="s">
        <v>213</v>
      </c>
      <c r="Y992" s="90" t="s">
        <v>213</v>
      </c>
      <c r="Z992" s="93" t="s">
        <v>213</v>
      </c>
    </row>
    <row r="993" ht="15.75" customHeight="1">
      <c r="A993" s="84"/>
      <c r="B993" s="85"/>
      <c r="C993" s="85"/>
      <c r="D993" s="84"/>
      <c r="E993" s="84"/>
      <c r="F993" s="84"/>
      <c r="G993" s="86"/>
      <c r="H993" s="86"/>
      <c r="I993" s="87"/>
      <c r="J993" s="87"/>
      <c r="K993" s="88"/>
      <c r="L993" s="84"/>
      <c r="M993" s="84"/>
      <c r="N993" s="89" t="s">
        <v>213</v>
      </c>
      <c r="O993" s="89" t="s">
        <v>213</v>
      </c>
      <c r="P993" s="89" t="s">
        <v>213</v>
      </c>
      <c r="Q993" s="89" t="s">
        <v>213</v>
      </c>
      <c r="R993" s="89" t="s">
        <v>213</v>
      </c>
      <c r="S993" s="89" t="s">
        <v>213</v>
      </c>
      <c r="T993" s="90" t="s">
        <v>213</v>
      </c>
      <c r="U993" s="91" t="s">
        <v>213</v>
      </c>
      <c r="V993" s="92" t="s">
        <v>213</v>
      </c>
      <c r="W993" s="93" t="s">
        <v>213</v>
      </c>
      <c r="X993" s="92" t="s">
        <v>213</v>
      </c>
      <c r="Y993" s="90" t="s">
        <v>213</v>
      </c>
      <c r="Z993" s="93" t="s">
        <v>213</v>
      </c>
    </row>
    <row r="994" ht="15.75" customHeight="1">
      <c r="A994" s="84"/>
      <c r="B994" s="85"/>
      <c r="C994" s="85"/>
      <c r="D994" s="84"/>
      <c r="E994" s="84"/>
      <c r="F994" s="84"/>
      <c r="G994" s="86"/>
      <c r="H994" s="86"/>
      <c r="I994" s="87"/>
      <c r="J994" s="87"/>
      <c r="K994" s="88"/>
      <c r="L994" s="84"/>
      <c r="M994" s="84"/>
      <c r="N994" s="89" t="s">
        <v>213</v>
      </c>
      <c r="O994" s="89" t="s">
        <v>213</v>
      </c>
      <c r="P994" s="89" t="s">
        <v>213</v>
      </c>
      <c r="Q994" s="89" t="s">
        <v>213</v>
      </c>
      <c r="R994" s="89" t="s">
        <v>213</v>
      </c>
      <c r="S994" s="89" t="s">
        <v>213</v>
      </c>
      <c r="T994" s="90" t="s">
        <v>213</v>
      </c>
      <c r="U994" s="91" t="s">
        <v>213</v>
      </c>
      <c r="V994" s="92" t="s">
        <v>213</v>
      </c>
      <c r="W994" s="93" t="s">
        <v>213</v>
      </c>
      <c r="X994" s="92" t="s">
        <v>213</v>
      </c>
      <c r="Y994" s="90" t="s">
        <v>213</v>
      </c>
      <c r="Z994" s="93" t="s">
        <v>213</v>
      </c>
    </row>
    <row r="995" ht="15.75" customHeight="1">
      <c r="A995" s="84"/>
      <c r="B995" s="85"/>
      <c r="C995" s="85"/>
      <c r="D995" s="84"/>
      <c r="E995" s="84"/>
      <c r="F995" s="84"/>
      <c r="G995" s="86"/>
      <c r="H995" s="86"/>
      <c r="I995" s="87"/>
      <c r="J995" s="87"/>
      <c r="K995" s="88"/>
      <c r="L995" s="84"/>
      <c r="M995" s="84"/>
      <c r="N995" s="89" t="s">
        <v>213</v>
      </c>
      <c r="O995" s="89" t="s">
        <v>213</v>
      </c>
      <c r="P995" s="89" t="s">
        <v>213</v>
      </c>
      <c r="Q995" s="89" t="s">
        <v>213</v>
      </c>
      <c r="R995" s="89" t="s">
        <v>213</v>
      </c>
      <c r="S995" s="89" t="s">
        <v>213</v>
      </c>
      <c r="T995" s="90" t="s">
        <v>213</v>
      </c>
      <c r="U995" s="91" t="s">
        <v>213</v>
      </c>
      <c r="V995" s="92" t="s">
        <v>213</v>
      </c>
      <c r="W995" s="93" t="s">
        <v>213</v>
      </c>
      <c r="X995" s="92" t="s">
        <v>213</v>
      </c>
      <c r="Y995" s="90" t="s">
        <v>213</v>
      </c>
      <c r="Z995" s="93" t="s">
        <v>213</v>
      </c>
    </row>
    <row r="996" ht="15.75" customHeight="1">
      <c r="A996" s="84"/>
      <c r="B996" s="85"/>
      <c r="C996" s="85"/>
      <c r="D996" s="84"/>
      <c r="E996" s="84"/>
      <c r="F996" s="84"/>
      <c r="G996" s="86"/>
      <c r="H996" s="86"/>
      <c r="I996" s="87"/>
      <c r="J996" s="87"/>
      <c r="K996" s="88"/>
      <c r="L996" s="84"/>
      <c r="M996" s="84"/>
      <c r="N996" s="89" t="s">
        <v>213</v>
      </c>
      <c r="O996" s="89" t="s">
        <v>213</v>
      </c>
      <c r="P996" s="89" t="s">
        <v>213</v>
      </c>
      <c r="Q996" s="89" t="s">
        <v>213</v>
      </c>
      <c r="R996" s="89" t="s">
        <v>213</v>
      </c>
      <c r="S996" s="89" t="s">
        <v>213</v>
      </c>
      <c r="T996" s="90" t="s">
        <v>213</v>
      </c>
      <c r="U996" s="91" t="s">
        <v>213</v>
      </c>
      <c r="V996" s="92" t="s">
        <v>213</v>
      </c>
      <c r="W996" s="93" t="s">
        <v>213</v>
      </c>
      <c r="X996" s="92" t="s">
        <v>213</v>
      </c>
      <c r="Y996" s="90" t="s">
        <v>213</v>
      </c>
      <c r="Z996" s="93" t="s">
        <v>213</v>
      </c>
    </row>
    <row r="997" ht="15.75" customHeight="1">
      <c r="A997" s="84"/>
      <c r="B997" s="85"/>
      <c r="C997" s="85"/>
      <c r="D997" s="84"/>
      <c r="E997" s="84"/>
      <c r="F997" s="84"/>
      <c r="G997" s="86"/>
      <c r="H997" s="86"/>
      <c r="I997" s="87"/>
      <c r="J997" s="87"/>
      <c r="K997" s="88"/>
      <c r="L997" s="84"/>
      <c r="M997" s="84"/>
      <c r="N997" s="89" t="s">
        <v>213</v>
      </c>
      <c r="O997" s="89" t="s">
        <v>213</v>
      </c>
      <c r="P997" s="89" t="s">
        <v>213</v>
      </c>
      <c r="Q997" s="89" t="s">
        <v>213</v>
      </c>
      <c r="R997" s="89" t="s">
        <v>213</v>
      </c>
      <c r="S997" s="89" t="s">
        <v>213</v>
      </c>
      <c r="T997" s="90" t="s">
        <v>213</v>
      </c>
      <c r="U997" s="91" t="s">
        <v>213</v>
      </c>
      <c r="V997" s="92" t="s">
        <v>213</v>
      </c>
      <c r="W997" s="93" t="s">
        <v>213</v>
      </c>
      <c r="X997" s="92" t="s">
        <v>213</v>
      </c>
      <c r="Y997" s="90" t="s">
        <v>213</v>
      </c>
      <c r="Z997" s="93" t="s">
        <v>213</v>
      </c>
    </row>
    <row r="998" ht="15.75" customHeight="1">
      <c r="A998" s="84"/>
      <c r="B998" s="85"/>
      <c r="C998" s="85"/>
      <c r="D998" s="84"/>
      <c r="E998" s="84"/>
      <c r="F998" s="84"/>
      <c r="G998" s="86"/>
      <c r="H998" s="86"/>
      <c r="I998" s="87"/>
      <c r="J998" s="87"/>
      <c r="K998" s="88"/>
      <c r="L998" s="84"/>
      <c r="M998" s="84"/>
      <c r="N998" s="89" t="s">
        <v>213</v>
      </c>
      <c r="O998" s="89" t="s">
        <v>213</v>
      </c>
      <c r="P998" s="89" t="s">
        <v>213</v>
      </c>
      <c r="Q998" s="89" t="s">
        <v>213</v>
      </c>
      <c r="R998" s="89" t="s">
        <v>213</v>
      </c>
      <c r="S998" s="89" t="s">
        <v>213</v>
      </c>
      <c r="T998" s="90" t="s">
        <v>213</v>
      </c>
      <c r="U998" s="91" t="s">
        <v>213</v>
      </c>
      <c r="V998" s="92" t="s">
        <v>213</v>
      </c>
      <c r="W998" s="93" t="s">
        <v>213</v>
      </c>
      <c r="X998" s="92" t="s">
        <v>213</v>
      </c>
      <c r="Y998" s="90" t="s">
        <v>213</v>
      </c>
      <c r="Z998" s="93" t="s">
        <v>213</v>
      </c>
    </row>
    <row r="999" ht="15.75" customHeight="1">
      <c r="A999" s="84"/>
      <c r="B999" s="85"/>
      <c r="C999" s="85"/>
      <c r="D999" s="84"/>
      <c r="E999" s="84"/>
      <c r="F999" s="84"/>
      <c r="G999" s="86"/>
      <c r="H999" s="86"/>
      <c r="I999" s="87"/>
      <c r="J999" s="87"/>
      <c r="K999" s="88"/>
      <c r="L999" s="84"/>
      <c r="M999" s="84"/>
      <c r="N999" s="89" t="s">
        <v>213</v>
      </c>
      <c r="O999" s="89" t="s">
        <v>213</v>
      </c>
      <c r="P999" s="89" t="s">
        <v>213</v>
      </c>
      <c r="Q999" s="89" t="s">
        <v>213</v>
      </c>
      <c r="R999" s="89" t="s">
        <v>213</v>
      </c>
      <c r="S999" s="89" t="s">
        <v>213</v>
      </c>
      <c r="T999" s="90" t="s">
        <v>213</v>
      </c>
      <c r="U999" s="91" t="s">
        <v>213</v>
      </c>
      <c r="V999" s="92" t="s">
        <v>213</v>
      </c>
      <c r="W999" s="93" t="s">
        <v>213</v>
      </c>
      <c r="X999" s="92" t="s">
        <v>213</v>
      </c>
      <c r="Y999" s="90" t="s">
        <v>213</v>
      </c>
      <c r="Z999" s="93" t="s">
        <v>213</v>
      </c>
    </row>
    <row r="1000" ht="15.75" customHeight="1">
      <c r="A1000" s="84"/>
      <c r="B1000" s="85"/>
      <c r="C1000" s="85"/>
      <c r="D1000" s="84"/>
      <c r="E1000" s="84"/>
      <c r="F1000" s="84"/>
      <c r="G1000" s="86"/>
      <c r="H1000" s="86"/>
      <c r="I1000" s="87"/>
      <c r="J1000" s="87"/>
      <c r="K1000" s="88"/>
      <c r="L1000" s="84"/>
      <c r="M1000" s="84"/>
      <c r="N1000" s="89" t="s">
        <v>213</v>
      </c>
      <c r="O1000" s="89" t="s">
        <v>213</v>
      </c>
      <c r="P1000" s="89" t="s">
        <v>213</v>
      </c>
      <c r="Q1000" s="89" t="s">
        <v>213</v>
      </c>
      <c r="R1000" s="89" t="s">
        <v>213</v>
      </c>
      <c r="S1000" s="89" t="s">
        <v>213</v>
      </c>
      <c r="T1000" s="90" t="s">
        <v>213</v>
      </c>
      <c r="U1000" s="91" t="s">
        <v>213</v>
      </c>
      <c r="V1000" s="92" t="s">
        <v>213</v>
      </c>
      <c r="W1000" s="93" t="s">
        <v>213</v>
      </c>
      <c r="X1000" s="92" t="s">
        <v>213</v>
      </c>
      <c r="Y1000" s="90" t="s">
        <v>213</v>
      </c>
      <c r="Z1000" s="93" t="s">
        <v>213</v>
      </c>
    </row>
  </sheetData>
  <mergeCells count="4">
    <mergeCell ref="A1:Z1"/>
    <mergeCell ref="A2:Z2"/>
    <mergeCell ref="A3:M3"/>
    <mergeCell ref="N3:Z3"/>
  </mergeCells>
  <conditionalFormatting sqref="W5:W1000">
    <cfRule type="cellIs" dxfId="0" priority="1" stopIfTrue="1" operator="greaterThan">
      <formula>0</formula>
    </cfRule>
  </conditionalFormatting>
  <conditionalFormatting sqref="W5:W1000">
    <cfRule type="cellIs" dxfId="1" priority="2" stopIfTrue="1" operator="lessThan">
      <formula>0</formula>
    </cfRule>
  </conditionalFormatting>
  <conditionalFormatting sqref="W5:W1000">
    <cfRule type="cellIs" dxfId="6" priority="3" stopIfTrue="1" operator="equal">
      <formula>0</formula>
    </cfRule>
  </conditionalFormatting>
  <conditionalFormatting sqref="Z5:Z1000">
    <cfRule type="cellIs" dxfId="0" priority="4" stopIfTrue="1" operator="greaterThan">
      <formula>0</formula>
    </cfRule>
  </conditionalFormatting>
  <conditionalFormatting sqref="Z5:Z1000">
    <cfRule type="cellIs" dxfId="1" priority="5" stopIfTrue="1" operator="lessThan">
      <formula>0</formula>
    </cfRule>
  </conditionalFormatting>
  <conditionalFormatting sqref="Z5:Z1000">
    <cfRule type="cellIs" dxfId="0" priority="6" stopIfTrue="1" operator="greaterThan">
      <formula>0</formula>
    </cfRule>
  </conditionalFormatting>
  <conditionalFormatting sqref="Z5:Z1000">
    <cfRule type="cellIs" dxfId="1" priority="7" stopIfTrue="1" operator="lessThan">
      <formula>0</formula>
    </cfRule>
  </conditionalFormatting>
  <conditionalFormatting sqref="Z5:Z1000">
    <cfRule type="cellIs" dxfId="0" priority="8" stopIfTrue="1" operator="greaterThan">
      <formula>0</formula>
    </cfRule>
  </conditionalFormatting>
  <conditionalFormatting sqref="Z5:Z1000">
    <cfRule type="cellIs" dxfId="1" priority="9" stopIfTrue="1" operator="lessThan">
      <formula>0</formula>
    </cfRule>
  </conditionalFormatting>
  <conditionalFormatting sqref="Z5:Z1000">
    <cfRule type="cellIs" dxfId="0" priority="10" stopIfTrue="1" operator="greaterThan">
      <formula>0</formula>
    </cfRule>
  </conditionalFormatting>
  <conditionalFormatting sqref="Z5:Z1000">
    <cfRule type="cellIs" dxfId="1" priority="11" stopIfTrue="1" operator="lessThan">
      <formula>0</formula>
    </cfRule>
  </conditionalFormatting>
  <dataValidations>
    <dataValidation type="list" allowBlank="1" sqref="F5:F504 F506:F1000">
      <formula1>"Cash,Points,Hybrid,Free Game — completed challenge/chips,Subscription — membership charge only"</formula1>
    </dataValidation>
    <dataValidation type="list" allowBlank="1" showErrorMessage="1" sqref="D5:D504 D506:D1000">
      <formula1>"Estimate,Finalized"</formula1>
    </dataValidation>
    <dataValidation type="list" allowBlank="1" showErrorMessage="1" sqref="L5:L504 L506:L1000">
      <formula1>"No,Yes"</formula1>
    </dataValidation>
    <dataValidation type="list" allowBlank="1" showErrorMessage="1" sqref="E5:E504 E506:E1000">
      <formula1>"Member,Non-Member,N/A"</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2.0"/>
    <col customWidth="1" min="2" max="2" width="18.0"/>
    <col customWidth="1" min="3" max="3" width="24.0"/>
    <col customWidth="1" min="4" max="4" width="18.0"/>
    <col customWidth="1" min="5" max="5" width="22.0"/>
    <col customWidth="1" min="6" max="6" width="30.0"/>
    <col customWidth="1" min="7" max="7" width="34.0"/>
    <col customWidth="1" hidden="1" min="8" max="8" width="2.0"/>
    <col customWidth="1" min="9" max="9" width="24.0"/>
    <col customWidth="1" min="10" max="10" width="12.0"/>
    <col customWidth="1" min="11" max="26" width="8.63"/>
  </cols>
  <sheetData>
    <row r="1" ht="21.75" customHeight="1">
      <c r="A1" s="2" t="s">
        <v>2</v>
      </c>
      <c r="H1" s="2"/>
      <c r="I1" s="2"/>
      <c r="J1" s="2"/>
      <c r="K1" s="2"/>
      <c r="L1" s="2"/>
      <c r="M1" s="2"/>
      <c r="N1" s="2"/>
      <c r="O1" s="2"/>
      <c r="P1" s="2"/>
      <c r="Q1" s="2"/>
      <c r="R1" s="2"/>
      <c r="S1" s="2"/>
      <c r="T1" s="2"/>
      <c r="U1" s="2"/>
      <c r="V1" s="2"/>
      <c r="W1" s="2"/>
      <c r="X1" s="2"/>
      <c r="Y1" s="2"/>
      <c r="Z1" s="2"/>
    </row>
    <row r="2" ht="21.75" customHeight="1">
      <c r="A2" s="12" t="s">
        <v>6</v>
      </c>
      <c r="H2" s="12"/>
      <c r="I2" s="12"/>
      <c r="J2" s="12"/>
      <c r="K2" s="12"/>
      <c r="L2" s="12"/>
      <c r="M2" s="12"/>
      <c r="N2" s="12"/>
      <c r="O2" s="12"/>
      <c r="P2" s="12"/>
      <c r="Q2" s="12"/>
      <c r="R2" s="12"/>
      <c r="S2" s="12"/>
      <c r="T2" s="12"/>
      <c r="U2" s="12"/>
      <c r="V2" s="12"/>
      <c r="W2" s="12"/>
      <c r="X2" s="12"/>
      <c r="Y2" s="12"/>
      <c r="Z2" s="12"/>
    </row>
    <row r="3" ht="12.0" customHeight="1">
      <c r="A3" s="15"/>
      <c r="B3" s="15"/>
      <c r="C3" s="15"/>
      <c r="D3" s="15"/>
      <c r="E3" s="15"/>
      <c r="F3" s="15"/>
      <c r="G3" s="15"/>
      <c r="H3" s="15"/>
      <c r="I3" s="15"/>
      <c r="J3" s="15"/>
      <c r="K3" s="15"/>
      <c r="L3" s="15"/>
      <c r="M3" s="15"/>
      <c r="N3" s="15"/>
      <c r="O3" s="15"/>
      <c r="P3" s="15"/>
      <c r="Q3" s="15"/>
      <c r="R3" s="15"/>
      <c r="S3" s="15"/>
      <c r="T3" s="15"/>
      <c r="U3" s="15"/>
      <c r="V3" s="15"/>
      <c r="W3" s="15"/>
      <c r="X3" s="15"/>
      <c r="Y3" s="15"/>
      <c r="Z3" s="15"/>
    </row>
    <row r="4" ht="45.0" customHeight="1">
      <c r="A4" s="13" t="s">
        <v>25</v>
      </c>
      <c r="B4" s="13" t="s">
        <v>27</v>
      </c>
      <c r="C4" s="13" t="s">
        <v>29</v>
      </c>
      <c r="D4" s="13" t="s">
        <v>31</v>
      </c>
      <c r="E4" s="13" t="s">
        <v>32</v>
      </c>
      <c r="F4" s="13" t="s">
        <v>33</v>
      </c>
      <c r="G4" s="13" t="s">
        <v>35</v>
      </c>
      <c r="H4" s="13"/>
      <c r="I4" s="13"/>
      <c r="J4" s="13"/>
      <c r="K4" s="13"/>
      <c r="L4" s="13"/>
      <c r="M4" s="13"/>
      <c r="N4" s="13"/>
      <c r="O4" s="13"/>
      <c r="P4" s="13"/>
      <c r="Q4" s="13"/>
      <c r="R4" s="13"/>
      <c r="S4" s="13"/>
      <c r="T4" s="13"/>
      <c r="U4" s="13"/>
      <c r="V4" s="13"/>
      <c r="W4" s="13"/>
      <c r="X4" s="13"/>
      <c r="Y4" s="13"/>
      <c r="Z4" s="13"/>
    </row>
    <row r="5" ht="24.0" customHeight="1">
      <c r="A5" s="21" t="str">
        <f t="shared" ref="A5:A504" si="1">IF($H5="","",ROWS($A$5:A5))</f>
        <v/>
      </c>
      <c r="B5" s="21" t="str">
        <f t="shared" ref="B5:B504" si="2">IF($H5="","","G-"&amp;TEXT($A5,"0000"))</f>
        <v/>
      </c>
      <c r="C5" s="25" t="str">
        <f t="array" ref="C5">IF($H5="","",IFERROR(INDEX('Game Records'!$A:$A,$H5),""))</f>
        <v/>
      </c>
      <c r="D5" s="25" t="str">
        <f t="array" ref="D5">IF($H5="","",IFERROR(INDEX('Game Records'!$U:$U,$H5),""))</f>
        <v/>
      </c>
      <c r="E5" s="25" t="str">
        <f t="shared" ref="E5:E504" si="3">IF($H5="","",IF($F5="","No Highlighted Fields","Highlighted Fields Present"))</f>
        <v/>
      </c>
      <c r="F5" s="25" t="str">
        <f t="array" ref="F5">IF($H5="","",IF(OR(NOT(_xlfn.ISFORMULA(INDEX('Game Records'!$N:$N,$H5))),NOT(_xlfn.ISFORMULA(INDEX('Game Records'!$O:$O,$H5))),NOT(_xlfn.ISFORMULA(INDEX('Game Records'!$P:$P,$H5))),NOT(_xlfn.ISFORMULA(INDEX('Game Records'!$Q:$Q,$H5))),NOT(_xlfn.ISFORMULA(INDEX('Game Records'!$R:$R,$H5))),NOT(_xlfn.ISFORMULA(INDEX('Game Records'!$S:$S,$H5))),NOT(_xlfn.ISFORMULA(INDEX('Game Records'!$T:$T,$H5))),NOT(_xlfn.ISFORMULA(INDEX('Game Records'!$U:$U,$H5))),NOT(_xlfn.ISFORMULA(INDEX('Game Records'!$V:$V,$H5))),NOT(_xlfn.ISFORMULA(INDEX('Game Records'!$W:$W,$H5))),NOT(_xlfn.ISFORMULA(INDEX('Game Records'!$X:$X,$H5))),NOT(_xlfn.ISFORMULA(INDEX('Game Records'!$Y:$Y,$H5))),NOT(_xlfn.ISFORMULA(INDEX('Game Records'!$Z:$Z,$H5)))),"","")&amp;IF(INDEX('Game Records'!$B:$B,$H5)="","Start Date; ","")&amp;IF(INDEX('Game Records'!$C:$C,$H5)="","End Date; ","")&amp;IF(AND(INDEX('Game Records'!$U:$U,$H5)&lt;&gt;"Subscription",INDEX('Game Records'!$U:$U,$H5)&lt;&gt;"Free Game",INDEX('Game Records'!$U:$U,$H5)&lt;&gt;"Disqualified — Free Game",OR(INDEX('Game Records'!$D:$D,$H5)="",LOWER(INDEX('Game Records'!$D:$D,$H5)&amp;"")="n/a")),"Entry Mode; ","")&amp;IF(AND(INDEX('Game Records'!$U:$U,$H5)&lt;&gt;"Subscription",INDEX('Game Records'!$U:$U,$H5)&lt;&gt;"Free Game",INDEX('Game Records'!$U:$U,$H5)&lt;&gt;"Disqualified — Free Game",OR(INDEX('Game Records'!$E:$E,$H5)="",LOWER(INDEX('Game Records'!$E:$E,$H5)&amp;"")="n/a")),"Game Type; ","")&amp;IF(INDEX('Game Records'!$F:$F,$H5)="","Payment Type; ","")&amp;IF(AND(INDEX('Game Records'!$U:$U,$H5)&lt;&gt;"Subscription",INDEX('Game Records'!$U:$U,$H5)&lt;&gt;"Free Game",INDEX('Game Records'!$U:$U,$H5)&lt;&gt;"Disqualified — Free Game",INDEX('Game Records'!$G:$G,$H5)=""),"Gross Pot; ","")&amp;IF(AND(INDEX('Game Records'!$U:$U,$H5)&lt;&gt;"Free Game",INDEX('Game Records'!$U:$U,$H5)&lt;&gt;"Disqualified — Free Game",INDEX('Game Records'!$H:$H,$H5)=""),"Entry Fee; ","")&amp;IF(AND(INDEX('Game Records'!$U:$U,$H5)&lt;&gt;"Subscription",INDEX('Game Records'!$U:$U,$H5)&lt;&gt;"Free Game",INDEX('Game Records'!$U:$U,$H5)&lt;&gt;"Disqualified — Free Game",INDEX('Game Records'!$I:$I,$H5)=""),"Eligible Players; ","")&amp;IF(AND(INDEX('Game Records'!$U:$U,$H5)&lt;&gt;"Subscription",INDEX('Game Records'!$U:$U,$H5)&lt;&gt;"Free Game",INDEX('Game Records'!$U:$U,$H5)&lt;&gt;"Disqualified — Free Game",INDEX('Game Records'!$J:$J,$H5)=""),"Total Players; ","")&amp;IF(AND(LOWER(INDEX('Game Records'!$D:$D,$H5)&amp;"")="finalized",LOWER(INDEX('Game Records'!$L:$L,$H5)&amp;"")&lt;&gt;"yes",INDEX('Game Records'!$U:$U,$H5)&lt;&gt;"Subscription",INDEX('Game Records'!$U:$U,$H5)&lt;&gt;"Free Game",INDEX('Game Records'!$U:$U,$H5)&lt;&gt;"Disqualified — Free Game",INDEX('Game Records'!$K:$K,$H5)=""),"Final Payout; ","")&amp;IF(AND(LOWER(INDEX('Game Records'!$D:$D,$H5)&amp;"")="finalized",INDEX('Game Records'!$U:$U,$H5)&lt;&gt;"Subscription",INDEX('Game Records'!$U:$U,$H5)&lt;&gt;"Free Game",INDEX('Game Records'!$U:$U,$H5)&lt;&gt;"Disqualified — Free Game",OR(INDEX('Game Records'!$L:$L,$H5)="",LOWER(INDEX('Game Records'!$L:$L,$H5)&amp;"")="n/a")),"Disqualified Status; ",""))</f>
        <v/>
      </c>
      <c r="G5" s="25" t="str">
        <f t="array" ref="G5">IF($H5="","",IFERROR(INDEX('Game Records'!$M:$M,$H5),""))</f>
        <v/>
      </c>
      <c r="H5" s="8" t="str">
        <f>IFERROR(__xludf.DUMMYFUNCTION("ARRAYFORMULA(IFERROR(FILTER(ROW('Game Records'!A:A),ROW('Game Records'!A:A)&gt;=5,MAP('Game Records'!A:A,'Game Records'!B:B,'Game Records'!C:C,'Game Records'!D:D,'Game Records'!E:E,'Game Records'!F:F,'Game Records'!G:G,'Game Records'!H:H,'Game Records'!I:I,'"&amp;"Game Records'!J:J,'Game Records'!K:K,'Game Records'!L:L,'Game Records'!M:M,LAMBDA(a,b,c,d,e,f,g,h,i,j,k,l,m,COUNTA(a,b,c,d,e,f,g,h,i,j,k,l,m)&gt;0)),'Game Records'!U:U&lt;&gt;""Subscription""),""""))"),"")</f>
        <v/>
      </c>
      <c r="I5" s="13" t="s">
        <v>138</v>
      </c>
      <c r="J5" s="13"/>
    </row>
    <row r="6" ht="24.0" customHeight="1">
      <c r="A6" s="21" t="str">
        <f t="shared" si="1"/>
        <v/>
      </c>
      <c r="B6" s="21" t="str">
        <f t="shared" si="2"/>
        <v/>
      </c>
      <c r="C6" s="25" t="str">
        <f t="array" ref="C6">IF($H6="","",IFERROR(INDEX('Game Records'!$A:$A,$H6),""))</f>
        <v/>
      </c>
      <c r="D6" s="25" t="str">
        <f t="array" ref="D6">IF($H6="","",IFERROR(INDEX('Game Records'!$U:$U,$H6),""))</f>
        <v/>
      </c>
      <c r="E6" s="25" t="str">
        <f t="shared" si="3"/>
        <v/>
      </c>
      <c r="F6" s="25" t="str">
        <f t="array" ref="F6">IF($H6="","",IF(OR(NOT(_xlfn.ISFORMULA(INDEX('Game Records'!$N:$N,$H6))),NOT(_xlfn.ISFORMULA(INDEX('Game Records'!$O:$O,$H6))),NOT(_xlfn.ISFORMULA(INDEX('Game Records'!$P:$P,$H6))),NOT(_xlfn.ISFORMULA(INDEX('Game Records'!$Q:$Q,$H6))),NOT(_xlfn.ISFORMULA(INDEX('Game Records'!$R:$R,$H6))),NOT(_xlfn.ISFORMULA(INDEX('Game Records'!$S:$S,$H6))),NOT(_xlfn.ISFORMULA(INDEX('Game Records'!$T:$T,$H6))),NOT(_xlfn.ISFORMULA(INDEX('Game Records'!$U:$U,$H6))),NOT(_xlfn.ISFORMULA(INDEX('Game Records'!$V:$V,$H6))),NOT(_xlfn.ISFORMULA(INDEX('Game Records'!$W:$W,$H6))),NOT(_xlfn.ISFORMULA(INDEX('Game Records'!$X:$X,$H6))),NOT(_xlfn.ISFORMULA(INDEX('Game Records'!$Y:$Y,$H6))),NOT(_xlfn.ISFORMULA(INDEX('Game Records'!$Z:$Z,$H6)))),"","")&amp;IF(INDEX('Game Records'!$B:$B,$H6)="","Start Date; ","")&amp;IF(INDEX('Game Records'!$C:$C,$H6)="","End Date; ","")&amp;IF(AND(INDEX('Game Records'!$U:$U,$H6)&lt;&gt;"Subscription",INDEX('Game Records'!$U:$U,$H6)&lt;&gt;"Free Game",INDEX('Game Records'!$U:$U,$H6)&lt;&gt;"Disqualified — Free Game",OR(INDEX('Game Records'!$D:$D,$H6)="",LOWER(INDEX('Game Records'!$D:$D,$H6)&amp;"")="n/a")),"Entry Mode; ","")&amp;IF(AND(INDEX('Game Records'!$U:$U,$H6)&lt;&gt;"Subscription",INDEX('Game Records'!$U:$U,$H6)&lt;&gt;"Free Game",INDEX('Game Records'!$U:$U,$H6)&lt;&gt;"Disqualified — Free Game",OR(INDEX('Game Records'!$E:$E,$H6)="",LOWER(INDEX('Game Records'!$E:$E,$H6)&amp;"")="n/a")),"Game Type; ","")&amp;IF(INDEX('Game Records'!$F:$F,$H6)="","Payment Type; ","")&amp;IF(AND(INDEX('Game Records'!$U:$U,$H6)&lt;&gt;"Subscription",INDEX('Game Records'!$U:$U,$H6)&lt;&gt;"Free Game",INDEX('Game Records'!$U:$U,$H6)&lt;&gt;"Disqualified — Free Game",INDEX('Game Records'!$G:$G,$H6)=""),"Gross Pot; ","")&amp;IF(AND(INDEX('Game Records'!$U:$U,$H6)&lt;&gt;"Free Game",INDEX('Game Records'!$U:$U,$H6)&lt;&gt;"Disqualified — Free Game",INDEX('Game Records'!$H:$H,$H6)=""),"Entry Fee; ","")&amp;IF(AND(INDEX('Game Records'!$U:$U,$H6)&lt;&gt;"Subscription",INDEX('Game Records'!$U:$U,$H6)&lt;&gt;"Free Game",INDEX('Game Records'!$U:$U,$H6)&lt;&gt;"Disqualified — Free Game",INDEX('Game Records'!$I:$I,$H6)=""),"Eligible Players; ","")&amp;IF(AND(INDEX('Game Records'!$U:$U,$H6)&lt;&gt;"Subscription",INDEX('Game Records'!$U:$U,$H6)&lt;&gt;"Free Game",INDEX('Game Records'!$U:$U,$H6)&lt;&gt;"Disqualified — Free Game",INDEX('Game Records'!$J:$J,$H6)=""),"Total Players; ","")&amp;IF(AND(LOWER(INDEX('Game Records'!$D:$D,$H6)&amp;"")="finalized",LOWER(INDEX('Game Records'!$L:$L,$H6)&amp;"")&lt;&gt;"yes",INDEX('Game Records'!$U:$U,$H6)&lt;&gt;"Subscription",INDEX('Game Records'!$U:$U,$H6)&lt;&gt;"Free Game",INDEX('Game Records'!$U:$U,$H6)&lt;&gt;"Disqualified — Free Game",INDEX('Game Records'!$K:$K,$H6)=""),"Final Payout; ","")&amp;IF(AND(LOWER(INDEX('Game Records'!$D:$D,$H6)&amp;"")="finalized",INDEX('Game Records'!$U:$U,$H6)&lt;&gt;"Subscription",INDEX('Game Records'!$U:$U,$H6)&lt;&gt;"Free Game",INDEX('Game Records'!$U:$U,$H6)&lt;&gt;"Disqualified — Free Game",OR(INDEX('Game Records'!$L:$L,$H6)="",LOWER(INDEX('Game Records'!$L:$L,$H6)&amp;"")="n/a")),"Disqualified Status; ",""))</f>
        <v/>
      </c>
      <c r="G6" s="25" t="str">
        <f t="array" ref="G6">IF($H6="","",IFERROR(INDEX('Game Records'!$M:$M,$H6),""))</f>
        <v/>
      </c>
      <c r="H6" s="8"/>
      <c r="I6" s="59" t="s">
        <v>150</v>
      </c>
      <c r="J6" s="60">
        <f>COUNT($A$5:$A$504)</f>
        <v>0</v>
      </c>
    </row>
    <row r="7" ht="24.0" customHeight="1">
      <c r="A7" s="21" t="str">
        <f t="shared" si="1"/>
        <v/>
      </c>
      <c r="B7" s="21" t="str">
        <f t="shared" si="2"/>
        <v/>
      </c>
      <c r="C7" s="25" t="str">
        <f t="array" ref="C7">IF($H7="","",IFERROR(INDEX('Game Records'!$A:$A,$H7),""))</f>
        <v/>
      </c>
      <c r="D7" s="25" t="str">
        <f t="array" ref="D7">IF($H7="","",IFERROR(INDEX('Game Records'!$U:$U,$H7),""))</f>
        <v/>
      </c>
      <c r="E7" s="25" t="str">
        <f t="shared" si="3"/>
        <v/>
      </c>
      <c r="F7" s="25" t="str">
        <f t="array" ref="F7">IF($H7="","",IF(OR(NOT(_xlfn.ISFORMULA(INDEX('Game Records'!$N:$N,$H7))),NOT(_xlfn.ISFORMULA(INDEX('Game Records'!$O:$O,$H7))),NOT(_xlfn.ISFORMULA(INDEX('Game Records'!$P:$P,$H7))),NOT(_xlfn.ISFORMULA(INDEX('Game Records'!$Q:$Q,$H7))),NOT(_xlfn.ISFORMULA(INDEX('Game Records'!$R:$R,$H7))),NOT(_xlfn.ISFORMULA(INDEX('Game Records'!$S:$S,$H7))),NOT(_xlfn.ISFORMULA(INDEX('Game Records'!$T:$T,$H7))),NOT(_xlfn.ISFORMULA(INDEX('Game Records'!$U:$U,$H7))),NOT(_xlfn.ISFORMULA(INDEX('Game Records'!$V:$V,$H7))),NOT(_xlfn.ISFORMULA(INDEX('Game Records'!$W:$W,$H7))),NOT(_xlfn.ISFORMULA(INDEX('Game Records'!$X:$X,$H7))),NOT(_xlfn.ISFORMULA(INDEX('Game Records'!$Y:$Y,$H7))),NOT(_xlfn.ISFORMULA(INDEX('Game Records'!$Z:$Z,$H7)))),"","")&amp;IF(INDEX('Game Records'!$B:$B,$H7)="","Start Date; ","")&amp;IF(INDEX('Game Records'!$C:$C,$H7)="","End Date; ","")&amp;IF(AND(INDEX('Game Records'!$U:$U,$H7)&lt;&gt;"Subscription",INDEX('Game Records'!$U:$U,$H7)&lt;&gt;"Free Game",INDEX('Game Records'!$U:$U,$H7)&lt;&gt;"Disqualified — Free Game",OR(INDEX('Game Records'!$D:$D,$H7)="",LOWER(INDEX('Game Records'!$D:$D,$H7)&amp;"")="n/a")),"Entry Mode; ","")&amp;IF(AND(INDEX('Game Records'!$U:$U,$H7)&lt;&gt;"Subscription",INDEX('Game Records'!$U:$U,$H7)&lt;&gt;"Free Game",INDEX('Game Records'!$U:$U,$H7)&lt;&gt;"Disqualified — Free Game",OR(INDEX('Game Records'!$E:$E,$H7)="",LOWER(INDEX('Game Records'!$E:$E,$H7)&amp;"")="n/a")),"Game Type; ","")&amp;IF(INDEX('Game Records'!$F:$F,$H7)="","Payment Type; ","")&amp;IF(AND(INDEX('Game Records'!$U:$U,$H7)&lt;&gt;"Subscription",INDEX('Game Records'!$U:$U,$H7)&lt;&gt;"Free Game",INDEX('Game Records'!$U:$U,$H7)&lt;&gt;"Disqualified — Free Game",INDEX('Game Records'!$G:$G,$H7)=""),"Gross Pot; ","")&amp;IF(AND(INDEX('Game Records'!$U:$U,$H7)&lt;&gt;"Free Game",INDEX('Game Records'!$U:$U,$H7)&lt;&gt;"Disqualified — Free Game",INDEX('Game Records'!$H:$H,$H7)=""),"Entry Fee; ","")&amp;IF(AND(INDEX('Game Records'!$U:$U,$H7)&lt;&gt;"Subscription",INDEX('Game Records'!$U:$U,$H7)&lt;&gt;"Free Game",INDEX('Game Records'!$U:$U,$H7)&lt;&gt;"Disqualified — Free Game",INDEX('Game Records'!$I:$I,$H7)=""),"Eligible Players; ","")&amp;IF(AND(INDEX('Game Records'!$U:$U,$H7)&lt;&gt;"Subscription",INDEX('Game Records'!$U:$U,$H7)&lt;&gt;"Free Game",INDEX('Game Records'!$U:$U,$H7)&lt;&gt;"Disqualified — Free Game",INDEX('Game Records'!$J:$J,$H7)=""),"Total Players; ","")&amp;IF(AND(LOWER(INDEX('Game Records'!$D:$D,$H7)&amp;"")="finalized",LOWER(INDEX('Game Records'!$L:$L,$H7)&amp;"")&lt;&gt;"yes",INDEX('Game Records'!$U:$U,$H7)&lt;&gt;"Subscription",INDEX('Game Records'!$U:$U,$H7)&lt;&gt;"Free Game",INDEX('Game Records'!$U:$U,$H7)&lt;&gt;"Disqualified — Free Game",INDEX('Game Records'!$K:$K,$H7)=""),"Final Payout; ","")&amp;IF(AND(LOWER(INDEX('Game Records'!$D:$D,$H7)&amp;"")="finalized",INDEX('Game Records'!$U:$U,$H7)&lt;&gt;"Subscription",INDEX('Game Records'!$U:$U,$H7)&lt;&gt;"Free Game",INDEX('Game Records'!$U:$U,$H7)&lt;&gt;"Disqualified — Free Game",OR(INDEX('Game Records'!$L:$L,$H7)="",LOWER(INDEX('Game Records'!$L:$L,$H7)&amp;"")="n/a")),"Disqualified Status; ",""))</f>
        <v/>
      </c>
      <c r="G7" s="25" t="str">
        <f t="array" ref="G7">IF($H7="","",IFERROR(INDEX('Game Records'!$M:$M,$H7),""))</f>
        <v/>
      </c>
      <c r="H7" s="8"/>
      <c r="I7" s="59" t="s">
        <v>17</v>
      </c>
      <c r="J7" s="60">
        <f>COUNTIF('Game Records'!$U:$U,"Profit")</f>
        <v>0</v>
      </c>
    </row>
    <row r="8" ht="24.0" customHeight="1">
      <c r="A8" s="21" t="str">
        <f t="shared" si="1"/>
        <v/>
      </c>
      <c r="B8" s="21" t="str">
        <f t="shared" si="2"/>
        <v/>
      </c>
      <c r="C8" s="25" t="str">
        <f t="array" ref="C8">IF($H8="","",IFERROR(INDEX('Game Records'!$A:$A,$H8),""))</f>
        <v/>
      </c>
      <c r="D8" s="25" t="str">
        <f t="array" ref="D8">IF($H8="","",IFERROR(INDEX('Game Records'!$U:$U,$H8),""))</f>
        <v/>
      </c>
      <c r="E8" s="25" t="str">
        <f t="shared" si="3"/>
        <v/>
      </c>
      <c r="F8" s="25" t="str">
        <f t="array" ref="F8">IF($H8="","",IF(OR(NOT(_xlfn.ISFORMULA(INDEX('Game Records'!$N:$N,$H8))),NOT(_xlfn.ISFORMULA(INDEX('Game Records'!$O:$O,$H8))),NOT(_xlfn.ISFORMULA(INDEX('Game Records'!$P:$P,$H8))),NOT(_xlfn.ISFORMULA(INDEX('Game Records'!$Q:$Q,$H8))),NOT(_xlfn.ISFORMULA(INDEX('Game Records'!$R:$R,$H8))),NOT(_xlfn.ISFORMULA(INDEX('Game Records'!$S:$S,$H8))),NOT(_xlfn.ISFORMULA(INDEX('Game Records'!$T:$T,$H8))),NOT(_xlfn.ISFORMULA(INDEX('Game Records'!$U:$U,$H8))),NOT(_xlfn.ISFORMULA(INDEX('Game Records'!$V:$V,$H8))),NOT(_xlfn.ISFORMULA(INDEX('Game Records'!$W:$W,$H8))),NOT(_xlfn.ISFORMULA(INDEX('Game Records'!$X:$X,$H8))),NOT(_xlfn.ISFORMULA(INDEX('Game Records'!$Y:$Y,$H8))),NOT(_xlfn.ISFORMULA(INDEX('Game Records'!$Z:$Z,$H8)))),"","")&amp;IF(INDEX('Game Records'!$B:$B,$H8)="","Start Date; ","")&amp;IF(INDEX('Game Records'!$C:$C,$H8)="","End Date; ","")&amp;IF(AND(INDEX('Game Records'!$U:$U,$H8)&lt;&gt;"Subscription",INDEX('Game Records'!$U:$U,$H8)&lt;&gt;"Free Game",INDEX('Game Records'!$U:$U,$H8)&lt;&gt;"Disqualified — Free Game",OR(INDEX('Game Records'!$D:$D,$H8)="",LOWER(INDEX('Game Records'!$D:$D,$H8)&amp;"")="n/a")),"Entry Mode; ","")&amp;IF(AND(INDEX('Game Records'!$U:$U,$H8)&lt;&gt;"Subscription",INDEX('Game Records'!$U:$U,$H8)&lt;&gt;"Free Game",INDEX('Game Records'!$U:$U,$H8)&lt;&gt;"Disqualified — Free Game",OR(INDEX('Game Records'!$E:$E,$H8)="",LOWER(INDEX('Game Records'!$E:$E,$H8)&amp;"")="n/a")),"Game Type; ","")&amp;IF(INDEX('Game Records'!$F:$F,$H8)="","Payment Type; ","")&amp;IF(AND(INDEX('Game Records'!$U:$U,$H8)&lt;&gt;"Subscription",INDEX('Game Records'!$U:$U,$H8)&lt;&gt;"Free Game",INDEX('Game Records'!$U:$U,$H8)&lt;&gt;"Disqualified — Free Game",INDEX('Game Records'!$G:$G,$H8)=""),"Gross Pot; ","")&amp;IF(AND(INDEX('Game Records'!$U:$U,$H8)&lt;&gt;"Free Game",INDEX('Game Records'!$U:$U,$H8)&lt;&gt;"Disqualified — Free Game",INDEX('Game Records'!$H:$H,$H8)=""),"Entry Fee; ","")&amp;IF(AND(INDEX('Game Records'!$U:$U,$H8)&lt;&gt;"Subscription",INDEX('Game Records'!$U:$U,$H8)&lt;&gt;"Free Game",INDEX('Game Records'!$U:$U,$H8)&lt;&gt;"Disqualified — Free Game",INDEX('Game Records'!$I:$I,$H8)=""),"Eligible Players; ","")&amp;IF(AND(INDEX('Game Records'!$U:$U,$H8)&lt;&gt;"Subscription",INDEX('Game Records'!$U:$U,$H8)&lt;&gt;"Free Game",INDEX('Game Records'!$U:$U,$H8)&lt;&gt;"Disqualified — Free Game",INDEX('Game Records'!$J:$J,$H8)=""),"Total Players; ","")&amp;IF(AND(LOWER(INDEX('Game Records'!$D:$D,$H8)&amp;"")="finalized",LOWER(INDEX('Game Records'!$L:$L,$H8)&amp;"")&lt;&gt;"yes",INDEX('Game Records'!$U:$U,$H8)&lt;&gt;"Subscription",INDEX('Game Records'!$U:$U,$H8)&lt;&gt;"Free Game",INDEX('Game Records'!$U:$U,$H8)&lt;&gt;"Disqualified — Free Game",INDEX('Game Records'!$K:$K,$H8)=""),"Final Payout; ","")&amp;IF(AND(LOWER(INDEX('Game Records'!$D:$D,$H8)&amp;"")="finalized",INDEX('Game Records'!$U:$U,$H8)&lt;&gt;"Subscription",INDEX('Game Records'!$U:$U,$H8)&lt;&gt;"Free Game",INDEX('Game Records'!$U:$U,$H8)&lt;&gt;"Disqualified — Free Game",OR(INDEX('Game Records'!$L:$L,$H8)="",LOWER(INDEX('Game Records'!$L:$L,$H8)&amp;"")="n/a")),"Disqualified Status; ",""))</f>
        <v/>
      </c>
      <c r="G8" s="25" t="str">
        <f t="array" ref="G8">IF($H8="","",IFERROR(INDEX('Game Records'!$M:$M,$H8),""))</f>
        <v/>
      </c>
      <c r="H8" s="8"/>
      <c r="I8" s="59" t="s">
        <v>67</v>
      </c>
      <c r="J8" s="60">
        <f>COUNTIF('Game Records'!$U:$U,"Draw")</f>
        <v>0</v>
      </c>
    </row>
    <row r="9" ht="24.0" customHeight="1">
      <c r="A9" s="21" t="str">
        <f t="shared" si="1"/>
        <v/>
      </c>
      <c r="B9" s="21" t="str">
        <f t="shared" si="2"/>
        <v/>
      </c>
      <c r="C9" s="25" t="str">
        <f t="array" ref="C9">IF($H9="","",IFERROR(INDEX('Game Records'!$A:$A,$H9),""))</f>
        <v/>
      </c>
      <c r="D9" s="25" t="str">
        <f t="array" ref="D9">IF($H9="","",IFERROR(INDEX('Game Records'!$U:$U,$H9),""))</f>
        <v/>
      </c>
      <c r="E9" s="25" t="str">
        <f t="shared" si="3"/>
        <v/>
      </c>
      <c r="F9" s="25" t="str">
        <f t="array" ref="F9">IF($H9="","",IF(OR(NOT(_xlfn.ISFORMULA(INDEX('Game Records'!$N:$N,$H9))),NOT(_xlfn.ISFORMULA(INDEX('Game Records'!$O:$O,$H9))),NOT(_xlfn.ISFORMULA(INDEX('Game Records'!$P:$P,$H9))),NOT(_xlfn.ISFORMULA(INDEX('Game Records'!$Q:$Q,$H9))),NOT(_xlfn.ISFORMULA(INDEX('Game Records'!$R:$R,$H9))),NOT(_xlfn.ISFORMULA(INDEX('Game Records'!$S:$S,$H9))),NOT(_xlfn.ISFORMULA(INDEX('Game Records'!$T:$T,$H9))),NOT(_xlfn.ISFORMULA(INDEX('Game Records'!$U:$U,$H9))),NOT(_xlfn.ISFORMULA(INDEX('Game Records'!$V:$V,$H9))),NOT(_xlfn.ISFORMULA(INDEX('Game Records'!$W:$W,$H9))),NOT(_xlfn.ISFORMULA(INDEX('Game Records'!$X:$X,$H9))),NOT(_xlfn.ISFORMULA(INDEX('Game Records'!$Y:$Y,$H9))),NOT(_xlfn.ISFORMULA(INDEX('Game Records'!$Z:$Z,$H9)))),"","")&amp;IF(INDEX('Game Records'!$B:$B,$H9)="","Start Date; ","")&amp;IF(INDEX('Game Records'!$C:$C,$H9)="","End Date; ","")&amp;IF(AND(INDEX('Game Records'!$U:$U,$H9)&lt;&gt;"Subscription",INDEX('Game Records'!$U:$U,$H9)&lt;&gt;"Free Game",INDEX('Game Records'!$U:$U,$H9)&lt;&gt;"Disqualified — Free Game",OR(INDEX('Game Records'!$D:$D,$H9)="",LOWER(INDEX('Game Records'!$D:$D,$H9)&amp;"")="n/a")),"Entry Mode; ","")&amp;IF(AND(INDEX('Game Records'!$U:$U,$H9)&lt;&gt;"Subscription",INDEX('Game Records'!$U:$U,$H9)&lt;&gt;"Free Game",INDEX('Game Records'!$U:$U,$H9)&lt;&gt;"Disqualified — Free Game",OR(INDEX('Game Records'!$E:$E,$H9)="",LOWER(INDEX('Game Records'!$E:$E,$H9)&amp;"")="n/a")),"Game Type; ","")&amp;IF(INDEX('Game Records'!$F:$F,$H9)="","Payment Type; ","")&amp;IF(AND(INDEX('Game Records'!$U:$U,$H9)&lt;&gt;"Subscription",INDEX('Game Records'!$U:$U,$H9)&lt;&gt;"Free Game",INDEX('Game Records'!$U:$U,$H9)&lt;&gt;"Disqualified — Free Game",INDEX('Game Records'!$G:$G,$H9)=""),"Gross Pot; ","")&amp;IF(AND(INDEX('Game Records'!$U:$U,$H9)&lt;&gt;"Free Game",INDEX('Game Records'!$U:$U,$H9)&lt;&gt;"Disqualified — Free Game",INDEX('Game Records'!$H:$H,$H9)=""),"Entry Fee; ","")&amp;IF(AND(INDEX('Game Records'!$U:$U,$H9)&lt;&gt;"Subscription",INDEX('Game Records'!$U:$U,$H9)&lt;&gt;"Free Game",INDEX('Game Records'!$U:$U,$H9)&lt;&gt;"Disqualified — Free Game",INDEX('Game Records'!$I:$I,$H9)=""),"Eligible Players; ","")&amp;IF(AND(INDEX('Game Records'!$U:$U,$H9)&lt;&gt;"Subscription",INDEX('Game Records'!$U:$U,$H9)&lt;&gt;"Free Game",INDEX('Game Records'!$U:$U,$H9)&lt;&gt;"Disqualified — Free Game",INDEX('Game Records'!$J:$J,$H9)=""),"Total Players; ","")&amp;IF(AND(LOWER(INDEX('Game Records'!$D:$D,$H9)&amp;"")="finalized",LOWER(INDEX('Game Records'!$L:$L,$H9)&amp;"")&lt;&gt;"yes",INDEX('Game Records'!$U:$U,$H9)&lt;&gt;"Subscription",INDEX('Game Records'!$U:$U,$H9)&lt;&gt;"Free Game",INDEX('Game Records'!$U:$U,$H9)&lt;&gt;"Disqualified — Free Game",INDEX('Game Records'!$K:$K,$H9)=""),"Final Payout; ","")&amp;IF(AND(LOWER(INDEX('Game Records'!$D:$D,$H9)&amp;"")="finalized",INDEX('Game Records'!$U:$U,$H9)&lt;&gt;"Subscription",INDEX('Game Records'!$U:$U,$H9)&lt;&gt;"Free Game",INDEX('Game Records'!$U:$U,$H9)&lt;&gt;"Disqualified — Free Game",OR(INDEX('Game Records'!$L:$L,$H9)="",LOWER(INDEX('Game Records'!$L:$L,$H9)&amp;"")="n/a")),"Disqualified Status; ",""))</f>
        <v/>
      </c>
      <c r="G9" s="25" t="str">
        <f t="array" ref="G9">IF($H9="","",IFERROR(INDEX('Game Records'!$M:$M,$H9),""))</f>
        <v/>
      </c>
      <c r="H9" s="8"/>
      <c r="I9" s="59" t="s">
        <v>80</v>
      </c>
      <c r="J9" s="60">
        <f>COUNTIF('Game Records'!$U:$U,"Disqualified")</f>
        <v>0</v>
      </c>
    </row>
    <row r="10" ht="24.0" customHeight="1">
      <c r="A10" s="21" t="str">
        <f t="shared" si="1"/>
        <v/>
      </c>
      <c r="B10" s="21" t="str">
        <f t="shared" si="2"/>
        <v/>
      </c>
      <c r="C10" s="25" t="str">
        <f t="array" ref="C10">IF($H10="","",IFERROR(INDEX('Game Records'!$A:$A,$H10),""))</f>
        <v/>
      </c>
      <c r="D10" s="25" t="str">
        <f t="array" ref="D10">IF($H10="","",IFERROR(INDEX('Game Records'!$U:$U,$H10),""))</f>
        <v/>
      </c>
      <c r="E10" s="25" t="str">
        <f t="shared" si="3"/>
        <v/>
      </c>
      <c r="F10" s="25" t="str">
        <f t="array" ref="F10">IF($H10="","",IF(OR(NOT(_xlfn.ISFORMULA(INDEX('Game Records'!$N:$N,$H10))),NOT(_xlfn.ISFORMULA(INDEX('Game Records'!$O:$O,$H10))),NOT(_xlfn.ISFORMULA(INDEX('Game Records'!$P:$P,$H10))),NOT(_xlfn.ISFORMULA(INDEX('Game Records'!$Q:$Q,$H10))),NOT(_xlfn.ISFORMULA(INDEX('Game Records'!$R:$R,$H10))),NOT(_xlfn.ISFORMULA(INDEX('Game Records'!$S:$S,$H10))),NOT(_xlfn.ISFORMULA(INDEX('Game Records'!$T:$T,$H10))),NOT(_xlfn.ISFORMULA(INDEX('Game Records'!$U:$U,$H10))),NOT(_xlfn.ISFORMULA(INDEX('Game Records'!$V:$V,$H10))),NOT(_xlfn.ISFORMULA(INDEX('Game Records'!$W:$W,$H10))),NOT(_xlfn.ISFORMULA(INDEX('Game Records'!$X:$X,$H10))),NOT(_xlfn.ISFORMULA(INDEX('Game Records'!$Y:$Y,$H10))),NOT(_xlfn.ISFORMULA(INDEX('Game Records'!$Z:$Z,$H10)))),"","")&amp;IF(INDEX('Game Records'!$B:$B,$H10)="","Start Date; ","")&amp;IF(INDEX('Game Records'!$C:$C,$H10)="","End Date; ","")&amp;IF(AND(INDEX('Game Records'!$U:$U,$H10)&lt;&gt;"Subscription",INDEX('Game Records'!$U:$U,$H10)&lt;&gt;"Free Game",INDEX('Game Records'!$U:$U,$H10)&lt;&gt;"Disqualified — Free Game",OR(INDEX('Game Records'!$D:$D,$H10)="",LOWER(INDEX('Game Records'!$D:$D,$H10)&amp;"")="n/a")),"Entry Mode; ","")&amp;IF(AND(INDEX('Game Records'!$U:$U,$H10)&lt;&gt;"Subscription",INDEX('Game Records'!$U:$U,$H10)&lt;&gt;"Free Game",INDEX('Game Records'!$U:$U,$H10)&lt;&gt;"Disqualified — Free Game",OR(INDEX('Game Records'!$E:$E,$H10)="",LOWER(INDEX('Game Records'!$E:$E,$H10)&amp;"")="n/a")),"Game Type; ","")&amp;IF(INDEX('Game Records'!$F:$F,$H10)="","Payment Type; ","")&amp;IF(AND(INDEX('Game Records'!$U:$U,$H10)&lt;&gt;"Subscription",INDEX('Game Records'!$U:$U,$H10)&lt;&gt;"Free Game",INDEX('Game Records'!$U:$U,$H10)&lt;&gt;"Disqualified — Free Game",INDEX('Game Records'!$G:$G,$H10)=""),"Gross Pot; ","")&amp;IF(AND(INDEX('Game Records'!$U:$U,$H10)&lt;&gt;"Free Game",INDEX('Game Records'!$U:$U,$H10)&lt;&gt;"Disqualified — Free Game",INDEX('Game Records'!$H:$H,$H10)=""),"Entry Fee; ","")&amp;IF(AND(INDEX('Game Records'!$U:$U,$H10)&lt;&gt;"Subscription",INDEX('Game Records'!$U:$U,$H10)&lt;&gt;"Free Game",INDEX('Game Records'!$U:$U,$H10)&lt;&gt;"Disqualified — Free Game",INDEX('Game Records'!$I:$I,$H10)=""),"Eligible Players; ","")&amp;IF(AND(INDEX('Game Records'!$U:$U,$H10)&lt;&gt;"Subscription",INDEX('Game Records'!$U:$U,$H10)&lt;&gt;"Free Game",INDEX('Game Records'!$U:$U,$H10)&lt;&gt;"Disqualified — Free Game",INDEX('Game Records'!$J:$J,$H10)=""),"Total Players; ","")&amp;IF(AND(LOWER(INDEX('Game Records'!$D:$D,$H10)&amp;"")="finalized",LOWER(INDEX('Game Records'!$L:$L,$H10)&amp;"")&lt;&gt;"yes",INDEX('Game Records'!$U:$U,$H10)&lt;&gt;"Subscription",INDEX('Game Records'!$U:$U,$H10)&lt;&gt;"Free Game",INDEX('Game Records'!$U:$U,$H10)&lt;&gt;"Disqualified — Free Game",INDEX('Game Records'!$K:$K,$H10)=""),"Final Payout; ","")&amp;IF(AND(LOWER(INDEX('Game Records'!$D:$D,$H10)&amp;"")="finalized",INDEX('Game Records'!$U:$U,$H10)&lt;&gt;"Subscription",INDEX('Game Records'!$U:$U,$H10)&lt;&gt;"Free Game",INDEX('Game Records'!$U:$U,$H10)&lt;&gt;"Disqualified — Free Game",OR(INDEX('Game Records'!$L:$L,$H10)="",LOWER(INDEX('Game Records'!$L:$L,$H10)&amp;"")="n/a")),"Disqualified Status; ",""))</f>
        <v/>
      </c>
      <c r="G10" s="25" t="str">
        <f t="array" ref="G10">IF($H10="","",IFERROR(INDEX('Game Records'!$M:$M,$H10),""))</f>
        <v/>
      </c>
      <c r="H10" s="8"/>
      <c r="I10" s="59" t="s">
        <v>214</v>
      </c>
      <c r="J10" s="60">
        <f>COUNTIF('Game Records'!$U:$U,"Free Game")+COUNTIF('Game Records'!$U:$U,"Disqualified — Free Game")</f>
        <v>0</v>
      </c>
    </row>
    <row r="11" ht="24.0" customHeight="1">
      <c r="A11" s="21" t="str">
        <f t="shared" si="1"/>
        <v/>
      </c>
      <c r="B11" s="21" t="str">
        <f t="shared" si="2"/>
        <v/>
      </c>
      <c r="C11" s="25" t="str">
        <f t="array" ref="C11">IF($H11="","",IFERROR(INDEX('Game Records'!$A:$A,$H11),""))</f>
        <v/>
      </c>
      <c r="D11" s="25" t="str">
        <f t="array" ref="D11">IF($H11="","",IFERROR(INDEX('Game Records'!$U:$U,$H11),""))</f>
        <v/>
      </c>
      <c r="E11" s="25" t="str">
        <f t="shared" si="3"/>
        <v/>
      </c>
      <c r="F11" s="25" t="str">
        <f t="array" ref="F11">IF($H11="","",IF(OR(NOT(_xlfn.ISFORMULA(INDEX('Game Records'!$N:$N,$H11))),NOT(_xlfn.ISFORMULA(INDEX('Game Records'!$O:$O,$H11))),NOT(_xlfn.ISFORMULA(INDEX('Game Records'!$P:$P,$H11))),NOT(_xlfn.ISFORMULA(INDEX('Game Records'!$Q:$Q,$H11))),NOT(_xlfn.ISFORMULA(INDEX('Game Records'!$R:$R,$H11))),NOT(_xlfn.ISFORMULA(INDEX('Game Records'!$S:$S,$H11))),NOT(_xlfn.ISFORMULA(INDEX('Game Records'!$T:$T,$H11))),NOT(_xlfn.ISFORMULA(INDEX('Game Records'!$U:$U,$H11))),NOT(_xlfn.ISFORMULA(INDEX('Game Records'!$V:$V,$H11))),NOT(_xlfn.ISFORMULA(INDEX('Game Records'!$W:$W,$H11))),NOT(_xlfn.ISFORMULA(INDEX('Game Records'!$X:$X,$H11))),NOT(_xlfn.ISFORMULA(INDEX('Game Records'!$Y:$Y,$H11))),NOT(_xlfn.ISFORMULA(INDEX('Game Records'!$Z:$Z,$H11)))),"","")&amp;IF(INDEX('Game Records'!$B:$B,$H11)="","Start Date; ","")&amp;IF(INDEX('Game Records'!$C:$C,$H11)="","End Date; ","")&amp;IF(AND(INDEX('Game Records'!$U:$U,$H11)&lt;&gt;"Subscription",INDEX('Game Records'!$U:$U,$H11)&lt;&gt;"Free Game",INDEX('Game Records'!$U:$U,$H11)&lt;&gt;"Disqualified — Free Game",OR(INDEX('Game Records'!$D:$D,$H11)="",LOWER(INDEX('Game Records'!$D:$D,$H11)&amp;"")="n/a")),"Entry Mode; ","")&amp;IF(AND(INDEX('Game Records'!$U:$U,$H11)&lt;&gt;"Subscription",INDEX('Game Records'!$U:$U,$H11)&lt;&gt;"Free Game",INDEX('Game Records'!$U:$U,$H11)&lt;&gt;"Disqualified — Free Game",OR(INDEX('Game Records'!$E:$E,$H11)="",LOWER(INDEX('Game Records'!$E:$E,$H11)&amp;"")="n/a")),"Game Type; ","")&amp;IF(INDEX('Game Records'!$F:$F,$H11)="","Payment Type; ","")&amp;IF(AND(INDEX('Game Records'!$U:$U,$H11)&lt;&gt;"Subscription",INDEX('Game Records'!$U:$U,$H11)&lt;&gt;"Free Game",INDEX('Game Records'!$U:$U,$H11)&lt;&gt;"Disqualified — Free Game",INDEX('Game Records'!$G:$G,$H11)=""),"Gross Pot; ","")&amp;IF(AND(INDEX('Game Records'!$U:$U,$H11)&lt;&gt;"Free Game",INDEX('Game Records'!$U:$U,$H11)&lt;&gt;"Disqualified — Free Game",INDEX('Game Records'!$H:$H,$H11)=""),"Entry Fee; ","")&amp;IF(AND(INDEX('Game Records'!$U:$U,$H11)&lt;&gt;"Subscription",INDEX('Game Records'!$U:$U,$H11)&lt;&gt;"Free Game",INDEX('Game Records'!$U:$U,$H11)&lt;&gt;"Disqualified — Free Game",INDEX('Game Records'!$I:$I,$H11)=""),"Eligible Players; ","")&amp;IF(AND(INDEX('Game Records'!$U:$U,$H11)&lt;&gt;"Subscription",INDEX('Game Records'!$U:$U,$H11)&lt;&gt;"Free Game",INDEX('Game Records'!$U:$U,$H11)&lt;&gt;"Disqualified — Free Game",INDEX('Game Records'!$J:$J,$H11)=""),"Total Players; ","")&amp;IF(AND(LOWER(INDEX('Game Records'!$D:$D,$H11)&amp;"")="finalized",LOWER(INDEX('Game Records'!$L:$L,$H11)&amp;"")&lt;&gt;"yes",INDEX('Game Records'!$U:$U,$H11)&lt;&gt;"Subscription",INDEX('Game Records'!$U:$U,$H11)&lt;&gt;"Free Game",INDEX('Game Records'!$U:$U,$H11)&lt;&gt;"Disqualified — Free Game",INDEX('Game Records'!$K:$K,$H11)=""),"Final Payout; ","")&amp;IF(AND(LOWER(INDEX('Game Records'!$D:$D,$H11)&amp;"")="finalized",INDEX('Game Records'!$U:$U,$H11)&lt;&gt;"Subscription",INDEX('Game Records'!$U:$U,$H11)&lt;&gt;"Free Game",INDEX('Game Records'!$U:$U,$H11)&lt;&gt;"Disqualified — Free Game",OR(INDEX('Game Records'!$L:$L,$H11)="",LOWER(INDEX('Game Records'!$L:$L,$H11)&amp;"")="n/a")),"Disqualified Status; ",""))</f>
        <v/>
      </c>
      <c r="G11" s="25" t="str">
        <f t="array" ref="G11">IF($H11="","",IFERROR(INDEX('Game Records'!$M:$M,$H11),""))</f>
        <v/>
      </c>
      <c r="H11" s="8"/>
      <c r="I11" s="59" t="s">
        <v>215</v>
      </c>
      <c r="J11" s="60">
        <f>COUNTIF('Game Records'!$F:$F,"Points")</f>
        <v>0</v>
      </c>
    </row>
    <row r="12" ht="24.0" customHeight="1">
      <c r="A12" s="21" t="str">
        <f t="shared" si="1"/>
        <v/>
      </c>
      <c r="B12" s="21" t="str">
        <f t="shared" si="2"/>
        <v/>
      </c>
      <c r="C12" s="25" t="str">
        <f t="array" ref="C12">IF($H12="","",IFERROR(INDEX('Game Records'!$A:$A,$H12),""))</f>
        <v/>
      </c>
      <c r="D12" s="25" t="str">
        <f t="array" ref="D12">IF($H12="","",IFERROR(INDEX('Game Records'!$U:$U,$H12),""))</f>
        <v/>
      </c>
      <c r="E12" s="25" t="str">
        <f t="shared" si="3"/>
        <v/>
      </c>
      <c r="F12" s="25" t="str">
        <f t="array" ref="F12">IF($H12="","",IF(OR(NOT(_xlfn.ISFORMULA(INDEX('Game Records'!$N:$N,$H12))),NOT(_xlfn.ISFORMULA(INDEX('Game Records'!$O:$O,$H12))),NOT(_xlfn.ISFORMULA(INDEX('Game Records'!$P:$P,$H12))),NOT(_xlfn.ISFORMULA(INDEX('Game Records'!$Q:$Q,$H12))),NOT(_xlfn.ISFORMULA(INDEX('Game Records'!$R:$R,$H12))),NOT(_xlfn.ISFORMULA(INDEX('Game Records'!$S:$S,$H12))),NOT(_xlfn.ISFORMULA(INDEX('Game Records'!$T:$T,$H12))),NOT(_xlfn.ISFORMULA(INDEX('Game Records'!$U:$U,$H12))),NOT(_xlfn.ISFORMULA(INDEX('Game Records'!$V:$V,$H12))),NOT(_xlfn.ISFORMULA(INDEX('Game Records'!$W:$W,$H12))),NOT(_xlfn.ISFORMULA(INDEX('Game Records'!$X:$X,$H12))),NOT(_xlfn.ISFORMULA(INDEX('Game Records'!$Y:$Y,$H12))),NOT(_xlfn.ISFORMULA(INDEX('Game Records'!$Z:$Z,$H12)))),"","")&amp;IF(INDEX('Game Records'!$B:$B,$H12)="","Start Date; ","")&amp;IF(INDEX('Game Records'!$C:$C,$H12)="","End Date; ","")&amp;IF(AND(INDEX('Game Records'!$U:$U,$H12)&lt;&gt;"Subscription",INDEX('Game Records'!$U:$U,$H12)&lt;&gt;"Free Game",INDEX('Game Records'!$U:$U,$H12)&lt;&gt;"Disqualified — Free Game",OR(INDEX('Game Records'!$D:$D,$H12)="",LOWER(INDEX('Game Records'!$D:$D,$H12)&amp;"")="n/a")),"Entry Mode; ","")&amp;IF(AND(INDEX('Game Records'!$U:$U,$H12)&lt;&gt;"Subscription",INDEX('Game Records'!$U:$U,$H12)&lt;&gt;"Free Game",INDEX('Game Records'!$U:$U,$H12)&lt;&gt;"Disqualified — Free Game",OR(INDEX('Game Records'!$E:$E,$H12)="",LOWER(INDEX('Game Records'!$E:$E,$H12)&amp;"")="n/a")),"Game Type; ","")&amp;IF(INDEX('Game Records'!$F:$F,$H12)="","Payment Type; ","")&amp;IF(AND(INDEX('Game Records'!$U:$U,$H12)&lt;&gt;"Subscription",INDEX('Game Records'!$U:$U,$H12)&lt;&gt;"Free Game",INDEX('Game Records'!$U:$U,$H12)&lt;&gt;"Disqualified — Free Game",INDEX('Game Records'!$G:$G,$H12)=""),"Gross Pot; ","")&amp;IF(AND(INDEX('Game Records'!$U:$U,$H12)&lt;&gt;"Free Game",INDEX('Game Records'!$U:$U,$H12)&lt;&gt;"Disqualified — Free Game",INDEX('Game Records'!$H:$H,$H12)=""),"Entry Fee; ","")&amp;IF(AND(INDEX('Game Records'!$U:$U,$H12)&lt;&gt;"Subscription",INDEX('Game Records'!$U:$U,$H12)&lt;&gt;"Free Game",INDEX('Game Records'!$U:$U,$H12)&lt;&gt;"Disqualified — Free Game",INDEX('Game Records'!$I:$I,$H12)=""),"Eligible Players; ","")&amp;IF(AND(INDEX('Game Records'!$U:$U,$H12)&lt;&gt;"Subscription",INDEX('Game Records'!$U:$U,$H12)&lt;&gt;"Free Game",INDEX('Game Records'!$U:$U,$H12)&lt;&gt;"Disqualified — Free Game",INDEX('Game Records'!$J:$J,$H12)=""),"Total Players; ","")&amp;IF(AND(LOWER(INDEX('Game Records'!$D:$D,$H12)&amp;"")="finalized",LOWER(INDEX('Game Records'!$L:$L,$H12)&amp;"")&lt;&gt;"yes",INDEX('Game Records'!$U:$U,$H12)&lt;&gt;"Subscription",INDEX('Game Records'!$U:$U,$H12)&lt;&gt;"Free Game",INDEX('Game Records'!$U:$U,$H12)&lt;&gt;"Disqualified — Free Game",INDEX('Game Records'!$K:$K,$H12)=""),"Final Payout; ","")&amp;IF(AND(LOWER(INDEX('Game Records'!$D:$D,$H12)&amp;"")="finalized",INDEX('Game Records'!$U:$U,$H12)&lt;&gt;"Subscription",INDEX('Game Records'!$U:$U,$H12)&lt;&gt;"Free Game",INDEX('Game Records'!$U:$U,$H12)&lt;&gt;"Disqualified — Free Game",OR(INDEX('Game Records'!$L:$L,$H12)="",LOWER(INDEX('Game Records'!$L:$L,$H12)&amp;"")="n/a")),"Disqualified Status; ",""))</f>
        <v/>
      </c>
      <c r="G12" s="25" t="str">
        <f t="array" ref="G12">IF($H12="","",IFERROR(INDEX('Game Records'!$M:$M,$H12),""))</f>
        <v/>
      </c>
      <c r="H12" s="8"/>
      <c r="I12" s="59" t="s">
        <v>216</v>
      </c>
      <c r="J12" s="60">
        <f>COUNTIF('Game Records'!$F:$F,"Cash")+COUNTIF('Game Records'!$F:$F,"Hybrid")</f>
        <v>0</v>
      </c>
    </row>
    <row r="13" ht="24.0" customHeight="1">
      <c r="A13" s="21" t="str">
        <f t="shared" si="1"/>
        <v/>
      </c>
      <c r="B13" s="21" t="str">
        <f t="shared" si="2"/>
        <v/>
      </c>
      <c r="C13" s="25" t="str">
        <f t="array" ref="C13">IF($H13="","",IFERROR(INDEX('Game Records'!$A:$A,$H13),""))</f>
        <v/>
      </c>
      <c r="D13" s="25" t="str">
        <f t="array" ref="D13">IF($H13="","",IFERROR(INDEX('Game Records'!$U:$U,$H13),""))</f>
        <v/>
      </c>
      <c r="E13" s="25" t="str">
        <f t="shared" si="3"/>
        <v/>
      </c>
      <c r="F13" s="25" t="str">
        <f t="array" ref="F13">IF($H13="","",IF(OR(NOT(_xlfn.ISFORMULA(INDEX('Game Records'!$N:$N,$H13))),NOT(_xlfn.ISFORMULA(INDEX('Game Records'!$O:$O,$H13))),NOT(_xlfn.ISFORMULA(INDEX('Game Records'!$P:$P,$H13))),NOT(_xlfn.ISFORMULA(INDEX('Game Records'!$Q:$Q,$H13))),NOT(_xlfn.ISFORMULA(INDEX('Game Records'!$R:$R,$H13))),NOT(_xlfn.ISFORMULA(INDEX('Game Records'!$S:$S,$H13))),NOT(_xlfn.ISFORMULA(INDEX('Game Records'!$T:$T,$H13))),NOT(_xlfn.ISFORMULA(INDEX('Game Records'!$U:$U,$H13))),NOT(_xlfn.ISFORMULA(INDEX('Game Records'!$V:$V,$H13))),NOT(_xlfn.ISFORMULA(INDEX('Game Records'!$W:$W,$H13))),NOT(_xlfn.ISFORMULA(INDEX('Game Records'!$X:$X,$H13))),NOT(_xlfn.ISFORMULA(INDEX('Game Records'!$Y:$Y,$H13))),NOT(_xlfn.ISFORMULA(INDEX('Game Records'!$Z:$Z,$H13)))),"","")&amp;IF(INDEX('Game Records'!$B:$B,$H13)="","Start Date; ","")&amp;IF(INDEX('Game Records'!$C:$C,$H13)="","End Date; ","")&amp;IF(AND(INDEX('Game Records'!$U:$U,$H13)&lt;&gt;"Subscription",INDEX('Game Records'!$U:$U,$H13)&lt;&gt;"Free Game",INDEX('Game Records'!$U:$U,$H13)&lt;&gt;"Disqualified — Free Game",OR(INDEX('Game Records'!$D:$D,$H13)="",LOWER(INDEX('Game Records'!$D:$D,$H13)&amp;"")="n/a")),"Entry Mode; ","")&amp;IF(AND(INDEX('Game Records'!$U:$U,$H13)&lt;&gt;"Subscription",INDEX('Game Records'!$U:$U,$H13)&lt;&gt;"Free Game",INDEX('Game Records'!$U:$U,$H13)&lt;&gt;"Disqualified — Free Game",OR(INDEX('Game Records'!$E:$E,$H13)="",LOWER(INDEX('Game Records'!$E:$E,$H13)&amp;"")="n/a")),"Game Type; ","")&amp;IF(INDEX('Game Records'!$F:$F,$H13)="","Payment Type; ","")&amp;IF(AND(INDEX('Game Records'!$U:$U,$H13)&lt;&gt;"Subscription",INDEX('Game Records'!$U:$U,$H13)&lt;&gt;"Free Game",INDEX('Game Records'!$U:$U,$H13)&lt;&gt;"Disqualified — Free Game",INDEX('Game Records'!$G:$G,$H13)=""),"Gross Pot; ","")&amp;IF(AND(INDEX('Game Records'!$U:$U,$H13)&lt;&gt;"Free Game",INDEX('Game Records'!$U:$U,$H13)&lt;&gt;"Disqualified — Free Game",INDEX('Game Records'!$H:$H,$H13)=""),"Entry Fee; ","")&amp;IF(AND(INDEX('Game Records'!$U:$U,$H13)&lt;&gt;"Subscription",INDEX('Game Records'!$U:$U,$H13)&lt;&gt;"Free Game",INDEX('Game Records'!$U:$U,$H13)&lt;&gt;"Disqualified — Free Game",INDEX('Game Records'!$I:$I,$H13)=""),"Eligible Players; ","")&amp;IF(AND(INDEX('Game Records'!$U:$U,$H13)&lt;&gt;"Subscription",INDEX('Game Records'!$U:$U,$H13)&lt;&gt;"Free Game",INDEX('Game Records'!$U:$U,$H13)&lt;&gt;"Disqualified — Free Game",INDEX('Game Records'!$J:$J,$H13)=""),"Total Players; ","")&amp;IF(AND(LOWER(INDEX('Game Records'!$D:$D,$H13)&amp;"")="finalized",LOWER(INDEX('Game Records'!$L:$L,$H13)&amp;"")&lt;&gt;"yes",INDEX('Game Records'!$U:$U,$H13)&lt;&gt;"Subscription",INDEX('Game Records'!$U:$U,$H13)&lt;&gt;"Free Game",INDEX('Game Records'!$U:$U,$H13)&lt;&gt;"Disqualified — Free Game",INDEX('Game Records'!$K:$K,$H13)=""),"Final Payout; ","")&amp;IF(AND(LOWER(INDEX('Game Records'!$D:$D,$H13)&amp;"")="finalized",INDEX('Game Records'!$U:$U,$H13)&lt;&gt;"Subscription",INDEX('Game Records'!$U:$U,$H13)&lt;&gt;"Free Game",INDEX('Game Records'!$U:$U,$H13)&lt;&gt;"Disqualified — Free Game",OR(INDEX('Game Records'!$L:$L,$H13)="",LOWER(INDEX('Game Records'!$L:$L,$H13)&amp;"")="n/a")),"Disqualified Status; ",""))</f>
        <v/>
      </c>
      <c r="G13" s="25" t="str">
        <f t="array" ref="G13">IF($H13="","",IFERROR(INDEX('Game Records'!$M:$M,$H13),""))</f>
        <v/>
      </c>
      <c r="H13" s="8"/>
      <c r="I13" s="8"/>
      <c r="J13" s="8"/>
    </row>
    <row r="14" ht="24.0" customHeight="1">
      <c r="A14" s="21" t="str">
        <f t="shared" si="1"/>
        <v/>
      </c>
      <c r="B14" s="21" t="str">
        <f t="shared" si="2"/>
        <v/>
      </c>
      <c r="C14" s="25" t="str">
        <f t="array" ref="C14">IF($H14="","",IFERROR(INDEX('Game Records'!$A:$A,$H14),""))</f>
        <v/>
      </c>
      <c r="D14" s="25" t="str">
        <f t="array" ref="D14">IF($H14="","",IFERROR(INDEX('Game Records'!$U:$U,$H14),""))</f>
        <v/>
      </c>
      <c r="E14" s="25" t="str">
        <f t="shared" si="3"/>
        <v/>
      </c>
      <c r="F14" s="25" t="str">
        <f t="array" ref="F14">IF($H14="","",IF(OR(NOT(_xlfn.ISFORMULA(INDEX('Game Records'!$N:$N,$H14))),NOT(_xlfn.ISFORMULA(INDEX('Game Records'!$O:$O,$H14))),NOT(_xlfn.ISFORMULA(INDEX('Game Records'!$P:$P,$H14))),NOT(_xlfn.ISFORMULA(INDEX('Game Records'!$Q:$Q,$H14))),NOT(_xlfn.ISFORMULA(INDEX('Game Records'!$R:$R,$H14))),NOT(_xlfn.ISFORMULA(INDEX('Game Records'!$S:$S,$H14))),NOT(_xlfn.ISFORMULA(INDEX('Game Records'!$T:$T,$H14))),NOT(_xlfn.ISFORMULA(INDEX('Game Records'!$U:$U,$H14))),NOT(_xlfn.ISFORMULA(INDEX('Game Records'!$V:$V,$H14))),NOT(_xlfn.ISFORMULA(INDEX('Game Records'!$W:$W,$H14))),NOT(_xlfn.ISFORMULA(INDEX('Game Records'!$X:$X,$H14))),NOT(_xlfn.ISFORMULA(INDEX('Game Records'!$Y:$Y,$H14))),NOT(_xlfn.ISFORMULA(INDEX('Game Records'!$Z:$Z,$H14)))),"","")&amp;IF(INDEX('Game Records'!$B:$B,$H14)="","Start Date; ","")&amp;IF(INDEX('Game Records'!$C:$C,$H14)="","End Date; ","")&amp;IF(AND(INDEX('Game Records'!$U:$U,$H14)&lt;&gt;"Subscription",INDEX('Game Records'!$U:$U,$H14)&lt;&gt;"Free Game",INDEX('Game Records'!$U:$U,$H14)&lt;&gt;"Disqualified — Free Game",OR(INDEX('Game Records'!$D:$D,$H14)="",LOWER(INDEX('Game Records'!$D:$D,$H14)&amp;"")="n/a")),"Entry Mode; ","")&amp;IF(AND(INDEX('Game Records'!$U:$U,$H14)&lt;&gt;"Subscription",INDEX('Game Records'!$U:$U,$H14)&lt;&gt;"Free Game",INDEX('Game Records'!$U:$U,$H14)&lt;&gt;"Disqualified — Free Game",OR(INDEX('Game Records'!$E:$E,$H14)="",LOWER(INDEX('Game Records'!$E:$E,$H14)&amp;"")="n/a")),"Game Type; ","")&amp;IF(INDEX('Game Records'!$F:$F,$H14)="","Payment Type; ","")&amp;IF(AND(INDEX('Game Records'!$U:$U,$H14)&lt;&gt;"Subscription",INDEX('Game Records'!$U:$U,$H14)&lt;&gt;"Free Game",INDEX('Game Records'!$U:$U,$H14)&lt;&gt;"Disqualified — Free Game",INDEX('Game Records'!$G:$G,$H14)=""),"Gross Pot; ","")&amp;IF(AND(INDEX('Game Records'!$U:$U,$H14)&lt;&gt;"Free Game",INDEX('Game Records'!$U:$U,$H14)&lt;&gt;"Disqualified — Free Game",INDEX('Game Records'!$H:$H,$H14)=""),"Entry Fee; ","")&amp;IF(AND(INDEX('Game Records'!$U:$U,$H14)&lt;&gt;"Subscription",INDEX('Game Records'!$U:$U,$H14)&lt;&gt;"Free Game",INDEX('Game Records'!$U:$U,$H14)&lt;&gt;"Disqualified — Free Game",INDEX('Game Records'!$I:$I,$H14)=""),"Eligible Players; ","")&amp;IF(AND(INDEX('Game Records'!$U:$U,$H14)&lt;&gt;"Subscription",INDEX('Game Records'!$U:$U,$H14)&lt;&gt;"Free Game",INDEX('Game Records'!$U:$U,$H14)&lt;&gt;"Disqualified — Free Game",INDEX('Game Records'!$J:$J,$H14)=""),"Total Players; ","")&amp;IF(AND(LOWER(INDEX('Game Records'!$D:$D,$H14)&amp;"")="finalized",LOWER(INDEX('Game Records'!$L:$L,$H14)&amp;"")&lt;&gt;"yes",INDEX('Game Records'!$U:$U,$H14)&lt;&gt;"Subscription",INDEX('Game Records'!$U:$U,$H14)&lt;&gt;"Free Game",INDEX('Game Records'!$U:$U,$H14)&lt;&gt;"Disqualified — Free Game",INDEX('Game Records'!$K:$K,$H14)=""),"Final Payout; ","")&amp;IF(AND(LOWER(INDEX('Game Records'!$D:$D,$H14)&amp;"")="finalized",INDEX('Game Records'!$U:$U,$H14)&lt;&gt;"Subscription",INDEX('Game Records'!$U:$U,$H14)&lt;&gt;"Free Game",INDEX('Game Records'!$U:$U,$H14)&lt;&gt;"Disqualified — Free Game",OR(INDEX('Game Records'!$L:$L,$H14)="",LOWER(INDEX('Game Records'!$L:$L,$H14)&amp;"")="n/a")),"Disqualified Status; ",""))</f>
        <v/>
      </c>
      <c r="G14" s="25" t="str">
        <f t="array" ref="G14">IF($H14="","",IFERROR(INDEX('Game Records'!$M:$M,$H14),""))</f>
        <v/>
      </c>
      <c r="H14" s="8"/>
      <c r="I14" s="8"/>
      <c r="J14" s="8"/>
    </row>
    <row r="15" ht="24.0" customHeight="1">
      <c r="A15" s="21" t="str">
        <f t="shared" si="1"/>
        <v/>
      </c>
      <c r="B15" s="21" t="str">
        <f t="shared" si="2"/>
        <v/>
      </c>
      <c r="C15" s="25" t="str">
        <f t="array" ref="C15">IF($H15="","",IFERROR(INDEX('Game Records'!$A:$A,$H15),""))</f>
        <v/>
      </c>
      <c r="D15" s="25" t="str">
        <f t="array" ref="D15">IF($H15="","",IFERROR(INDEX('Game Records'!$U:$U,$H15),""))</f>
        <v/>
      </c>
      <c r="E15" s="25" t="str">
        <f t="shared" si="3"/>
        <v/>
      </c>
      <c r="F15" s="25" t="str">
        <f t="array" ref="F15">IF($H15="","",IF(OR(NOT(_xlfn.ISFORMULA(INDEX('Game Records'!$N:$N,$H15))),NOT(_xlfn.ISFORMULA(INDEX('Game Records'!$O:$O,$H15))),NOT(_xlfn.ISFORMULA(INDEX('Game Records'!$P:$P,$H15))),NOT(_xlfn.ISFORMULA(INDEX('Game Records'!$Q:$Q,$H15))),NOT(_xlfn.ISFORMULA(INDEX('Game Records'!$R:$R,$H15))),NOT(_xlfn.ISFORMULA(INDEX('Game Records'!$S:$S,$H15))),NOT(_xlfn.ISFORMULA(INDEX('Game Records'!$T:$T,$H15))),NOT(_xlfn.ISFORMULA(INDEX('Game Records'!$U:$U,$H15))),NOT(_xlfn.ISFORMULA(INDEX('Game Records'!$V:$V,$H15))),NOT(_xlfn.ISFORMULA(INDEX('Game Records'!$W:$W,$H15))),NOT(_xlfn.ISFORMULA(INDEX('Game Records'!$X:$X,$H15))),NOT(_xlfn.ISFORMULA(INDEX('Game Records'!$Y:$Y,$H15))),NOT(_xlfn.ISFORMULA(INDEX('Game Records'!$Z:$Z,$H15)))),"","")&amp;IF(INDEX('Game Records'!$B:$B,$H15)="","Start Date; ","")&amp;IF(INDEX('Game Records'!$C:$C,$H15)="","End Date; ","")&amp;IF(AND(INDEX('Game Records'!$U:$U,$H15)&lt;&gt;"Subscription",INDEX('Game Records'!$U:$U,$H15)&lt;&gt;"Free Game",INDEX('Game Records'!$U:$U,$H15)&lt;&gt;"Disqualified — Free Game",OR(INDEX('Game Records'!$D:$D,$H15)="",LOWER(INDEX('Game Records'!$D:$D,$H15)&amp;"")="n/a")),"Entry Mode; ","")&amp;IF(AND(INDEX('Game Records'!$U:$U,$H15)&lt;&gt;"Subscription",INDEX('Game Records'!$U:$U,$H15)&lt;&gt;"Free Game",INDEX('Game Records'!$U:$U,$H15)&lt;&gt;"Disqualified — Free Game",OR(INDEX('Game Records'!$E:$E,$H15)="",LOWER(INDEX('Game Records'!$E:$E,$H15)&amp;"")="n/a")),"Game Type; ","")&amp;IF(INDEX('Game Records'!$F:$F,$H15)="","Payment Type; ","")&amp;IF(AND(INDEX('Game Records'!$U:$U,$H15)&lt;&gt;"Subscription",INDEX('Game Records'!$U:$U,$H15)&lt;&gt;"Free Game",INDEX('Game Records'!$U:$U,$H15)&lt;&gt;"Disqualified — Free Game",INDEX('Game Records'!$G:$G,$H15)=""),"Gross Pot; ","")&amp;IF(AND(INDEX('Game Records'!$U:$U,$H15)&lt;&gt;"Free Game",INDEX('Game Records'!$U:$U,$H15)&lt;&gt;"Disqualified — Free Game",INDEX('Game Records'!$H:$H,$H15)=""),"Entry Fee; ","")&amp;IF(AND(INDEX('Game Records'!$U:$U,$H15)&lt;&gt;"Subscription",INDEX('Game Records'!$U:$U,$H15)&lt;&gt;"Free Game",INDEX('Game Records'!$U:$U,$H15)&lt;&gt;"Disqualified — Free Game",INDEX('Game Records'!$I:$I,$H15)=""),"Eligible Players; ","")&amp;IF(AND(INDEX('Game Records'!$U:$U,$H15)&lt;&gt;"Subscription",INDEX('Game Records'!$U:$U,$H15)&lt;&gt;"Free Game",INDEX('Game Records'!$U:$U,$H15)&lt;&gt;"Disqualified — Free Game",INDEX('Game Records'!$J:$J,$H15)=""),"Total Players; ","")&amp;IF(AND(LOWER(INDEX('Game Records'!$D:$D,$H15)&amp;"")="finalized",LOWER(INDEX('Game Records'!$L:$L,$H15)&amp;"")&lt;&gt;"yes",INDEX('Game Records'!$U:$U,$H15)&lt;&gt;"Subscription",INDEX('Game Records'!$U:$U,$H15)&lt;&gt;"Free Game",INDEX('Game Records'!$U:$U,$H15)&lt;&gt;"Disqualified — Free Game",INDEX('Game Records'!$K:$K,$H15)=""),"Final Payout; ","")&amp;IF(AND(LOWER(INDEX('Game Records'!$D:$D,$H15)&amp;"")="finalized",INDEX('Game Records'!$U:$U,$H15)&lt;&gt;"Subscription",INDEX('Game Records'!$U:$U,$H15)&lt;&gt;"Free Game",INDEX('Game Records'!$U:$U,$H15)&lt;&gt;"Disqualified — Free Game",OR(INDEX('Game Records'!$L:$L,$H15)="",LOWER(INDEX('Game Records'!$L:$L,$H15)&amp;"")="n/a")),"Disqualified Status; ",""))</f>
        <v/>
      </c>
      <c r="G15" s="25" t="str">
        <f t="array" ref="G15">IF($H15="","",IFERROR(INDEX('Game Records'!$M:$M,$H15),""))</f>
        <v/>
      </c>
      <c r="H15" s="8"/>
      <c r="I15" s="8"/>
      <c r="J15" s="8"/>
    </row>
    <row r="16" ht="24.0" customHeight="1">
      <c r="A16" s="21" t="str">
        <f t="shared" si="1"/>
        <v/>
      </c>
      <c r="B16" s="21" t="str">
        <f t="shared" si="2"/>
        <v/>
      </c>
      <c r="C16" s="25" t="str">
        <f t="array" ref="C16">IF($H16="","",IFERROR(INDEX('Game Records'!$A:$A,$H16),""))</f>
        <v/>
      </c>
      <c r="D16" s="25" t="str">
        <f t="array" ref="D16">IF($H16="","",IFERROR(INDEX('Game Records'!$U:$U,$H16),""))</f>
        <v/>
      </c>
      <c r="E16" s="25" t="str">
        <f t="shared" si="3"/>
        <v/>
      </c>
      <c r="F16" s="25" t="str">
        <f t="array" ref="F16">IF($H16="","",IF(OR(NOT(_xlfn.ISFORMULA(INDEX('Game Records'!$N:$N,$H16))),NOT(_xlfn.ISFORMULA(INDEX('Game Records'!$O:$O,$H16))),NOT(_xlfn.ISFORMULA(INDEX('Game Records'!$P:$P,$H16))),NOT(_xlfn.ISFORMULA(INDEX('Game Records'!$Q:$Q,$H16))),NOT(_xlfn.ISFORMULA(INDEX('Game Records'!$R:$R,$H16))),NOT(_xlfn.ISFORMULA(INDEX('Game Records'!$S:$S,$H16))),NOT(_xlfn.ISFORMULA(INDEX('Game Records'!$T:$T,$H16))),NOT(_xlfn.ISFORMULA(INDEX('Game Records'!$U:$U,$H16))),NOT(_xlfn.ISFORMULA(INDEX('Game Records'!$V:$V,$H16))),NOT(_xlfn.ISFORMULA(INDEX('Game Records'!$W:$W,$H16))),NOT(_xlfn.ISFORMULA(INDEX('Game Records'!$X:$X,$H16))),NOT(_xlfn.ISFORMULA(INDEX('Game Records'!$Y:$Y,$H16))),NOT(_xlfn.ISFORMULA(INDEX('Game Records'!$Z:$Z,$H16)))),"","")&amp;IF(INDEX('Game Records'!$B:$B,$H16)="","Start Date; ","")&amp;IF(INDEX('Game Records'!$C:$C,$H16)="","End Date; ","")&amp;IF(AND(INDEX('Game Records'!$U:$U,$H16)&lt;&gt;"Subscription",INDEX('Game Records'!$U:$U,$H16)&lt;&gt;"Free Game",INDEX('Game Records'!$U:$U,$H16)&lt;&gt;"Disqualified — Free Game",OR(INDEX('Game Records'!$D:$D,$H16)="",LOWER(INDEX('Game Records'!$D:$D,$H16)&amp;"")="n/a")),"Entry Mode; ","")&amp;IF(AND(INDEX('Game Records'!$U:$U,$H16)&lt;&gt;"Subscription",INDEX('Game Records'!$U:$U,$H16)&lt;&gt;"Free Game",INDEX('Game Records'!$U:$U,$H16)&lt;&gt;"Disqualified — Free Game",OR(INDEX('Game Records'!$E:$E,$H16)="",LOWER(INDEX('Game Records'!$E:$E,$H16)&amp;"")="n/a")),"Game Type; ","")&amp;IF(INDEX('Game Records'!$F:$F,$H16)="","Payment Type; ","")&amp;IF(AND(INDEX('Game Records'!$U:$U,$H16)&lt;&gt;"Subscription",INDEX('Game Records'!$U:$U,$H16)&lt;&gt;"Free Game",INDEX('Game Records'!$U:$U,$H16)&lt;&gt;"Disqualified — Free Game",INDEX('Game Records'!$G:$G,$H16)=""),"Gross Pot; ","")&amp;IF(AND(INDEX('Game Records'!$U:$U,$H16)&lt;&gt;"Free Game",INDEX('Game Records'!$U:$U,$H16)&lt;&gt;"Disqualified — Free Game",INDEX('Game Records'!$H:$H,$H16)=""),"Entry Fee; ","")&amp;IF(AND(INDEX('Game Records'!$U:$U,$H16)&lt;&gt;"Subscription",INDEX('Game Records'!$U:$U,$H16)&lt;&gt;"Free Game",INDEX('Game Records'!$U:$U,$H16)&lt;&gt;"Disqualified — Free Game",INDEX('Game Records'!$I:$I,$H16)=""),"Eligible Players; ","")&amp;IF(AND(INDEX('Game Records'!$U:$U,$H16)&lt;&gt;"Subscription",INDEX('Game Records'!$U:$U,$H16)&lt;&gt;"Free Game",INDEX('Game Records'!$U:$U,$H16)&lt;&gt;"Disqualified — Free Game",INDEX('Game Records'!$J:$J,$H16)=""),"Total Players; ","")&amp;IF(AND(LOWER(INDEX('Game Records'!$D:$D,$H16)&amp;"")="finalized",LOWER(INDEX('Game Records'!$L:$L,$H16)&amp;"")&lt;&gt;"yes",INDEX('Game Records'!$U:$U,$H16)&lt;&gt;"Subscription",INDEX('Game Records'!$U:$U,$H16)&lt;&gt;"Free Game",INDEX('Game Records'!$U:$U,$H16)&lt;&gt;"Disqualified — Free Game",INDEX('Game Records'!$K:$K,$H16)=""),"Final Payout; ","")&amp;IF(AND(LOWER(INDEX('Game Records'!$D:$D,$H16)&amp;"")="finalized",INDEX('Game Records'!$U:$U,$H16)&lt;&gt;"Subscription",INDEX('Game Records'!$U:$U,$H16)&lt;&gt;"Free Game",INDEX('Game Records'!$U:$U,$H16)&lt;&gt;"Disqualified — Free Game",OR(INDEX('Game Records'!$L:$L,$H16)="",LOWER(INDEX('Game Records'!$L:$L,$H16)&amp;"")="n/a")),"Disqualified Status; ",""))</f>
        <v/>
      </c>
      <c r="G16" s="25" t="str">
        <f t="array" ref="G16">IF($H16="","",IFERROR(INDEX('Game Records'!$M:$M,$H16),""))</f>
        <v/>
      </c>
      <c r="H16" s="8"/>
      <c r="I16" s="8"/>
      <c r="J16" s="8"/>
    </row>
    <row r="17" ht="24.0" customHeight="1">
      <c r="A17" s="21" t="str">
        <f t="shared" si="1"/>
        <v/>
      </c>
      <c r="B17" s="21" t="str">
        <f t="shared" si="2"/>
        <v/>
      </c>
      <c r="C17" s="25" t="str">
        <f t="array" ref="C17">IF($H17="","",IFERROR(INDEX('Game Records'!$A:$A,$H17),""))</f>
        <v/>
      </c>
      <c r="D17" s="25" t="str">
        <f t="array" ref="D17">IF($H17="","",IFERROR(INDEX('Game Records'!$U:$U,$H17),""))</f>
        <v/>
      </c>
      <c r="E17" s="25" t="str">
        <f t="shared" si="3"/>
        <v/>
      </c>
      <c r="F17" s="25" t="str">
        <f t="array" ref="F17">IF($H17="","",IF(OR(NOT(_xlfn.ISFORMULA(INDEX('Game Records'!$N:$N,$H17))),NOT(_xlfn.ISFORMULA(INDEX('Game Records'!$O:$O,$H17))),NOT(_xlfn.ISFORMULA(INDEX('Game Records'!$P:$P,$H17))),NOT(_xlfn.ISFORMULA(INDEX('Game Records'!$Q:$Q,$H17))),NOT(_xlfn.ISFORMULA(INDEX('Game Records'!$R:$R,$H17))),NOT(_xlfn.ISFORMULA(INDEX('Game Records'!$S:$S,$H17))),NOT(_xlfn.ISFORMULA(INDEX('Game Records'!$T:$T,$H17))),NOT(_xlfn.ISFORMULA(INDEX('Game Records'!$U:$U,$H17))),NOT(_xlfn.ISFORMULA(INDEX('Game Records'!$V:$V,$H17))),NOT(_xlfn.ISFORMULA(INDEX('Game Records'!$W:$W,$H17))),NOT(_xlfn.ISFORMULA(INDEX('Game Records'!$X:$X,$H17))),NOT(_xlfn.ISFORMULA(INDEX('Game Records'!$Y:$Y,$H17))),NOT(_xlfn.ISFORMULA(INDEX('Game Records'!$Z:$Z,$H17)))),"","")&amp;IF(INDEX('Game Records'!$B:$B,$H17)="","Start Date; ","")&amp;IF(INDEX('Game Records'!$C:$C,$H17)="","End Date; ","")&amp;IF(AND(INDEX('Game Records'!$U:$U,$H17)&lt;&gt;"Subscription",INDEX('Game Records'!$U:$U,$H17)&lt;&gt;"Free Game",INDEX('Game Records'!$U:$U,$H17)&lt;&gt;"Disqualified — Free Game",OR(INDEX('Game Records'!$D:$D,$H17)="",LOWER(INDEX('Game Records'!$D:$D,$H17)&amp;"")="n/a")),"Entry Mode; ","")&amp;IF(AND(INDEX('Game Records'!$U:$U,$H17)&lt;&gt;"Subscription",INDEX('Game Records'!$U:$U,$H17)&lt;&gt;"Free Game",INDEX('Game Records'!$U:$U,$H17)&lt;&gt;"Disqualified — Free Game",OR(INDEX('Game Records'!$E:$E,$H17)="",LOWER(INDEX('Game Records'!$E:$E,$H17)&amp;"")="n/a")),"Game Type; ","")&amp;IF(INDEX('Game Records'!$F:$F,$H17)="","Payment Type; ","")&amp;IF(AND(INDEX('Game Records'!$U:$U,$H17)&lt;&gt;"Subscription",INDEX('Game Records'!$U:$U,$H17)&lt;&gt;"Free Game",INDEX('Game Records'!$U:$U,$H17)&lt;&gt;"Disqualified — Free Game",INDEX('Game Records'!$G:$G,$H17)=""),"Gross Pot; ","")&amp;IF(AND(INDEX('Game Records'!$U:$U,$H17)&lt;&gt;"Free Game",INDEX('Game Records'!$U:$U,$H17)&lt;&gt;"Disqualified — Free Game",INDEX('Game Records'!$H:$H,$H17)=""),"Entry Fee; ","")&amp;IF(AND(INDEX('Game Records'!$U:$U,$H17)&lt;&gt;"Subscription",INDEX('Game Records'!$U:$U,$H17)&lt;&gt;"Free Game",INDEX('Game Records'!$U:$U,$H17)&lt;&gt;"Disqualified — Free Game",INDEX('Game Records'!$I:$I,$H17)=""),"Eligible Players; ","")&amp;IF(AND(INDEX('Game Records'!$U:$U,$H17)&lt;&gt;"Subscription",INDEX('Game Records'!$U:$U,$H17)&lt;&gt;"Free Game",INDEX('Game Records'!$U:$U,$H17)&lt;&gt;"Disqualified — Free Game",INDEX('Game Records'!$J:$J,$H17)=""),"Total Players; ","")&amp;IF(AND(LOWER(INDEX('Game Records'!$D:$D,$H17)&amp;"")="finalized",LOWER(INDEX('Game Records'!$L:$L,$H17)&amp;"")&lt;&gt;"yes",INDEX('Game Records'!$U:$U,$H17)&lt;&gt;"Subscription",INDEX('Game Records'!$U:$U,$H17)&lt;&gt;"Free Game",INDEX('Game Records'!$U:$U,$H17)&lt;&gt;"Disqualified — Free Game",INDEX('Game Records'!$K:$K,$H17)=""),"Final Payout; ","")&amp;IF(AND(LOWER(INDEX('Game Records'!$D:$D,$H17)&amp;"")="finalized",INDEX('Game Records'!$U:$U,$H17)&lt;&gt;"Subscription",INDEX('Game Records'!$U:$U,$H17)&lt;&gt;"Free Game",INDEX('Game Records'!$U:$U,$H17)&lt;&gt;"Disqualified — Free Game",OR(INDEX('Game Records'!$L:$L,$H17)="",LOWER(INDEX('Game Records'!$L:$L,$H17)&amp;"")="n/a")),"Disqualified Status; ",""))</f>
        <v/>
      </c>
      <c r="G17" s="25" t="str">
        <f t="array" ref="G17">IF($H17="","",IFERROR(INDEX('Game Records'!$M:$M,$H17),""))</f>
        <v/>
      </c>
      <c r="H17" s="8"/>
      <c r="I17" s="8"/>
      <c r="J17" s="8"/>
    </row>
    <row r="18" ht="24.0" customHeight="1">
      <c r="A18" s="21" t="str">
        <f t="shared" si="1"/>
        <v/>
      </c>
      <c r="B18" s="21" t="str">
        <f t="shared" si="2"/>
        <v/>
      </c>
      <c r="C18" s="25" t="str">
        <f t="array" ref="C18">IF($H18="","",IFERROR(INDEX('Game Records'!$A:$A,$H18),""))</f>
        <v/>
      </c>
      <c r="D18" s="25" t="str">
        <f t="array" ref="D18">IF($H18="","",IFERROR(INDEX('Game Records'!$U:$U,$H18),""))</f>
        <v/>
      </c>
      <c r="E18" s="25" t="str">
        <f t="shared" si="3"/>
        <v/>
      </c>
      <c r="F18" s="25" t="str">
        <f t="array" ref="F18">IF($H18="","",IF(OR(NOT(_xlfn.ISFORMULA(INDEX('Game Records'!$N:$N,$H18))),NOT(_xlfn.ISFORMULA(INDEX('Game Records'!$O:$O,$H18))),NOT(_xlfn.ISFORMULA(INDEX('Game Records'!$P:$P,$H18))),NOT(_xlfn.ISFORMULA(INDEX('Game Records'!$Q:$Q,$H18))),NOT(_xlfn.ISFORMULA(INDEX('Game Records'!$R:$R,$H18))),NOT(_xlfn.ISFORMULA(INDEX('Game Records'!$S:$S,$H18))),NOT(_xlfn.ISFORMULA(INDEX('Game Records'!$T:$T,$H18))),NOT(_xlfn.ISFORMULA(INDEX('Game Records'!$U:$U,$H18))),NOT(_xlfn.ISFORMULA(INDEX('Game Records'!$V:$V,$H18))),NOT(_xlfn.ISFORMULA(INDEX('Game Records'!$W:$W,$H18))),NOT(_xlfn.ISFORMULA(INDEX('Game Records'!$X:$X,$H18))),NOT(_xlfn.ISFORMULA(INDEX('Game Records'!$Y:$Y,$H18))),NOT(_xlfn.ISFORMULA(INDEX('Game Records'!$Z:$Z,$H18)))),"","")&amp;IF(INDEX('Game Records'!$B:$B,$H18)="","Start Date; ","")&amp;IF(INDEX('Game Records'!$C:$C,$H18)="","End Date; ","")&amp;IF(AND(INDEX('Game Records'!$U:$U,$H18)&lt;&gt;"Subscription",INDEX('Game Records'!$U:$U,$H18)&lt;&gt;"Free Game",INDEX('Game Records'!$U:$U,$H18)&lt;&gt;"Disqualified — Free Game",OR(INDEX('Game Records'!$D:$D,$H18)="",LOWER(INDEX('Game Records'!$D:$D,$H18)&amp;"")="n/a")),"Entry Mode; ","")&amp;IF(AND(INDEX('Game Records'!$U:$U,$H18)&lt;&gt;"Subscription",INDEX('Game Records'!$U:$U,$H18)&lt;&gt;"Free Game",INDEX('Game Records'!$U:$U,$H18)&lt;&gt;"Disqualified — Free Game",OR(INDEX('Game Records'!$E:$E,$H18)="",LOWER(INDEX('Game Records'!$E:$E,$H18)&amp;"")="n/a")),"Game Type; ","")&amp;IF(INDEX('Game Records'!$F:$F,$H18)="","Payment Type; ","")&amp;IF(AND(INDEX('Game Records'!$U:$U,$H18)&lt;&gt;"Subscription",INDEX('Game Records'!$U:$U,$H18)&lt;&gt;"Free Game",INDEX('Game Records'!$U:$U,$H18)&lt;&gt;"Disqualified — Free Game",INDEX('Game Records'!$G:$G,$H18)=""),"Gross Pot; ","")&amp;IF(AND(INDEX('Game Records'!$U:$U,$H18)&lt;&gt;"Free Game",INDEX('Game Records'!$U:$U,$H18)&lt;&gt;"Disqualified — Free Game",INDEX('Game Records'!$H:$H,$H18)=""),"Entry Fee; ","")&amp;IF(AND(INDEX('Game Records'!$U:$U,$H18)&lt;&gt;"Subscription",INDEX('Game Records'!$U:$U,$H18)&lt;&gt;"Free Game",INDEX('Game Records'!$U:$U,$H18)&lt;&gt;"Disqualified — Free Game",INDEX('Game Records'!$I:$I,$H18)=""),"Eligible Players; ","")&amp;IF(AND(INDEX('Game Records'!$U:$U,$H18)&lt;&gt;"Subscription",INDEX('Game Records'!$U:$U,$H18)&lt;&gt;"Free Game",INDEX('Game Records'!$U:$U,$H18)&lt;&gt;"Disqualified — Free Game",INDEX('Game Records'!$J:$J,$H18)=""),"Total Players; ","")&amp;IF(AND(LOWER(INDEX('Game Records'!$D:$D,$H18)&amp;"")="finalized",LOWER(INDEX('Game Records'!$L:$L,$H18)&amp;"")&lt;&gt;"yes",INDEX('Game Records'!$U:$U,$H18)&lt;&gt;"Subscription",INDEX('Game Records'!$U:$U,$H18)&lt;&gt;"Free Game",INDEX('Game Records'!$U:$U,$H18)&lt;&gt;"Disqualified — Free Game",INDEX('Game Records'!$K:$K,$H18)=""),"Final Payout; ","")&amp;IF(AND(LOWER(INDEX('Game Records'!$D:$D,$H18)&amp;"")="finalized",INDEX('Game Records'!$U:$U,$H18)&lt;&gt;"Subscription",INDEX('Game Records'!$U:$U,$H18)&lt;&gt;"Free Game",INDEX('Game Records'!$U:$U,$H18)&lt;&gt;"Disqualified — Free Game",OR(INDEX('Game Records'!$L:$L,$H18)="",LOWER(INDEX('Game Records'!$L:$L,$H18)&amp;"")="n/a")),"Disqualified Status; ",""))</f>
        <v/>
      </c>
      <c r="G18" s="25" t="str">
        <f t="array" ref="G18">IF($H18="","",IFERROR(INDEX('Game Records'!$M:$M,$H18),""))</f>
        <v/>
      </c>
      <c r="H18" s="8"/>
      <c r="I18" s="8"/>
      <c r="J18" s="8"/>
    </row>
    <row r="19" ht="24.0" customHeight="1">
      <c r="A19" s="21" t="str">
        <f t="shared" si="1"/>
        <v/>
      </c>
      <c r="B19" s="21" t="str">
        <f t="shared" si="2"/>
        <v/>
      </c>
      <c r="C19" s="25" t="str">
        <f t="array" ref="C19">IF($H19="","",IFERROR(INDEX('Game Records'!$A:$A,$H19),""))</f>
        <v/>
      </c>
      <c r="D19" s="25" t="str">
        <f t="array" ref="D19">IF($H19="","",IFERROR(INDEX('Game Records'!$U:$U,$H19),""))</f>
        <v/>
      </c>
      <c r="E19" s="25" t="str">
        <f t="shared" si="3"/>
        <v/>
      </c>
      <c r="F19" s="25" t="str">
        <f t="array" ref="F19">IF($H19="","",IF(OR(NOT(_xlfn.ISFORMULA(INDEX('Game Records'!$N:$N,$H19))),NOT(_xlfn.ISFORMULA(INDEX('Game Records'!$O:$O,$H19))),NOT(_xlfn.ISFORMULA(INDEX('Game Records'!$P:$P,$H19))),NOT(_xlfn.ISFORMULA(INDEX('Game Records'!$Q:$Q,$H19))),NOT(_xlfn.ISFORMULA(INDEX('Game Records'!$R:$R,$H19))),NOT(_xlfn.ISFORMULA(INDEX('Game Records'!$S:$S,$H19))),NOT(_xlfn.ISFORMULA(INDEX('Game Records'!$T:$T,$H19))),NOT(_xlfn.ISFORMULA(INDEX('Game Records'!$U:$U,$H19))),NOT(_xlfn.ISFORMULA(INDEX('Game Records'!$V:$V,$H19))),NOT(_xlfn.ISFORMULA(INDEX('Game Records'!$W:$W,$H19))),NOT(_xlfn.ISFORMULA(INDEX('Game Records'!$X:$X,$H19))),NOT(_xlfn.ISFORMULA(INDEX('Game Records'!$Y:$Y,$H19))),NOT(_xlfn.ISFORMULA(INDEX('Game Records'!$Z:$Z,$H19)))),"","")&amp;IF(INDEX('Game Records'!$B:$B,$H19)="","Start Date; ","")&amp;IF(INDEX('Game Records'!$C:$C,$H19)="","End Date; ","")&amp;IF(AND(INDEX('Game Records'!$U:$U,$H19)&lt;&gt;"Subscription",INDEX('Game Records'!$U:$U,$H19)&lt;&gt;"Free Game",INDEX('Game Records'!$U:$U,$H19)&lt;&gt;"Disqualified — Free Game",OR(INDEX('Game Records'!$D:$D,$H19)="",LOWER(INDEX('Game Records'!$D:$D,$H19)&amp;"")="n/a")),"Entry Mode; ","")&amp;IF(AND(INDEX('Game Records'!$U:$U,$H19)&lt;&gt;"Subscription",INDEX('Game Records'!$U:$U,$H19)&lt;&gt;"Free Game",INDEX('Game Records'!$U:$U,$H19)&lt;&gt;"Disqualified — Free Game",OR(INDEX('Game Records'!$E:$E,$H19)="",LOWER(INDEX('Game Records'!$E:$E,$H19)&amp;"")="n/a")),"Game Type; ","")&amp;IF(INDEX('Game Records'!$F:$F,$H19)="","Payment Type; ","")&amp;IF(AND(INDEX('Game Records'!$U:$U,$H19)&lt;&gt;"Subscription",INDEX('Game Records'!$U:$U,$H19)&lt;&gt;"Free Game",INDEX('Game Records'!$U:$U,$H19)&lt;&gt;"Disqualified — Free Game",INDEX('Game Records'!$G:$G,$H19)=""),"Gross Pot; ","")&amp;IF(AND(INDEX('Game Records'!$U:$U,$H19)&lt;&gt;"Free Game",INDEX('Game Records'!$U:$U,$H19)&lt;&gt;"Disqualified — Free Game",INDEX('Game Records'!$H:$H,$H19)=""),"Entry Fee; ","")&amp;IF(AND(INDEX('Game Records'!$U:$U,$H19)&lt;&gt;"Subscription",INDEX('Game Records'!$U:$U,$H19)&lt;&gt;"Free Game",INDEX('Game Records'!$U:$U,$H19)&lt;&gt;"Disqualified — Free Game",INDEX('Game Records'!$I:$I,$H19)=""),"Eligible Players; ","")&amp;IF(AND(INDEX('Game Records'!$U:$U,$H19)&lt;&gt;"Subscription",INDEX('Game Records'!$U:$U,$H19)&lt;&gt;"Free Game",INDEX('Game Records'!$U:$U,$H19)&lt;&gt;"Disqualified — Free Game",INDEX('Game Records'!$J:$J,$H19)=""),"Total Players; ","")&amp;IF(AND(LOWER(INDEX('Game Records'!$D:$D,$H19)&amp;"")="finalized",LOWER(INDEX('Game Records'!$L:$L,$H19)&amp;"")&lt;&gt;"yes",INDEX('Game Records'!$U:$U,$H19)&lt;&gt;"Subscription",INDEX('Game Records'!$U:$U,$H19)&lt;&gt;"Free Game",INDEX('Game Records'!$U:$U,$H19)&lt;&gt;"Disqualified — Free Game",INDEX('Game Records'!$K:$K,$H19)=""),"Final Payout; ","")&amp;IF(AND(LOWER(INDEX('Game Records'!$D:$D,$H19)&amp;"")="finalized",INDEX('Game Records'!$U:$U,$H19)&lt;&gt;"Subscription",INDEX('Game Records'!$U:$U,$H19)&lt;&gt;"Free Game",INDEX('Game Records'!$U:$U,$H19)&lt;&gt;"Disqualified — Free Game",OR(INDEX('Game Records'!$L:$L,$H19)="",LOWER(INDEX('Game Records'!$L:$L,$H19)&amp;"")="n/a")),"Disqualified Status; ",""))</f>
        <v/>
      </c>
      <c r="G19" s="25" t="str">
        <f t="array" ref="G19">IF($H19="","",IFERROR(INDEX('Game Records'!$M:$M,$H19),""))</f>
        <v/>
      </c>
      <c r="H19" s="8"/>
      <c r="I19" s="8"/>
      <c r="J19" s="8"/>
    </row>
    <row r="20" ht="24.0" customHeight="1">
      <c r="A20" s="21" t="str">
        <f t="shared" si="1"/>
        <v/>
      </c>
      <c r="B20" s="21" t="str">
        <f t="shared" si="2"/>
        <v/>
      </c>
      <c r="C20" s="25" t="str">
        <f t="array" ref="C20">IF($H20="","",IFERROR(INDEX('Game Records'!$A:$A,$H20),""))</f>
        <v/>
      </c>
      <c r="D20" s="25" t="str">
        <f t="array" ref="D20">IF($H20="","",IFERROR(INDEX('Game Records'!$U:$U,$H20),""))</f>
        <v/>
      </c>
      <c r="E20" s="25" t="str">
        <f t="shared" si="3"/>
        <v/>
      </c>
      <c r="F20" s="25" t="str">
        <f t="array" ref="F20">IF($H20="","",IF(OR(NOT(_xlfn.ISFORMULA(INDEX('Game Records'!$N:$N,$H20))),NOT(_xlfn.ISFORMULA(INDEX('Game Records'!$O:$O,$H20))),NOT(_xlfn.ISFORMULA(INDEX('Game Records'!$P:$P,$H20))),NOT(_xlfn.ISFORMULA(INDEX('Game Records'!$Q:$Q,$H20))),NOT(_xlfn.ISFORMULA(INDEX('Game Records'!$R:$R,$H20))),NOT(_xlfn.ISFORMULA(INDEX('Game Records'!$S:$S,$H20))),NOT(_xlfn.ISFORMULA(INDEX('Game Records'!$T:$T,$H20))),NOT(_xlfn.ISFORMULA(INDEX('Game Records'!$U:$U,$H20))),NOT(_xlfn.ISFORMULA(INDEX('Game Records'!$V:$V,$H20))),NOT(_xlfn.ISFORMULA(INDEX('Game Records'!$W:$W,$H20))),NOT(_xlfn.ISFORMULA(INDEX('Game Records'!$X:$X,$H20))),NOT(_xlfn.ISFORMULA(INDEX('Game Records'!$Y:$Y,$H20))),NOT(_xlfn.ISFORMULA(INDEX('Game Records'!$Z:$Z,$H20)))),"","")&amp;IF(INDEX('Game Records'!$B:$B,$H20)="","Start Date; ","")&amp;IF(INDEX('Game Records'!$C:$C,$H20)="","End Date; ","")&amp;IF(AND(INDEX('Game Records'!$U:$U,$H20)&lt;&gt;"Subscription",INDEX('Game Records'!$U:$U,$H20)&lt;&gt;"Free Game",INDEX('Game Records'!$U:$U,$H20)&lt;&gt;"Disqualified — Free Game",OR(INDEX('Game Records'!$D:$D,$H20)="",LOWER(INDEX('Game Records'!$D:$D,$H20)&amp;"")="n/a")),"Entry Mode; ","")&amp;IF(AND(INDEX('Game Records'!$U:$U,$H20)&lt;&gt;"Subscription",INDEX('Game Records'!$U:$U,$H20)&lt;&gt;"Free Game",INDEX('Game Records'!$U:$U,$H20)&lt;&gt;"Disqualified — Free Game",OR(INDEX('Game Records'!$E:$E,$H20)="",LOWER(INDEX('Game Records'!$E:$E,$H20)&amp;"")="n/a")),"Game Type; ","")&amp;IF(INDEX('Game Records'!$F:$F,$H20)="","Payment Type; ","")&amp;IF(AND(INDEX('Game Records'!$U:$U,$H20)&lt;&gt;"Subscription",INDEX('Game Records'!$U:$U,$H20)&lt;&gt;"Free Game",INDEX('Game Records'!$U:$U,$H20)&lt;&gt;"Disqualified — Free Game",INDEX('Game Records'!$G:$G,$H20)=""),"Gross Pot; ","")&amp;IF(AND(INDEX('Game Records'!$U:$U,$H20)&lt;&gt;"Free Game",INDEX('Game Records'!$U:$U,$H20)&lt;&gt;"Disqualified — Free Game",INDEX('Game Records'!$H:$H,$H20)=""),"Entry Fee; ","")&amp;IF(AND(INDEX('Game Records'!$U:$U,$H20)&lt;&gt;"Subscription",INDEX('Game Records'!$U:$U,$H20)&lt;&gt;"Free Game",INDEX('Game Records'!$U:$U,$H20)&lt;&gt;"Disqualified — Free Game",INDEX('Game Records'!$I:$I,$H20)=""),"Eligible Players; ","")&amp;IF(AND(INDEX('Game Records'!$U:$U,$H20)&lt;&gt;"Subscription",INDEX('Game Records'!$U:$U,$H20)&lt;&gt;"Free Game",INDEX('Game Records'!$U:$U,$H20)&lt;&gt;"Disqualified — Free Game",INDEX('Game Records'!$J:$J,$H20)=""),"Total Players; ","")&amp;IF(AND(LOWER(INDEX('Game Records'!$D:$D,$H20)&amp;"")="finalized",LOWER(INDEX('Game Records'!$L:$L,$H20)&amp;"")&lt;&gt;"yes",INDEX('Game Records'!$U:$U,$H20)&lt;&gt;"Subscription",INDEX('Game Records'!$U:$U,$H20)&lt;&gt;"Free Game",INDEX('Game Records'!$U:$U,$H20)&lt;&gt;"Disqualified — Free Game",INDEX('Game Records'!$K:$K,$H20)=""),"Final Payout; ","")&amp;IF(AND(LOWER(INDEX('Game Records'!$D:$D,$H20)&amp;"")="finalized",INDEX('Game Records'!$U:$U,$H20)&lt;&gt;"Subscription",INDEX('Game Records'!$U:$U,$H20)&lt;&gt;"Free Game",INDEX('Game Records'!$U:$U,$H20)&lt;&gt;"Disqualified — Free Game",OR(INDEX('Game Records'!$L:$L,$H20)="",LOWER(INDEX('Game Records'!$L:$L,$H20)&amp;"")="n/a")),"Disqualified Status; ",""))</f>
        <v/>
      </c>
      <c r="G20" s="25" t="str">
        <f t="array" ref="G20">IF($H20="","",IFERROR(INDEX('Game Records'!$M:$M,$H20),""))</f>
        <v/>
      </c>
      <c r="H20" s="8"/>
      <c r="I20" s="8"/>
      <c r="J20" s="8"/>
    </row>
    <row r="21" ht="24.0" customHeight="1">
      <c r="A21" s="21" t="str">
        <f t="shared" si="1"/>
        <v/>
      </c>
      <c r="B21" s="21" t="str">
        <f t="shared" si="2"/>
        <v/>
      </c>
      <c r="C21" s="25" t="str">
        <f t="array" ref="C21">IF($H21="","",IFERROR(INDEX('Game Records'!$A:$A,$H21),""))</f>
        <v/>
      </c>
      <c r="D21" s="25" t="str">
        <f t="array" ref="D21">IF($H21="","",IFERROR(INDEX('Game Records'!$U:$U,$H21),""))</f>
        <v/>
      </c>
      <c r="E21" s="25" t="str">
        <f t="shared" si="3"/>
        <v/>
      </c>
      <c r="F21" s="25" t="str">
        <f t="array" ref="F21">IF($H21="","",IF(OR(NOT(_xlfn.ISFORMULA(INDEX('Game Records'!$N:$N,$H21))),NOT(_xlfn.ISFORMULA(INDEX('Game Records'!$O:$O,$H21))),NOT(_xlfn.ISFORMULA(INDEX('Game Records'!$P:$P,$H21))),NOT(_xlfn.ISFORMULA(INDEX('Game Records'!$Q:$Q,$H21))),NOT(_xlfn.ISFORMULA(INDEX('Game Records'!$R:$R,$H21))),NOT(_xlfn.ISFORMULA(INDEX('Game Records'!$S:$S,$H21))),NOT(_xlfn.ISFORMULA(INDEX('Game Records'!$T:$T,$H21))),NOT(_xlfn.ISFORMULA(INDEX('Game Records'!$U:$U,$H21))),NOT(_xlfn.ISFORMULA(INDEX('Game Records'!$V:$V,$H21))),NOT(_xlfn.ISFORMULA(INDEX('Game Records'!$W:$W,$H21))),NOT(_xlfn.ISFORMULA(INDEX('Game Records'!$X:$X,$H21))),NOT(_xlfn.ISFORMULA(INDEX('Game Records'!$Y:$Y,$H21))),NOT(_xlfn.ISFORMULA(INDEX('Game Records'!$Z:$Z,$H21)))),"","")&amp;IF(INDEX('Game Records'!$B:$B,$H21)="","Start Date; ","")&amp;IF(INDEX('Game Records'!$C:$C,$H21)="","End Date; ","")&amp;IF(AND(INDEX('Game Records'!$U:$U,$H21)&lt;&gt;"Subscription",INDEX('Game Records'!$U:$U,$H21)&lt;&gt;"Free Game",INDEX('Game Records'!$U:$U,$H21)&lt;&gt;"Disqualified — Free Game",OR(INDEX('Game Records'!$D:$D,$H21)="",LOWER(INDEX('Game Records'!$D:$D,$H21)&amp;"")="n/a")),"Entry Mode; ","")&amp;IF(AND(INDEX('Game Records'!$U:$U,$H21)&lt;&gt;"Subscription",INDEX('Game Records'!$U:$U,$H21)&lt;&gt;"Free Game",INDEX('Game Records'!$U:$U,$H21)&lt;&gt;"Disqualified — Free Game",OR(INDEX('Game Records'!$E:$E,$H21)="",LOWER(INDEX('Game Records'!$E:$E,$H21)&amp;"")="n/a")),"Game Type; ","")&amp;IF(INDEX('Game Records'!$F:$F,$H21)="","Payment Type; ","")&amp;IF(AND(INDEX('Game Records'!$U:$U,$H21)&lt;&gt;"Subscription",INDEX('Game Records'!$U:$U,$H21)&lt;&gt;"Free Game",INDEX('Game Records'!$U:$U,$H21)&lt;&gt;"Disqualified — Free Game",INDEX('Game Records'!$G:$G,$H21)=""),"Gross Pot; ","")&amp;IF(AND(INDEX('Game Records'!$U:$U,$H21)&lt;&gt;"Free Game",INDEX('Game Records'!$U:$U,$H21)&lt;&gt;"Disqualified — Free Game",INDEX('Game Records'!$H:$H,$H21)=""),"Entry Fee; ","")&amp;IF(AND(INDEX('Game Records'!$U:$U,$H21)&lt;&gt;"Subscription",INDEX('Game Records'!$U:$U,$H21)&lt;&gt;"Free Game",INDEX('Game Records'!$U:$U,$H21)&lt;&gt;"Disqualified — Free Game",INDEX('Game Records'!$I:$I,$H21)=""),"Eligible Players; ","")&amp;IF(AND(INDEX('Game Records'!$U:$U,$H21)&lt;&gt;"Subscription",INDEX('Game Records'!$U:$U,$H21)&lt;&gt;"Free Game",INDEX('Game Records'!$U:$U,$H21)&lt;&gt;"Disqualified — Free Game",INDEX('Game Records'!$J:$J,$H21)=""),"Total Players; ","")&amp;IF(AND(LOWER(INDEX('Game Records'!$D:$D,$H21)&amp;"")="finalized",LOWER(INDEX('Game Records'!$L:$L,$H21)&amp;"")&lt;&gt;"yes",INDEX('Game Records'!$U:$U,$H21)&lt;&gt;"Subscription",INDEX('Game Records'!$U:$U,$H21)&lt;&gt;"Free Game",INDEX('Game Records'!$U:$U,$H21)&lt;&gt;"Disqualified — Free Game",INDEX('Game Records'!$K:$K,$H21)=""),"Final Payout; ","")&amp;IF(AND(LOWER(INDEX('Game Records'!$D:$D,$H21)&amp;"")="finalized",INDEX('Game Records'!$U:$U,$H21)&lt;&gt;"Subscription",INDEX('Game Records'!$U:$U,$H21)&lt;&gt;"Free Game",INDEX('Game Records'!$U:$U,$H21)&lt;&gt;"Disqualified — Free Game",OR(INDEX('Game Records'!$L:$L,$H21)="",LOWER(INDEX('Game Records'!$L:$L,$H21)&amp;"")="n/a")),"Disqualified Status; ",""))</f>
        <v/>
      </c>
      <c r="G21" s="25" t="str">
        <f t="array" ref="G21">IF($H21="","",IFERROR(INDEX('Game Records'!$M:$M,$H21),""))</f>
        <v/>
      </c>
      <c r="H21" s="8"/>
      <c r="I21" s="8"/>
      <c r="J21" s="8"/>
    </row>
    <row r="22" ht="24.0" customHeight="1">
      <c r="A22" s="21" t="str">
        <f t="shared" si="1"/>
        <v/>
      </c>
      <c r="B22" s="21" t="str">
        <f t="shared" si="2"/>
        <v/>
      </c>
      <c r="C22" s="25" t="str">
        <f t="array" ref="C22">IF($H22="","",IFERROR(INDEX('Game Records'!$A:$A,$H22),""))</f>
        <v/>
      </c>
      <c r="D22" s="25" t="str">
        <f t="array" ref="D22">IF($H22="","",IFERROR(INDEX('Game Records'!$U:$U,$H22),""))</f>
        <v/>
      </c>
      <c r="E22" s="25" t="str">
        <f t="shared" si="3"/>
        <v/>
      </c>
      <c r="F22" s="25" t="str">
        <f t="array" ref="F22">IF($H22="","",IF(OR(NOT(_xlfn.ISFORMULA(INDEX('Game Records'!$N:$N,$H22))),NOT(_xlfn.ISFORMULA(INDEX('Game Records'!$O:$O,$H22))),NOT(_xlfn.ISFORMULA(INDEX('Game Records'!$P:$P,$H22))),NOT(_xlfn.ISFORMULA(INDEX('Game Records'!$Q:$Q,$H22))),NOT(_xlfn.ISFORMULA(INDEX('Game Records'!$R:$R,$H22))),NOT(_xlfn.ISFORMULA(INDEX('Game Records'!$S:$S,$H22))),NOT(_xlfn.ISFORMULA(INDEX('Game Records'!$T:$T,$H22))),NOT(_xlfn.ISFORMULA(INDEX('Game Records'!$U:$U,$H22))),NOT(_xlfn.ISFORMULA(INDEX('Game Records'!$V:$V,$H22))),NOT(_xlfn.ISFORMULA(INDEX('Game Records'!$W:$W,$H22))),NOT(_xlfn.ISFORMULA(INDEX('Game Records'!$X:$X,$H22))),NOT(_xlfn.ISFORMULA(INDEX('Game Records'!$Y:$Y,$H22))),NOT(_xlfn.ISFORMULA(INDEX('Game Records'!$Z:$Z,$H22)))),"","")&amp;IF(INDEX('Game Records'!$B:$B,$H22)="","Start Date; ","")&amp;IF(INDEX('Game Records'!$C:$C,$H22)="","End Date; ","")&amp;IF(AND(INDEX('Game Records'!$U:$U,$H22)&lt;&gt;"Subscription",INDEX('Game Records'!$U:$U,$H22)&lt;&gt;"Free Game",INDEX('Game Records'!$U:$U,$H22)&lt;&gt;"Disqualified — Free Game",OR(INDEX('Game Records'!$D:$D,$H22)="",LOWER(INDEX('Game Records'!$D:$D,$H22)&amp;"")="n/a")),"Entry Mode; ","")&amp;IF(AND(INDEX('Game Records'!$U:$U,$H22)&lt;&gt;"Subscription",INDEX('Game Records'!$U:$U,$H22)&lt;&gt;"Free Game",INDEX('Game Records'!$U:$U,$H22)&lt;&gt;"Disqualified — Free Game",OR(INDEX('Game Records'!$E:$E,$H22)="",LOWER(INDEX('Game Records'!$E:$E,$H22)&amp;"")="n/a")),"Game Type; ","")&amp;IF(INDEX('Game Records'!$F:$F,$H22)="","Payment Type; ","")&amp;IF(AND(INDEX('Game Records'!$U:$U,$H22)&lt;&gt;"Subscription",INDEX('Game Records'!$U:$U,$H22)&lt;&gt;"Free Game",INDEX('Game Records'!$U:$U,$H22)&lt;&gt;"Disqualified — Free Game",INDEX('Game Records'!$G:$G,$H22)=""),"Gross Pot; ","")&amp;IF(AND(INDEX('Game Records'!$U:$U,$H22)&lt;&gt;"Free Game",INDEX('Game Records'!$U:$U,$H22)&lt;&gt;"Disqualified — Free Game",INDEX('Game Records'!$H:$H,$H22)=""),"Entry Fee; ","")&amp;IF(AND(INDEX('Game Records'!$U:$U,$H22)&lt;&gt;"Subscription",INDEX('Game Records'!$U:$U,$H22)&lt;&gt;"Free Game",INDEX('Game Records'!$U:$U,$H22)&lt;&gt;"Disqualified — Free Game",INDEX('Game Records'!$I:$I,$H22)=""),"Eligible Players; ","")&amp;IF(AND(INDEX('Game Records'!$U:$U,$H22)&lt;&gt;"Subscription",INDEX('Game Records'!$U:$U,$H22)&lt;&gt;"Free Game",INDEX('Game Records'!$U:$U,$H22)&lt;&gt;"Disqualified — Free Game",INDEX('Game Records'!$J:$J,$H22)=""),"Total Players; ","")&amp;IF(AND(LOWER(INDEX('Game Records'!$D:$D,$H22)&amp;"")="finalized",LOWER(INDEX('Game Records'!$L:$L,$H22)&amp;"")&lt;&gt;"yes",INDEX('Game Records'!$U:$U,$H22)&lt;&gt;"Subscription",INDEX('Game Records'!$U:$U,$H22)&lt;&gt;"Free Game",INDEX('Game Records'!$U:$U,$H22)&lt;&gt;"Disqualified — Free Game",INDEX('Game Records'!$K:$K,$H22)=""),"Final Payout; ","")&amp;IF(AND(LOWER(INDEX('Game Records'!$D:$D,$H22)&amp;"")="finalized",INDEX('Game Records'!$U:$U,$H22)&lt;&gt;"Subscription",INDEX('Game Records'!$U:$U,$H22)&lt;&gt;"Free Game",INDEX('Game Records'!$U:$U,$H22)&lt;&gt;"Disqualified — Free Game",OR(INDEX('Game Records'!$L:$L,$H22)="",LOWER(INDEX('Game Records'!$L:$L,$H22)&amp;"")="n/a")),"Disqualified Status; ",""))</f>
        <v/>
      </c>
      <c r="G22" s="25" t="str">
        <f t="array" ref="G22">IF($H22="","",IFERROR(INDEX('Game Records'!$M:$M,$H22),""))</f>
        <v/>
      </c>
      <c r="H22" s="8"/>
      <c r="I22" s="8"/>
      <c r="J22" s="8"/>
    </row>
    <row r="23" ht="24.0" customHeight="1">
      <c r="A23" s="21" t="str">
        <f t="shared" si="1"/>
        <v/>
      </c>
      <c r="B23" s="21" t="str">
        <f t="shared" si="2"/>
        <v/>
      </c>
      <c r="C23" s="25" t="str">
        <f t="array" ref="C23">IF($H23="","",IFERROR(INDEX('Game Records'!$A:$A,$H23),""))</f>
        <v/>
      </c>
      <c r="D23" s="25" t="str">
        <f t="array" ref="D23">IF($H23="","",IFERROR(INDEX('Game Records'!$U:$U,$H23),""))</f>
        <v/>
      </c>
      <c r="E23" s="25" t="str">
        <f t="shared" si="3"/>
        <v/>
      </c>
      <c r="F23" s="25" t="str">
        <f t="array" ref="F23">IF($H23="","",IF(OR(NOT(_xlfn.ISFORMULA(INDEX('Game Records'!$N:$N,$H23))),NOT(_xlfn.ISFORMULA(INDEX('Game Records'!$O:$O,$H23))),NOT(_xlfn.ISFORMULA(INDEX('Game Records'!$P:$P,$H23))),NOT(_xlfn.ISFORMULA(INDEX('Game Records'!$Q:$Q,$H23))),NOT(_xlfn.ISFORMULA(INDEX('Game Records'!$R:$R,$H23))),NOT(_xlfn.ISFORMULA(INDEX('Game Records'!$S:$S,$H23))),NOT(_xlfn.ISFORMULA(INDEX('Game Records'!$T:$T,$H23))),NOT(_xlfn.ISFORMULA(INDEX('Game Records'!$U:$U,$H23))),NOT(_xlfn.ISFORMULA(INDEX('Game Records'!$V:$V,$H23))),NOT(_xlfn.ISFORMULA(INDEX('Game Records'!$W:$W,$H23))),NOT(_xlfn.ISFORMULA(INDEX('Game Records'!$X:$X,$H23))),NOT(_xlfn.ISFORMULA(INDEX('Game Records'!$Y:$Y,$H23))),NOT(_xlfn.ISFORMULA(INDEX('Game Records'!$Z:$Z,$H23)))),"","")&amp;IF(INDEX('Game Records'!$B:$B,$H23)="","Start Date; ","")&amp;IF(INDEX('Game Records'!$C:$C,$H23)="","End Date; ","")&amp;IF(AND(INDEX('Game Records'!$U:$U,$H23)&lt;&gt;"Subscription",INDEX('Game Records'!$U:$U,$H23)&lt;&gt;"Free Game",INDEX('Game Records'!$U:$U,$H23)&lt;&gt;"Disqualified — Free Game",OR(INDEX('Game Records'!$D:$D,$H23)="",LOWER(INDEX('Game Records'!$D:$D,$H23)&amp;"")="n/a")),"Entry Mode; ","")&amp;IF(AND(INDEX('Game Records'!$U:$U,$H23)&lt;&gt;"Subscription",INDEX('Game Records'!$U:$U,$H23)&lt;&gt;"Free Game",INDEX('Game Records'!$U:$U,$H23)&lt;&gt;"Disqualified — Free Game",OR(INDEX('Game Records'!$E:$E,$H23)="",LOWER(INDEX('Game Records'!$E:$E,$H23)&amp;"")="n/a")),"Game Type; ","")&amp;IF(INDEX('Game Records'!$F:$F,$H23)="","Payment Type; ","")&amp;IF(AND(INDEX('Game Records'!$U:$U,$H23)&lt;&gt;"Subscription",INDEX('Game Records'!$U:$U,$H23)&lt;&gt;"Free Game",INDEX('Game Records'!$U:$U,$H23)&lt;&gt;"Disqualified — Free Game",INDEX('Game Records'!$G:$G,$H23)=""),"Gross Pot; ","")&amp;IF(AND(INDEX('Game Records'!$U:$U,$H23)&lt;&gt;"Free Game",INDEX('Game Records'!$U:$U,$H23)&lt;&gt;"Disqualified — Free Game",INDEX('Game Records'!$H:$H,$H23)=""),"Entry Fee; ","")&amp;IF(AND(INDEX('Game Records'!$U:$U,$H23)&lt;&gt;"Subscription",INDEX('Game Records'!$U:$U,$H23)&lt;&gt;"Free Game",INDEX('Game Records'!$U:$U,$H23)&lt;&gt;"Disqualified — Free Game",INDEX('Game Records'!$I:$I,$H23)=""),"Eligible Players; ","")&amp;IF(AND(INDEX('Game Records'!$U:$U,$H23)&lt;&gt;"Subscription",INDEX('Game Records'!$U:$U,$H23)&lt;&gt;"Free Game",INDEX('Game Records'!$U:$U,$H23)&lt;&gt;"Disqualified — Free Game",INDEX('Game Records'!$J:$J,$H23)=""),"Total Players; ","")&amp;IF(AND(LOWER(INDEX('Game Records'!$D:$D,$H23)&amp;"")="finalized",LOWER(INDEX('Game Records'!$L:$L,$H23)&amp;"")&lt;&gt;"yes",INDEX('Game Records'!$U:$U,$H23)&lt;&gt;"Subscription",INDEX('Game Records'!$U:$U,$H23)&lt;&gt;"Free Game",INDEX('Game Records'!$U:$U,$H23)&lt;&gt;"Disqualified — Free Game",INDEX('Game Records'!$K:$K,$H23)=""),"Final Payout; ","")&amp;IF(AND(LOWER(INDEX('Game Records'!$D:$D,$H23)&amp;"")="finalized",INDEX('Game Records'!$U:$U,$H23)&lt;&gt;"Subscription",INDEX('Game Records'!$U:$U,$H23)&lt;&gt;"Free Game",INDEX('Game Records'!$U:$U,$H23)&lt;&gt;"Disqualified — Free Game",OR(INDEX('Game Records'!$L:$L,$H23)="",LOWER(INDEX('Game Records'!$L:$L,$H23)&amp;"")="n/a")),"Disqualified Status; ",""))</f>
        <v/>
      </c>
      <c r="G23" s="25" t="str">
        <f t="array" ref="G23">IF($H23="","",IFERROR(INDEX('Game Records'!$M:$M,$H23),""))</f>
        <v/>
      </c>
      <c r="H23" s="8"/>
      <c r="I23" s="8"/>
      <c r="J23" s="8"/>
    </row>
    <row r="24" ht="24.0" customHeight="1">
      <c r="A24" s="21" t="str">
        <f t="shared" si="1"/>
        <v/>
      </c>
      <c r="B24" s="21" t="str">
        <f t="shared" si="2"/>
        <v/>
      </c>
      <c r="C24" s="25" t="str">
        <f t="array" ref="C24">IF($H24="","",IFERROR(INDEX('Game Records'!$A:$A,$H24),""))</f>
        <v/>
      </c>
      <c r="D24" s="25" t="str">
        <f t="array" ref="D24">IF($H24="","",IFERROR(INDEX('Game Records'!$U:$U,$H24),""))</f>
        <v/>
      </c>
      <c r="E24" s="25" t="str">
        <f t="shared" si="3"/>
        <v/>
      </c>
      <c r="F24" s="25" t="str">
        <f t="array" ref="F24">IF($H24="","",IF(OR(NOT(_xlfn.ISFORMULA(INDEX('Game Records'!$N:$N,$H24))),NOT(_xlfn.ISFORMULA(INDEX('Game Records'!$O:$O,$H24))),NOT(_xlfn.ISFORMULA(INDEX('Game Records'!$P:$P,$H24))),NOT(_xlfn.ISFORMULA(INDEX('Game Records'!$Q:$Q,$H24))),NOT(_xlfn.ISFORMULA(INDEX('Game Records'!$R:$R,$H24))),NOT(_xlfn.ISFORMULA(INDEX('Game Records'!$S:$S,$H24))),NOT(_xlfn.ISFORMULA(INDEX('Game Records'!$T:$T,$H24))),NOT(_xlfn.ISFORMULA(INDEX('Game Records'!$U:$U,$H24))),NOT(_xlfn.ISFORMULA(INDEX('Game Records'!$V:$V,$H24))),NOT(_xlfn.ISFORMULA(INDEX('Game Records'!$W:$W,$H24))),NOT(_xlfn.ISFORMULA(INDEX('Game Records'!$X:$X,$H24))),NOT(_xlfn.ISFORMULA(INDEX('Game Records'!$Y:$Y,$H24))),NOT(_xlfn.ISFORMULA(INDEX('Game Records'!$Z:$Z,$H24)))),"","")&amp;IF(INDEX('Game Records'!$B:$B,$H24)="","Start Date; ","")&amp;IF(INDEX('Game Records'!$C:$C,$H24)="","End Date; ","")&amp;IF(AND(INDEX('Game Records'!$U:$U,$H24)&lt;&gt;"Subscription",INDEX('Game Records'!$U:$U,$H24)&lt;&gt;"Free Game",INDEX('Game Records'!$U:$U,$H24)&lt;&gt;"Disqualified — Free Game",OR(INDEX('Game Records'!$D:$D,$H24)="",LOWER(INDEX('Game Records'!$D:$D,$H24)&amp;"")="n/a")),"Entry Mode; ","")&amp;IF(AND(INDEX('Game Records'!$U:$U,$H24)&lt;&gt;"Subscription",INDEX('Game Records'!$U:$U,$H24)&lt;&gt;"Free Game",INDEX('Game Records'!$U:$U,$H24)&lt;&gt;"Disqualified — Free Game",OR(INDEX('Game Records'!$E:$E,$H24)="",LOWER(INDEX('Game Records'!$E:$E,$H24)&amp;"")="n/a")),"Game Type; ","")&amp;IF(INDEX('Game Records'!$F:$F,$H24)="","Payment Type; ","")&amp;IF(AND(INDEX('Game Records'!$U:$U,$H24)&lt;&gt;"Subscription",INDEX('Game Records'!$U:$U,$H24)&lt;&gt;"Free Game",INDEX('Game Records'!$U:$U,$H24)&lt;&gt;"Disqualified — Free Game",INDEX('Game Records'!$G:$G,$H24)=""),"Gross Pot; ","")&amp;IF(AND(INDEX('Game Records'!$U:$U,$H24)&lt;&gt;"Free Game",INDEX('Game Records'!$U:$U,$H24)&lt;&gt;"Disqualified — Free Game",INDEX('Game Records'!$H:$H,$H24)=""),"Entry Fee; ","")&amp;IF(AND(INDEX('Game Records'!$U:$U,$H24)&lt;&gt;"Subscription",INDEX('Game Records'!$U:$U,$H24)&lt;&gt;"Free Game",INDEX('Game Records'!$U:$U,$H24)&lt;&gt;"Disqualified — Free Game",INDEX('Game Records'!$I:$I,$H24)=""),"Eligible Players; ","")&amp;IF(AND(INDEX('Game Records'!$U:$U,$H24)&lt;&gt;"Subscription",INDEX('Game Records'!$U:$U,$H24)&lt;&gt;"Free Game",INDEX('Game Records'!$U:$U,$H24)&lt;&gt;"Disqualified — Free Game",INDEX('Game Records'!$J:$J,$H24)=""),"Total Players; ","")&amp;IF(AND(LOWER(INDEX('Game Records'!$D:$D,$H24)&amp;"")="finalized",LOWER(INDEX('Game Records'!$L:$L,$H24)&amp;"")&lt;&gt;"yes",INDEX('Game Records'!$U:$U,$H24)&lt;&gt;"Subscription",INDEX('Game Records'!$U:$U,$H24)&lt;&gt;"Free Game",INDEX('Game Records'!$U:$U,$H24)&lt;&gt;"Disqualified — Free Game",INDEX('Game Records'!$K:$K,$H24)=""),"Final Payout; ","")&amp;IF(AND(LOWER(INDEX('Game Records'!$D:$D,$H24)&amp;"")="finalized",INDEX('Game Records'!$U:$U,$H24)&lt;&gt;"Subscription",INDEX('Game Records'!$U:$U,$H24)&lt;&gt;"Free Game",INDEX('Game Records'!$U:$U,$H24)&lt;&gt;"Disqualified — Free Game",OR(INDEX('Game Records'!$L:$L,$H24)="",LOWER(INDEX('Game Records'!$L:$L,$H24)&amp;"")="n/a")),"Disqualified Status; ",""))</f>
        <v/>
      </c>
      <c r="G24" s="25" t="str">
        <f t="array" ref="G24">IF($H24="","",IFERROR(INDEX('Game Records'!$M:$M,$H24),""))</f>
        <v/>
      </c>
      <c r="H24" s="8"/>
      <c r="I24" s="8"/>
      <c r="J24" s="8"/>
    </row>
    <row r="25" ht="24.0" customHeight="1">
      <c r="A25" s="21" t="str">
        <f t="shared" si="1"/>
        <v/>
      </c>
      <c r="B25" s="21" t="str">
        <f t="shared" si="2"/>
        <v/>
      </c>
      <c r="C25" s="25" t="str">
        <f t="array" ref="C25">IF($H25="","",IFERROR(INDEX('Game Records'!$A:$A,$H25),""))</f>
        <v/>
      </c>
      <c r="D25" s="25" t="str">
        <f t="array" ref="D25">IF($H25="","",IFERROR(INDEX('Game Records'!$U:$U,$H25),""))</f>
        <v/>
      </c>
      <c r="E25" s="25" t="str">
        <f t="shared" si="3"/>
        <v/>
      </c>
      <c r="F25" s="25" t="str">
        <f t="array" ref="F25">IF($H25="","",IF(OR(NOT(_xlfn.ISFORMULA(INDEX('Game Records'!$N:$N,$H25))),NOT(_xlfn.ISFORMULA(INDEX('Game Records'!$O:$O,$H25))),NOT(_xlfn.ISFORMULA(INDEX('Game Records'!$P:$P,$H25))),NOT(_xlfn.ISFORMULA(INDEX('Game Records'!$Q:$Q,$H25))),NOT(_xlfn.ISFORMULA(INDEX('Game Records'!$R:$R,$H25))),NOT(_xlfn.ISFORMULA(INDEX('Game Records'!$S:$S,$H25))),NOT(_xlfn.ISFORMULA(INDEX('Game Records'!$T:$T,$H25))),NOT(_xlfn.ISFORMULA(INDEX('Game Records'!$U:$U,$H25))),NOT(_xlfn.ISFORMULA(INDEX('Game Records'!$V:$V,$H25))),NOT(_xlfn.ISFORMULA(INDEX('Game Records'!$W:$W,$H25))),NOT(_xlfn.ISFORMULA(INDEX('Game Records'!$X:$X,$H25))),NOT(_xlfn.ISFORMULA(INDEX('Game Records'!$Y:$Y,$H25))),NOT(_xlfn.ISFORMULA(INDEX('Game Records'!$Z:$Z,$H25)))),"","")&amp;IF(INDEX('Game Records'!$B:$B,$H25)="","Start Date; ","")&amp;IF(INDEX('Game Records'!$C:$C,$H25)="","End Date; ","")&amp;IF(AND(INDEX('Game Records'!$U:$U,$H25)&lt;&gt;"Subscription",INDEX('Game Records'!$U:$U,$H25)&lt;&gt;"Free Game",INDEX('Game Records'!$U:$U,$H25)&lt;&gt;"Disqualified — Free Game",OR(INDEX('Game Records'!$D:$D,$H25)="",LOWER(INDEX('Game Records'!$D:$D,$H25)&amp;"")="n/a")),"Entry Mode; ","")&amp;IF(AND(INDEX('Game Records'!$U:$U,$H25)&lt;&gt;"Subscription",INDEX('Game Records'!$U:$U,$H25)&lt;&gt;"Free Game",INDEX('Game Records'!$U:$U,$H25)&lt;&gt;"Disqualified — Free Game",OR(INDEX('Game Records'!$E:$E,$H25)="",LOWER(INDEX('Game Records'!$E:$E,$H25)&amp;"")="n/a")),"Game Type; ","")&amp;IF(INDEX('Game Records'!$F:$F,$H25)="","Payment Type; ","")&amp;IF(AND(INDEX('Game Records'!$U:$U,$H25)&lt;&gt;"Subscription",INDEX('Game Records'!$U:$U,$H25)&lt;&gt;"Free Game",INDEX('Game Records'!$U:$U,$H25)&lt;&gt;"Disqualified — Free Game",INDEX('Game Records'!$G:$G,$H25)=""),"Gross Pot; ","")&amp;IF(AND(INDEX('Game Records'!$U:$U,$H25)&lt;&gt;"Free Game",INDEX('Game Records'!$U:$U,$H25)&lt;&gt;"Disqualified — Free Game",INDEX('Game Records'!$H:$H,$H25)=""),"Entry Fee; ","")&amp;IF(AND(INDEX('Game Records'!$U:$U,$H25)&lt;&gt;"Subscription",INDEX('Game Records'!$U:$U,$H25)&lt;&gt;"Free Game",INDEX('Game Records'!$U:$U,$H25)&lt;&gt;"Disqualified — Free Game",INDEX('Game Records'!$I:$I,$H25)=""),"Eligible Players; ","")&amp;IF(AND(INDEX('Game Records'!$U:$U,$H25)&lt;&gt;"Subscription",INDEX('Game Records'!$U:$U,$H25)&lt;&gt;"Free Game",INDEX('Game Records'!$U:$U,$H25)&lt;&gt;"Disqualified — Free Game",INDEX('Game Records'!$J:$J,$H25)=""),"Total Players; ","")&amp;IF(AND(LOWER(INDEX('Game Records'!$D:$D,$H25)&amp;"")="finalized",LOWER(INDEX('Game Records'!$L:$L,$H25)&amp;"")&lt;&gt;"yes",INDEX('Game Records'!$U:$U,$H25)&lt;&gt;"Subscription",INDEX('Game Records'!$U:$U,$H25)&lt;&gt;"Free Game",INDEX('Game Records'!$U:$U,$H25)&lt;&gt;"Disqualified — Free Game",INDEX('Game Records'!$K:$K,$H25)=""),"Final Payout; ","")&amp;IF(AND(LOWER(INDEX('Game Records'!$D:$D,$H25)&amp;"")="finalized",INDEX('Game Records'!$U:$U,$H25)&lt;&gt;"Subscription",INDEX('Game Records'!$U:$U,$H25)&lt;&gt;"Free Game",INDEX('Game Records'!$U:$U,$H25)&lt;&gt;"Disqualified — Free Game",OR(INDEX('Game Records'!$L:$L,$H25)="",LOWER(INDEX('Game Records'!$L:$L,$H25)&amp;"")="n/a")),"Disqualified Status; ",""))</f>
        <v/>
      </c>
      <c r="G25" s="25" t="str">
        <f t="array" ref="G25">IF($H25="","",IFERROR(INDEX('Game Records'!$M:$M,$H25),""))</f>
        <v/>
      </c>
      <c r="H25" s="8"/>
      <c r="I25" s="8"/>
      <c r="J25" s="8"/>
    </row>
    <row r="26" ht="24.0" customHeight="1">
      <c r="A26" s="21" t="str">
        <f t="shared" si="1"/>
        <v/>
      </c>
      <c r="B26" s="21" t="str">
        <f t="shared" si="2"/>
        <v/>
      </c>
      <c r="C26" s="25" t="str">
        <f t="array" ref="C26">IF($H26="","",IFERROR(INDEX('Game Records'!$A:$A,$H26),""))</f>
        <v/>
      </c>
      <c r="D26" s="25" t="str">
        <f t="array" ref="D26">IF($H26="","",IFERROR(INDEX('Game Records'!$U:$U,$H26),""))</f>
        <v/>
      </c>
      <c r="E26" s="25" t="str">
        <f t="shared" si="3"/>
        <v/>
      </c>
      <c r="F26" s="25" t="str">
        <f t="array" ref="F26">IF($H26="","",IF(OR(NOT(_xlfn.ISFORMULA(INDEX('Game Records'!$N:$N,$H26))),NOT(_xlfn.ISFORMULA(INDEX('Game Records'!$O:$O,$H26))),NOT(_xlfn.ISFORMULA(INDEX('Game Records'!$P:$P,$H26))),NOT(_xlfn.ISFORMULA(INDEX('Game Records'!$Q:$Q,$H26))),NOT(_xlfn.ISFORMULA(INDEX('Game Records'!$R:$R,$H26))),NOT(_xlfn.ISFORMULA(INDEX('Game Records'!$S:$S,$H26))),NOT(_xlfn.ISFORMULA(INDEX('Game Records'!$T:$T,$H26))),NOT(_xlfn.ISFORMULA(INDEX('Game Records'!$U:$U,$H26))),NOT(_xlfn.ISFORMULA(INDEX('Game Records'!$V:$V,$H26))),NOT(_xlfn.ISFORMULA(INDEX('Game Records'!$W:$W,$H26))),NOT(_xlfn.ISFORMULA(INDEX('Game Records'!$X:$X,$H26))),NOT(_xlfn.ISFORMULA(INDEX('Game Records'!$Y:$Y,$H26))),NOT(_xlfn.ISFORMULA(INDEX('Game Records'!$Z:$Z,$H26)))),"","")&amp;IF(INDEX('Game Records'!$B:$B,$H26)="","Start Date; ","")&amp;IF(INDEX('Game Records'!$C:$C,$H26)="","End Date; ","")&amp;IF(AND(INDEX('Game Records'!$U:$U,$H26)&lt;&gt;"Subscription",INDEX('Game Records'!$U:$U,$H26)&lt;&gt;"Free Game",INDEX('Game Records'!$U:$U,$H26)&lt;&gt;"Disqualified — Free Game",OR(INDEX('Game Records'!$D:$D,$H26)="",LOWER(INDEX('Game Records'!$D:$D,$H26)&amp;"")="n/a")),"Entry Mode; ","")&amp;IF(AND(INDEX('Game Records'!$U:$U,$H26)&lt;&gt;"Subscription",INDEX('Game Records'!$U:$U,$H26)&lt;&gt;"Free Game",INDEX('Game Records'!$U:$U,$H26)&lt;&gt;"Disqualified — Free Game",OR(INDEX('Game Records'!$E:$E,$H26)="",LOWER(INDEX('Game Records'!$E:$E,$H26)&amp;"")="n/a")),"Game Type; ","")&amp;IF(INDEX('Game Records'!$F:$F,$H26)="","Payment Type; ","")&amp;IF(AND(INDEX('Game Records'!$U:$U,$H26)&lt;&gt;"Subscription",INDEX('Game Records'!$U:$U,$H26)&lt;&gt;"Free Game",INDEX('Game Records'!$U:$U,$H26)&lt;&gt;"Disqualified — Free Game",INDEX('Game Records'!$G:$G,$H26)=""),"Gross Pot; ","")&amp;IF(AND(INDEX('Game Records'!$U:$U,$H26)&lt;&gt;"Free Game",INDEX('Game Records'!$U:$U,$H26)&lt;&gt;"Disqualified — Free Game",INDEX('Game Records'!$H:$H,$H26)=""),"Entry Fee; ","")&amp;IF(AND(INDEX('Game Records'!$U:$U,$H26)&lt;&gt;"Subscription",INDEX('Game Records'!$U:$U,$H26)&lt;&gt;"Free Game",INDEX('Game Records'!$U:$U,$H26)&lt;&gt;"Disqualified — Free Game",INDEX('Game Records'!$I:$I,$H26)=""),"Eligible Players; ","")&amp;IF(AND(INDEX('Game Records'!$U:$U,$H26)&lt;&gt;"Subscription",INDEX('Game Records'!$U:$U,$H26)&lt;&gt;"Free Game",INDEX('Game Records'!$U:$U,$H26)&lt;&gt;"Disqualified — Free Game",INDEX('Game Records'!$J:$J,$H26)=""),"Total Players; ","")&amp;IF(AND(LOWER(INDEX('Game Records'!$D:$D,$H26)&amp;"")="finalized",LOWER(INDEX('Game Records'!$L:$L,$H26)&amp;"")&lt;&gt;"yes",INDEX('Game Records'!$U:$U,$H26)&lt;&gt;"Subscription",INDEX('Game Records'!$U:$U,$H26)&lt;&gt;"Free Game",INDEX('Game Records'!$U:$U,$H26)&lt;&gt;"Disqualified — Free Game",INDEX('Game Records'!$K:$K,$H26)=""),"Final Payout; ","")&amp;IF(AND(LOWER(INDEX('Game Records'!$D:$D,$H26)&amp;"")="finalized",INDEX('Game Records'!$U:$U,$H26)&lt;&gt;"Subscription",INDEX('Game Records'!$U:$U,$H26)&lt;&gt;"Free Game",INDEX('Game Records'!$U:$U,$H26)&lt;&gt;"Disqualified — Free Game",OR(INDEX('Game Records'!$L:$L,$H26)="",LOWER(INDEX('Game Records'!$L:$L,$H26)&amp;"")="n/a")),"Disqualified Status; ",""))</f>
        <v/>
      </c>
      <c r="G26" s="25" t="str">
        <f t="array" ref="G26">IF($H26="","",IFERROR(INDEX('Game Records'!$M:$M,$H26),""))</f>
        <v/>
      </c>
      <c r="H26" s="8"/>
      <c r="I26" s="8"/>
      <c r="J26" s="8"/>
    </row>
    <row r="27" ht="24.0" customHeight="1">
      <c r="A27" s="21" t="str">
        <f t="shared" si="1"/>
        <v/>
      </c>
      <c r="B27" s="21" t="str">
        <f t="shared" si="2"/>
        <v/>
      </c>
      <c r="C27" s="25" t="str">
        <f t="array" ref="C27">IF($H27="","",IFERROR(INDEX('Game Records'!$A:$A,$H27),""))</f>
        <v/>
      </c>
      <c r="D27" s="25" t="str">
        <f t="array" ref="D27">IF($H27="","",IFERROR(INDEX('Game Records'!$U:$U,$H27),""))</f>
        <v/>
      </c>
      <c r="E27" s="25" t="str">
        <f t="shared" si="3"/>
        <v/>
      </c>
      <c r="F27" s="25" t="str">
        <f t="array" ref="F27">IF($H27="","",IF(OR(NOT(_xlfn.ISFORMULA(INDEX('Game Records'!$N:$N,$H27))),NOT(_xlfn.ISFORMULA(INDEX('Game Records'!$O:$O,$H27))),NOT(_xlfn.ISFORMULA(INDEX('Game Records'!$P:$P,$H27))),NOT(_xlfn.ISFORMULA(INDEX('Game Records'!$Q:$Q,$H27))),NOT(_xlfn.ISFORMULA(INDEX('Game Records'!$R:$R,$H27))),NOT(_xlfn.ISFORMULA(INDEX('Game Records'!$S:$S,$H27))),NOT(_xlfn.ISFORMULA(INDEX('Game Records'!$T:$T,$H27))),NOT(_xlfn.ISFORMULA(INDEX('Game Records'!$U:$U,$H27))),NOT(_xlfn.ISFORMULA(INDEX('Game Records'!$V:$V,$H27))),NOT(_xlfn.ISFORMULA(INDEX('Game Records'!$W:$W,$H27))),NOT(_xlfn.ISFORMULA(INDEX('Game Records'!$X:$X,$H27))),NOT(_xlfn.ISFORMULA(INDEX('Game Records'!$Y:$Y,$H27))),NOT(_xlfn.ISFORMULA(INDEX('Game Records'!$Z:$Z,$H27)))),"","")&amp;IF(INDEX('Game Records'!$B:$B,$H27)="","Start Date; ","")&amp;IF(INDEX('Game Records'!$C:$C,$H27)="","End Date; ","")&amp;IF(AND(INDEX('Game Records'!$U:$U,$H27)&lt;&gt;"Subscription",INDEX('Game Records'!$U:$U,$H27)&lt;&gt;"Free Game",INDEX('Game Records'!$U:$U,$H27)&lt;&gt;"Disqualified — Free Game",OR(INDEX('Game Records'!$D:$D,$H27)="",LOWER(INDEX('Game Records'!$D:$D,$H27)&amp;"")="n/a")),"Entry Mode; ","")&amp;IF(AND(INDEX('Game Records'!$U:$U,$H27)&lt;&gt;"Subscription",INDEX('Game Records'!$U:$U,$H27)&lt;&gt;"Free Game",INDEX('Game Records'!$U:$U,$H27)&lt;&gt;"Disqualified — Free Game",OR(INDEX('Game Records'!$E:$E,$H27)="",LOWER(INDEX('Game Records'!$E:$E,$H27)&amp;"")="n/a")),"Game Type; ","")&amp;IF(INDEX('Game Records'!$F:$F,$H27)="","Payment Type; ","")&amp;IF(AND(INDEX('Game Records'!$U:$U,$H27)&lt;&gt;"Subscription",INDEX('Game Records'!$U:$U,$H27)&lt;&gt;"Free Game",INDEX('Game Records'!$U:$U,$H27)&lt;&gt;"Disqualified — Free Game",INDEX('Game Records'!$G:$G,$H27)=""),"Gross Pot; ","")&amp;IF(AND(INDEX('Game Records'!$U:$U,$H27)&lt;&gt;"Free Game",INDEX('Game Records'!$U:$U,$H27)&lt;&gt;"Disqualified — Free Game",INDEX('Game Records'!$H:$H,$H27)=""),"Entry Fee; ","")&amp;IF(AND(INDEX('Game Records'!$U:$U,$H27)&lt;&gt;"Subscription",INDEX('Game Records'!$U:$U,$H27)&lt;&gt;"Free Game",INDEX('Game Records'!$U:$U,$H27)&lt;&gt;"Disqualified — Free Game",INDEX('Game Records'!$I:$I,$H27)=""),"Eligible Players; ","")&amp;IF(AND(INDEX('Game Records'!$U:$U,$H27)&lt;&gt;"Subscription",INDEX('Game Records'!$U:$U,$H27)&lt;&gt;"Free Game",INDEX('Game Records'!$U:$U,$H27)&lt;&gt;"Disqualified — Free Game",INDEX('Game Records'!$J:$J,$H27)=""),"Total Players; ","")&amp;IF(AND(LOWER(INDEX('Game Records'!$D:$D,$H27)&amp;"")="finalized",LOWER(INDEX('Game Records'!$L:$L,$H27)&amp;"")&lt;&gt;"yes",INDEX('Game Records'!$U:$U,$H27)&lt;&gt;"Subscription",INDEX('Game Records'!$U:$U,$H27)&lt;&gt;"Free Game",INDEX('Game Records'!$U:$U,$H27)&lt;&gt;"Disqualified — Free Game",INDEX('Game Records'!$K:$K,$H27)=""),"Final Payout; ","")&amp;IF(AND(LOWER(INDEX('Game Records'!$D:$D,$H27)&amp;"")="finalized",INDEX('Game Records'!$U:$U,$H27)&lt;&gt;"Subscription",INDEX('Game Records'!$U:$U,$H27)&lt;&gt;"Free Game",INDEX('Game Records'!$U:$U,$H27)&lt;&gt;"Disqualified — Free Game",OR(INDEX('Game Records'!$L:$L,$H27)="",LOWER(INDEX('Game Records'!$L:$L,$H27)&amp;"")="n/a")),"Disqualified Status; ",""))</f>
        <v/>
      </c>
      <c r="G27" s="25" t="str">
        <f t="array" ref="G27">IF($H27="","",IFERROR(INDEX('Game Records'!$M:$M,$H27),""))</f>
        <v/>
      </c>
      <c r="H27" s="8"/>
      <c r="I27" s="8"/>
      <c r="J27" s="8"/>
    </row>
    <row r="28" ht="24.0" customHeight="1">
      <c r="A28" s="21" t="str">
        <f t="shared" si="1"/>
        <v/>
      </c>
      <c r="B28" s="21" t="str">
        <f t="shared" si="2"/>
        <v/>
      </c>
      <c r="C28" s="25" t="str">
        <f t="array" ref="C28">IF($H28="","",IFERROR(INDEX('Game Records'!$A:$A,$H28),""))</f>
        <v/>
      </c>
      <c r="D28" s="25" t="str">
        <f t="array" ref="D28">IF($H28="","",IFERROR(INDEX('Game Records'!$U:$U,$H28),""))</f>
        <v/>
      </c>
      <c r="E28" s="25" t="str">
        <f t="shared" si="3"/>
        <v/>
      </c>
      <c r="F28" s="25" t="str">
        <f t="array" ref="F28">IF($H28="","",IF(OR(NOT(_xlfn.ISFORMULA(INDEX('Game Records'!$N:$N,$H28))),NOT(_xlfn.ISFORMULA(INDEX('Game Records'!$O:$O,$H28))),NOT(_xlfn.ISFORMULA(INDEX('Game Records'!$P:$P,$H28))),NOT(_xlfn.ISFORMULA(INDEX('Game Records'!$Q:$Q,$H28))),NOT(_xlfn.ISFORMULA(INDEX('Game Records'!$R:$R,$H28))),NOT(_xlfn.ISFORMULA(INDEX('Game Records'!$S:$S,$H28))),NOT(_xlfn.ISFORMULA(INDEX('Game Records'!$T:$T,$H28))),NOT(_xlfn.ISFORMULA(INDEX('Game Records'!$U:$U,$H28))),NOT(_xlfn.ISFORMULA(INDEX('Game Records'!$V:$V,$H28))),NOT(_xlfn.ISFORMULA(INDEX('Game Records'!$W:$W,$H28))),NOT(_xlfn.ISFORMULA(INDEX('Game Records'!$X:$X,$H28))),NOT(_xlfn.ISFORMULA(INDEX('Game Records'!$Y:$Y,$H28))),NOT(_xlfn.ISFORMULA(INDEX('Game Records'!$Z:$Z,$H28)))),"","")&amp;IF(INDEX('Game Records'!$B:$B,$H28)="","Start Date; ","")&amp;IF(INDEX('Game Records'!$C:$C,$H28)="","End Date; ","")&amp;IF(AND(INDEX('Game Records'!$U:$U,$H28)&lt;&gt;"Subscription",INDEX('Game Records'!$U:$U,$H28)&lt;&gt;"Free Game",INDEX('Game Records'!$U:$U,$H28)&lt;&gt;"Disqualified — Free Game",OR(INDEX('Game Records'!$D:$D,$H28)="",LOWER(INDEX('Game Records'!$D:$D,$H28)&amp;"")="n/a")),"Entry Mode; ","")&amp;IF(AND(INDEX('Game Records'!$U:$U,$H28)&lt;&gt;"Subscription",INDEX('Game Records'!$U:$U,$H28)&lt;&gt;"Free Game",INDEX('Game Records'!$U:$U,$H28)&lt;&gt;"Disqualified — Free Game",OR(INDEX('Game Records'!$E:$E,$H28)="",LOWER(INDEX('Game Records'!$E:$E,$H28)&amp;"")="n/a")),"Game Type; ","")&amp;IF(INDEX('Game Records'!$F:$F,$H28)="","Payment Type; ","")&amp;IF(AND(INDEX('Game Records'!$U:$U,$H28)&lt;&gt;"Subscription",INDEX('Game Records'!$U:$U,$H28)&lt;&gt;"Free Game",INDEX('Game Records'!$U:$U,$H28)&lt;&gt;"Disqualified — Free Game",INDEX('Game Records'!$G:$G,$H28)=""),"Gross Pot; ","")&amp;IF(AND(INDEX('Game Records'!$U:$U,$H28)&lt;&gt;"Free Game",INDEX('Game Records'!$U:$U,$H28)&lt;&gt;"Disqualified — Free Game",INDEX('Game Records'!$H:$H,$H28)=""),"Entry Fee; ","")&amp;IF(AND(INDEX('Game Records'!$U:$U,$H28)&lt;&gt;"Subscription",INDEX('Game Records'!$U:$U,$H28)&lt;&gt;"Free Game",INDEX('Game Records'!$U:$U,$H28)&lt;&gt;"Disqualified — Free Game",INDEX('Game Records'!$I:$I,$H28)=""),"Eligible Players; ","")&amp;IF(AND(INDEX('Game Records'!$U:$U,$H28)&lt;&gt;"Subscription",INDEX('Game Records'!$U:$U,$H28)&lt;&gt;"Free Game",INDEX('Game Records'!$U:$U,$H28)&lt;&gt;"Disqualified — Free Game",INDEX('Game Records'!$J:$J,$H28)=""),"Total Players; ","")&amp;IF(AND(LOWER(INDEX('Game Records'!$D:$D,$H28)&amp;"")="finalized",LOWER(INDEX('Game Records'!$L:$L,$H28)&amp;"")&lt;&gt;"yes",INDEX('Game Records'!$U:$U,$H28)&lt;&gt;"Subscription",INDEX('Game Records'!$U:$U,$H28)&lt;&gt;"Free Game",INDEX('Game Records'!$U:$U,$H28)&lt;&gt;"Disqualified — Free Game",INDEX('Game Records'!$K:$K,$H28)=""),"Final Payout; ","")&amp;IF(AND(LOWER(INDEX('Game Records'!$D:$D,$H28)&amp;"")="finalized",INDEX('Game Records'!$U:$U,$H28)&lt;&gt;"Subscription",INDEX('Game Records'!$U:$U,$H28)&lt;&gt;"Free Game",INDEX('Game Records'!$U:$U,$H28)&lt;&gt;"Disqualified — Free Game",OR(INDEX('Game Records'!$L:$L,$H28)="",LOWER(INDEX('Game Records'!$L:$L,$H28)&amp;"")="n/a")),"Disqualified Status; ",""))</f>
        <v/>
      </c>
      <c r="G28" s="25" t="str">
        <f t="array" ref="G28">IF($H28="","",IFERROR(INDEX('Game Records'!$M:$M,$H28),""))</f>
        <v/>
      </c>
      <c r="H28" s="8"/>
      <c r="I28" s="8"/>
      <c r="J28" s="8"/>
    </row>
    <row r="29" ht="24.0" customHeight="1">
      <c r="A29" s="21" t="str">
        <f t="shared" si="1"/>
        <v/>
      </c>
      <c r="B29" s="21" t="str">
        <f t="shared" si="2"/>
        <v/>
      </c>
      <c r="C29" s="25" t="str">
        <f t="array" ref="C29">IF($H29="","",IFERROR(INDEX('Game Records'!$A:$A,$H29),""))</f>
        <v/>
      </c>
      <c r="D29" s="25" t="str">
        <f t="array" ref="D29">IF($H29="","",IFERROR(INDEX('Game Records'!$U:$U,$H29),""))</f>
        <v/>
      </c>
      <c r="E29" s="25" t="str">
        <f t="shared" si="3"/>
        <v/>
      </c>
      <c r="F29" s="25" t="str">
        <f t="array" ref="F29">IF($H29="","",IF(OR(NOT(_xlfn.ISFORMULA(INDEX('Game Records'!$N:$N,$H29))),NOT(_xlfn.ISFORMULA(INDEX('Game Records'!$O:$O,$H29))),NOT(_xlfn.ISFORMULA(INDEX('Game Records'!$P:$P,$H29))),NOT(_xlfn.ISFORMULA(INDEX('Game Records'!$Q:$Q,$H29))),NOT(_xlfn.ISFORMULA(INDEX('Game Records'!$R:$R,$H29))),NOT(_xlfn.ISFORMULA(INDEX('Game Records'!$S:$S,$H29))),NOT(_xlfn.ISFORMULA(INDEX('Game Records'!$T:$T,$H29))),NOT(_xlfn.ISFORMULA(INDEX('Game Records'!$U:$U,$H29))),NOT(_xlfn.ISFORMULA(INDEX('Game Records'!$V:$V,$H29))),NOT(_xlfn.ISFORMULA(INDEX('Game Records'!$W:$W,$H29))),NOT(_xlfn.ISFORMULA(INDEX('Game Records'!$X:$X,$H29))),NOT(_xlfn.ISFORMULA(INDEX('Game Records'!$Y:$Y,$H29))),NOT(_xlfn.ISFORMULA(INDEX('Game Records'!$Z:$Z,$H29)))),"","")&amp;IF(INDEX('Game Records'!$B:$B,$H29)="","Start Date; ","")&amp;IF(INDEX('Game Records'!$C:$C,$H29)="","End Date; ","")&amp;IF(AND(INDEX('Game Records'!$U:$U,$H29)&lt;&gt;"Subscription",INDEX('Game Records'!$U:$U,$H29)&lt;&gt;"Free Game",INDEX('Game Records'!$U:$U,$H29)&lt;&gt;"Disqualified — Free Game",OR(INDEX('Game Records'!$D:$D,$H29)="",LOWER(INDEX('Game Records'!$D:$D,$H29)&amp;"")="n/a")),"Entry Mode; ","")&amp;IF(AND(INDEX('Game Records'!$U:$U,$H29)&lt;&gt;"Subscription",INDEX('Game Records'!$U:$U,$H29)&lt;&gt;"Free Game",INDEX('Game Records'!$U:$U,$H29)&lt;&gt;"Disqualified — Free Game",OR(INDEX('Game Records'!$E:$E,$H29)="",LOWER(INDEX('Game Records'!$E:$E,$H29)&amp;"")="n/a")),"Game Type; ","")&amp;IF(INDEX('Game Records'!$F:$F,$H29)="","Payment Type; ","")&amp;IF(AND(INDEX('Game Records'!$U:$U,$H29)&lt;&gt;"Subscription",INDEX('Game Records'!$U:$U,$H29)&lt;&gt;"Free Game",INDEX('Game Records'!$U:$U,$H29)&lt;&gt;"Disqualified — Free Game",INDEX('Game Records'!$G:$G,$H29)=""),"Gross Pot; ","")&amp;IF(AND(INDEX('Game Records'!$U:$U,$H29)&lt;&gt;"Free Game",INDEX('Game Records'!$U:$U,$H29)&lt;&gt;"Disqualified — Free Game",INDEX('Game Records'!$H:$H,$H29)=""),"Entry Fee; ","")&amp;IF(AND(INDEX('Game Records'!$U:$U,$H29)&lt;&gt;"Subscription",INDEX('Game Records'!$U:$U,$H29)&lt;&gt;"Free Game",INDEX('Game Records'!$U:$U,$H29)&lt;&gt;"Disqualified — Free Game",INDEX('Game Records'!$I:$I,$H29)=""),"Eligible Players; ","")&amp;IF(AND(INDEX('Game Records'!$U:$U,$H29)&lt;&gt;"Subscription",INDEX('Game Records'!$U:$U,$H29)&lt;&gt;"Free Game",INDEX('Game Records'!$U:$U,$H29)&lt;&gt;"Disqualified — Free Game",INDEX('Game Records'!$J:$J,$H29)=""),"Total Players; ","")&amp;IF(AND(LOWER(INDEX('Game Records'!$D:$D,$H29)&amp;"")="finalized",LOWER(INDEX('Game Records'!$L:$L,$H29)&amp;"")&lt;&gt;"yes",INDEX('Game Records'!$U:$U,$H29)&lt;&gt;"Subscription",INDEX('Game Records'!$U:$U,$H29)&lt;&gt;"Free Game",INDEX('Game Records'!$U:$U,$H29)&lt;&gt;"Disqualified — Free Game",INDEX('Game Records'!$K:$K,$H29)=""),"Final Payout; ","")&amp;IF(AND(LOWER(INDEX('Game Records'!$D:$D,$H29)&amp;"")="finalized",INDEX('Game Records'!$U:$U,$H29)&lt;&gt;"Subscription",INDEX('Game Records'!$U:$U,$H29)&lt;&gt;"Free Game",INDEX('Game Records'!$U:$U,$H29)&lt;&gt;"Disqualified — Free Game",OR(INDEX('Game Records'!$L:$L,$H29)="",LOWER(INDEX('Game Records'!$L:$L,$H29)&amp;"")="n/a")),"Disqualified Status; ",""))</f>
        <v/>
      </c>
      <c r="G29" s="25" t="str">
        <f t="array" ref="G29">IF($H29="","",IFERROR(INDEX('Game Records'!$M:$M,$H29),""))</f>
        <v/>
      </c>
      <c r="H29" s="8"/>
      <c r="I29" s="8"/>
      <c r="J29" s="8"/>
    </row>
    <row r="30" ht="24.0" customHeight="1">
      <c r="A30" s="21" t="str">
        <f t="shared" si="1"/>
        <v/>
      </c>
      <c r="B30" s="21" t="str">
        <f t="shared" si="2"/>
        <v/>
      </c>
      <c r="C30" s="25" t="str">
        <f t="array" ref="C30">IF($H30="","",IFERROR(INDEX('Game Records'!$A:$A,$H30),""))</f>
        <v/>
      </c>
      <c r="D30" s="25" t="str">
        <f t="array" ref="D30">IF($H30="","",IFERROR(INDEX('Game Records'!$U:$U,$H30),""))</f>
        <v/>
      </c>
      <c r="E30" s="25" t="str">
        <f t="shared" si="3"/>
        <v/>
      </c>
      <c r="F30" s="25" t="str">
        <f t="array" ref="F30">IF($H30="","",IF(OR(NOT(_xlfn.ISFORMULA(INDEX('Game Records'!$N:$N,$H30))),NOT(_xlfn.ISFORMULA(INDEX('Game Records'!$O:$O,$H30))),NOT(_xlfn.ISFORMULA(INDEX('Game Records'!$P:$P,$H30))),NOT(_xlfn.ISFORMULA(INDEX('Game Records'!$Q:$Q,$H30))),NOT(_xlfn.ISFORMULA(INDEX('Game Records'!$R:$R,$H30))),NOT(_xlfn.ISFORMULA(INDEX('Game Records'!$S:$S,$H30))),NOT(_xlfn.ISFORMULA(INDEX('Game Records'!$T:$T,$H30))),NOT(_xlfn.ISFORMULA(INDEX('Game Records'!$U:$U,$H30))),NOT(_xlfn.ISFORMULA(INDEX('Game Records'!$V:$V,$H30))),NOT(_xlfn.ISFORMULA(INDEX('Game Records'!$W:$W,$H30))),NOT(_xlfn.ISFORMULA(INDEX('Game Records'!$X:$X,$H30))),NOT(_xlfn.ISFORMULA(INDEX('Game Records'!$Y:$Y,$H30))),NOT(_xlfn.ISFORMULA(INDEX('Game Records'!$Z:$Z,$H30)))),"","")&amp;IF(INDEX('Game Records'!$B:$B,$H30)="","Start Date; ","")&amp;IF(INDEX('Game Records'!$C:$C,$H30)="","End Date; ","")&amp;IF(AND(INDEX('Game Records'!$U:$U,$H30)&lt;&gt;"Subscription",INDEX('Game Records'!$U:$U,$H30)&lt;&gt;"Free Game",INDEX('Game Records'!$U:$U,$H30)&lt;&gt;"Disqualified — Free Game",OR(INDEX('Game Records'!$D:$D,$H30)="",LOWER(INDEX('Game Records'!$D:$D,$H30)&amp;"")="n/a")),"Entry Mode; ","")&amp;IF(AND(INDEX('Game Records'!$U:$U,$H30)&lt;&gt;"Subscription",INDEX('Game Records'!$U:$U,$H30)&lt;&gt;"Free Game",INDEX('Game Records'!$U:$U,$H30)&lt;&gt;"Disqualified — Free Game",OR(INDEX('Game Records'!$E:$E,$H30)="",LOWER(INDEX('Game Records'!$E:$E,$H30)&amp;"")="n/a")),"Game Type; ","")&amp;IF(INDEX('Game Records'!$F:$F,$H30)="","Payment Type; ","")&amp;IF(AND(INDEX('Game Records'!$U:$U,$H30)&lt;&gt;"Subscription",INDEX('Game Records'!$U:$U,$H30)&lt;&gt;"Free Game",INDEX('Game Records'!$U:$U,$H30)&lt;&gt;"Disqualified — Free Game",INDEX('Game Records'!$G:$G,$H30)=""),"Gross Pot; ","")&amp;IF(AND(INDEX('Game Records'!$U:$U,$H30)&lt;&gt;"Free Game",INDEX('Game Records'!$U:$U,$H30)&lt;&gt;"Disqualified — Free Game",INDEX('Game Records'!$H:$H,$H30)=""),"Entry Fee; ","")&amp;IF(AND(INDEX('Game Records'!$U:$U,$H30)&lt;&gt;"Subscription",INDEX('Game Records'!$U:$U,$H30)&lt;&gt;"Free Game",INDEX('Game Records'!$U:$U,$H30)&lt;&gt;"Disqualified — Free Game",INDEX('Game Records'!$I:$I,$H30)=""),"Eligible Players; ","")&amp;IF(AND(INDEX('Game Records'!$U:$U,$H30)&lt;&gt;"Subscription",INDEX('Game Records'!$U:$U,$H30)&lt;&gt;"Free Game",INDEX('Game Records'!$U:$U,$H30)&lt;&gt;"Disqualified — Free Game",INDEX('Game Records'!$J:$J,$H30)=""),"Total Players; ","")&amp;IF(AND(LOWER(INDEX('Game Records'!$D:$D,$H30)&amp;"")="finalized",LOWER(INDEX('Game Records'!$L:$L,$H30)&amp;"")&lt;&gt;"yes",INDEX('Game Records'!$U:$U,$H30)&lt;&gt;"Subscription",INDEX('Game Records'!$U:$U,$H30)&lt;&gt;"Free Game",INDEX('Game Records'!$U:$U,$H30)&lt;&gt;"Disqualified — Free Game",INDEX('Game Records'!$K:$K,$H30)=""),"Final Payout; ","")&amp;IF(AND(LOWER(INDEX('Game Records'!$D:$D,$H30)&amp;"")="finalized",INDEX('Game Records'!$U:$U,$H30)&lt;&gt;"Subscription",INDEX('Game Records'!$U:$U,$H30)&lt;&gt;"Free Game",INDEX('Game Records'!$U:$U,$H30)&lt;&gt;"Disqualified — Free Game",OR(INDEX('Game Records'!$L:$L,$H30)="",LOWER(INDEX('Game Records'!$L:$L,$H30)&amp;"")="n/a")),"Disqualified Status; ",""))</f>
        <v/>
      </c>
      <c r="G30" s="25" t="str">
        <f t="array" ref="G30">IF($H30="","",IFERROR(INDEX('Game Records'!$M:$M,$H30),""))</f>
        <v/>
      </c>
      <c r="H30" s="8"/>
      <c r="I30" s="8"/>
      <c r="J30" s="8"/>
    </row>
    <row r="31" ht="24.0" customHeight="1">
      <c r="A31" s="21" t="str">
        <f t="shared" si="1"/>
        <v/>
      </c>
      <c r="B31" s="21" t="str">
        <f t="shared" si="2"/>
        <v/>
      </c>
      <c r="C31" s="25" t="str">
        <f t="array" ref="C31">IF($H31="","",IFERROR(INDEX('Game Records'!$A:$A,$H31),""))</f>
        <v/>
      </c>
      <c r="D31" s="25" t="str">
        <f t="array" ref="D31">IF($H31="","",IFERROR(INDEX('Game Records'!$U:$U,$H31),""))</f>
        <v/>
      </c>
      <c r="E31" s="25" t="str">
        <f t="shared" si="3"/>
        <v/>
      </c>
      <c r="F31" s="25" t="str">
        <f t="array" ref="F31">IF($H31="","",IF(OR(NOT(_xlfn.ISFORMULA(INDEX('Game Records'!$N:$N,$H31))),NOT(_xlfn.ISFORMULA(INDEX('Game Records'!$O:$O,$H31))),NOT(_xlfn.ISFORMULA(INDEX('Game Records'!$P:$P,$H31))),NOT(_xlfn.ISFORMULA(INDEX('Game Records'!$Q:$Q,$H31))),NOT(_xlfn.ISFORMULA(INDEX('Game Records'!$R:$R,$H31))),NOT(_xlfn.ISFORMULA(INDEX('Game Records'!$S:$S,$H31))),NOT(_xlfn.ISFORMULA(INDEX('Game Records'!$T:$T,$H31))),NOT(_xlfn.ISFORMULA(INDEX('Game Records'!$U:$U,$H31))),NOT(_xlfn.ISFORMULA(INDEX('Game Records'!$V:$V,$H31))),NOT(_xlfn.ISFORMULA(INDEX('Game Records'!$W:$W,$H31))),NOT(_xlfn.ISFORMULA(INDEX('Game Records'!$X:$X,$H31))),NOT(_xlfn.ISFORMULA(INDEX('Game Records'!$Y:$Y,$H31))),NOT(_xlfn.ISFORMULA(INDEX('Game Records'!$Z:$Z,$H31)))),"","")&amp;IF(INDEX('Game Records'!$B:$B,$H31)="","Start Date; ","")&amp;IF(INDEX('Game Records'!$C:$C,$H31)="","End Date; ","")&amp;IF(AND(INDEX('Game Records'!$U:$U,$H31)&lt;&gt;"Subscription",INDEX('Game Records'!$U:$U,$H31)&lt;&gt;"Free Game",INDEX('Game Records'!$U:$U,$H31)&lt;&gt;"Disqualified — Free Game",OR(INDEX('Game Records'!$D:$D,$H31)="",LOWER(INDEX('Game Records'!$D:$D,$H31)&amp;"")="n/a")),"Entry Mode; ","")&amp;IF(AND(INDEX('Game Records'!$U:$U,$H31)&lt;&gt;"Subscription",INDEX('Game Records'!$U:$U,$H31)&lt;&gt;"Free Game",INDEX('Game Records'!$U:$U,$H31)&lt;&gt;"Disqualified — Free Game",OR(INDEX('Game Records'!$E:$E,$H31)="",LOWER(INDEX('Game Records'!$E:$E,$H31)&amp;"")="n/a")),"Game Type; ","")&amp;IF(INDEX('Game Records'!$F:$F,$H31)="","Payment Type; ","")&amp;IF(AND(INDEX('Game Records'!$U:$U,$H31)&lt;&gt;"Subscription",INDEX('Game Records'!$U:$U,$H31)&lt;&gt;"Free Game",INDEX('Game Records'!$U:$U,$H31)&lt;&gt;"Disqualified — Free Game",INDEX('Game Records'!$G:$G,$H31)=""),"Gross Pot; ","")&amp;IF(AND(INDEX('Game Records'!$U:$U,$H31)&lt;&gt;"Free Game",INDEX('Game Records'!$U:$U,$H31)&lt;&gt;"Disqualified — Free Game",INDEX('Game Records'!$H:$H,$H31)=""),"Entry Fee; ","")&amp;IF(AND(INDEX('Game Records'!$U:$U,$H31)&lt;&gt;"Subscription",INDEX('Game Records'!$U:$U,$H31)&lt;&gt;"Free Game",INDEX('Game Records'!$U:$U,$H31)&lt;&gt;"Disqualified — Free Game",INDEX('Game Records'!$I:$I,$H31)=""),"Eligible Players; ","")&amp;IF(AND(INDEX('Game Records'!$U:$U,$H31)&lt;&gt;"Subscription",INDEX('Game Records'!$U:$U,$H31)&lt;&gt;"Free Game",INDEX('Game Records'!$U:$U,$H31)&lt;&gt;"Disqualified — Free Game",INDEX('Game Records'!$J:$J,$H31)=""),"Total Players; ","")&amp;IF(AND(LOWER(INDEX('Game Records'!$D:$D,$H31)&amp;"")="finalized",LOWER(INDEX('Game Records'!$L:$L,$H31)&amp;"")&lt;&gt;"yes",INDEX('Game Records'!$U:$U,$H31)&lt;&gt;"Subscription",INDEX('Game Records'!$U:$U,$H31)&lt;&gt;"Free Game",INDEX('Game Records'!$U:$U,$H31)&lt;&gt;"Disqualified — Free Game",INDEX('Game Records'!$K:$K,$H31)=""),"Final Payout; ","")&amp;IF(AND(LOWER(INDEX('Game Records'!$D:$D,$H31)&amp;"")="finalized",INDEX('Game Records'!$U:$U,$H31)&lt;&gt;"Subscription",INDEX('Game Records'!$U:$U,$H31)&lt;&gt;"Free Game",INDEX('Game Records'!$U:$U,$H31)&lt;&gt;"Disqualified — Free Game",OR(INDEX('Game Records'!$L:$L,$H31)="",LOWER(INDEX('Game Records'!$L:$L,$H31)&amp;"")="n/a")),"Disqualified Status; ",""))</f>
        <v/>
      </c>
      <c r="G31" s="25" t="str">
        <f t="array" ref="G31">IF($H31="","",IFERROR(INDEX('Game Records'!$M:$M,$H31),""))</f>
        <v/>
      </c>
      <c r="H31" s="8"/>
      <c r="I31" s="8"/>
      <c r="J31" s="8"/>
    </row>
    <row r="32" ht="24.0" customHeight="1">
      <c r="A32" s="21" t="str">
        <f t="shared" si="1"/>
        <v/>
      </c>
      <c r="B32" s="21" t="str">
        <f t="shared" si="2"/>
        <v/>
      </c>
      <c r="C32" s="25" t="str">
        <f t="array" ref="C32">IF($H32="","",IFERROR(INDEX('Game Records'!$A:$A,$H32),""))</f>
        <v/>
      </c>
      <c r="D32" s="25" t="str">
        <f t="array" ref="D32">IF($H32="","",IFERROR(INDEX('Game Records'!$U:$U,$H32),""))</f>
        <v/>
      </c>
      <c r="E32" s="25" t="str">
        <f t="shared" si="3"/>
        <v/>
      </c>
      <c r="F32" s="25" t="str">
        <f t="array" ref="F32">IF($H32="","",IF(OR(NOT(_xlfn.ISFORMULA(INDEX('Game Records'!$N:$N,$H32))),NOT(_xlfn.ISFORMULA(INDEX('Game Records'!$O:$O,$H32))),NOT(_xlfn.ISFORMULA(INDEX('Game Records'!$P:$P,$H32))),NOT(_xlfn.ISFORMULA(INDEX('Game Records'!$Q:$Q,$H32))),NOT(_xlfn.ISFORMULA(INDEX('Game Records'!$R:$R,$H32))),NOT(_xlfn.ISFORMULA(INDEX('Game Records'!$S:$S,$H32))),NOT(_xlfn.ISFORMULA(INDEX('Game Records'!$T:$T,$H32))),NOT(_xlfn.ISFORMULA(INDEX('Game Records'!$U:$U,$H32))),NOT(_xlfn.ISFORMULA(INDEX('Game Records'!$V:$V,$H32))),NOT(_xlfn.ISFORMULA(INDEX('Game Records'!$W:$W,$H32))),NOT(_xlfn.ISFORMULA(INDEX('Game Records'!$X:$X,$H32))),NOT(_xlfn.ISFORMULA(INDEX('Game Records'!$Y:$Y,$H32))),NOT(_xlfn.ISFORMULA(INDEX('Game Records'!$Z:$Z,$H32)))),"","")&amp;IF(INDEX('Game Records'!$B:$B,$H32)="","Start Date; ","")&amp;IF(INDEX('Game Records'!$C:$C,$H32)="","End Date; ","")&amp;IF(AND(INDEX('Game Records'!$U:$U,$H32)&lt;&gt;"Subscription",INDEX('Game Records'!$U:$U,$H32)&lt;&gt;"Free Game",INDEX('Game Records'!$U:$U,$H32)&lt;&gt;"Disqualified — Free Game",OR(INDEX('Game Records'!$D:$D,$H32)="",LOWER(INDEX('Game Records'!$D:$D,$H32)&amp;"")="n/a")),"Entry Mode; ","")&amp;IF(AND(INDEX('Game Records'!$U:$U,$H32)&lt;&gt;"Subscription",INDEX('Game Records'!$U:$U,$H32)&lt;&gt;"Free Game",INDEX('Game Records'!$U:$U,$H32)&lt;&gt;"Disqualified — Free Game",OR(INDEX('Game Records'!$E:$E,$H32)="",LOWER(INDEX('Game Records'!$E:$E,$H32)&amp;"")="n/a")),"Game Type; ","")&amp;IF(INDEX('Game Records'!$F:$F,$H32)="","Payment Type; ","")&amp;IF(AND(INDEX('Game Records'!$U:$U,$H32)&lt;&gt;"Subscription",INDEX('Game Records'!$U:$U,$H32)&lt;&gt;"Free Game",INDEX('Game Records'!$U:$U,$H32)&lt;&gt;"Disqualified — Free Game",INDEX('Game Records'!$G:$G,$H32)=""),"Gross Pot; ","")&amp;IF(AND(INDEX('Game Records'!$U:$U,$H32)&lt;&gt;"Free Game",INDEX('Game Records'!$U:$U,$H32)&lt;&gt;"Disqualified — Free Game",INDEX('Game Records'!$H:$H,$H32)=""),"Entry Fee; ","")&amp;IF(AND(INDEX('Game Records'!$U:$U,$H32)&lt;&gt;"Subscription",INDEX('Game Records'!$U:$U,$H32)&lt;&gt;"Free Game",INDEX('Game Records'!$U:$U,$H32)&lt;&gt;"Disqualified — Free Game",INDEX('Game Records'!$I:$I,$H32)=""),"Eligible Players; ","")&amp;IF(AND(INDEX('Game Records'!$U:$U,$H32)&lt;&gt;"Subscription",INDEX('Game Records'!$U:$U,$H32)&lt;&gt;"Free Game",INDEX('Game Records'!$U:$U,$H32)&lt;&gt;"Disqualified — Free Game",INDEX('Game Records'!$J:$J,$H32)=""),"Total Players; ","")&amp;IF(AND(LOWER(INDEX('Game Records'!$D:$D,$H32)&amp;"")="finalized",LOWER(INDEX('Game Records'!$L:$L,$H32)&amp;"")&lt;&gt;"yes",INDEX('Game Records'!$U:$U,$H32)&lt;&gt;"Subscription",INDEX('Game Records'!$U:$U,$H32)&lt;&gt;"Free Game",INDEX('Game Records'!$U:$U,$H32)&lt;&gt;"Disqualified — Free Game",INDEX('Game Records'!$K:$K,$H32)=""),"Final Payout; ","")&amp;IF(AND(LOWER(INDEX('Game Records'!$D:$D,$H32)&amp;"")="finalized",INDEX('Game Records'!$U:$U,$H32)&lt;&gt;"Subscription",INDEX('Game Records'!$U:$U,$H32)&lt;&gt;"Free Game",INDEX('Game Records'!$U:$U,$H32)&lt;&gt;"Disqualified — Free Game",OR(INDEX('Game Records'!$L:$L,$H32)="",LOWER(INDEX('Game Records'!$L:$L,$H32)&amp;"")="n/a")),"Disqualified Status; ",""))</f>
        <v/>
      </c>
      <c r="G32" s="25" t="str">
        <f t="array" ref="G32">IF($H32="","",IFERROR(INDEX('Game Records'!$M:$M,$H32),""))</f>
        <v/>
      </c>
      <c r="H32" s="8"/>
      <c r="I32" s="8"/>
      <c r="J32" s="8"/>
    </row>
    <row r="33" ht="24.0" customHeight="1">
      <c r="A33" s="21" t="str">
        <f t="shared" si="1"/>
        <v/>
      </c>
      <c r="B33" s="21" t="str">
        <f t="shared" si="2"/>
        <v/>
      </c>
      <c r="C33" s="25" t="str">
        <f t="array" ref="C33">IF($H33="","",IFERROR(INDEX('Game Records'!$A:$A,$H33),""))</f>
        <v/>
      </c>
      <c r="D33" s="25" t="str">
        <f t="array" ref="D33">IF($H33="","",IFERROR(INDEX('Game Records'!$U:$U,$H33),""))</f>
        <v/>
      </c>
      <c r="E33" s="25" t="str">
        <f t="shared" si="3"/>
        <v/>
      </c>
      <c r="F33" s="25" t="str">
        <f t="array" ref="F33">IF($H33="","",IF(OR(NOT(_xlfn.ISFORMULA(INDEX('Game Records'!$N:$N,$H33))),NOT(_xlfn.ISFORMULA(INDEX('Game Records'!$O:$O,$H33))),NOT(_xlfn.ISFORMULA(INDEX('Game Records'!$P:$P,$H33))),NOT(_xlfn.ISFORMULA(INDEX('Game Records'!$Q:$Q,$H33))),NOT(_xlfn.ISFORMULA(INDEX('Game Records'!$R:$R,$H33))),NOT(_xlfn.ISFORMULA(INDEX('Game Records'!$S:$S,$H33))),NOT(_xlfn.ISFORMULA(INDEX('Game Records'!$T:$T,$H33))),NOT(_xlfn.ISFORMULA(INDEX('Game Records'!$U:$U,$H33))),NOT(_xlfn.ISFORMULA(INDEX('Game Records'!$V:$V,$H33))),NOT(_xlfn.ISFORMULA(INDEX('Game Records'!$W:$W,$H33))),NOT(_xlfn.ISFORMULA(INDEX('Game Records'!$X:$X,$H33))),NOT(_xlfn.ISFORMULA(INDEX('Game Records'!$Y:$Y,$H33))),NOT(_xlfn.ISFORMULA(INDEX('Game Records'!$Z:$Z,$H33)))),"","")&amp;IF(INDEX('Game Records'!$B:$B,$H33)="","Start Date; ","")&amp;IF(INDEX('Game Records'!$C:$C,$H33)="","End Date; ","")&amp;IF(AND(INDEX('Game Records'!$U:$U,$H33)&lt;&gt;"Subscription",INDEX('Game Records'!$U:$U,$H33)&lt;&gt;"Free Game",INDEX('Game Records'!$U:$U,$H33)&lt;&gt;"Disqualified — Free Game",OR(INDEX('Game Records'!$D:$D,$H33)="",LOWER(INDEX('Game Records'!$D:$D,$H33)&amp;"")="n/a")),"Entry Mode; ","")&amp;IF(AND(INDEX('Game Records'!$U:$U,$H33)&lt;&gt;"Subscription",INDEX('Game Records'!$U:$U,$H33)&lt;&gt;"Free Game",INDEX('Game Records'!$U:$U,$H33)&lt;&gt;"Disqualified — Free Game",OR(INDEX('Game Records'!$E:$E,$H33)="",LOWER(INDEX('Game Records'!$E:$E,$H33)&amp;"")="n/a")),"Game Type; ","")&amp;IF(INDEX('Game Records'!$F:$F,$H33)="","Payment Type; ","")&amp;IF(AND(INDEX('Game Records'!$U:$U,$H33)&lt;&gt;"Subscription",INDEX('Game Records'!$U:$U,$H33)&lt;&gt;"Free Game",INDEX('Game Records'!$U:$U,$H33)&lt;&gt;"Disqualified — Free Game",INDEX('Game Records'!$G:$G,$H33)=""),"Gross Pot; ","")&amp;IF(AND(INDEX('Game Records'!$U:$U,$H33)&lt;&gt;"Free Game",INDEX('Game Records'!$U:$U,$H33)&lt;&gt;"Disqualified — Free Game",INDEX('Game Records'!$H:$H,$H33)=""),"Entry Fee; ","")&amp;IF(AND(INDEX('Game Records'!$U:$U,$H33)&lt;&gt;"Subscription",INDEX('Game Records'!$U:$U,$H33)&lt;&gt;"Free Game",INDEX('Game Records'!$U:$U,$H33)&lt;&gt;"Disqualified — Free Game",INDEX('Game Records'!$I:$I,$H33)=""),"Eligible Players; ","")&amp;IF(AND(INDEX('Game Records'!$U:$U,$H33)&lt;&gt;"Subscription",INDEX('Game Records'!$U:$U,$H33)&lt;&gt;"Free Game",INDEX('Game Records'!$U:$U,$H33)&lt;&gt;"Disqualified — Free Game",INDEX('Game Records'!$J:$J,$H33)=""),"Total Players; ","")&amp;IF(AND(LOWER(INDEX('Game Records'!$D:$D,$H33)&amp;"")="finalized",LOWER(INDEX('Game Records'!$L:$L,$H33)&amp;"")&lt;&gt;"yes",INDEX('Game Records'!$U:$U,$H33)&lt;&gt;"Subscription",INDEX('Game Records'!$U:$U,$H33)&lt;&gt;"Free Game",INDEX('Game Records'!$U:$U,$H33)&lt;&gt;"Disqualified — Free Game",INDEX('Game Records'!$K:$K,$H33)=""),"Final Payout; ","")&amp;IF(AND(LOWER(INDEX('Game Records'!$D:$D,$H33)&amp;"")="finalized",INDEX('Game Records'!$U:$U,$H33)&lt;&gt;"Subscription",INDEX('Game Records'!$U:$U,$H33)&lt;&gt;"Free Game",INDEX('Game Records'!$U:$U,$H33)&lt;&gt;"Disqualified — Free Game",OR(INDEX('Game Records'!$L:$L,$H33)="",LOWER(INDEX('Game Records'!$L:$L,$H33)&amp;"")="n/a")),"Disqualified Status; ",""))</f>
        <v/>
      </c>
      <c r="G33" s="25" t="str">
        <f t="array" ref="G33">IF($H33="","",IFERROR(INDEX('Game Records'!$M:$M,$H33),""))</f>
        <v/>
      </c>
      <c r="H33" s="8"/>
      <c r="I33" s="8"/>
      <c r="J33" s="8"/>
    </row>
    <row r="34" ht="24.0" customHeight="1">
      <c r="A34" s="21" t="str">
        <f t="shared" si="1"/>
        <v/>
      </c>
      <c r="B34" s="21" t="str">
        <f t="shared" si="2"/>
        <v/>
      </c>
      <c r="C34" s="25" t="str">
        <f t="array" ref="C34">IF($H34="","",IFERROR(INDEX('Game Records'!$A:$A,$H34),""))</f>
        <v/>
      </c>
      <c r="D34" s="25" t="str">
        <f t="array" ref="D34">IF($H34="","",IFERROR(INDEX('Game Records'!$U:$U,$H34),""))</f>
        <v/>
      </c>
      <c r="E34" s="25" t="str">
        <f t="shared" si="3"/>
        <v/>
      </c>
      <c r="F34" s="25" t="str">
        <f t="array" ref="F34">IF($H34="","",IF(OR(NOT(_xlfn.ISFORMULA(INDEX('Game Records'!$N:$N,$H34))),NOT(_xlfn.ISFORMULA(INDEX('Game Records'!$O:$O,$H34))),NOT(_xlfn.ISFORMULA(INDEX('Game Records'!$P:$P,$H34))),NOT(_xlfn.ISFORMULA(INDEX('Game Records'!$Q:$Q,$H34))),NOT(_xlfn.ISFORMULA(INDEX('Game Records'!$R:$R,$H34))),NOT(_xlfn.ISFORMULA(INDEX('Game Records'!$S:$S,$H34))),NOT(_xlfn.ISFORMULA(INDEX('Game Records'!$T:$T,$H34))),NOT(_xlfn.ISFORMULA(INDEX('Game Records'!$U:$U,$H34))),NOT(_xlfn.ISFORMULA(INDEX('Game Records'!$V:$V,$H34))),NOT(_xlfn.ISFORMULA(INDEX('Game Records'!$W:$W,$H34))),NOT(_xlfn.ISFORMULA(INDEX('Game Records'!$X:$X,$H34))),NOT(_xlfn.ISFORMULA(INDEX('Game Records'!$Y:$Y,$H34))),NOT(_xlfn.ISFORMULA(INDEX('Game Records'!$Z:$Z,$H34)))),"","")&amp;IF(INDEX('Game Records'!$B:$B,$H34)="","Start Date; ","")&amp;IF(INDEX('Game Records'!$C:$C,$H34)="","End Date; ","")&amp;IF(AND(INDEX('Game Records'!$U:$U,$H34)&lt;&gt;"Subscription",INDEX('Game Records'!$U:$U,$H34)&lt;&gt;"Free Game",INDEX('Game Records'!$U:$U,$H34)&lt;&gt;"Disqualified — Free Game",OR(INDEX('Game Records'!$D:$D,$H34)="",LOWER(INDEX('Game Records'!$D:$D,$H34)&amp;"")="n/a")),"Entry Mode; ","")&amp;IF(AND(INDEX('Game Records'!$U:$U,$H34)&lt;&gt;"Subscription",INDEX('Game Records'!$U:$U,$H34)&lt;&gt;"Free Game",INDEX('Game Records'!$U:$U,$H34)&lt;&gt;"Disqualified — Free Game",OR(INDEX('Game Records'!$E:$E,$H34)="",LOWER(INDEX('Game Records'!$E:$E,$H34)&amp;"")="n/a")),"Game Type; ","")&amp;IF(INDEX('Game Records'!$F:$F,$H34)="","Payment Type; ","")&amp;IF(AND(INDEX('Game Records'!$U:$U,$H34)&lt;&gt;"Subscription",INDEX('Game Records'!$U:$U,$H34)&lt;&gt;"Free Game",INDEX('Game Records'!$U:$U,$H34)&lt;&gt;"Disqualified — Free Game",INDEX('Game Records'!$G:$G,$H34)=""),"Gross Pot; ","")&amp;IF(AND(INDEX('Game Records'!$U:$U,$H34)&lt;&gt;"Free Game",INDEX('Game Records'!$U:$U,$H34)&lt;&gt;"Disqualified — Free Game",INDEX('Game Records'!$H:$H,$H34)=""),"Entry Fee; ","")&amp;IF(AND(INDEX('Game Records'!$U:$U,$H34)&lt;&gt;"Subscription",INDEX('Game Records'!$U:$U,$H34)&lt;&gt;"Free Game",INDEX('Game Records'!$U:$U,$H34)&lt;&gt;"Disqualified — Free Game",INDEX('Game Records'!$I:$I,$H34)=""),"Eligible Players; ","")&amp;IF(AND(INDEX('Game Records'!$U:$U,$H34)&lt;&gt;"Subscription",INDEX('Game Records'!$U:$U,$H34)&lt;&gt;"Free Game",INDEX('Game Records'!$U:$U,$H34)&lt;&gt;"Disqualified — Free Game",INDEX('Game Records'!$J:$J,$H34)=""),"Total Players; ","")&amp;IF(AND(LOWER(INDEX('Game Records'!$D:$D,$H34)&amp;"")="finalized",LOWER(INDEX('Game Records'!$L:$L,$H34)&amp;"")&lt;&gt;"yes",INDEX('Game Records'!$U:$U,$H34)&lt;&gt;"Subscription",INDEX('Game Records'!$U:$U,$H34)&lt;&gt;"Free Game",INDEX('Game Records'!$U:$U,$H34)&lt;&gt;"Disqualified — Free Game",INDEX('Game Records'!$K:$K,$H34)=""),"Final Payout; ","")&amp;IF(AND(LOWER(INDEX('Game Records'!$D:$D,$H34)&amp;"")="finalized",INDEX('Game Records'!$U:$U,$H34)&lt;&gt;"Subscription",INDEX('Game Records'!$U:$U,$H34)&lt;&gt;"Free Game",INDEX('Game Records'!$U:$U,$H34)&lt;&gt;"Disqualified — Free Game",OR(INDEX('Game Records'!$L:$L,$H34)="",LOWER(INDEX('Game Records'!$L:$L,$H34)&amp;"")="n/a")),"Disqualified Status; ",""))</f>
        <v/>
      </c>
      <c r="G34" s="25" t="str">
        <f t="array" ref="G34">IF($H34="","",IFERROR(INDEX('Game Records'!$M:$M,$H34),""))</f>
        <v/>
      </c>
      <c r="H34" s="8"/>
      <c r="I34" s="8"/>
      <c r="J34" s="8"/>
    </row>
    <row r="35" ht="24.0" customHeight="1">
      <c r="A35" s="21" t="str">
        <f t="shared" si="1"/>
        <v/>
      </c>
      <c r="B35" s="21" t="str">
        <f t="shared" si="2"/>
        <v/>
      </c>
      <c r="C35" s="25" t="str">
        <f t="array" ref="C35">IF($H35="","",IFERROR(INDEX('Game Records'!$A:$A,$H35),""))</f>
        <v/>
      </c>
      <c r="D35" s="25" t="str">
        <f t="array" ref="D35">IF($H35="","",IFERROR(INDEX('Game Records'!$U:$U,$H35),""))</f>
        <v/>
      </c>
      <c r="E35" s="25" t="str">
        <f t="shared" si="3"/>
        <v/>
      </c>
      <c r="F35" s="25" t="str">
        <f t="array" ref="F35">IF($H35="","",IF(OR(NOT(_xlfn.ISFORMULA(INDEX('Game Records'!$N:$N,$H35))),NOT(_xlfn.ISFORMULA(INDEX('Game Records'!$O:$O,$H35))),NOT(_xlfn.ISFORMULA(INDEX('Game Records'!$P:$P,$H35))),NOT(_xlfn.ISFORMULA(INDEX('Game Records'!$Q:$Q,$H35))),NOT(_xlfn.ISFORMULA(INDEX('Game Records'!$R:$R,$H35))),NOT(_xlfn.ISFORMULA(INDEX('Game Records'!$S:$S,$H35))),NOT(_xlfn.ISFORMULA(INDEX('Game Records'!$T:$T,$H35))),NOT(_xlfn.ISFORMULA(INDEX('Game Records'!$U:$U,$H35))),NOT(_xlfn.ISFORMULA(INDEX('Game Records'!$V:$V,$H35))),NOT(_xlfn.ISFORMULA(INDEX('Game Records'!$W:$W,$H35))),NOT(_xlfn.ISFORMULA(INDEX('Game Records'!$X:$X,$H35))),NOT(_xlfn.ISFORMULA(INDEX('Game Records'!$Y:$Y,$H35))),NOT(_xlfn.ISFORMULA(INDEX('Game Records'!$Z:$Z,$H35)))),"","")&amp;IF(INDEX('Game Records'!$B:$B,$H35)="","Start Date; ","")&amp;IF(INDEX('Game Records'!$C:$C,$H35)="","End Date; ","")&amp;IF(AND(INDEX('Game Records'!$U:$U,$H35)&lt;&gt;"Subscription",INDEX('Game Records'!$U:$U,$H35)&lt;&gt;"Free Game",INDEX('Game Records'!$U:$U,$H35)&lt;&gt;"Disqualified — Free Game",OR(INDEX('Game Records'!$D:$D,$H35)="",LOWER(INDEX('Game Records'!$D:$D,$H35)&amp;"")="n/a")),"Entry Mode; ","")&amp;IF(AND(INDEX('Game Records'!$U:$U,$H35)&lt;&gt;"Subscription",INDEX('Game Records'!$U:$U,$H35)&lt;&gt;"Free Game",INDEX('Game Records'!$U:$U,$H35)&lt;&gt;"Disqualified — Free Game",OR(INDEX('Game Records'!$E:$E,$H35)="",LOWER(INDEX('Game Records'!$E:$E,$H35)&amp;"")="n/a")),"Game Type; ","")&amp;IF(INDEX('Game Records'!$F:$F,$H35)="","Payment Type; ","")&amp;IF(AND(INDEX('Game Records'!$U:$U,$H35)&lt;&gt;"Subscription",INDEX('Game Records'!$U:$U,$H35)&lt;&gt;"Free Game",INDEX('Game Records'!$U:$U,$H35)&lt;&gt;"Disqualified — Free Game",INDEX('Game Records'!$G:$G,$H35)=""),"Gross Pot; ","")&amp;IF(AND(INDEX('Game Records'!$U:$U,$H35)&lt;&gt;"Free Game",INDEX('Game Records'!$U:$U,$H35)&lt;&gt;"Disqualified — Free Game",INDEX('Game Records'!$H:$H,$H35)=""),"Entry Fee; ","")&amp;IF(AND(INDEX('Game Records'!$U:$U,$H35)&lt;&gt;"Subscription",INDEX('Game Records'!$U:$U,$H35)&lt;&gt;"Free Game",INDEX('Game Records'!$U:$U,$H35)&lt;&gt;"Disqualified — Free Game",INDEX('Game Records'!$I:$I,$H35)=""),"Eligible Players; ","")&amp;IF(AND(INDEX('Game Records'!$U:$U,$H35)&lt;&gt;"Subscription",INDEX('Game Records'!$U:$U,$H35)&lt;&gt;"Free Game",INDEX('Game Records'!$U:$U,$H35)&lt;&gt;"Disqualified — Free Game",INDEX('Game Records'!$J:$J,$H35)=""),"Total Players; ","")&amp;IF(AND(LOWER(INDEX('Game Records'!$D:$D,$H35)&amp;"")="finalized",LOWER(INDEX('Game Records'!$L:$L,$H35)&amp;"")&lt;&gt;"yes",INDEX('Game Records'!$U:$U,$H35)&lt;&gt;"Subscription",INDEX('Game Records'!$U:$U,$H35)&lt;&gt;"Free Game",INDEX('Game Records'!$U:$U,$H35)&lt;&gt;"Disqualified — Free Game",INDEX('Game Records'!$K:$K,$H35)=""),"Final Payout; ","")&amp;IF(AND(LOWER(INDEX('Game Records'!$D:$D,$H35)&amp;"")="finalized",INDEX('Game Records'!$U:$U,$H35)&lt;&gt;"Subscription",INDEX('Game Records'!$U:$U,$H35)&lt;&gt;"Free Game",INDEX('Game Records'!$U:$U,$H35)&lt;&gt;"Disqualified — Free Game",OR(INDEX('Game Records'!$L:$L,$H35)="",LOWER(INDEX('Game Records'!$L:$L,$H35)&amp;"")="n/a")),"Disqualified Status; ",""))</f>
        <v/>
      </c>
      <c r="G35" s="25" t="str">
        <f t="array" ref="G35">IF($H35="","",IFERROR(INDEX('Game Records'!$M:$M,$H35),""))</f>
        <v/>
      </c>
      <c r="H35" s="8"/>
      <c r="I35" s="8"/>
      <c r="J35" s="8"/>
    </row>
    <row r="36" ht="24.0" customHeight="1">
      <c r="A36" s="21" t="str">
        <f t="shared" si="1"/>
        <v/>
      </c>
      <c r="B36" s="21" t="str">
        <f t="shared" si="2"/>
        <v/>
      </c>
      <c r="C36" s="25" t="str">
        <f t="array" ref="C36">IF($H36="","",IFERROR(INDEX('Game Records'!$A:$A,$H36),""))</f>
        <v/>
      </c>
      <c r="D36" s="25" t="str">
        <f t="array" ref="D36">IF($H36="","",IFERROR(INDEX('Game Records'!$U:$U,$H36),""))</f>
        <v/>
      </c>
      <c r="E36" s="25" t="str">
        <f t="shared" si="3"/>
        <v/>
      </c>
      <c r="F36" s="25" t="str">
        <f t="array" ref="F36">IF($H36="","",IF(OR(NOT(_xlfn.ISFORMULA(INDEX('Game Records'!$N:$N,$H36))),NOT(_xlfn.ISFORMULA(INDEX('Game Records'!$O:$O,$H36))),NOT(_xlfn.ISFORMULA(INDEX('Game Records'!$P:$P,$H36))),NOT(_xlfn.ISFORMULA(INDEX('Game Records'!$Q:$Q,$H36))),NOT(_xlfn.ISFORMULA(INDEX('Game Records'!$R:$R,$H36))),NOT(_xlfn.ISFORMULA(INDEX('Game Records'!$S:$S,$H36))),NOT(_xlfn.ISFORMULA(INDEX('Game Records'!$T:$T,$H36))),NOT(_xlfn.ISFORMULA(INDEX('Game Records'!$U:$U,$H36))),NOT(_xlfn.ISFORMULA(INDEX('Game Records'!$V:$V,$H36))),NOT(_xlfn.ISFORMULA(INDEX('Game Records'!$W:$W,$H36))),NOT(_xlfn.ISFORMULA(INDEX('Game Records'!$X:$X,$H36))),NOT(_xlfn.ISFORMULA(INDEX('Game Records'!$Y:$Y,$H36))),NOT(_xlfn.ISFORMULA(INDEX('Game Records'!$Z:$Z,$H36)))),"","")&amp;IF(INDEX('Game Records'!$B:$B,$H36)="","Start Date; ","")&amp;IF(INDEX('Game Records'!$C:$C,$H36)="","End Date; ","")&amp;IF(AND(INDEX('Game Records'!$U:$U,$H36)&lt;&gt;"Subscription",INDEX('Game Records'!$U:$U,$H36)&lt;&gt;"Free Game",INDEX('Game Records'!$U:$U,$H36)&lt;&gt;"Disqualified — Free Game",OR(INDEX('Game Records'!$D:$D,$H36)="",LOWER(INDEX('Game Records'!$D:$D,$H36)&amp;"")="n/a")),"Entry Mode; ","")&amp;IF(AND(INDEX('Game Records'!$U:$U,$H36)&lt;&gt;"Subscription",INDEX('Game Records'!$U:$U,$H36)&lt;&gt;"Free Game",INDEX('Game Records'!$U:$U,$H36)&lt;&gt;"Disqualified — Free Game",OR(INDEX('Game Records'!$E:$E,$H36)="",LOWER(INDEX('Game Records'!$E:$E,$H36)&amp;"")="n/a")),"Game Type; ","")&amp;IF(INDEX('Game Records'!$F:$F,$H36)="","Payment Type; ","")&amp;IF(AND(INDEX('Game Records'!$U:$U,$H36)&lt;&gt;"Subscription",INDEX('Game Records'!$U:$U,$H36)&lt;&gt;"Free Game",INDEX('Game Records'!$U:$U,$H36)&lt;&gt;"Disqualified — Free Game",INDEX('Game Records'!$G:$G,$H36)=""),"Gross Pot; ","")&amp;IF(AND(INDEX('Game Records'!$U:$U,$H36)&lt;&gt;"Free Game",INDEX('Game Records'!$U:$U,$H36)&lt;&gt;"Disqualified — Free Game",INDEX('Game Records'!$H:$H,$H36)=""),"Entry Fee; ","")&amp;IF(AND(INDEX('Game Records'!$U:$U,$H36)&lt;&gt;"Subscription",INDEX('Game Records'!$U:$U,$H36)&lt;&gt;"Free Game",INDEX('Game Records'!$U:$U,$H36)&lt;&gt;"Disqualified — Free Game",INDEX('Game Records'!$I:$I,$H36)=""),"Eligible Players; ","")&amp;IF(AND(INDEX('Game Records'!$U:$U,$H36)&lt;&gt;"Subscription",INDEX('Game Records'!$U:$U,$H36)&lt;&gt;"Free Game",INDEX('Game Records'!$U:$U,$H36)&lt;&gt;"Disqualified — Free Game",INDEX('Game Records'!$J:$J,$H36)=""),"Total Players; ","")&amp;IF(AND(LOWER(INDEX('Game Records'!$D:$D,$H36)&amp;"")="finalized",LOWER(INDEX('Game Records'!$L:$L,$H36)&amp;"")&lt;&gt;"yes",INDEX('Game Records'!$U:$U,$H36)&lt;&gt;"Subscription",INDEX('Game Records'!$U:$U,$H36)&lt;&gt;"Free Game",INDEX('Game Records'!$U:$U,$H36)&lt;&gt;"Disqualified — Free Game",INDEX('Game Records'!$K:$K,$H36)=""),"Final Payout; ","")&amp;IF(AND(LOWER(INDEX('Game Records'!$D:$D,$H36)&amp;"")="finalized",INDEX('Game Records'!$U:$U,$H36)&lt;&gt;"Subscription",INDEX('Game Records'!$U:$U,$H36)&lt;&gt;"Free Game",INDEX('Game Records'!$U:$U,$H36)&lt;&gt;"Disqualified — Free Game",OR(INDEX('Game Records'!$L:$L,$H36)="",LOWER(INDEX('Game Records'!$L:$L,$H36)&amp;"")="n/a")),"Disqualified Status; ",""))</f>
        <v/>
      </c>
      <c r="G36" s="25" t="str">
        <f t="array" ref="G36">IF($H36="","",IFERROR(INDEX('Game Records'!$M:$M,$H36),""))</f>
        <v/>
      </c>
      <c r="H36" s="8"/>
      <c r="I36" s="8"/>
      <c r="J36" s="8"/>
    </row>
    <row r="37" ht="24.0" customHeight="1">
      <c r="A37" s="21" t="str">
        <f t="shared" si="1"/>
        <v/>
      </c>
      <c r="B37" s="21" t="str">
        <f t="shared" si="2"/>
        <v/>
      </c>
      <c r="C37" s="25" t="str">
        <f t="array" ref="C37">IF($H37="","",IFERROR(INDEX('Game Records'!$A:$A,$H37),""))</f>
        <v/>
      </c>
      <c r="D37" s="25" t="str">
        <f t="array" ref="D37">IF($H37="","",IFERROR(INDEX('Game Records'!$U:$U,$H37),""))</f>
        <v/>
      </c>
      <c r="E37" s="25" t="str">
        <f t="shared" si="3"/>
        <v/>
      </c>
      <c r="F37" s="25" t="str">
        <f t="array" ref="F37">IF($H37="","",IF(OR(NOT(_xlfn.ISFORMULA(INDEX('Game Records'!$N:$N,$H37))),NOT(_xlfn.ISFORMULA(INDEX('Game Records'!$O:$O,$H37))),NOT(_xlfn.ISFORMULA(INDEX('Game Records'!$P:$P,$H37))),NOT(_xlfn.ISFORMULA(INDEX('Game Records'!$Q:$Q,$H37))),NOT(_xlfn.ISFORMULA(INDEX('Game Records'!$R:$R,$H37))),NOT(_xlfn.ISFORMULA(INDEX('Game Records'!$S:$S,$H37))),NOT(_xlfn.ISFORMULA(INDEX('Game Records'!$T:$T,$H37))),NOT(_xlfn.ISFORMULA(INDEX('Game Records'!$U:$U,$H37))),NOT(_xlfn.ISFORMULA(INDEX('Game Records'!$V:$V,$H37))),NOT(_xlfn.ISFORMULA(INDEX('Game Records'!$W:$W,$H37))),NOT(_xlfn.ISFORMULA(INDEX('Game Records'!$X:$X,$H37))),NOT(_xlfn.ISFORMULA(INDEX('Game Records'!$Y:$Y,$H37))),NOT(_xlfn.ISFORMULA(INDEX('Game Records'!$Z:$Z,$H37)))),"","")&amp;IF(INDEX('Game Records'!$B:$B,$H37)="","Start Date; ","")&amp;IF(INDEX('Game Records'!$C:$C,$H37)="","End Date; ","")&amp;IF(AND(INDEX('Game Records'!$U:$U,$H37)&lt;&gt;"Subscription",INDEX('Game Records'!$U:$U,$H37)&lt;&gt;"Free Game",INDEX('Game Records'!$U:$U,$H37)&lt;&gt;"Disqualified — Free Game",OR(INDEX('Game Records'!$D:$D,$H37)="",LOWER(INDEX('Game Records'!$D:$D,$H37)&amp;"")="n/a")),"Entry Mode; ","")&amp;IF(AND(INDEX('Game Records'!$U:$U,$H37)&lt;&gt;"Subscription",INDEX('Game Records'!$U:$U,$H37)&lt;&gt;"Free Game",INDEX('Game Records'!$U:$U,$H37)&lt;&gt;"Disqualified — Free Game",OR(INDEX('Game Records'!$E:$E,$H37)="",LOWER(INDEX('Game Records'!$E:$E,$H37)&amp;"")="n/a")),"Game Type; ","")&amp;IF(INDEX('Game Records'!$F:$F,$H37)="","Payment Type; ","")&amp;IF(AND(INDEX('Game Records'!$U:$U,$H37)&lt;&gt;"Subscription",INDEX('Game Records'!$U:$U,$H37)&lt;&gt;"Free Game",INDEX('Game Records'!$U:$U,$H37)&lt;&gt;"Disqualified — Free Game",INDEX('Game Records'!$G:$G,$H37)=""),"Gross Pot; ","")&amp;IF(AND(INDEX('Game Records'!$U:$U,$H37)&lt;&gt;"Free Game",INDEX('Game Records'!$U:$U,$H37)&lt;&gt;"Disqualified — Free Game",INDEX('Game Records'!$H:$H,$H37)=""),"Entry Fee; ","")&amp;IF(AND(INDEX('Game Records'!$U:$U,$H37)&lt;&gt;"Subscription",INDEX('Game Records'!$U:$U,$H37)&lt;&gt;"Free Game",INDEX('Game Records'!$U:$U,$H37)&lt;&gt;"Disqualified — Free Game",INDEX('Game Records'!$I:$I,$H37)=""),"Eligible Players; ","")&amp;IF(AND(INDEX('Game Records'!$U:$U,$H37)&lt;&gt;"Subscription",INDEX('Game Records'!$U:$U,$H37)&lt;&gt;"Free Game",INDEX('Game Records'!$U:$U,$H37)&lt;&gt;"Disqualified — Free Game",INDEX('Game Records'!$J:$J,$H37)=""),"Total Players; ","")&amp;IF(AND(LOWER(INDEX('Game Records'!$D:$D,$H37)&amp;"")="finalized",LOWER(INDEX('Game Records'!$L:$L,$H37)&amp;"")&lt;&gt;"yes",INDEX('Game Records'!$U:$U,$H37)&lt;&gt;"Subscription",INDEX('Game Records'!$U:$U,$H37)&lt;&gt;"Free Game",INDEX('Game Records'!$U:$U,$H37)&lt;&gt;"Disqualified — Free Game",INDEX('Game Records'!$K:$K,$H37)=""),"Final Payout; ","")&amp;IF(AND(LOWER(INDEX('Game Records'!$D:$D,$H37)&amp;"")="finalized",INDEX('Game Records'!$U:$U,$H37)&lt;&gt;"Subscription",INDEX('Game Records'!$U:$U,$H37)&lt;&gt;"Free Game",INDEX('Game Records'!$U:$U,$H37)&lt;&gt;"Disqualified — Free Game",OR(INDEX('Game Records'!$L:$L,$H37)="",LOWER(INDEX('Game Records'!$L:$L,$H37)&amp;"")="n/a")),"Disqualified Status; ",""))</f>
        <v/>
      </c>
      <c r="G37" s="25" t="str">
        <f t="array" ref="G37">IF($H37="","",IFERROR(INDEX('Game Records'!$M:$M,$H37),""))</f>
        <v/>
      </c>
      <c r="H37" s="8"/>
      <c r="I37" s="8"/>
      <c r="J37" s="8"/>
    </row>
    <row r="38" ht="24.0" customHeight="1">
      <c r="A38" s="21" t="str">
        <f t="shared" si="1"/>
        <v/>
      </c>
      <c r="B38" s="21" t="str">
        <f t="shared" si="2"/>
        <v/>
      </c>
      <c r="C38" s="25" t="str">
        <f t="array" ref="C38">IF($H38="","",IFERROR(INDEX('Game Records'!$A:$A,$H38),""))</f>
        <v/>
      </c>
      <c r="D38" s="25" t="str">
        <f t="array" ref="D38">IF($H38="","",IFERROR(INDEX('Game Records'!$U:$U,$H38),""))</f>
        <v/>
      </c>
      <c r="E38" s="25" t="str">
        <f t="shared" si="3"/>
        <v/>
      </c>
      <c r="F38" s="25" t="str">
        <f t="array" ref="F38">IF($H38="","",IF(OR(NOT(_xlfn.ISFORMULA(INDEX('Game Records'!$N:$N,$H38))),NOT(_xlfn.ISFORMULA(INDEX('Game Records'!$O:$O,$H38))),NOT(_xlfn.ISFORMULA(INDEX('Game Records'!$P:$P,$H38))),NOT(_xlfn.ISFORMULA(INDEX('Game Records'!$Q:$Q,$H38))),NOT(_xlfn.ISFORMULA(INDEX('Game Records'!$R:$R,$H38))),NOT(_xlfn.ISFORMULA(INDEX('Game Records'!$S:$S,$H38))),NOT(_xlfn.ISFORMULA(INDEX('Game Records'!$T:$T,$H38))),NOT(_xlfn.ISFORMULA(INDEX('Game Records'!$U:$U,$H38))),NOT(_xlfn.ISFORMULA(INDEX('Game Records'!$V:$V,$H38))),NOT(_xlfn.ISFORMULA(INDEX('Game Records'!$W:$W,$H38))),NOT(_xlfn.ISFORMULA(INDEX('Game Records'!$X:$X,$H38))),NOT(_xlfn.ISFORMULA(INDEX('Game Records'!$Y:$Y,$H38))),NOT(_xlfn.ISFORMULA(INDEX('Game Records'!$Z:$Z,$H38)))),"","")&amp;IF(INDEX('Game Records'!$B:$B,$H38)="","Start Date; ","")&amp;IF(INDEX('Game Records'!$C:$C,$H38)="","End Date; ","")&amp;IF(AND(INDEX('Game Records'!$U:$U,$H38)&lt;&gt;"Subscription",INDEX('Game Records'!$U:$U,$H38)&lt;&gt;"Free Game",INDEX('Game Records'!$U:$U,$H38)&lt;&gt;"Disqualified — Free Game",OR(INDEX('Game Records'!$D:$D,$H38)="",LOWER(INDEX('Game Records'!$D:$D,$H38)&amp;"")="n/a")),"Entry Mode; ","")&amp;IF(AND(INDEX('Game Records'!$U:$U,$H38)&lt;&gt;"Subscription",INDEX('Game Records'!$U:$U,$H38)&lt;&gt;"Free Game",INDEX('Game Records'!$U:$U,$H38)&lt;&gt;"Disqualified — Free Game",OR(INDEX('Game Records'!$E:$E,$H38)="",LOWER(INDEX('Game Records'!$E:$E,$H38)&amp;"")="n/a")),"Game Type; ","")&amp;IF(INDEX('Game Records'!$F:$F,$H38)="","Payment Type; ","")&amp;IF(AND(INDEX('Game Records'!$U:$U,$H38)&lt;&gt;"Subscription",INDEX('Game Records'!$U:$U,$H38)&lt;&gt;"Free Game",INDEX('Game Records'!$U:$U,$H38)&lt;&gt;"Disqualified — Free Game",INDEX('Game Records'!$G:$G,$H38)=""),"Gross Pot; ","")&amp;IF(AND(INDEX('Game Records'!$U:$U,$H38)&lt;&gt;"Free Game",INDEX('Game Records'!$U:$U,$H38)&lt;&gt;"Disqualified — Free Game",INDEX('Game Records'!$H:$H,$H38)=""),"Entry Fee; ","")&amp;IF(AND(INDEX('Game Records'!$U:$U,$H38)&lt;&gt;"Subscription",INDEX('Game Records'!$U:$U,$H38)&lt;&gt;"Free Game",INDEX('Game Records'!$U:$U,$H38)&lt;&gt;"Disqualified — Free Game",INDEX('Game Records'!$I:$I,$H38)=""),"Eligible Players; ","")&amp;IF(AND(INDEX('Game Records'!$U:$U,$H38)&lt;&gt;"Subscription",INDEX('Game Records'!$U:$U,$H38)&lt;&gt;"Free Game",INDEX('Game Records'!$U:$U,$H38)&lt;&gt;"Disqualified — Free Game",INDEX('Game Records'!$J:$J,$H38)=""),"Total Players; ","")&amp;IF(AND(LOWER(INDEX('Game Records'!$D:$D,$H38)&amp;"")="finalized",LOWER(INDEX('Game Records'!$L:$L,$H38)&amp;"")&lt;&gt;"yes",INDEX('Game Records'!$U:$U,$H38)&lt;&gt;"Subscription",INDEX('Game Records'!$U:$U,$H38)&lt;&gt;"Free Game",INDEX('Game Records'!$U:$U,$H38)&lt;&gt;"Disqualified — Free Game",INDEX('Game Records'!$K:$K,$H38)=""),"Final Payout; ","")&amp;IF(AND(LOWER(INDEX('Game Records'!$D:$D,$H38)&amp;"")="finalized",INDEX('Game Records'!$U:$U,$H38)&lt;&gt;"Subscription",INDEX('Game Records'!$U:$U,$H38)&lt;&gt;"Free Game",INDEX('Game Records'!$U:$U,$H38)&lt;&gt;"Disqualified — Free Game",OR(INDEX('Game Records'!$L:$L,$H38)="",LOWER(INDEX('Game Records'!$L:$L,$H38)&amp;"")="n/a")),"Disqualified Status; ",""))</f>
        <v/>
      </c>
      <c r="G38" s="25" t="str">
        <f t="array" ref="G38">IF($H38="","",IFERROR(INDEX('Game Records'!$M:$M,$H38),""))</f>
        <v/>
      </c>
      <c r="H38" s="8"/>
      <c r="I38" s="8"/>
      <c r="J38" s="8"/>
    </row>
    <row r="39" ht="24.0" customHeight="1">
      <c r="A39" s="21" t="str">
        <f t="shared" si="1"/>
        <v/>
      </c>
      <c r="B39" s="21" t="str">
        <f t="shared" si="2"/>
        <v/>
      </c>
      <c r="C39" s="25" t="str">
        <f t="array" ref="C39">IF($H39="","",IFERROR(INDEX('Game Records'!$A:$A,$H39),""))</f>
        <v/>
      </c>
      <c r="D39" s="25" t="str">
        <f t="array" ref="D39">IF($H39="","",IFERROR(INDEX('Game Records'!$U:$U,$H39),""))</f>
        <v/>
      </c>
      <c r="E39" s="25" t="str">
        <f t="shared" si="3"/>
        <v/>
      </c>
      <c r="F39" s="25" t="str">
        <f t="array" ref="F39">IF($H39="","",IF(OR(NOT(_xlfn.ISFORMULA(INDEX('Game Records'!$N:$N,$H39))),NOT(_xlfn.ISFORMULA(INDEX('Game Records'!$O:$O,$H39))),NOT(_xlfn.ISFORMULA(INDEX('Game Records'!$P:$P,$H39))),NOT(_xlfn.ISFORMULA(INDEX('Game Records'!$Q:$Q,$H39))),NOT(_xlfn.ISFORMULA(INDEX('Game Records'!$R:$R,$H39))),NOT(_xlfn.ISFORMULA(INDEX('Game Records'!$S:$S,$H39))),NOT(_xlfn.ISFORMULA(INDEX('Game Records'!$T:$T,$H39))),NOT(_xlfn.ISFORMULA(INDEX('Game Records'!$U:$U,$H39))),NOT(_xlfn.ISFORMULA(INDEX('Game Records'!$V:$V,$H39))),NOT(_xlfn.ISFORMULA(INDEX('Game Records'!$W:$W,$H39))),NOT(_xlfn.ISFORMULA(INDEX('Game Records'!$X:$X,$H39))),NOT(_xlfn.ISFORMULA(INDEX('Game Records'!$Y:$Y,$H39))),NOT(_xlfn.ISFORMULA(INDEX('Game Records'!$Z:$Z,$H39)))),"","")&amp;IF(INDEX('Game Records'!$B:$B,$H39)="","Start Date; ","")&amp;IF(INDEX('Game Records'!$C:$C,$H39)="","End Date; ","")&amp;IF(AND(INDEX('Game Records'!$U:$U,$H39)&lt;&gt;"Subscription",INDEX('Game Records'!$U:$U,$H39)&lt;&gt;"Free Game",INDEX('Game Records'!$U:$U,$H39)&lt;&gt;"Disqualified — Free Game",OR(INDEX('Game Records'!$D:$D,$H39)="",LOWER(INDEX('Game Records'!$D:$D,$H39)&amp;"")="n/a")),"Entry Mode; ","")&amp;IF(AND(INDEX('Game Records'!$U:$U,$H39)&lt;&gt;"Subscription",INDEX('Game Records'!$U:$U,$H39)&lt;&gt;"Free Game",INDEX('Game Records'!$U:$U,$H39)&lt;&gt;"Disqualified — Free Game",OR(INDEX('Game Records'!$E:$E,$H39)="",LOWER(INDEX('Game Records'!$E:$E,$H39)&amp;"")="n/a")),"Game Type; ","")&amp;IF(INDEX('Game Records'!$F:$F,$H39)="","Payment Type; ","")&amp;IF(AND(INDEX('Game Records'!$U:$U,$H39)&lt;&gt;"Subscription",INDEX('Game Records'!$U:$U,$H39)&lt;&gt;"Free Game",INDEX('Game Records'!$U:$U,$H39)&lt;&gt;"Disqualified — Free Game",INDEX('Game Records'!$G:$G,$H39)=""),"Gross Pot; ","")&amp;IF(AND(INDEX('Game Records'!$U:$U,$H39)&lt;&gt;"Free Game",INDEX('Game Records'!$U:$U,$H39)&lt;&gt;"Disqualified — Free Game",INDEX('Game Records'!$H:$H,$H39)=""),"Entry Fee; ","")&amp;IF(AND(INDEX('Game Records'!$U:$U,$H39)&lt;&gt;"Subscription",INDEX('Game Records'!$U:$U,$H39)&lt;&gt;"Free Game",INDEX('Game Records'!$U:$U,$H39)&lt;&gt;"Disqualified — Free Game",INDEX('Game Records'!$I:$I,$H39)=""),"Eligible Players; ","")&amp;IF(AND(INDEX('Game Records'!$U:$U,$H39)&lt;&gt;"Subscription",INDEX('Game Records'!$U:$U,$H39)&lt;&gt;"Free Game",INDEX('Game Records'!$U:$U,$H39)&lt;&gt;"Disqualified — Free Game",INDEX('Game Records'!$J:$J,$H39)=""),"Total Players; ","")&amp;IF(AND(LOWER(INDEX('Game Records'!$D:$D,$H39)&amp;"")="finalized",LOWER(INDEX('Game Records'!$L:$L,$H39)&amp;"")&lt;&gt;"yes",INDEX('Game Records'!$U:$U,$H39)&lt;&gt;"Subscription",INDEX('Game Records'!$U:$U,$H39)&lt;&gt;"Free Game",INDEX('Game Records'!$U:$U,$H39)&lt;&gt;"Disqualified — Free Game",INDEX('Game Records'!$K:$K,$H39)=""),"Final Payout; ","")&amp;IF(AND(LOWER(INDEX('Game Records'!$D:$D,$H39)&amp;"")="finalized",INDEX('Game Records'!$U:$U,$H39)&lt;&gt;"Subscription",INDEX('Game Records'!$U:$U,$H39)&lt;&gt;"Free Game",INDEX('Game Records'!$U:$U,$H39)&lt;&gt;"Disqualified — Free Game",OR(INDEX('Game Records'!$L:$L,$H39)="",LOWER(INDEX('Game Records'!$L:$L,$H39)&amp;"")="n/a")),"Disqualified Status; ",""))</f>
        <v/>
      </c>
      <c r="G39" s="25" t="str">
        <f t="array" ref="G39">IF($H39="","",IFERROR(INDEX('Game Records'!$M:$M,$H39),""))</f>
        <v/>
      </c>
      <c r="H39" s="8"/>
      <c r="I39" s="8"/>
      <c r="J39" s="8"/>
    </row>
    <row r="40" ht="24.0" customHeight="1">
      <c r="A40" s="21" t="str">
        <f t="shared" si="1"/>
        <v/>
      </c>
      <c r="B40" s="21" t="str">
        <f t="shared" si="2"/>
        <v/>
      </c>
      <c r="C40" s="25" t="str">
        <f t="array" ref="C40">IF($H40="","",IFERROR(INDEX('Game Records'!$A:$A,$H40),""))</f>
        <v/>
      </c>
      <c r="D40" s="25" t="str">
        <f t="array" ref="D40">IF($H40="","",IFERROR(INDEX('Game Records'!$U:$U,$H40),""))</f>
        <v/>
      </c>
      <c r="E40" s="25" t="str">
        <f t="shared" si="3"/>
        <v/>
      </c>
      <c r="F40" s="25" t="str">
        <f t="array" ref="F40">IF($H40="","",IF(OR(NOT(_xlfn.ISFORMULA(INDEX('Game Records'!$N:$N,$H40))),NOT(_xlfn.ISFORMULA(INDEX('Game Records'!$O:$O,$H40))),NOT(_xlfn.ISFORMULA(INDEX('Game Records'!$P:$P,$H40))),NOT(_xlfn.ISFORMULA(INDEX('Game Records'!$Q:$Q,$H40))),NOT(_xlfn.ISFORMULA(INDEX('Game Records'!$R:$R,$H40))),NOT(_xlfn.ISFORMULA(INDEX('Game Records'!$S:$S,$H40))),NOT(_xlfn.ISFORMULA(INDEX('Game Records'!$T:$T,$H40))),NOT(_xlfn.ISFORMULA(INDEX('Game Records'!$U:$U,$H40))),NOT(_xlfn.ISFORMULA(INDEX('Game Records'!$V:$V,$H40))),NOT(_xlfn.ISFORMULA(INDEX('Game Records'!$W:$W,$H40))),NOT(_xlfn.ISFORMULA(INDEX('Game Records'!$X:$X,$H40))),NOT(_xlfn.ISFORMULA(INDEX('Game Records'!$Y:$Y,$H40))),NOT(_xlfn.ISFORMULA(INDEX('Game Records'!$Z:$Z,$H40)))),"","")&amp;IF(INDEX('Game Records'!$B:$B,$H40)="","Start Date; ","")&amp;IF(INDEX('Game Records'!$C:$C,$H40)="","End Date; ","")&amp;IF(AND(INDEX('Game Records'!$U:$U,$H40)&lt;&gt;"Subscription",INDEX('Game Records'!$U:$U,$H40)&lt;&gt;"Free Game",INDEX('Game Records'!$U:$U,$H40)&lt;&gt;"Disqualified — Free Game",OR(INDEX('Game Records'!$D:$D,$H40)="",LOWER(INDEX('Game Records'!$D:$D,$H40)&amp;"")="n/a")),"Entry Mode; ","")&amp;IF(AND(INDEX('Game Records'!$U:$U,$H40)&lt;&gt;"Subscription",INDEX('Game Records'!$U:$U,$H40)&lt;&gt;"Free Game",INDEX('Game Records'!$U:$U,$H40)&lt;&gt;"Disqualified — Free Game",OR(INDEX('Game Records'!$E:$E,$H40)="",LOWER(INDEX('Game Records'!$E:$E,$H40)&amp;"")="n/a")),"Game Type; ","")&amp;IF(INDEX('Game Records'!$F:$F,$H40)="","Payment Type; ","")&amp;IF(AND(INDEX('Game Records'!$U:$U,$H40)&lt;&gt;"Subscription",INDEX('Game Records'!$U:$U,$H40)&lt;&gt;"Free Game",INDEX('Game Records'!$U:$U,$H40)&lt;&gt;"Disqualified — Free Game",INDEX('Game Records'!$G:$G,$H40)=""),"Gross Pot; ","")&amp;IF(AND(INDEX('Game Records'!$U:$U,$H40)&lt;&gt;"Free Game",INDEX('Game Records'!$U:$U,$H40)&lt;&gt;"Disqualified — Free Game",INDEX('Game Records'!$H:$H,$H40)=""),"Entry Fee; ","")&amp;IF(AND(INDEX('Game Records'!$U:$U,$H40)&lt;&gt;"Subscription",INDEX('Game Records'!$U:$U,$H40)&lt;&gt;"Free Game",INDEX('Game Records'!$U:$U,$H40)&lt;&gt;"Disqualified — Free Game",INDEX('Game Records'!$I:$I,$H40)=""),"Eligible Players; ","")&amp;IF(AND(INDEX('Game Records'!$U:$U,$H40)&lt;&gt;"Subscription",INDEX('Game Records'!$U:$U,$H40)&lt;&gt;"Free Game",INDEX('Game Records'!$U:$U,$H40)&lt;&gt;"Disqualified — Free Game",INDEX('Game Records'!$J:$J,$H40)=""),"Total Players; ","")&amp;IF(AND(LOWER(INDEX('Game Records'!$D:$D,$H40)&amp;"")="finalized",LOWER(INDEX('Game Records'!$L:$L,$H40)&amp;"")&lt;&gt;"yes",INDEX('Game Records'!$U:$U,$H40)&lt;&gt;"Subscription",INDEX('Game Records'!$U:$U,$H40)&lt;&gt;"Free Game",INDEX('Game Records'!$U:$U,$H40)&lt;&gt;"Disqualified — Free Game",INDEX('Game Records'!$K:$K,$H40)=""),"Final Payout; ","")&amp;IF(AND(LOWER(INDEX('Game Records'!$D:$D,$H40)&amp;"")="finalized",INDEX('Game Records'!$U:$U,$H40)&lt;&gt;"Subscription",INDEX('Game Records'!$U:$U,$H40)&lt;&gt;"Free Game",INDEX('Game Records'!$U:$U,$H40)&lt;&gt;"Disqualified — Free Game",OR(INDEX('Game Records'!$L:$L,$H40)="",LOWER(INDEX('Game Records'!$L:$L,$H40)&amp;"")="n/a")),"Disqualified Status; ",""))</f>
        <v/>
      </c>
      <c r="G40" s="25" t="str">
        <f t="array" ref="G40">IF($H40="","",IFERROR(INDEX('Game Records'!$M:$M,$H40),""))</f>
        <v/>
      </c>
      <c r="H40" s="8"/>
      <c r="I40" s="8"/>
      <c r="J40" s="8"/>
    </row>
    <row r="41" ht="24.0" customHeight="1">
      <c r="A41" s="21" t="str">
        <f t="shared" si="1"/>
        <v/>
      </c>
      <c r="B41" s="21" t="str">
        <f t="shared" si="2"/>
        <v/>
      </c>
      <c r="C41" s="25" t="str">
        <f t="array" ref="C41">IF($H41="","",IFERROR(INDEX('Game Records'!$A:$A,$H41),""))</f>
        <v/>
      </c>
      <c r="D41" s="25" t="str">
        <f t="array" ref="D41">IF($H41="","",IFERROR(INDEX('Game Records'!$U:$U,$H41),""))</f>
        <v/>
      </c>
      <c r="E41" s="25" t="str">
        <f t="shared" si="3"/>
        <v/>
      </c>
      <c r="F41" s="25" t="str">
        <f t="array" ref="F41">IF($H41="","",IF(OR(NOT(_xlfn.ISFORMULA(INDEX('Game Records'!$N:$N,$H41))),NOT(_xlfn.ISFORMULA(INDEX('Game Records'!$O:$O,$H41))),NOT(_xlfn.ISFORMULA(INDEX('Game Records'!$P:$P,$H41))),NOT(_xlfn.ISFORMULA(INDEX('Game Records'!$Q:$Q,$H41))),NOT(_xlfn.ISFORMULA(INDEX('Game Records'!$R:$R,$H41))),NOT(_xlfn.ISFORMULA(INDEX('Game Records'!$S:$S,$H41))),NOT(_xlfn.ISFORMULA(INDEX('Game Records'!$T:$T,$H41))),NOT(_xlfn.ISFORMULA(INDEX('Game Records'!$U:$U,$H41))),NOT(_xlfn.ISFORMULA(INDEX('Game Records'!$V:$V,$H41))),NOT(_xlfn.ISFORMULA(INDEX('Game Records'!$W:$W,$H41))),NOT(_xlfn.ISFORMULA(INDEX('Game Records'!$X:$X,$H41))),NOT(_xlfn.ISFORMULA(INDEX('Game Records'!$Y:$Y,$H41))),NOT(_xlfn.ISFORMULA(INDEX('Game Records'!$Z:$Z,$H41)))),"","")&amp;IF(INDEX('Game Records'!$B:$B,$H41)="","Start Date; ","")&amp;IF(INDEX('Game Records'!$C:$C,$H41)="","End Date; ","")&amp;IF(AND(INDEX('Game Records'!$U:$U,$H41)&lt;&gt;"Subscription",INDEX('Game Records'!$U:$U,$H41)&lt;&gt;"Free Game",INDEX('Game Records'!$U:$U,$H41)&lt;&gt;"Disqualified — Free Game",OR(INDEX('Game Records'!$D:$D,$H41)="",LOWER(INDEX('Game Records'!$D:$D,$H41)&amp;"")="n/a")),"Entry Mode; ","")&amp;IF(AND(INDEX('Game Records'!$U:$U,$H41)&lt;&gt;"Subscription",INDEX('Game Records'!$U:$U,$H41)&lt;&gt;"Free Game",INDEX('Game Records'!$U:$U,$H41)&lt;&gt;"Disqualified — Free Game",OR(INDEX('Game Records'!$E:$E,$H41)="",LOWER(INDEX('Game Records'!$E:$E,$H41)&amp;"")="n/a")),"Game Type; ","")&amp;IF(INDEX('Game Records'!$F:$F,$H41)="","Payment Type; ","")&amp;IF(AND(INDEX('Game Records'!$U:$U,$H41)&lt;&gt;"Subscription",INDEX('Game Records'!$U:$U,$H41)&lt;&gt;"Free Game",INDEX('Game Records'!$U:$U,$H41)&lt;&gt;"Disqualified — Free Game",INDEX('Game Records'!$G:$G,$H41)=""),"Gross Pot; ","")&amp;IF(AND(INDEX('Game Records'!$U:$U,$H41)&lt;&gt;"Free Game",INDEX('Game Records'!$U:$U,$H41)&lt;&gt;"Disqualified — Free Game",INDEX('Game Records'!$H:$H,$H41)=""),"Entry Fee; ","")&amp;IF(AND(INDEX('Game Records'!$U:$U,$H41)&lt;&gt;"Subscription",INDEX('Game Records'!$U:$U,$H41)&lt;&gt;"Free Game",INDEX('Game Records'!$U:$U,$H41)&lt;&gt;"Disqualified — Free Game",INDEX('Game Records'!$I:$I,$H41)=""),"Eligible Players; ","")&amp;IF(AND(INDEX('Game Records'!$U:$U,$H41)&lt;&gt;"Subscription",INDEX('Game Records'!$U:$U,$H41)&lt;&gt;"Free Game",INDEX('Game Records'!$U:$U,$H41)&lt;&gt;"Disqualified — Free Game",INDEX('Game Records'!$J:$J,$H41)=""),"Total Players; ","")&amp;IF(AND(LOWER(INDEX('Game Records'!$D:$D,$H41)&amp;"")="finalized",LOWER(INDEX('Game Records'!$L:$L,$H41)&amp;"")&lt;&gt;"yes",INDEX('Game Records'!$U:$U,$H41)&lt;&gt;"Subscription",INDEX('Game Records'!$U:$U,$H41)&lt;&gt;"Free Game",INDEX('Game Records'!$U:$U,$H41)&lt;&gt;"Disqualified — Free Game",INDEX('Game Records'!$K:$K,$H41)=""),"Final Payout; ","")&amp;IF(AND(LOWER(INDEX('Game Records'!$D:$D,$H41)&amp;"")="finalized",INDEX('Game Records'!$U:$U,$H41)&lt;&gt;"Subscription",INDEX('Game Records'!$U:$U,$H41)&lt;&gt;"Free Game",INDEX('Game Records'!$U:$U,$H41)&lt;&gt;"Disqualified — Free Game",OR(INDEX('Game Records'!$L:$L,$H41)="",LOWER(INDEX('Game Records'!$L:$L,$H41)&amp;"")="n/a")),"Disqualified Status; ",""))</f>
        <v/>
      </c>
      <c r="G41" s="25" t="str">
        <f t="array" ref="G41">IF($H41="","",IFERROR(INDEX('Game Records'!$M:$M,$H41),""))</f>
        <v/>
      </c>
      <c r="H41" s="8"/>
      <c r="I41" s="8"/>
      <c r="J41" s="8"/>
    </row>
    <row r="42" ht="24.0" customHeight="1">
      <c r="A42" s="21" t="str">
        <f t="shared" si="1"/>
        <v/>
      </c>
      <c r="B42" s="21" t="str">
        <f t="shared" si="2"/>
        <v/>
      </c>
      <c r="C42" s="25" t="str">
        <f t="array" ref="C42">IF($H42="","",IFERROR(INDEX('Game Records'!$A:$A,$H42),""))</f>
        <v/>
      </c>
      <c r="D42" s="25" t="str">
        <f t="array" ref="D42">IF($H42="","",IFERROR(INDEX('Game Records'!$U:$U,$H42),""))</f>
        <v/>
      </c>
      <c r="E42" s="25" t="str">
        <f t="shared" si="3"/>
        <v/>
      </c>
      <c r="F42" s="25" t="str">
        <f t="array" ref="F42">IF($H42="","",IF(OR(NOT(_xlfn.ISFORMULA(INDEX('Game Records'!$N:$N,$H42))),NOT(_xlfn.ISFORMULA(INDEX('Game Records'!$O:$O,$H42))),NOT(_xlfn.ISFORMULA(INDEX('Game Records'!$P:$P,$H42))),NOT(_xlfn.ISFORMULA(INDEX('Game Records'!$Q:$Q,$H42))),NOT(_xlfn.ISFORMULA(INDEX('Game Records'!$R:$R,$H42))),NOT(_xlfn.ISFORMULA(INDEX('Game Records'!$S:$S,$H42))),NOT(_xlfn.ISFORMULA(INDEX('Game Records'!$T:$T,$H42))),NOT(_xlfn.ISFORMULA(INDEX('Game Records'!$U:$U,$H42))),NOT(_xlfn.ISFORMULA(INDEX('Game Records'!$V:$V,$H42))),NOT(_xlfn.ISFORMULA(INDEX('Game Records'!$W:$W,$H42))),NOT(_xlfn.ISFORMULA(INDEX('Game Records'!$X:$X,$H42))),NOT(_xlfn.ISFORMULA(INDEX('Game Records'!$Y:$Y,$H42))),NOT(_xlfn.ISFORMULA(INDEX('Game Records'!$Z:$Z,$H42)))),"","")&amp;IF(INDEX('Game Records'!$B:$B,$H42)="","Start Date; ","")&amp;IF(INDEX('Game Records'!$C:$C,$H42)="","End Date; ","")&amp;IF(AND(INDEX('Game Records'!$U:$U,$H42)&lt;&gt;"Subscription",INDEX('Game Records'!$U:$U,$H42)&lt;&gt;"Free Game",INDEX('Game Records'!$U:$U,$H42)&lt;&gt;"Disqualified — Free Game",OR(INDEX('Game Records'!$D:$D,$H42)="",LOWER(INDEX('Game Records'!$D:$D,$H42)&amp;"")="n/a")),"Entry Mode; ","")&amp;IF(AND(INDEX('Game Records'!$U:$U,$H42)&lt;&gt;"Subscription",INDEX('Game Records'!$U:$U,$H42)&lt;&gt;"Free Game",INDEX('Game Records'!$U:$U,$H42)&lt;&gt;"Disqualified — Free Game",OR(INDEX('Game Records'!$E:$E,$H42)="",LOWER(INDEX('Game Records'!$E:$E,$H42)&amp;"")="n/a")),"Game Type; ","")&amp;IF(INDEX('Game Records'!$F:$F,$H42)="","Payment Type; ","")&amp;IF(AND(INDEX('Game Records'!$U:$U,$H42)&lt;&gt;"Subscription",INDEX('Game Records'!$U:$U,$H42)&lt;&gt;"Free Game",INDEX('Game Records'!$U:$U,$H42)&lt;&gt;"Disqualified — Free Game",INDEX('Game Records'!$G:$G,$H42)=""),"Gross Pot; ","")&amp;IF(AND(INDEX('Game Records'!$U:$U,$H42)&lt;&gt;"Free Game",INDEX('Game Records'!$U:$U,$H42)&lt;&gt;"Disqualified — Free Game",INDEX('Game Records'!$H:$H,$H42)=""),"Entry Fee; ","")&amp;IF(AND(INDEX('Game Records'!$U:$U,$H42)&lt;&gt;"Subscription",INDEX('Game Records'!$U:$U,$H42)&lt;&gt;"Free Game",INDEX('Game Records'!$U:$U,$H42)&lt;&gt;"Disqualified — Free Game",INDEX('Game Records'!$I:$I,$H42)=""),"Eligible Players; ","")&amp;IF(AND(INDEX('Game Records'!$U:$U,$H42)&lt;&gt;"Subscription",INDEX('Game Records'!$U:$U,$H42)&lt;&gt;"Free Game",INDEX('Game Records'!$U:$U,$H42)&lt;&gt;"Disqualified — Free Game",INDEX('Game Records'!$J:$J,$H42)=""),"Total Players; ","")&amp;IF(AND(LOWER(INDEX('Game Records'!$D:$D,$H42)&amp;"")="finalized",LOWER(INDEX('Game Records'!$L:$L,$H42)&amp;"")&lt;&gt;"yes",INDEX('Game Records'!$U:$U,$H42)&lt;&gt;"Subscription",INDEX('Game Records'!$U:$U,$H42)&lt;&gt;"Free Game",INDEX('Game Records'!$U:$U,$H42)&lt;&gt;"Disqualified — Free Game",INDEX('Game Records'!$K:$K,$H42)=""),"Final Payout; ","")&amp;IF(AND(LOWER(INDEX('Game Records'!$D:$D,$H42)&amp;"")="finalized",INDEX('Game Records'!$U:$U,$H42)&lt;&gt;"Subscription",INDEX('Game Records'!$U:$U,$H42)&lt;&gt;"Free Game",INDEX('Game Records'!$U:$U,$H42)&lt;&gt;"Disqualified — Free Game",OR(INDEX('Game Records'!$L:$L,$H42)="",LOWER(INDEX('Game Records'!$L:$L,$H42)&amp;"")="n/a")),"Disqualified Status; ",""))</f>
        <v/>
      </c>
      <c r="G42" s="25" t="str">
        <f t="array" ref="G42">IF($H42="","",IFERROR(INDEX('Game Records'!$M:$M,$H42),""))</f>
        <v/>
      </c>
      <c r="H42" s="8"/>
      <c r="I42" s="8"/>
      <c r="J42" s="8"/>
    </row>
    <row r="43" ht="24.0" customHeight="1">
      <c r="A43" s="21" t="str">
        <f t="shared" si="1"/>
        <v/>
      </c>
      <c r="B43" s="21" t="str">
        <f t="shared" si="2"/>
        <v/>
      </c>
      <c r="C43" s="25" t="str">
        <f t="array" ref="C43">IF($H43="","",IFERROR(INDEX('Game Records'!$A:$A,$H43),""))</f>
        <v/>
      </c>
      <c r="D43" s="25" t="str">
        <f t="array" ref="D43">IF($H43="","",IFERROR(INDEX('Game Records'!$U:$U,$H43),""))</f>
        <v/>
      </c>
      <c r="E43" s="25" t="str">
        <f t="shared" si="3"/>
        <v/>
      </c>
      <c r="F43" s="25" t="str">
        <f t="array" ref="F43">IF($H43="","",IF(OR(NOT(_xlfn.ISFORMULA(INDEX('Game Records'!$N:$N,$H43))),NOT(_xlfn.ISFORMULA(INDEX('Game Records'!$O:$O,$H43))),NOT(_xlfn.ISFORMULA(INDEX('Game Records'!$P:$P,$H43))),NOT(_xlfn.ISFORMULA(INDEX('Game Records'!$Q:$Q,$H43))),NOT(_xlfn.ISFORMULA(INDEX('Game Records'!$R:$R,$H43))),NOT(_xlfn.ISFORMULA(INDEX('Game Records'!$S:$S,$H43))),NOT(_xlfn.ISFORMULA(INDEX('Game Records'!$T:$T,$H43))),NOT(_xlfn.ISFORMULA(INDEX('Game Records'!$U:$U,$H43))),NOT(_xlfn.ISFORMULA(INDEX('Game Records'!$V:$V,$H43))),NOT(_xlfn.ISFORMULA(INDEX('Game Records'!$W:$W,$H43))),NOT(_xlfn.ISFORMULA(INDEX('Game Records'!$X:$X,$H43))),NOT(_xlfn.ISFORMULA(INDEX('Game Records'!$Y:$Y,$H43))),NOT(_xlfn.ISFORMULA(INDEX('Game Records'!$Z:$Z,$H43)))),"","")&amp;IF(INDEX('Game Records'!$B:$B,$H43)="","Start Date; ","")&amp;IF(INDEX('Game Records'!$C:$C,$H43)="","End Date; ","")&amp;IF(AND(INDEX('Game Records'!$U:$U,$H43)&lt;&gt;"Subscription",INDEX('Game Records'!$U:$U,$H43)&lt;&gt;"Free Game",INDEX('Game Records'!$U:$U,$H43)&lt;&gt;"Disqualified — Free Game",OR(INDEX('Game Records'!$D:$D,$H43)="",LOWER(INDEX('Game Records'!$D:$D,$H43)&amp;"")="n/a")),"Entry Mode; ","")&amp;IF(AND(INDEX('Game Records'!$U:$U,$H43)&lt;&gt;"Subscription",INDEX('Game Records'!$U:$U,$H43)&lt;&gt;"Free Game",INDEX('Game Records'!$U:$U,$H43)&lt;&gt;"Disqualified — Free Game",OR(INDEX('Game Records'!$E:$E,$H43)="",LOWER(INDEX('Game Records'!$E:$E,$H43)&amp;"")="n/a")),"Game Type; ","")&amp;IF(INDEX('Game Records'!$F:$F,$H43)="","Payment Type; ","")&amp;IF(AND(INDEX('Game Records'!$U:$U,$H43)&lt;&gt;"Subscription",INDEX('Game Records'!$U:$U,$H43)&lt;&gt;"Free Game",INDEX('Game Records'!$U:$U,$H43)&lt;&gt;"Disqualified — Free Game",INDEX('Game Records'!$G:$G,$H43)=""),"Gross Pot; ","")&amp;IF(AND(INDEX('Game Records'!$U:$U,$H43)&lt;&gt;"Free Game",INDEX('Game Records'!$U:$U,$H43)&lt;&gt;"Disqualified — Free Game",INDEX('Game Records'!$H:$H,$H43)=""),"Entry Fee; ","")&amp;IF(AND(INDEX('Game Records'!$U:$U,$H43)&lt;&gt;"Subscription",INDEX('Game Records'!$U:$U,$H43)&lt;&gt;"Free Game",INDEX('Game Records'!$U:$U,$H43)&lt;&gt;"Disqualified — Free Game",INDEX('Game Records'!$I:$I,$H43)=""),"Eligible Players; ","")&amp;IF(AND(INDEX('Game Records'!$U:$U,$H43)&lt;&gt;"Subscription",INDEX('Game Records'!$U:$U,$H43)&lt;&gt;"Free Game",INDEX('Game Records'!$U:$U,$H43)&lt;&gt;"Disqualified — Free Game",INDEX('Game Records'!$J:$J,$H43)=""),"Total Players; ","")&amp;IF(AND(LOWER(INDEX('Game Records'!$D:$D,$H43)&amp;"")="finalized",LOWER(INDEX('Game Records'!$L:$L,$H43)&amp;"")&lt;&gt;"yes",INDEX('Game Records'!$U:$U,$H43)&lt;&gt;"Subscription",INDEX('Game Records'!$U:$U,$H43)&lt;&gt;"Free Game",INDEX('Game Records'!$U:$U,$H43)&lt;&gt;"Disqualified — Free Game",INDEX('Game Records'!$K:$K,$H43)=""),"Final Payout; ","")&amp;IF(AND(LOWER(INDEX('Game Records'!$D:$D,$H43)&amp;"")="finalized",INDEX('Game Records'!$U:$U,$H43)&lt;&gt;"Subscription",INDEX('Game Records'!$U:$U,$H43)&lt;&gt;"Free Game",INDEX('Game Records'!$U:$U,$H43)&lt;&gt;"Disqualified — Free Game",OR(INDEX('Game Records'!$L:$L,$H43)="",LOWER(INDEX('Game Records'!$L:$L,$H43)&amp;"")="n/a")),"Disqualified Status; ",""))</f>
        <v/>
      </c>
      <c r="G43" s="25" t="str">
        <f t="array" ref="G43">IF($H43="","",IFERROR(INDEX('Game Records'!$M:$M,$H43),""))</f>
        <v/>
      </c>
      <c r="H43" s="8"/>
      <c r="I43" s="8"/>
      <c r="J43" s="8"/>
    </row>
    <row r="44" ht="24.0" customHeight="1">
      <c r="A44" s="21" t="str">
        <f t="shared" si="1"/>
        <v/>
      </c>
      <c r="B44" s="21" t="str">
        <f t="shared" si="2"/>
        <v/>
      </c>
      <c r="C44" s="25" t="str">
        <f t="array" ref="C44">IF($H44="","",IFERROR(INDEX('Game Records'!$A:$A,$H44),""))</f>
        <v/>
      </c>
      <c r="D44" s="25" t="str">
        <f t="array" ref="D44">IF($H44="","",IFERROR(INDEX('Game Records'!$U:$U,$H44),""))</f>
        <v/>
      </c>
      <c r="E44" s="25" t="str">
        <f t="shared" si="3"/>
        <v/>
      </c>
      <c r="F44" s="25" t="str">
        <f t="array" ref="F44">IF($H44="","",IF(OR(NOT(_xlfn.ISFORMULA(INDEX('Game Records'!$N:$N,$H44))),NOT(_xlfn.ISFORMULA(INDEX('Game Records'!$O:$O,$H44))),NOT(_xlfn.ISFORMULA(INDEX('Game Records'!$P:$P,$H44))),NOT(_xlfn.ISFORMULA(INDEX('Game Records'!$Q:$Q,$H44))),NOT(_xlfn.ISFORMULA(INDEX('Game Records'!$R:$R,$H44))),NOT(_xlfn.ISFORMULA(INDEX('Game Records'!$S:$S,$H44))),NOT(_xlfn.ISFORMULA(INDEX('Game Records'!$T:$T,$H44))),NOT(_xlfn.ISFORMULA(INDEX('Game Records'!$U:$U,$H44))),NOT(_xlfn.ISFORMULA(INDEX('Game Records'!$V:$V,$H44))),NOT(_xlfn.ISFORMULA(INDEX('Game Records'!$W:$W,$H44))),NOT(_xlfn.ISFORMULA(INDEX('Game Records'!$X:$X,$H44))),NOT(_xlfn.ISFORMULA(INDEX('Game Records'!$Y:$Y,$H44))),NOT(_xlfn.ISFORMULA(INDEX('Game Records'!$Z:$Z,$H44)))),"","")&amp;IF(INDEX('Game Records'!$B:$B,$H44)="","Start Date; ","")&amp;IF(INDEX('Game Records'!$C:$C,$H44)="","End Date; ","")&amp;IF(AND(INDEX('Game Records'!$U:$U,$H44)&lt;&gt;"Subscription",INDEX('Game Records'!$U:$U,$H44)&lt;&gt;"Free Game",INDEX('Game Records'!$U:$U,$H44)&lt;&gt;"Disqualified — Free Game",OR(INDEX('Game Records'!$D:$D,$H44)="",LOWER(INDEX('Game Records'!$D:$D,$H44)&amp;"")="n/a")),"Entry Mode; ","")&amp;IF(AND(INDEX('Game Records'!$U:$U,$H44)&lt;&gt;"Subscription",INDEX('Game Records'!$U:$U,$H44)&lt;&gt;"Free Game",INDEX('Game Records'!$U:$U,$H44)&lt;&gt;"Disqualified — Free Game",OR(INDEX('Game Records'!$E:$E,$H44)="",LOWER(INDEX('Game Records'!$E:$E,$H44)&amp;"")="n/a")),"Game Type; ","")&amp;IF(INDEX('Game Records'!$F:$F,$H44)="","Payment Type; ","")&amp;IF(AND(INDEX('Game Records'!$U:$U,$H44)&lt;&gt;"Subscription",INDEX('Game Records'!$U:$U,$H44)&lt;&gt;"Free Game",INDEX('Game Records'!$U:$U,$H44)&lt;&gt;"Disqualified — Free Game",INDEX('Game Records'!$G:$G,$H44)=""),"Gross Pot; ","")&amp;IF(AND(INDEX('Game Records'!$U:$U,$H44)&lt;&gt;"Free Game",INDEX('Game Records'!$U:$U,$H44)&lt;&gt;"Disqualified — Free Game",INDEX('Game Records'!$H:$H,$H44)=""),"Entry Fee; ","")&amp;IF(AND(INDEX('Game Records'!$U:$U,$H44)&lt;&gt;"Subscription",INDEX('Game Records'!$U:$U,$H44)&lt;&gt;"Free Game",INDEX('Game Records'!$U:$U,$H44)&lt;&gt;"Disqualified — Free Game",INDEX('Game Records'!$I:$I,$H44)=""),"Eligible Players; ","")&amp;IF(AND(INDEX('Game Records'!$U:$U,$H44)&lt;&gt;"Subscription",INDEX('Game Records'!$U:$U,$H44)&lt;&gt;"Free Game",INDEX('Game Records'!$U:$U,$H44)&lt;&gt;"Disqualified — Free Game",INDEX('Game Records'!$J:$J,$H44)=""),"Total Players; ","")&amp;IF(AND(LOWER(INDEX('Game Records'!$D:$D,$H44)&amp;"")="finalized",LOWER(INDEX('Game Records'!$L:$L,$H44)&amp;"")&lt;&gt;"yes",INDEX('Game Records'!$U:$U,$H44)&lt;&gt;"Subscription",INDEX('Game Records'!$U:$U,$H44)&lt;&gt;"Free Game",INDEX('Game Records'!$U:$U,$H44)&lt;&gt;"Disqualified — Free Game",INDEX('Game Records'!$K:$K,$H44)=""),"Final Payout; ","")&amp;IF(AND(LOWER(INDEX('Game Records'!$D:$D,$H44)&amp;"")="finalized",INDEX('Game Records'!$U:$U,$H44)&lt;&gt;"Subscription",INDEX('Game Records'!$U:$U,$H44)&lt;&gt;"Free Game",INDEX('Game Records'!$U:$U,$H44)&lt;&gt;"Disqualified — Free Game",OR(INDEX('Game Records'!$L:$L,$H44)="",LOWER(INDEX('Game Records'!$L:$L,$H44)&amp;"")="n/a")),"Disqualified Status; ",""))</f>
        <v/>
      </c>
      <c r="G44" s="25" t="str">
        <f t="array" ref="G44">IF($H44="","",IFERROR(INDEX('Game Records'!$M:$M,$H44),""))</f>
        <v/>
      </c>
      <c r="H44" s="8"/>
      <c r="I44" s="8"/>
      <c r="J44" s="8"/>
    </row>
    <row r="45" ht="24.0" customHeight="1">
      <c r="A45" s="21" t="str">
        <f t="shared" si="1"/>
        <v/>
      </c>
      <c r="B45" s="21" t="str">
        <f t="shared" si="2"/>
        <v/>
      </c>
      <c r="C45" s="25" t="str">
        <f t="array" ref="C45">IF($H45="","",IFERROR(INDEX('Game Records'!$A:$A,$H45),""))</f>
        <v/>
      </c>
      <c r="D45" s="25" t="str">
        <f t="array" ref="D45">IF($H45="","",IFERROR(INDEX('Game Records'!$U:$U,$H45),""))</f>
        <v/>
      </c>
      <c r="E45" s="25" t="str">
        <f t="shared" si="3"/>
        <v/>
      </c>
      <c r="F45" s="25" t="str">
        <f t="array" ref="F45">IF($H45="","",IF(OR(NOT(_xlfn.ISFORMULA(INDEX('Game Records'!$N:$N,$H45))),NOT(_xlfn.ISFORMULA(INDEX('Game Records'!$O:$O,$H45))),NOT(_xlfn.ISFORMULA(INDEX('Game Records'!$P:$P,$H45))),NOT(_xlfn.ISFORMULA(INDEX('Game Records'!$Q:$Q,$H45))),NOT(_xlfn.ISFORMULA(INDEX('Game Records'!$R:$R,$H45))),NOT(_xlfn.ISFORMULA(INDEX('Game Records'!$S:$S,$H45))),NOT(_xlfn.ISFORMULA(INDEX('Game Records'!$T:$T,$H45))),NOT(_xlfn.ISFORMULA(INDEX('Game Records'!$U:$U,$H45))),NOT(_xlfn.ISFORMULA(INDEX('Game Records'!$V:$V,$H45))),NOT(_xlfn.ISFORMULA(INDEX('Game Records'!$W:$W,$H45))),NOT(_xlfn.ISFORMULA(INDEX('Game Records'!$X:$X,$H45))),NOT(_xlfn.ISFORMULA(INDEX('Game Records'!$Y:$Y,$H45))),NOT(_xlfn.ISFORMULA(INDEX('Game Records'!$Z:$Z,$H45)))),"","")&amp;IF(INDEX('Game Records'!$B:$B,$H45)="","Start Date; ","")&amp;IF(INDEX('Game Records'!$C:$C,$H45)="","End Date; ","")&amp;IF(AND(INDEX('Game Records'!$U:$U,$H45)&lt;&gt;"Subscription",INDEX('Game Records'!$U:$U,$H45)&lt;&gt;"Free Game",INDEX('Game Records'!$U:$U,$H45)&lt;&gt;"Disqualified — Free Game",OR(INDEX('Game Records'!$D:$D,$H45)="",LOWER(INDEX('Game Records'!$D:$D,$H45)&amp;"")="n/a")),"Entry Mode; ","")&amp;IF(AND(INDEX('Game Records'!$U:$U,$H45)&lt;&gt;"Subscription",INDEX('Game Records'!$U:$U,$H45)&lt;&gt;"Free Game",INDEX('Game Records'!$U:$U,$H45)&lt;&gt;"Disqualified — Free Game",OR(INDEX('Game Records'!$E:$E,$H45)="",LOWER(INDEX('Game Records'!$E:$E,$H45)&amp;"")="n/a")),"Game Type; ","")&amp;IF(INDEX('Game Records'!$F:$F,$H45)="","Payment Type; ","")&amp;IF(AND(INDEX('Game Records'!$U:$U,$H45)&lt;&gt;"Subscription",INDEX('Game Records'!$U:$U,$H45)&lt;&gt;"Free Game",INDEX('Game Records'!$U:$U,$H45)&lt;&gt;"Disqualified — Free Game",INDEX('Game Records'!$G:$G,$H45)=""),"Gross Pot; ","")&amp;IF(AND(INDEX('Game Records'!$U:$U,$H45)&lt;&gt;"Free Game",INDEX('Game Records'!$U:$U,$H45)&lt;&gt;"Disqualified — Free Game",INDEX('Game Records'!$H:$H,$H45)=""),"Entry Fee; ","")&amp;IF(AND(INDEX('Game Records'!$U:$U,$H45)&lt;&gt;"Subscription",INDEX('Game Records'!$U:$U,$H45)&lt;&gt;"Free Game",INDEX('Game Records'!$U:$U,$H45)&lt;&gt;"Disqualified — Free Game",INDEX('Game Records'!$I:$I,$H45)=""),"Eligible Players; ","")&amp;IF(AND(INDEX('Game Records'!$U:$U,$H45)&lt;&gt;"Subscription",INDEX('Game Records'!$U:$U,$H45)&lt;&gt;"Free Game",INDEX('Game Records'!$U:$U,$H45)&lt;&gt;"Disqualified — Free Game",INDEX('Game Records'!$J:$J,$H45)=""),"Total Players; ","")&amp;IF(AND(LOWER(INDEX('Game Records'!$D:$D,$H45)&amp;"")="finalized",LOWER(INDEX('Game Records'!$L:$L,$H45)&amp;"")&lt;&gt;"yes",INDEX('Game Records'!$U:$U,$H45)&lt;&gt;"Subscription",INDEX('Game Records'!$U:$U,$H45)&lt;&gt;"Free Game",INDEX('Game Records'!$U:$U,$H45)&lt;&gt;"Disqualified — Free Game",INDEX('Game Records'!$K:$K,$H45)=""),"Final Payout; ","")&amp;IF(AND(LOWER(INDEX('Game Records'!$D:$D,$H45)&amp;"")="finalized",INDEX('Game Records'!$U:$U,$H45)&lt;&gt;"Subscription",INDEX('Game Records'!$U:$U,$H45)&lt;&gt;"Free Game",INDEX('Game Records'!$U:$U,$H45)&lt;&gt;"Disqualified — Free Game",OR(INDEX('Game Records'!$L:$L,$H45)="",LOWER(INDEX('Game Records'!$L:$L,$H45)&amp;"")="n/a")),"Disqualified Status; ",""))</f>
        <v/>
      </c>
      <c r="G45" s="25" t="str">
        <f t="array" ref="G45">IF($H45="","",IFERROR(INDEX('Game Records'!$M:$M,$H45),""))</f>
        <v/>
      </c>
      <c r="H45" s="8"/>
      <c r="I45" s="8"/>
      <c r="J45" s="8"/>
    </row>
    <row r="46" ht="24.0" customHeight="1">
      <c r="A46" s="21" t="str">
        <f t="shared" si="1"/>
        <v/>
      </c>
      <c r="B46" s="21" t="str">
        <f t="shared" si="2"/>
        <v/>
      </c>
      <c r="C46" s="25" t="str">
        <f t="array" ref="C46">IF($H46="","",IFERROR(INDEX('Game Records'!$A:$A,$H46),""))</f>
        <v/>
      </c>
      <c r="D46" s="25" t="str">
        <f t="array" ref="D46">IF($H46="","",IFERROR(INDEX('Game Records'!$U:$U,$H46),""))</f>
        <v/>
      </c>
      <c r="E46" s="25" t="str">
        <f t="shared" si="3"/>
        <v/>
      </c>
      <c r="F46" s="25" t="str">
        <f t="array" ref="F46">IF($H46="","",IF(OR(NOT(_xlfn.ISFORMULA(INDEX('Game Records'!$N:$N,$H46))),NOT(_xlfn.ISFORMULA(INDEX('Game Records'!$O:$O,$H46))),NOT(_xlfn.ISFORMULA(INDEX('Game Records'!$P:$P,$H46))),NOT(_xlfn.ISFORMULA(INDEX('Game Records'!$Q:$Q,$H46))),NOT(_xlfn.ISFORMULA(INDEX('Game Records'!$R:$R,$H46))),NOT(_xlfn.ISFORMULA(INDEX('Game Records'!$S:$S,$H46))),NOT(_xlfn.ISFORMULA(INDEX('Game Records'!$T:$T,$H46))),NOT(_xlfn.ISFORMULA(INDEX('Game Records'!$U:$U,$H46))),NOT(_xlfn.ISFORMULA(INDEX('Game Records'!$V:$V,$H46))),NOT(_xlfn.ISFORMULA(INDEX('Game Records'!$W:$W,$H46))),NOT(_xlfn.ISFORMULA(INDEX('Game Records'!$X:$X,$H46))),NOT(_xlfn.ISFORMULA(INDEX('Game Records'!$Y:$Y,$H46))),NOT(_xlfn.ISFORMULA(INDEX('Game Records'!$Z:$Z,$H46)))),"","")&amp;IF(INDEX('Game Records'!$B:$B,$H46)="","Start Date; ","")&amp;IF(INDEX('Game Records'!$C:$C,$H46)="","End Date; ","")&amp;IF(AND(INDEX('Game Records'!$U:$U,$H46)&lt;&gt;"Subscription",INDEX('Game Records'!$U:$U,$H46)&lt;&gt;"Free Game",INDEX('Game Records'!$U:$U,$H46)&lt;&gt;"Disqualified — Free Game",OR(INDEX('Game Records'!$D:$D,$H46)="",LOWER(INDEX('Game Records'!$D:$D,$H46)&amp;"")="n/a")),"Entry Mode; ","")&amp;IF(AND(INDEX('Game Records'!$U:$U,$H46)&lt;&gt;"Subscription",INDEX('Game Records'!$U:$U,$H46)&lt;&gt;"Free Game",INDEX('Game Records'!$U:$U,$H46)&lt;&gt;"Disqualified — Free Game",OR(INDEX('Game Records'!$E:$E,$H46)="",LOWER(INDEX('Game Records'!$E:$E,$H46)&amp;"")="n/a")),"Game Type; ","")&amp;IF(INDEX('Game Records'!$F:$F,$H46)="","Payment Type; ","")&amp;IF(AND(INDEX('Game Records'!$U:$U,$H46)&lt;&gt;"Subscription",INDEX('Game Records'!$U:$U,$H46)&lt;&gt;"Free Game",INDEX('Game Records'!$U:$U,$H46)&lt;&gt;"Disqualified — Free Game",INDEX('Game Records'!$G:$G,$H46)=""),"Gross Pot; ","")&amp;IF(AND(INDEX('Game Records'!$U:$U,$H46)&lt;&gt;"Free Game",INDEX('Game Records'!$U:$U,$H46)&lt;&gt;"Disqualified — Free Game",INDEX('Game Records'!$H:$H,$H46)=""),"Entry Fee; ","")&amp;IF(AND(INDEX('Game Records'!$U:$U,$H46)&lt;&gt;"Subscription",INDEX('Game Records'!$U:$U,$H46)&lt;&gt;"Free Game",INDEX('Game Records'!$U:$U,$H46)&lt;&gt;"Disqualified — Free Game",INDEX('Game Records'!$I:$I,$H46)=""),"Eligible Players; ","")&amp;IF(AND(INDEX('Game Records'!$U:$U,$H46)&lt;&gt;"Subscription",INDEX('Game Records'!$U:$U,$H46)&lt;&gt;"Free Game",INDEX('Game Records'!$U:$U,$H46)&lt;&gt;"Disqualified — Free Game",INDEX('Game Records'!$J:$J,$H46)=""),"Total Players; ","")&amp;IF(AND(LOWER(INDEX('Game Records'!$D:$D,$H46)&amp;"")="finalized",LOWER(INDEX('Game Records'!$L:$L,$H46)&amp;"")&lt;&gt;"yes",INDEX('Game Records'!$U:$U,$H46)&lt;&gt;"Subscription",INDEX('Game Records'!$U:$U,$H46)&lt;&gt;"Free Game",INDEX('Game Records'!$U:$U,$H46)&lt;&gt;"Disqualified — Free Game",INDEX('Game Records'!$K:$K,$H46)=""),"Final Payout; ","")&amp;IF(AND(LOWER(INDEX('Game Records'!$D:$D,$H46)&amp;"")="finalized",INDEX('Game Records'!$U:$U,$H46)&lt;&gt;"Subscription",INDEX('Game Records'!$U:$U,$H46)&lt;&gt;"Free Game",INDEX('Game Records'!$U:$U,$H46)&lt;&gt;"Disqualified — Free Game",OR(INDEX('Game Records'!$L:$L,$H46)="",LOWER(INDEX('Game Records'!$L:$L,$H46)&amp;"")="n/a")),"Disqualified Status; ",""))</f>
        <v/>
      </c>
      <c r="G46" s="25" t="str">
        <f t="array" ref="G46">IF($H46="","",IFERROR(INDEX('Game Records'!$M:$M,$H46),""))</f>
        <v/>
      </c>
      <c r="H46" s="8"/>
      <c r="I46" s="8"/>
      <c r="J46" s="8"/>
    </row>
    <row r="47" ht="24.0" customHeight="1">
      <c r="A47" s="21" t="str">
        <f t="shared" si="1"/>
        <v/>
      </c>
      <c r="B47" s="21" t="str">
        <f t="shared" si="2"/>
        <v/>
      </c>
      <c r="C47" s="25" t="str">
        <f t="array" ref="C47">IF($H47="","",IFERROR(INDEX('Game Records'!$A:$A,$H47),""))</f>
        <v/>
      </c>
      <c r="D47" s="25" t="str">
        <f t="array" ref="D47">IF($H47="","",IFERROR(INDEX('Game Records'!$U:$U,$H47),""))</f>
        <v/>
      </c>
      <c r="E47" s="25" t="str">
        <f t="shared" si="3"/>
        <v/>
      </c>
      <c r="F47" s="25" t="str">
        <f t="array" ref="F47">IF($H47="","",IF(OR(NOT(_xlfn.ISFORMULA(INDEX('Game Records'!$N:$N,$H47))),NOT(_xlfn.ISFORMULA(INDEX('Game Records'!$O:$O,$H47))),NOT(_xlfn.ISFORMULA(INDEX('Game Records'!$P:$P,$H47))),NOT(_xlfn.ISFORMULA(INDEX('Game Records'!$Q:$Q,$H47))),NOT(_xlfn.ISFORMULA(INDEX('Game Records'!$R:$R,$H47))),NOT(_xlfn.ISFORMULA(INDEX('Game Records'!$S:$S,$H47))),NOT(_xlfn.ISFORMULA(INDEX('Game Records'!$T:$T,$H47))),NOT(_xlfn.ISFORMULA(INDEX('Game Records'!$U:$U,$H47))),NOT(_xlfn.ISFORMULA(INDEX('Game Records'!$V:$V,$H47))),NOT(_xlfn.ISFORMULA(INDEX('Game Records'!$W:$W,$H47))),NOT(_xlfn.ISFORMULA(INDEX('Game Records'!$X:$X,$H47))),NOT(_xlfn.ISFORMULA(INDEX('Game Records'!$Y:$Y,$H47))),NOT(_xlfn.ISFORMULA(INDEX('Game Records'!$Z:$Z,$H47)))),"","")&amp;IF(INDEX('Game Records'!$B:$B,$H47)="","Start Date; ","")&amp;IF(INDEX('Game Records'!$C:$C,$H47)="","End Date; ","")&amp;IF(AND(INDEX('Game Records'!$U:$U,$H47)&lt;&gt;"Subscription",INDEX('Game Records'!$U:$U,$H47)&lt;&gt;"Free Game",INDEX('Game Records'!$U:$U,$H47)&lt;&gt;"Disqualified — Free Game",OR(INDEX('Game Records'!$D:$D,$H47)="",LOWER(INDEX('Game Records'!$D:$D,$H47)&amp;"")="n/a")),"Entry Mode; ","")&amp;IF(AND(INDEX('Game Records'!$U:$U,$H47)&lt;&gt;"Subscription",INDEX('Game Records'!$U:$U,$H47)&lt;&gt;"Free Game",INDEX('Game Records'!$U:$U,$H47)&lt;&gt;"Disqualified — Free Game",OR(INDEX('Game Records'!$E:$E,$H47)="",LOWER(INDEX('Game Records'!$E:$E,$H47)&amp;"")="n/a")),"Game Type; ","")&amp;IF(INDEX('Game Records'!$F:$F,$H47)="","Payment Type; ","")&amp;IF(AND(INDEX('Game Records'!$U:$U,$H47)&lt;&gt;"Subscription",INDEX('Game Records'!$U:$U,$H47)&lt;&gt;"Free Game",INDEX('Game Records'!$U:$U,$H47)&lt;&gt;"Disqualified — Free Game",INDEX('Game Records'!$G:$G,$H47)=""),"Gross Pot; ","")&amp;IF(AND(INDEX('Game Records'!$U:$U,$H47)&lt;&gt;"Free Game",INDEX('Game Records'!$U:$U,$H47)&lt;&gt;"Disqualified — Free Game",INDEX('Game Records'!$H:$H,$H47)=""),"Entry Fee; ","")&amp;IF(AND(INDEX('Game Records'!$U:$U,$H47)&lt;&gt;"Subscription",INDEX('Game Records'!$U:$U,$H47)&lt;&gt;"Free Game",INDEX('Game Records'!$U:$U,$H47)&lt;&gt;"Disqualified — Free Game",INDEX('Game Records'!$I:$I,$H47)=""),"Eligible Players; ","")&amp;IF(AND(INDEX('Game Records'!$U:$U,$H47)&lt;&gt;"Subscription",INDEX('Game Records'!$U:$U,$H47)&lt;&gt;"Free Game",INDEX('Game Records'!$U:$U,$H47)&lt;&gt;"Disqualified — Free Game",INDEX('Game Records'!$J:$J,$H47)=""),"Total Players; ","")&amp;IF(AND(LOWER(INDEX('Game Records'!$D:$D,$H47)&amp;"")="finalized",LOWER(INDEX('Game Records'!$L:$L,$H47)&amp;"")&lt;&gt;"yes",INDEX('Game Records'!$U:$U,$H47)&lt;&gt;"Subscription",INDEX('Game Records'!$U:$U,$H47)&lt;&gt;"Free Game",INDEX('Game Records'!$U:$U,$H47)&lt;&gt;"Disqualified — Free Game",INDEX('Game Records'!$K:$K,$H47)=""),"Final Payout; ","")&amp;IF(AND(LOWER(INDEX('Game Records'!$D:$D,$H47)&amp;"")="finalized",INDEX('Game Records'!$U:$U,$H47)&lt;&gt;"Subscription",INDEX('Game Records'!$U:$U,$H47)&lt;&gt;"Free Game",INDEX('Game Records'!$U:$U,$H47)&lt;&gt;"Disqualified — Free Game",OR(INDEX('Game Records'!$L:$L,$H47)="",LOWER(INDEX('Game Records'!$L:$L,$H47)&amp;"")="n/a")),"Disqualified Status; ",""))</f>
        <v/>
      </c>
      <c r="G47" s="25" t="str">
        <f t="array" ref="G47">IF($H47="","",IFERROR(INDEX('Game Records'!$M:$M,$H47),""))</f>
        <v/>
      </c>
      <c r="H47" s="8"/>
      <c r="I47" s="8"/>
      <c r="J47" s="8"/>
    </row>
    <row r="48" ht="24.0" customHeight="1">
      <c r="A48" s="21" t="str">
        <f t="shared" si="1"/>
        <v/>
      </c>
      <c r="B48" s="21" t="str">
        <f t="shared" si="2"/>
        <v/>
      </c>
      <c r="C48" s="25" t="str">
        <f t="array" ref="C48">IF($H48="","",IFERROR(INDEX('Game Records'!$A:$A,$H48),""))</f>
        <v/>
      </c>
      <c r="D48" s="25" t="str">
        <f t="array" ref="D48">IF($H48="","",IFERROR(INDEX('Game Records'!$U:$U,$H48),""))</f>
        <v/>
      </c>
      <c r="E48" s="25" t="str">
        <f t="shared" si="3"/>
        <v/>
      </c>
      <c r="F48" s="25" t="str">
        <f t="array" ref="F48">IF($H48="","",IF(OR(NOT(_xlfn.ISFORMULA(INDEX('Game Records'!$N:$N,$H48))),NOT(_xlfn.ISFORMULA(INDEX('Game Records'!$O:$O,$H48))),NOT(_xlfn.ISFORMULA(INDEX('Game Records'!$P:$P,$H48))),NOT(_xlfn.ISFORMULA(INDEX('Game Records'!$Q:$Q,$H48))),NOT(_xlfn.ISFORMULA(INDEX('Game Records'!$R:$R,$H48))),NOT(_xlfn.ISFORMULA(INDEX('Game Records'!$S:$S,$H48))),NOT(_xlfn.ISFORMULA(INDEX('Game Records'!$T:$T,$H48))),NOT(_xlfn.ISFORMULA(INDEX('Game Records'!$U:$U,$H48))),NOT(_xlfn.ISFORMULA(INDEX('Game Records'!$V:$V,$H48))),NOT(_xlfn.ISFORMULA(INDEX('Game Records'!$W:$W,$H48))),NOT(_xlfn.ISFORMULA(INDEX('Game Records'!$X:$X,$H48))),NOT(_xlfn.ISFORMULA(INDEX('Game Records'!$Y:$Y,$H48))),NOT(_xlfn.ISFORMULA(INDEX('Game Records'!$Z:$Z,$H48)))),"","")&amp;IF(INDEX('Game Records'!$B:$B,$H48)="","Start Date; ","")&amp;IF(INDEX('Game Records'!$C:$C,$H48)="","End Date; ","")&amp;IF(AND(INDEX('Game Records'!$U:$U,$H48)&lt;&gt;"Subscription",INDEX('Game Records'!$U:$U,$H48)&lt;&gt;"Free Game",INDEX('Game Records'!$U:$U,$H48)&lt;&gt;"Disqualified — Free Game",OR(INDEX('Game Records'!$D:$D,$H48)="",LOWER(INDEX('Game Records'!$D:$D,$H48)&amp;"")="n/a")),"Entry Mode; ","")&amp;IF(AND(INDEX('Game Records'!$U:$U,$H48)&lt;&gt;"Subscription",INDEX('Game Records'!$U:$U,$H48)&lt;&gt;"Free Game",INDEX('Game Records'!$U:$U,$H48)&lt;&gt;"Disqualified — Free Game",OR(INDEX('Game Records'!$E:$E,$H48)="",LOWER(INDEX('Game Records'!$E:$E,$H48)&amp;"")="n/a")),"Game Type; ","")&amp;IF(INDEX('Game Records'!$F:$F,$H48)="","Payment Type; ","")&amp;IF(AND(INDEX('Game Records'!$U:$U,$H48)&lt;&gt;"Subscription",INDEX('Game Records'!$U:$U,$H48)&lt;&gt;"Free Game",INDEX('Game Records'!$U:$U,$H48)&lt;&gt;"Disqualified — Free Game",INDEX('Game Records'!$G:$G,$H48)=""),"Gross Pot; ","")&amp;IF(AND(INDEX('Game Records'!$U:$U,$H48)&lt;&gt;"Free Game",INDEX('Game Records'!$U:$U,$H48)&lt;&gt;"Disqualified — Free Game",INDEX('Game Records'!$H:$H,$H48)=""),"Entry Fee; ","")&amp;IF(AND(INDEX('Game Records'!$U:$U,$H48)&lt;&gt;"Subscription",INDEX('Game Records'!$U:$U,$H48)&lt;&gt;"Free Game",INDEX('Game Records'!$U:$U,$H48)&lt;&gt;"Disqualified — Free Game",INDEX('Game Records'!$I:$I,$H48)=""),"Eligible Players; ","")&amp;IF(AND(INDEX('Game Records'!$U:$U,$H48)&lt;&gt;"Subscription",INDEX('Game Records'!$U:$U,$H48)&lt;&gt;"Free Game",INDEX('Game Records'!$U:$U,$H48)&lt;&gt;"Disqualified — Free Game",INDEX('Game Records'!$J:$J,$H48)=""),"Total Players; ","")&amp;IF(AND(LOWER(INDEX('Game Records'!$D:$D,$H48)&amp;"")="finalized",LOWER(INDEX('Game Records'!$L:$L,$H48)&amp;"")&lt;&gt;"yes",INDEX('Game Records'!$U:$U,$H48)&lt;&gt;"Subscription",INDEX('Game Records'!$U:$U,$H48)&lt;&gt;"Free Game",INDEX('Game Records'!$U:$U,$H48)&lt;&gt;"Disqualified — Free Game",INDEX('Game Records'!$K:$K,$H48)=""),"Final Payout; ","")&amp;IF(AND(LOWER(INDEX('Game Records'!$D:$D,$H48)&amp;"")="finalized",INDEX('Game Records'!$U:$U,$H48)&lt;&gt;"Subscription",INDEX('Game Records'!$U:$U,$H48)&lt;&gt;"Free Game",INDEX('Game Records'!$U:$U,$H48)&lt;&gt;"Disqualified — Free Game",OR(INDEX('Game Records'!$L:$L,$H48)="",LOWER(INDEX('Game Records'!$L:$L,$H48)&amp;"")="n/a")),"Disqualified Status; ",""))</f>
        <v/>
      </c>
      <c r="G48" s="25" t="str">
        <f t="array" ref="G48">IF($H48="","",IFERROR(INDEX('Game Records'!$M:$M,$H48),""))</f>
        <v/>
      </c>
      <c r="H48" s="8"/>
      <c r="I48" s="8"/>
      <c r="J48" s="8"/>
    </row>
    <row r="49" ht="24.0" customHeight="1">
      <c r="A49" s="21" t="str">
        <f t="shared" si="1"/>
        <v/>
      </c>
      <c r="B49" s="21" t="str">
        <f t="shared" si="2"/>
        <v/>
      </c>
      <c r="C49" s="25" t="str">
        <f t="array" ref="C49">IF($H49="","",IFERROR(INDEX('Game Records'!$A:$A,$H49),""))</f>
        <v/>
      </c>
      <c r="D49" s="25" t="str">
        <f t="array" ref="D49">IF($H49="","",IFERROR(INDEX('Game Records'!$U:$U,$H49),""))</f>
        <v/>
      </c>
      <c r="E49" s="25" t="str">
        <f t="shared" si="3"/>
        <v/>
      </c>
      <c r="F49" s="25" t="str">
        <f t="array" ref="F49">IF($H49="","",IF(OR(NOT(_xlfn.ISFORMULA(INDEX('Game Records'!$N:$N,$H49))),NOT(_xlfn.ISFORMULA(INDEX('Game Records'!$O:$O,$H49))),NOT(_xlfn.ISFORMULA(INDEX('Game Records'!$P:$P,$H49))),NOT(_xlfn.ISFORMULA(INDEX('Game Records'!$Q:$Q,$H49))),NOT(_xlfn.ISFORMULA(INDEX('Game Records'!$R:$R,$H49))),NOT(_xlfn.ISFORMULA(INDEX('Game Records'!$S:$S,$H49))),NOT(_xlfn.ISFORMULA(INDEX('Game Records'!$T:$T,$H49))),NOT(_xlfn.ISFORMULA(INDEX('Game Records'!$U:$U,$H49))),NOT(_xlfn.ISFORMULA(INDEX('Game Records'!$V:$V,$H49))),NOT(_xlfn.ISFORMULA(INDEX('Game Records'!$W:$W,$H49))),NOT(_xlfn.ISFORMULA(INDEX('Game Records'!$X:$X,$H49))),NOT(_xlfn.ISFORMULA(INDEX('Game Records'!$Y:$Y,$H49))),NOT(_xlfn.ISFORMULA(INDEX('Game Records'!$Z:$Z,$H49)))),"","")&amp;IF(INDEX('Game Records'!$B:$B,$H49)="","Start Date; ","")&amp;IF(INDEX('Game Records'!$C:$C,$H49)="","End Date; ","")&amp;IF(AND(INDEX('Game Records'!$U:$U,$H49)&lt;&gt;"Subscription",INDEX('Game Records'!$U:$U,$H49)&lt;&gt;"Free Game",INDEX('Game Records'!$U:$U,$H49)&lt;&gt;"Disqualified — Free Game",OR(INDEX('Game Records'!$D:$D,$H49)="",LOWER(INDEX('Game Records'!$D:$D,$H49)&amp;"")="n/a")),"Entry Mode; ","")&amp;IF(AND(INDEX('Game Records'!$U:$U,$H49)&lt;&gt;"Subscription",INDEX('Game Records'!$U:$U,$H49)&lt;&gt;"Free Game",INDEX('Game Records'!$U:$U,$H49)&lt;&gt;"Disqualified — Free Game",OR(INDEX('Game Records'!$E:$E,$H49)="",LOWER(INDEX('Game Records'!$E:$E,$H49)&amp;"")="n/a")),"Game Type; ","")&amp;IF(INDEX('Game Records'!$F:$F,$H49)="","Payment Type; ","")&amp;IF(AND(INDEX('Game Records'!$U:$U,$H49)&lt;&gt;"Subscription",INDEX('Game Records'!$U:$U,$H49)&lt;&gt;"Free Game",INDEX('Game Records'!$U:$U,$H49)&lt;&gt;"Disqualified — Free Game",INDEX('Game Records'!$G:$G,$H49)=""),"Gross Pot; ","")&amp;IF(AND(INDEX('Game Records'!$U:$U,$H49)&lt;&gt;"Free Game",INDEX('Game Records'!$U:$U,$H49)&lt;&gt;"Disqualified — Free Game",INDEX('Game Records'!$H:$H,$H49)=""),"Entry Fee; ","")&amp;IF(AND(INDEX('Game Records'!$U:$U,$H49)&lt;&gt;"Subscription",INDEX('Game Records'!$U:$U,$H49)&lt;&gt;"Free Game",INDEX('Game Records'!$U:$U,$H49)&lt;&gt;"Disqualified — Free Game",INDEX('Game Records'!$I:$I,$H49)=""),"Eligible Players; ","")&amp;IF(AND(INDEX('Game Records'!$U:$U,$H49)&lt;&gt;"Subscription",INDEX('Game Records'!$U:$U,$H49)&lt;&gt;"Free Game",INDEX('Game Records'!$U:$U,$H49)&lt;&gt;"Disqualified — Free Game",INDEX('Game Records'!$J:$J,$H49)=""),"Total Players; ","")&amp;IF(AND(LOWER(INDEX('Game Records'!$D:$D,$H49)&amp;"")="finalized",LOWER(INDEX('Game Records'!$L:$L,$H49)&amp;"")&lt;&gt;"yes",INDEX('Game Records'!$U:$U,$H49)&lt;&gt;"Subscription",INDEX('Game Records'!$U:$U,$H49)&lt;&gt;"Free Game",INDEX('Game Records'!$U:$U,$H49)&lt;&gt;"Disqualified — Free Game",INDEX('Game Records'!$K:$K,$H49)=""),"Final Payout; ","")&amp;IF(AND(LOWER(INDEX('Game Records'!$D:$D,$H49)&amp;"")="finalized",INDEX('Game Records'!$U:$U,$H49)&lt;&gt;"Subscription",INDEX('Game Records'!$U:$U,$H49)&lt;&gt;"Free Game",INDEX('Game Records'!$U:$U,$H49)&lt;&gt;"Disqualified — Free Game",OR(INDEX('Game Records'!$L:$L,$H49)="",LOWER(INDEX('Game Records'!$L:$L,$H49)&amp;"")="n/a")),"Disqualified Status; ",""))</f>
        <v/>
      </c>
      <c r="G49" s="25" t="str">
        <f t="array" ref="G49">IF($H49="","",IFERROR(INDEX('Game Records'!$M:$M,$H49),""))</f>
        <v/>
      </c>
      <c r="H49" s="8"/>
      <c r="I49" s="8"/>
      <c r="J49" s="8"/>
    </row>
    <row r="50" ht="24.0" customHeight="1">
      <c r="A50" s="21" t="str">
        <f t="shared" si="1"/>
        <v/>
      </c>
      <c r="B50" s="21" t="str">
        <f t="shared" si="2"/>
        <v/>
      </c>
      <c r="C50" s="25" t="str">
        <f t="array" ref="C50">IF($H50="","",IFERROR(INDEX('Game Records'!$A:$A,$H50),""))</f>
        <v/>
      </c>
      <c r="D50" s="25" t="str">
        <f t="array" ref="D50">IF($H50="","",IFERROR(INDEX('Game Records'!$U:$U,$H50),""))</f>
        <v/>
      </c>
      <c r="E50" s="25" t="str">
        <f t="shared" si="3"/>
        <v/>
      </c>
      <c r="F50" s="25" t="str">
        <f t="array" ref="F50">IF($H50="","",IF(OR(NOT(_xlfn.ISFORMULA(INDEX('Game Records'!$N:$N,$H50))),NOT(_xlfn.ISFORMULA(INDEX('Game Records'!$O:$O,$H50))),NOT(_xlfn.ISFORMULA(INDEX('Game Records'!$P:$P,$H50))),NOT(_xlfn.ISFORMULA(INDEX('Game Records'!$Q:$Q,$H50))),NOT(_xlfn.ISFORMULA(INDEX('Game Records'!$R:$R,$H50))),NOT(_xlfn.ISFORMULA(INDEX('Game Records'!$S:$S,$H50))),NOT(_xlfn.ISFORMULA(INDEX('Game Records'!$T:$T,$H50))),NOT(_xlfn.ISFORMULA(INDEX('Game Records'!$U:$U,$H50))),NOT(_xlfn.ISFORMULA(INDEX('Game Records'!$V:$V,$H50))),NOT(_xlfn.ISFORMULA(INDEX('Game Records'!$W:$W,$H50))),NOT(_xlfn.ISFORMULA(INDEX('Game Records'!$X:$X,$H50))),NOT(_xlfn.ISFORMULA(INDEX('Game Records'!$Y:$Y,$H50))),NOT(_xlfn.ISFORMULA(INDEX('Game Records'!$Z:$Z,$H50)))),"","")&amp;IF(INDEX('Game Records'!$B:$B,$H50)="","Start Date; ","")&amp;IF(INDEX('Game Records'!$C:$C,$H50)="","End Date; ","")&amp;IF(AND(INDEX('Game Records'!$U:$U,$H50)&lt;&gt;"Subscription",INDEX('Game Records'!$U:$U,$H50)&lt;&gt;"Free Game",INDEX('Game Records'!$U:$U,$H50)&lt;&gt;"Disqualified — Free Game",OR(INDEX('Game Records'!$D:$D,$H50)="",LOWER(INDEX('Game Records'!$D:$D,$H50)&amp;"")="n/a")),"Entry Mode; ","")&amp;IF(AND(INDEX('Game Records'!$U:$U,$H50)&lt;&gt;"Subscription",INDEX('Game Records'!$U:$U,$H50)&lt;&gt;"Free Game",INDEX('Game Records'!$U:$U,$H50)&lt;&gt;"Disqualified — Free Game",OR(INDEX('Game Records'!$E:$E,$H50)="",LOWER(INDEX('Game Records'!$E:$E,$H50)&amp;"")="n/a")),"Game Type; ","")&amp;IF(INDEX('Game Records'!$F:$F,$H50)="","Payment Type; ","")&amp;IF(AND(INDEX('Game Records'!$U:$U,$H50)&lt;&gt;"Subscription",INDEX('Game Records'!$U:$U,$H50)&lt;&gt;"Free Game",INDEX('Game Records'!$U:$U,$H50)&lt;&gt;"Disqualified — Free Game",INDEX('Game Records'!$G:$G,$H50)=""),"Gross Pot; ","")&amp;IF(AND(INDEX('Game Records'!$U:$U,$H50)&lt;&gt;"Free Game",INDEX('Game Records'!$U:$U,$H50)&lt;&gt;"Disqualified — Free Game",INDEX('Game Records'!$H:$H,$H50)=""),"Entry Fee; ","")&amp;IF(AND(INDEX('Game Records'!$U:$U,$H50)&lt;&gt;"Subscription",INDEX('Game Records'!$U:$U,$H50)&lt;&gt;"Free Game",INDEX('Game Records'!$U:$U,$H50)&lt;&gt;"Disqualified — Free Game",INDEX('Game Records'!$I:$I,$H50)=""),"Eligible Players; ","")&amp;IF(AND(INDEX('Game Records'!$U:$U,$H50)&lt;&gt;"Subscription",INDEX('Game Records'!$U:$U,$H50)&lt;&gt;"Free Game",INDEX('Game Records'!$U:$U,$H50)&lt;&gt;"Disqualified — Free Game",INDEX('Game Records'!$J:$J,$H50)=""),"Total Players; ","")&amp;IF(AND(LOWER(INDEX('Game Records'!$D:$D,$H50)&amp;"")="finalized",LOWER(INDEX('Game Records'!$L:$L,$H50)&amp;"")&lt;&gt;"yes",INDEX('Game Records'!$U:$U,$H50)&lt;&gt;"Subscription",INDEX('Game Records'!$U:$U,$H50)&lt;&gt;"Free Game",INDEX('Game Records'!$U:$U,$H50)&lt;&gt;"Disqualified — Free Game",INDEX('Game Records'!$K:$K,$H50)=""),"Final Payout; ","")&amp;IF(AND(LOWER(INDEX('Game Records'!$D:$D,$H50)&amp;"")="finalized",INDEX('Game Records'!$U:$U,$H50)&lt;&gt;"Subscription",INDEX('Game Records'!$U:$U,$H50)&lt;&gt;"Free Game",INDEX('Game Records'!$U:$U,$H50)&lt;&gt;"Disqualified — Free Game",OR(INDEX('Game Records'!$L:$L,$H50)="",LOWER(INDEX('Game Records'!$L:$L,$H50)&amp;"")="n/a")),"Disqualified Status; ",""))</f>
        <v/>
      </c>
      <c r="G50" s="25" t="str">
        <f t="array" ref="G50">IF($H50="","",IFERROR(INDEX('Game Records'!$M:$M,$H50),""))</f>
        <v/>
      </c>
      <c r="H50" s="8"/>
      <c r="I50" s="8"/>
      <c r="J50" s="8"/>
    </row>
    <row r="51" ht="24.0" customHeight="1">
      <c r="A51" s="21" t="str">
        <f t="shared" si="1"/>
        <v/>
      </c>
      <c r="B51" s="21" t="str">
        <f t="shared" si="2"/>
        <v/>
      </c>
      <c r="C51" s="25" t="str">
        <f t="array" ref="C51">IF($H51="","",IFERROR(INDEX('Game Records'!$A:$A,$H51),""))</f>
        <v/>
      </c>
      <c r="D51" s="25" t="str">
        <f t="array" ref="D51">IF($H51="","",IFERROR(INDEX('Game Records'!$U:$U,$H51),""))</f>
        <v/>
      </c>
      <c r="E51" s="25" t="str">
        <f t="shared" si="3"/>
        <v/>
      </c>
      <c r="F51" s="25" t="str">
        <f t="array" ref="F51">IF($H51="","",IF(OR(NOT(_xlfn.ISFORMULA(INDEX('Game Records'!$N:$N,$H51))),NOT(_xlfn.ISFORMULA(INDEX('Game Records'!$O:$O,$H51))),NOT(_xlfn.ISFORMULA(INDEX('Game Records'!$P:$P,$H51))),NOT(_xlfn.ISFORMULA(INDEX('Game Records'!$Q:$Q,$H51))),NOT(_xlfn.ISFORMULA(INDEX('Game Records'!$R:$R,$H51))),NOT(_xlfn.ISFORMULA(INDEX('Game Records'!$S:$S,$H51))),NOT(_xlfn.ISFORMULA(INDEX('Game Records'!$T:$T,$H51))),NOT(_xlfn.ISFORMULA(INDEX('Game Records'!$U:$U,$H51))),NOT(_xlfn.ISFORMULA(INDEX('Game Records'!$V:$V,$H51))),NOT(_xlfn.ISFORMULA(INDEX('Game Records'!$W:$W,$H51))),NOT(_xlfn.ISFORMULA(INDEX('Game Records'!$X:$X,$H51))),NOT(_xlfn.ISFORMULA(INDEX('Game Records'!$Y:$Y,$H51))),NOT(_xlfn.ISFORMULA(INDEX('Game Records'!$Z:$Z,$H51)))),"","")&amp;IF(INDEX('Game Records'!$B:$B,$H51)="","Start Date; ","")&amp;IF(INDEX('Game Records'!$C:$C,$H51)="","End Date; ","")&amp;IF(AND(INDEX('Game Records'!$U:$U,$H51)&lt;&gt;"Subscription",INDEX('Game Records'!$U:$U,$H51)&lt;&gt;"Free Game",INDEX('Game Records'!$U:$U,$H51)&lt;&gt;"Disqualified — Free Game",OR(INDEX('Game Records'!$D:$D,$H51)="",LOWER(INDEX('Game Records'!$D:$D,$H51)&amp;"")="n/a")),"Entry Mode; ","")&amp;IF(AND(INDEX('Game Records'!$U:$U,$H51)&lt;&gt;"Subscription",INDEX('Game Records'!$U:$U,$H51)&lt;&gt;"Free Game",INDEX('Game Records'!$U:$U,$H51)&lt;&gt;"Disqualified — Free Game",OR(INDEX('Game Records'!$E:$E,$H51)="",LOWER(INDEX('Game Records'!$E:$E,$H51)&amp;"")="n/a")),"Game Type; ","")&amp;IF(INDEX('Game Records'!$F:$F,$H51)="","Payment Type; ","")&amp;IF(AND(INDEX('Game Records'!$U:$U,$H51)&lt;&gt;"Subscription",INDEX('Game Records'!$U:$U,$H51)&lt;&gt;"Free Game",INDEX('Game Records'!$U:$U,$H51)&lt;&gt;"Disqualified — Free Game",INDEX('Game Records'!$G:$G,$H51)=""),"Gross Pot; ","")&amp;IF(AND(INDEX('Game Records'!$U:$U,$H51)&lt;&gt;"Free Game",INDEX('Game Records'!$U:$U,$H51)&lt;&gt;"Disqualified — Free Game",INDEX('Game Records'!$H:$H,$H51)=""),"Entry Fee; ","")&amp;IF(AND(INDEX('Game Records'!$U:$U,$H51)&lt;&gt;"Subscription",INDEX('Game Records'!$U:$U,$H51)&lt;&gt;"Free Game",INDEX('Game Records'!$U:$U,$H51)&lt;&gt;"Disqualified — Free Game",INDEX('Game Records'!$I:$I,$H51)=""),"Eligible Players; ","")&amp;IF(AND(INDEX('Game Records'!$U:$U,$H51)&lt;&gt;"Subscription",INDEX('Game Records'!$U:$U,$H51)&lt;&gt;"Free Game",INDEX('Game Records'!$U:$U,$H51)&lt;&gt;"Disqualified — Free Game",INDEX('Game Records'!$J:$J,$H51)=""),"Total Players; ","")&amp;IF(AND(LOWER(INDEX('Game Records'!$D:$D,$H51)&amp;"")="finalized",LOWER(INDEX('Game Records'!$L:$L,$H51)&amp;"")&lt;&gt;"yes",INDEX('Game Records'!$U:$U,$H51)&lt;&gt;"Subscription",INDEX('Game Records'!$U:$U,$H51)&lt;&gt;"Free Game",INDEX('Game Records'!$U:$U,$H51)&lt;&gt;"Disqualified — Free Game",INDEX('Game Records'!$K:$K,$H51)=""),"Final Payout; ","")&amp;IF(AND(LOWER(INDEX('Game Records'!$D:$D,$H51)&amp;"")="finalized",INDEX('Game Records'!$U:$U,$H51)&lt;&gt;"Subscription",INDEX('Game Records'!$U:$U,$H51)&lt;&gt;"Free Game",INDEX('Game Records'!$U:$U,$H51)&lt;&gt;"Disqualified — Free Game",OR(INDEX('Game Records'!$L:$L,$H51)="",LOWER(INDEX('Game Records'!$L:$L,$H51)&amp;"")="n/a")),"Disqualified Status; ",""))</f>
        <v/>
      </c>
      <c r="G51" s="25" t="str">
        <f t="array" ref="G51">IF($H51="","",IFERROR(INDEX('Game Records'!$M:$M,$H51),""))</f>
        <v/>
      </c>
      <c r="H51" s="8"/>
      <c r="I51" s="8"/>
      <c r="J51" s="8"/>
    </row>
    <row r="52" ht="24.0" customHeight="1">
      <c r="A52" s="21" t="str">
        <f t="shared" si="1"/>
        <v/>
      </c>
      <c r="B52" s="21" t="str">
        <f t="shared" si="2"/>
        <v/>
      </c>
      <c r="C52" s="25" t="str">
        <f t="array" ref="C52">IF($H52="","",IFERROR(INDEX('Game Records'!$A:$A,$H52),""))</f>
        <v/>
      </c>
      <c r="D52" s="25" t="str">
        <f t="array" ref="D52">IF($H52="","",IFERROR(INDEX('Game Records'!$U:$U,$H52),""))</f>
        <v/>
      </c>
      <c r="E52" s="25" t="str">
        <f t="shared" si="3"/>
        <v/>
      </c>
      <c r="F52" s="25" t="str">
        <f t="array" ref="F52">IF($H52="","",IF(OR(NOT(_xlfn.ISFORMULA(INDEX('Game Records'!$N:$N,$H52))),NOT(_xlfn.ISFORMULA(INDEX('Game Records'!$O:$O,$H52))),NOT(_xlfn.ISFORMULA(INDEX('Game Records'!$P:$P,$H52))),NOT(_xlfn.ISFORMULA(INDEX('Game Records'!$Q:$Q,$H52))),NOT(_xlfn.ISFORMULA(INDEX('Game Records'!$R:$R,$H52))),NOT(_xlfn.ISFORMULA(INDEX('Game Records'!$S:$S,$H52))),NOT(_xlfn.ISFORMULA(INDEX('Game Records'!$T:$T,$H52))),NOT(_xlfn.ISFORMULA(INDEX('Game Records'!$U:$U,$H52))),NOT(_xlfn.ISFORMULA(INDEX('Game Records'!$V:$V,$H52))),NOT(_xlfn.ISFORMULA(INDEX('Game Records'!$W:$W,$H52))),NOT(_xlfn.ISFORMULA(INDEX('Game Records'!$X:$X,$H52))),NOT(_xlfn.ISFORMULA(INDEX('Game Records'!$Y:$Y,$H52))),NOT(_xlfn.ISFORMULA(INDEX('Game Records'!$Z:$Z,$H52)))),"","")&amp;IF(INDEX('Game Records'!$B:$B,$H52)="","Start Date; ","")&amp;IF(INDEX('Game Records'!$C:$C,$H52)="","End Date; ","")&amp;IF(AND(INDEX('Game Records'!$U:$U,$H52)&lt;&gt;"Subscription",INDEX('Game Records'!$U:$U,$H52)&lt;&gt;"Free Game",INDEX('Game Records'!$U:$U,$H52)&lt;&gt;"Disqualified — Free Game",OR(INDEX('Game Records'!$D:$D,$H52)="",LOWER(INDEX('Game Records'!$D:$D,$H52)&amp;"")="n/a")),"Entry Mode; ","")&amp;IF(AND(INDEX('Game Records'!$U:$U,$H52)&lt;&gt;"Subscription",INDEX('Game Records'!$U:$U,$H52)&lt;&gt;"Free Game",INDEX('Game Records'!$U:$U,$H52)&lt;&gt;"Disqualified — Free Game",OR(INDEX('Game Records'!$E:$E,$H52)="",LOWER(INDEX('Game Records'!$E:$E,$H52)&amp;"")="n/a")),"Game Type; ","")&amp;IF(INDEX('Game Records'!$F:$F,$H52)="","Payment Type; ","")&amp;IF(AND(INDEX('Game Records'!$U:$U,$H52)&lt;&gt;"Subscription",INDEX('Game Records'!$U:$U,$H52)&lt;&gt;"Free Game",INDEX('Game Records'!$U:$U,$H52)&lt;&gt;"Disqualified — Free Game",INDEX('Game Records'!$G:$G,$H52)=""),"Gross Pot; ","")&amp;IF(AND(INDEX('Game Records'!$U:$U,$H52)&lt;&gt;"Free Game",INDEX('Game Records'!$U:$U,$H52)&lt;&gt;"Disqualified — Free Game",INDEX('Game Records'!$H:$H,$H52)=""),"Entry Fee; ","")&amp;IF(AND(INDEX('Game Records'!$U:$U,$H52)&lt;&gt;"Subscription",INDEX('Game Records'!$U:$U,$H52)&lt;&gt;"Free Game",INDEX('Game Records'!$U:$U,$H52)&lt;&gt;"Disqualified — Free Game",INDEX('Game Records'!$I:$I,$H52)=""),"Eligible Players; ","")&amp;IF(AND(INDEX('Game Records'!$U:$U,$H52)&lt;&gt;"Subscription",INDEX('Game Records'!$U:$U,$H52)&lt;&gt;"Free Game",INDEX('Game Records'!$U:$U,$H52)&lt;&gt;"Disqualified — Free Game",INDEX('Game Records'!$J:$J,$H52)=""),"Total Players; ","")&amp;IF(AND(LOWER(INDEX('Game Records'!$D:$D,$H52)&amp;"")="finalized",LOWER(INDEX('Game Records'!$L:$L,$H52)&amp;"")&lt;&gt;"yes",INDEX('Game Records'!$U:$U,$H52)&lt;&gt;"Subscription",INDEX('Game Records'!$U:$U,$H52)&lt;&gt;"Free Game",INDEX('Game Records'!$U:$U,$H52)&lt;&gt;"Disqualified — Free Game",INDEX('Game Records'!$K:$K,$H52)=""),"Final Payout; ","")&amp;IF(AND(LOWER(INDEX('Game Records'!$D:$D,$H52)&amp;"")="finalized",INDEX('Game Records'!$U:$U,$H52)&lt;&gt;"Subscription",INDEX('Game Records'!$U:$U,$H52)&lt;&gt;"Free Game",INDEX('Game Records'!$U:$U,$H52)&lt;&gt;"Disqualified — Free Game",OR(INDEX('Game Records'!$L:$L,$H52)="",LOWER(INDEX('Game Records'!$L:$L,$H52)&amp;"")="n/a")),"Disqualified Status; ",""))</f>
        <v/>
      </c>
      <c r="G52" s="25" t="str">
        <f t="array" ref="G52">IF($H52="","",IFERROR(INDEX('Game Records'!$M:$M,$H52),""))</f>
        <v/>
      </c>
      <c r="H52" s="8"/>
      <c r="I52" s="8"/>
      <c r="J52" s="8"/>
    </row>
    <row r="53" ht="24.0" customHeight="1">
      <c r="A53" s="21" t="str">
        <f t="shared" si="1"/>
        <v/>
      </c>
      <c r="B53" s="21" t="str">
        <f t="shared" si="2"/>
        <v/>
      </c>
      <c r="C53" s="25" t="str">
        <f t="array" ref="C53">IF($H53="","",IFERROR(INDEX('Game Records'!$A:$A,$H53),""))</f>
        <v/>
      </c>
      <c r="D53" s="25" t="str">
        <f t="array" ref="D53">IF($H53="","",IFERROR(INDEX('Game Records'!$U:$U,$H53),""))</f>
        <v/>
      </c>
      <c r="E53" s="25" t="str">
        <f t="shared" si="3"/>
        <v/>
      </c>
      <c r="F53" s="25" t="str">
        <f t="array" ref="F53">IF($H53="","",IF(OR(NOT(_xlfn.ISFORMULA(INDEX('Game Records'!$N:$N,$H53))),NOT(_xlfn.ISFORMULA(INDEX('Game Records'!$O:$O,$H53))),NOT(_xlfn.ISFORMULA(INDEX('Game Records'!$P:$P,$H53))),NOT(_xlfn.ISFORMULA(INDEX('Game Records'!$Q:$Q,$H53))),NOT(_xlfn.ISFORMULA(INDEX('Game Records'!$R:$R,$H53))),NOT(_xlfn.ISFORMULA(INDEX('Game Records'!$S:$S,$H53))),NOT(_xlfn.ISFORMULA(INDEX('Game Records'!$T:$T,$H53))),NOT(_xlfn.ISFORMULA(INDEX('Game Records'!$U:$U,$H53))),NOT(_xlfn.ISFORMULA(INDEX('Game Records'!$V:$V,$H53))),NOT(_xlfn.ISFORMULA(INDEX('Game Records'!$W:$W,$H53))),NOT(_xlfn.ISFORMULA(INDEX('Game Records'!$X:$X,$H53))),NOT(_xlfn.ISFORMULA(INDEX('Game Records'!$Y:$Y,$H53))),NOT(_xlfn.ISFORMULA(INDEX('Game Records'!$Z:$Z,$H53)))),"","")&amp;IF(INDEX('Game Records'!$B:$B,$H53)="","Start Date; ","")&amp;IF(INDEX('Game Records'!$C:$C,$H53)="","End Date; ","")&amp;IF(AND(INDEX('Game Records'!$U:$U,$H53)&lt;&gt;"Subscription",INDEX('Game Records'!$U:$U,$H53)&lt;&gt;"Free Game",INDEX('Game Records'!$U:$U,$H53)&lt;&gt;"Disqualified — Free Game",OR(INDEX('Game Records'!$D:$D,$H53)="",LOWER(INDEX('Game Records'!$D:$D,$H53)&amp;"")="n/a")),"Entry Mode; ","")&amp;IF(AND(INDEX('Game Records'!$U:$U,$H53)&lt;&gt;"Subscription",INDEX('Game Records'!$U:$U,$H53)&lt;&gt;"Free Game",INDEX('Game Records'!$U:$U,$H53)&lt;&gt;"Disqualified — Free Game",OR(INDEX('Game Records'!$E:$E,$H53)="",LOWER(INDEX('Game Records'!$E:$E,$H53)&amp;"")="n/a")),"Game Type; ","")&amp;IF(INDEX('Game Records'!$F:$F,$H53)="","Payment Type; ","")&amp;IF(AND(INDEX('Game Records'!$U:$U,$H53)&lt;&gt;"Subscription",INDEX('Game Records'!$U:$U,$H53)&lt;&gt;"Free Game",INDEX('Game Records'!$U:$U,$H53)&lt;&gt;"Disqualified — Free Game",INDEX('Game Records'!$G:$G,$H53)=""),"Gross Pot; ","")&amp;IF(AND(INDEX('Game Records'!$U:$U,$H53)&lt;&gt;"Free Game",INDEX('Game Records'!$U:$U,$H53)&lt;&gt;"Disqualified — Free Game",INDEX('Game Records'!$H:$H,$H53)=""),"Entry Fee; ","")&amp;IF(AND(INDEX('Game Records'!$U:$U,$H53)&lt;&gt;"Subscription",INDEX('Game Records'!$U:$U,$H53)&lt;&gt;"Free Game",INDEX('Game Records'!$U:$U,$H53)&lt;&gt;"Disqualified — Free Game",INDEX('Game Records'!$I:$I,$H53)=""),"Eligible Players; ","")&amp;IF(AND(INDEX('Game Records'!$U:$U,$H53)&lt;&gt;"Subscription",INDEX('Game Records'!$U:$U,$H53)&lt;&gt;"Free Game",INDEX('Game Records'!$U:$U,$H53)&lt;&gt;"Disqualified — Free Game",INDEX('Game Records'!$J:$J,$H53)=""),"Total Players; ","")&amp;IF(AND(LOWER(INDEX('Game Records'!$D:$D,$H53)&amp;"")="finalized",LOWER(INDEX('Game Records'!$L:$L,$H53)&amp;"")&lt;&gt;"yes",INDEX('Game Records'!$U:$U,$H53)&lt;&gt;"Subscription",INDEX('Game Records'!$U:$U,$H53)&lt;&gt;"Free Game",INDEX('Game Records'!$U:$U,$H53)&lt;&gt;"Disqualified — Free Game",INDEX('Game Records'!$K:$K,$H53)=""),"Final Payout; ","")&amp;IF(AND(LOWER(INDEX('Game Records'!$D:$D,$H53)&amp;"")="finalized",INDEX('Game Records'!$U:$U,$H53)&lt;&gt;"Subscription",INDEX('Game Records'!$U:$U,$H53)&lt;&gt;"Free Game",INDEX('Game Records'!$U:$U,$H53)&lt;&gt;"Disqualified — Free Game",OR(INDEX('Game Records'!$L:$L,$H53)="",LOWER(INDEX('Game Records'!$L:$L,$H53)&amp;"")="n/a")),"Disqualified Status; ",""))</f>
        <v/>
      </c>
      <c r="G53" s="25" t="str">
        <f t="array" ref="G53">IF($H53="","",IFERROR(INDEX('Game Records'!$M:$M,$H53),""))</f>
        <v/>
      </c>
      <c r="H53" s="8"/>
      <c r="I53" s="8"/>
      <c r="J53" s="8"/>
    </row>
    <row r="54" ht="24.0" customHeight="1">
      <c r="A54" s="21" t="str">
        <f t="shared" si="1"/>
        <v/>
      </c>
      <c r="B54" s="21" t="str">
        <f t="shared" si="2"/>
        <v/>
      </c>
      <c r="C54" s="25" t="str">
        <f t="array" ref="C54">IF($H54="","",IFERROR(INDEX('Game Records'!$A:$A,$H54),""))</f>
        <v/>
      </c>
      <c r="D54" s="25" t="str">
        <f t="array" ref="D54">IF($H54="","",IFERROR(INDEX('Game Records'!$U:$U,$H54),""))</f>
        <v/>
      </c>
      <c r="E54" s="25" t="str">
        <f t="shared" si="3"/>
        <v/>
      </c>
      <c r="F54" s="25" t="str">
        <f t="array" ref="F54">IF($H54="","",IF(OR(NOT(_xlfn.ISFORMULA(INDEX('Game Records'!$N:$N,$H54))),NOT(_xlfn.ISFORMULA(INDEX('Game Records'!$O:$O,$H54))),NOT(_xlfn.ISFORMULA(INDEX('Game Records'!$P:$P,$H54))),NOT(_xlfn.ISFORMULA(INDEX('Game Records'!$Q:$Q,$H54))),NOT(_xlfn.ISFORMULA(INDEX('Game Records'!$R:$R,$H54))),NOT(_xlfn.ISFORMULA(INDEX('Game Records'!$S:$S,$H54))),NOT(_xlfn.ISFORMULA(INDEX('Game Records'!$T:$T,$H54))),NOT(_xlfn.ISFORMULA(INDEX('Game Records'!$U:$U,$H54))),NOT(_xlfn.ISFORMULA(INDEX('Game Records'!$V:$V,$H54))),NOT(_xlfn.ISFORMULA(INDEX('Game Records'!$W:$W,$H54))),NOT(_xlfn.ISFORMULA(INDEX('Game Records'!$X:$X,$H54))),NOT(_xlfn.ISFORMULA(INDEX('Game Records'!$Y:$Y,$H54))),NOT(_xlfn.ISFORMULA(INDEX('Game Records'!$Z:$Z,$H54)))),"","")&amp;IF(INDEX('Game Records'!$B:$B,$H54)="","Start Date; ","")&amp;IF(INDEX('Game Records'!$C:$C,$H54)="","End Date; ","")&amp;IF(AND(INDEX('Game Records'!$U:$U,$H54)&lt;&gt;"Subscription",INDEX('Game Records'!$U:$U,$H54)&lt;&gt;"Free Game",INDEX('Game Records'!$U:$U,$H54)&lt;&gt;"Disqualified — Free Game",OR(INDEX('Game Records'!$D:$D,$H54)="",LOWER(INDEX('Game Records'!$D:$D,$H54)&amp;"")="n/a")),"Entry Mode; ","")&amp;IF(AND(INDEX('Game Records'!$U:$U,$H54)&lt;&gt;"Subscription",INDEX('Game Records'!$U:$U,$H54)&lt;&gt;"Free Game",INDEX('Game Records'!$U:$U,$H54)&lt;&gt;"Disqualified — Free Game",OR(INDEX('Game Records'!$E:$E,$H54)="",LOWER(INDEX('Game Records'!$E:$E,$H54)&amp;"")="n/a")),"Game Type; ","")&amp;IF(INDEX('Game Records'!$F:$F,$H54)="","Payment Type; ","")&amp;IF(AND(INDEX('Game Records'!$U:$U,$H54)&lt;&gt;"Subscription",INDEX('Game Records'!$U:$U,$H54)&lt;&gt;"Free Game",INDEX('Game Records'!$U:$U,$H54)&lt;&gt;"Disqualified — Free Game",INDEX('Game Records'!$G:$G,$H54)=""),"Gross Pot; ","")&amp;IF(AND(INDEX('Game Records'!$U:$U,$H54)&lt;&gt;"Free Game",INDEX('Game Records'!$U:$U,$H54)&lt;&gt;"Disqualified — Free Game",INDEX('Game Records'!$H:$H,$H54)=""),"Entry Fee; ","")&amp;IF(AND(INDEX('Game Records'!$U:$U,$H54)&lt;&gt;"Subscription",INDEX('Game Records'!$U:$U,$H54)&lt;&gt;"Free Game",INDEX('Game Records'!$U:$U,$H54)&lt;&gt;"Disqualified — Free Game",INDEX('Game Records'!$I:$I,$H54)=""),"Eligible Players; ","")&amp;IF(AND(INDEX('Game Records'!$U:$U,$H54)&lt;&gt;"Subscription",INDEX('Game Records'!$U:$U,$H54)&lt;&gt;"Free Game",INDEX('Game Records'!$U:$U,$H54)&lt;&gt;"Disqualified — Free Game",INDEX('Game Records'!$J:$J,$H54)=""),"Total Players; ","")&amp;IF(AND(LOWER(INDEX('Game Records'!$D:$D,$H54)&amp;"")="finalized",LOWER(INDEX('Game Records'!$L:$L,$H54)&amp;"")&lt;&gt;"yes",INDEX('Game Records'!$U:$U,$H54)&lt;&gt;"Subscription",INDEX('Game Records'!$U:$U,$H54)&lt;&gt;"Free Game",INDEX('Game Records'!$U:$U,$H54)&lt;&gt;"Disqualified — Free Game",INDEX('Game Records'!$K:$K,$H54)=""),"Final Payout; ","")&amp;IF(AND(LOWER(INDEX('Game Records'!$D:$D,$H54)&amp;"")="finalized",INDEX('Game Records'!$U:$U,$H54)&lt;&gt;"Subscription",INDEX('Game Records'!$U:$U,$H54)&lt;&gt;"Free Game",INDEX('Game Records'!$U:$U,$H54)&lt;&gt;"Disqualified — Free Game",OR(INDEX('Game Records'!$L:$L,$H54)="",LOWER(INDEX('Game Records'!$L:$L,$H54)&amp;"")="n/a")),"Disqualified Status; ",""))</f>
        <v/>
      </c>
      <c r="G54" s="25" t="str">
        <f t="array" ref="G54">IF($H54="","",IFERROR(INDEX('Game Records'!$M:$M,$H54),""))</f>
        <v/>
      </c>
      <c r="H54" s="8"/>
      <c r="I54" s="8"/>
      <c r="J54" s="8"/>
    </row>
    <row r="55" ht="24.0" customHeight="1">
      <c r="A55" s="21" t="str">
        <f t="shared" si="1"/>
        <v/>
      </c>
      <c r="B55" s="21" t="str">
        <f t="shared" si="2"/>
        <v/>
      </c>
      <c r="C55" s="25" t="str">
        <f t="array" ref="C55">IF($H55="","",IFERROR(INDEX('Game Records'!$A:$A,$H55),""))</f>
        <v/>
      </c>
      <c r="D55" s="25" t="str">
        <f t="array" ref="D55">IF($H55="","",IFERROR(INDEX('Game Records'!$U:$U,$H55),""))</f>
        <v/>
      </c>
      <c r="E55" s="25" t="str">
        <f t="shared" si="3"/>
        <v/>
      </c>
      <c r="F55" s="25" t="str">
        <f t="array" ref="F55">IF($H55="","",IF(OR(NOT(_xlfn.ISFORMULA(INDEX('Game Records'!$N:$N,$H55))),NOT(_xlfn.ISFORMULA(INDEX('Game Records'!$O:$O,$H55))),NOT(_xlfn.ISFORMULA(INDEX('Game Records'!$P:$P,$H55))),NOT(_xlfn.ISFORMULA(INDEX('Game Records'!$Q:$Q,$H55))),NOT(_xlfn.ISFORMULA(INDEX('Game Records'!$R:$R,$H55))),NOT(_xlfn.ISFORMULA(INDEX('Game Records'!$S:$S,$H55))),NOT(_xlfn.ISFORMULA(INDEX('Game Records'!$T:$T,$H55))),NOT(_xlfn.ISFORMULA(INDEX('Game Records'!$U:$U,$H55))),NOT(_xlfn.ISFORMULA(INDEX('Game Records'!$V:$V,$H55))),NOT(_xlfn.ISFORMULA(INDEX('Game Records'!$W:$W,$H55))),NOT(_xlfn.ISFORMULA(INDEX('Game Records'!$X:$X,$H55))),NOT(_xlfn.ISFORMULA(INDEX('Game Records'!$Y:$Y,$H55))),NOT(_xlfn.ISFORMULA(INDEX('Game Records'!$Z:$Z,$H55)))),"","")&amp;IF(INDEX('Game Records'!$B:$B,$H55)="","Start Date; ","")&amp;IF(INDEX('Game Records'!$C:$C,$H55)="","End Date; ","")&amp;IF(AND(INDEX('Game Records'!$U:$U,$H55)&lt;&gt;"Subscription",INDEX('Game Records'!$U:$U,$H55)&lt;&gt;"Free Game",INDEX('Game Records'!$U:$U,$H55)&lt;&gt;"Disqualified — Free Game",OR(INDEX('Game Records'!$D:$D,$H55)="",LOWER(INDEX('Game Records'!$D:$D,$H55)&amp;"")="n/a")),"Entry Mode; ","")&amp;IF(AND(INDEX('Game Records'!$U:$U,$H55)&lt;&gt;"Subscription",INDEX('Game Records'!$U:$U,$H55)&lt;&gt;"Free Game",INDEX('Game Records'!$U:$U,$H55)&lt;&gt;"Disqualified — Free Game",OR(INDEX('Game Records'!$E:$E,$H55)="",LOWER(INDEX('Game Records'!$E:$E,$H55)&amp;"")="n/a")),"Game Type; ","")&amp;IF(INDEX('Game Records'!$F:$F,$H55)="","Payment Type; ","")&amp;IF(AND(INDEX('Game Records'!$U:$U,$H55)&lt;&gt;"Subscription",INDEX('Game Records'!$U:$U,$H55)&lt;&gt;"Free Game",INDEX('Game Records'!$U:$U,$H55)&lt;&gt;"Disqualified — Free Game",INDEX('Game Records'!$G:$G,$H55)=""),"Gross Pot; ","")&amp;IF(AND(INDEX('Game Records'!$U:$U,$H55)&lt;&gt;"Free Game",INDEX('Game Records'!$U:$U,$H55)&lt;&gt;"Disqualified — Free Game",INDEX('Game Records'!$H:$H,$H55)=""),"Entry Fee; ","")&amp;IF(AND(INDEX('Game Records'!$U:$U,$H55)&lt;&gt;"Subscription",INDEX('Game Records'!$U:$U,$H55)&lt;&gt;"Free Game",INDEX('Game Records'!$U:$U,$H55)&lt;&gt;"Disqualified — Free Game",INDEX('Game Records'!$I:$I,$H55)=""),"Eligible Players; ","")&amp;IF(AND(INDEX('Game Records'!$U:$U,$H55)&lt;&gt;"Subscription",INDEX('Game Records'!$U:$U,$H55)&lt;&gt;"Free Game",INDEX('Game Records'!$U:$U,$H55)&lt;&gt;"Disqualified — Free Game",INDEX('Game Records'!$J:$J,$H55)=""),"Total Players; ","")&amp;IF(AND(LOWER(INDEX('Game Records'!$D:$D,$H55)&amp;"")="finalized",LOWER(INDEX('Game Records'!$L:$L,$H55)&amp;"")&lt;&gt;"yes",INDEX('Game Records'!$U:$U,$H55)&lt;&gt;"Subscription",INDEX('Game Records'!$U:$U,$H55)&lt;&gt;"Free Game",INDEX('Game Records'!$U:$U,$H55)&lt;&gt;"Disqualified — Free Game",INDEX('Game Records'!$K:$K,$H55)=""),"Final Payout; ","")&amp;IF(AND(LOWER(INDEX('Game Records'!$D:$D,$H55)&amp;"")="finalized",INDEX('Game Records'!$U:$U,$H55)&lt;&gt;"Subscription",INDEX('Game Records'!$U:$U,$H55)&lt;&gt;"Free Game",INDEX('Game Records'!$U:$U,$H55)&lt;&gt;"Disqualified — Free Game",OR(INDEX('Game Records'!$L:$L,$H55)="",LOWER(INDEX('Game Records'!$L:$L,$H55)&amp;"")="n/a")),"Disqualified Status; ",""))</f>
        <v/>
      </c>
      <c r="G55" s="25" t="str">
        <f t="array" ref="G55">IF($H55="","",IFERROR(INDEX('Game Records'!$M:$M,$H55),""))</f>
        <v/>
      </c>
      <c r="H55" s="8"/>
      <c r="I55" s="8"/>
      <c r="J55" s="8"/>
    </row>
    <row r="56" ht="24.0" customHeight="1">
      <c r="A56" s="21" t="str">
        <f t="shared" si="1"/>
        <v/>
      </c>
      <c r="B56" s="21" t="str">
        <f t="shared" si="2"/>
        <v/>
      </c>
      <c r="C56" s="25" t="str">
        <f t="array" ref="C56">IF($H56="","",IFERROR(INDEX('Game Records'!$A:$A,$H56),""))</f>
        <v/>
      </c>
      <c r="D56" s="25" t="str">
        <f t="array" ref="D56">IF($H56="","",IFERROR(INDEX('Game Records'!$U:$U,$H56),""))</f>
        <v/>
      </c>
      <c r="E56" s="25" t="str">
        <f t="shared" si="3"/>
        <v/>
      </c>
      <c r="F56" s="25" t="str">
        <f t="array" ref="F56">IF($H56="","",IF(OR(NOT(_xlfn.ISFORMULA(INDEX('Game Records'!$N:$N,$H56))),NOT(_xlfn.ISFORMULA(INDEX('Game Records'!$O:$O,$H56))),NOT(_xlfn.ISFORMULA(INDEX('Game Records'!$P:$P,$H56))),NOT(_xlfn.ISFORMULA(INDEX('Game Records'!$Q:$Q,$H56))),NOT(_xlfn.ISFORMULA(INDEX('Game Records'!$R:$R,$H56))),NOT(_xlfn.ISFORMULA(INDEX('Game Records'!$S:$S,$H56))),NOT(_xlfn.ISFORMULA(INDEX('Game Records'!$T:$T,$H56))),NOT(_xlfn.ISFORMULA(INDEX('Game Records'!$U:$U,$H56))),NOT(_xlfn.ISFORMULA(INDEX('Game Records'!$V:$V,$H56))),NOT(_xlfn.ISFORMULA(INDEX('Game Records'!$W:$W,$H56))),NOT(_xlfn.ISFORMULA(INDEX('Game Records'!$X:$X,$H56))),NOT(_xlfn.ISFORMULA(INDEX('Game Records'!$Y:$Y,$H56))),NOT(_xlfn.ISFORMULA(INDEX('Game Records'!$Z:$Z,$H56)))),"","")&amp;IF(INDEX('Game Records'!$B:$B,$H56)="","Start Date; ","")&amp;IF(INDEX('Game Records'!$C:$C,$H56)="","End Date; ","")&amp;IF(AND(INDEX('Game Records'!$U:$U,$H56)&lt;&gt;"Subscription",INDEX('Game Records'!$U:$U,$H56)&lt;&gt;"Free Game",INDEX('Game Records'!$U:$U,$H56)&lt;&gt;"Disqualified — Free Game",OR(INDEX('Game Records'!$D:$D,$H56)="",LOWER(INDEX('Game Records'!$D:$D,$H56)&amp;"")="n/a")),"Entry Mode; ","")&amp;IF(AND(INDEX('Game Records'!$U:$U,$H56)&lt;&gt;"Subscription",INDEX('Game Records'!$U:$U,$H56)&lt;&gt;"Free Game",INDEX('Game Records'!$U:$U,$H56)&lt;&gt;"Disqualified — Free Game",OR(INDEX('Game Records'!$E:$E,$H56)="",LOWER(INDEX('Game Records'!$E:$E,$H56)&amp;"")="n/a")),"Game Type; ","")&amp;IF(INDEX('Game Records'!$F:$F,$H56)="","Payment Type; ","")&amp;IF(AND(INDEX('Game Records'!$U:$U,$H56)&lt;&gt;"Subscription",INDEX('Game Records'!$U:$U,$H56)&lt;&gt;"Free Game",INDEX('Game Records'!$U:$U,$H56)&lt;&gt;"Disqualified — Free Game",INDEX('Game Records'!$G:$G,$H56)=""),"Gross Pot; ","")&amp;IF(AND(INDEX('Game Records'!$U:$U,$H56)&lt;&gt;"Free Game",INDEX('Game Records'!$U:$U,$H56)&lt;&gt;"Disqualified — Free Game",INDEX('Game Records'!$H:$H,$H56)=""),"Entry Fee; ","")&amp;IF(AND(INDEX('Game Records'!$U:$U,$H56)&lt;&gt;"Subscription",INDEX('Game Records'!$U:$U,$H56)&lt;&gt;"Free Game",INDEX('Game Records'!$U:$U,$H56)&lt;&gt;"Disqualified — Free Game",INDEX('Game Records'!$I:$I,$H56)=""),"Eligible Players; ","")&amp;IF(AND(INDEX('Game Records'!$U:$U,$H56)&lt;&gt;"Subscription",INDEX('Game Records'!$U:$U,$H56)&lt;&gt;"Free Game",INDEX('Game Records'!$U:$U,$H56)&lt;&gt;"Disqualified — Free Game",INDEX('Game Records'!$J:$J,$H56)=""),"Total Players; ","")&amp;IF(AND(LOWER(INDEX('Game Records'!$D:$D,$H56)&amp;"")="finalized",LOWER(INDEX('Game Records'!$L:$L,$H56)&amp;"")&lt;&gt;"yes",INDEX('Game Records'!$U:$U,$H56)&lt;&gt;"Subscription",INDEX('Game Records'!$U:$U,$H56)&lt;&gt;"Free Game",INDEX('Game Records'!$U:$U,$H56)&lt;&gt;"Disqualified — Free Game",INDEX('Game Records'!$K:$K,$H56)=""),"Final Payout; ","")&amp;IF(AND(LOWER(INDEX('Game Records'!$D:$D,$H56)&amp;"")="finalized",INDEX('Game Records'!$U:$U,$H56)&lt;&gt;"Subscription",INDEX('Game Records'!$U:$U,$H56)&lt;&gt;"Free Game",INDEX('Game Records'!$U:$U,$H56)&lt;&gt;"Disqualified — Free Game",OR(INDEX('Game Records'!$L:$L,$H56)="",LOWER(INDEX('Game Records'!$L:$L,$H56)&amp;"")="n/a")),"Disqualified Status; ",""))</f>
        <v/>
      </c>
      <c r="G56" s="25" t="str">
        <f t="array" ref="G56">IF($H56="","",IFERROR(INDEX('Game Records'!$M:$M,$H56),""))</f>
        <v/>
      </c>
      <c r="H56" s="8"/>
      <c r="I56" s="8"/>
      <c r="J56" s="8"/>
    </row>
    <row r="57" ht="24.0" customHeight="1">
      <c r="A57" s="21" t="str">
        <f t="shared" si="1"/>
        <v/>
      </c>
      <c r="B57" s="21" t="str">
        <f t="shared" si="2"/>
        <v/>
      </c>
      <c r="C57" s="25" t="str">
        <f t="array" ref="C57">IF($H57="","",IFERROR(INDEX('Game Records'!$A:$A,$H57),""))</f>
        <v/>
      </c>
      <c r="D57" s="25" t="str">
        <f t="array" ref="D57">IF($H57="","",IFERROR(INDEX('Game Records'!$U:$U,$H57),""))</f>
        <v/>
      </c>
      <c r="E57" s="25" t="str">
        <f t="shared" si="3"/>
        <v/>
      </c>
      <c r="F57" s="25" t="str">
        <f t="array" ref="F57">IF($H57="","",IF(OR(NOT(_xlfn.ISFORMULA(INDEX('Game Records'!$N:$N,$H57))),NOT(_xlfn.ISFORMULA(INDEX('Game Records'!$O:$O,$H57))),NOT(_xlfn.ISFORMULA(INDEX('Game Records'!$P:$P,$H57))),NOT(_xlfn.ISFORMULA(INDEX('Game Records'!$Q:$Q,$H57))),NOT(_xlfn.ISFORMULA(INDEX('Game Records'!$R:$R,$H57))),NOT(_xlfn.ISFORMULA(INDEX('Game Records'!$S:$S,$H57))),NOT(_xlfn.ISFORMULA(INDEX('Game Records'!$T:$T,$H57))),NOT(_xlfn.ISFORMULA(INDEX('Game Records'!$U:$U,$H57))),NOT(_xlfn.ISFORMULA(INDEX('Game Records'!$V:$V,$H57))),NOT(_xlfn.ISFORMULA(INDEX('Game Records'!$W:$W,$H57))),NOT(_xlfn.ISFORMULA(INDEX('Game Records'!$X:$X,$H57))),NOT(_xlfn.ISFORMULA(INDEX('Game Records'!$Y:$Y,$H57))),NOT(_xlfn.ISFORMULA(INDEX('Game Records'!$Z:$Z,$H57)))),"","")&amp;IF(INDEX('Game Records'!$B:$B,$H57)="","Start Date; ","")&amp;IF(INDEX('Game Records'!$C:$C,$H57)="","End Date; ","")&amp;IF(AND(INDEX('Game Records'!$U:$U,$H57)&lt;&gt;"Subscription",INDEX('Game Records'!$U:$U,$H57)&lt;&gt;"Free Game",INDEX('Game Records'!$U:$U,$H57)&lt;&gt;"Disqualified — Free Game",OR(INDEX('Game Records'!$D:$D,$H57)="",LOWER(INDEX('Game Records'!$D:$D,$H57)&amp;"")="n/a")),"Entry Mode; ","")&amp;IF(AND(INDEX('Game Records'!$U:$U,$H57)&lt;&gt;"Subscription",INDEX('Game Records'!$U:$U,$H57)&lt;&gt;"Free Game",INDEX('Game Records'!$U:$U,$H57)&lt;&gt;"Disqualified — Free Game",OR(INDEX('Game Records'!$E:$E,$H57)="",LOWER(INDEX('Game Records'!$E:$E,$H57)&amp;"")="n/a")),"Game Type; ","")&amp;IF(INDEX('Game Records'!$F:$F,$H57)="","Payment Type; ","")&amp;IF(AND(INDEX('Game Records'!$U:$U,$H57)&lt;&gt;"Subscription",INDEX('Game Records'!$U:$U,$H57)&lt;&gt;"Free Game",INDEX('Game Records'!$U:$U,$H57)&lt;&gt;"Disqualified — Free Game",INDEX('Game Records'!$G:$G,$H57)=""),"Gross Pot; ","")&amp;IF(AND(INDEX('Game Records'!$U:$U,$H57)&lt;&gt;"Free Game",INDEX('Game Records'!$U:$U,$H57)&lt;&gt;"Disqualified — Free Game",INDEX('Game Records'!$H:$H,$H57)=""),"Entry Fee; ","")&amp;IF(AND(INDEX('Game Records'!$U:$U,$H57)&lt;&gt;"Subscription",INDEX('Game Records'!$U:$U,$H57)&lt;&gt;"Free Game",INDEX('Game Records'!$U:$U,$H57)&lt;&gt;"Disqualified — Free Game",INDEX('Game Records'!$I:$I,$H57)=""),"Eligible Players; ","")&amp;IF(AND(INDEX('Game Records'!$U:$U,$H57)&lt;&gt;"Subscription",INDEX('Game Records'!$U:$U,$H57)&lt;&gt;"Free Game",INDEX('Game Records'!$U:$U,$H57)&lt;&gt;"Disqualified — Free Game",INDEX('Game Records'!$J:$J,$H57)=""),"Total Players; ","")&amp;IF(AND(LOWER(INDEX('Game Records'!$D:$D,$H57)&amp;"")="finalized",LOWER(INDEX('Game Records'!$L:$L,$H57)&amp;"")&lt;&gt;"yes",INDEX('Game Records'!$U:$U,$H57)&lt;&gt;"Subscription",INDEX('Game Records'!$U:$U,$H57)&lt;&gt;"Free Game",INDEX('Game Records'!$U:$U,$H57)&lt;&gt;"Disqualified — Free Game",INDEX('Game Records'!$K:$K,$H57)=""),"Final Payout; ","")&amp;IF(AND(LOWER(INDEX('Game Records'!$D:$D,$H57)&amp;"")="finalized",INDEX('Game Records'!$U:$U,$H57)&lt;&gt;"Subscription",INDEX('Game Records'!$U:$U,$H57)&lt;&gt;"Free Game",INDEX('Game Records'!$U:$U,$H57)&lt;&gt;"Disqualified — Free Game",OR(INDEX('Game Records'!$L:$L,$H57)="",LOWER(INDEX('Game Records'!$L:$L,$H57)&amp;"")="n/a")),"Disqualified Status; ",""))</f>
        <v/>
      </c>
      <c r="G57" s="25" t="str">
        <f t="array" ref="G57">IF($H57="","",IFERROR(INDEX('Game Records'!$M:$M,$H57),""))</f>
        <v/>
      </c>
      <c r="H57" s="8"/>
      <c r="I57" s="8"/>
      <c r="J57" s="8"/>
    </row>
    <row r="58" ht="24.0" customHeight="1">
      <c r="A58" s="21" t="str">
        <f t="shared" si="1"/>
        <v/>
      </c>
      <c r="B58" s="21" t="str">
        <f t="shared" si="2"/>
        <v/>
      </c>
      <c r="C58" s="25" t="str">
        <f t="array" ref="C58">IF($H58="","",IFERROR(INDEX('Game Records'!$A:$A,$H58),""))</f>
        <v/>
      </c>
      <c r="D58" s="25" t="str">
        <f t="array" ref="D58">IF($H58="","",IFERROR(INDEX('Game Records'!$U:$U,$H58),""))</f>
        <v/>
      </c>
      <c r="E58" s="25" t="str">
        <f t="shared" si="3"/>
        <v/>
      </c>
      <c r="F58" s="25" t="str">
        <f t="array" ref="F58">IF($H58="","",IF(OR(NOT(_xlfn.ISFORMULA(INDEX('Game Records'!$N:$N,$H58))),NOT(_xlfn.ISFORMULA(INDEX('Game Records'!$O:$O,$H58))),NOT(_xlfn.ISFORMULA(INDEX('Game Records'!$P:$P,$H58))),NOT(_xlfn.ISFORMULA(INDEX('Game Records'!$Q:$Q,$H58))),NOT(_xlfn.ISFORMULA(INDEX('Game Records'!$R:$R,$H58))),NOT(_xlfn.ISFORMULA(INDEX('Game Records'!$S:$S,$H58))),NOT(_xlfn.ISFORMULA(INDEX('Game Records'!$T:$T,$H58))),NOT(_xlfn.ISFORMULA(INDEX('Game Records'!$U:$U,$H58))),NOT(_xlfn.ISFORMULA(INDEX('Game Records'!$V:$V,$H58))),NOT(_xlfn.ISFORMULA(INDEX('Game Records'!$W:$W,$H58))),NOT(_xlfn.ISFORMULA(INDEX('Game Records'!$X:$X,$H58))),NOT(_xlfn.ISFORMULA(INDEX('Game Records'!$Y:$Y,$H58))),NOT(_xlfn.ISFORMULA(INDEX('Game Records'!$Z:$Z,$H58)))),"","")&amp;IF(INDEX('Game Records'!$B:$B,$H58)="","Start Date; ","")&amp;IF(INDEX('Game Records'!$C:$C,$H58)="","End Date; ","")&amp;IF(AND(INDEX('Game Records'!$U:$U,$H58)&lt;&gt;"Subscription",INDEX('Game Records'!$U:$U,$H58)&lt;&gt;"Free Game",INDEX('Game Records'!$U:$U,$H58)&lt;&gt;"Disqualified — Free Game",OR(INDEX('Game Records'!$D:$D,$H58)="",LOWER(INDEX('Game Records'!$D:$D,$H58)&amp;"")="n/a")),"Entry Mode; ","")&amp;IF(AND(INDEX('Game Records'!$U:$U,$H58)&lt;&gt;"Subscription",INDEX('Game Records'!$U:$U,$H58)&lt;&gt;"Free Game",INDEX('Game Records'!$U:$U,$H58)&lt;&gt;"Disqualified — Free Game",OR(INDEX('Game Records'!$E:$E,$H58)="",LOWER(INDEX('Game Records'!$E:$E,$H58)&amp;"")="n/a")),"Game Type; ","")&amp;IF(INDEX('Game Records'!$F:$F,$H58)="","Payment Type; ","")&amp;IF(AND(INDEX('Game Records'!$U:$U,$H58)&lt;&gt;"Subscription",INDEX('Game Records'!$U:$U,$H58)&lt;&gt;"Free Game",INDEX('Game Records'!$U:$U,$H58)&lt;&gt;"Disqualified — Free Game",INDEX('Game Records'!$G:$G,$H58)=""),"Gross Pot; ","")&amp;IF(AND(INDEX('Game Records'!$U:$U,$H58)&lt;&gt;"Free Game",INDEX('Game Records'!$U:$U,$H58)&lt;&gt;"Disqualified — Free Game",INDEX('Game Records'!$H:$H,$H58)=""),"Entry Fee; ","")&amp;IF(AND(INDEX('Game Records'!$U:$U,$H58)&lt;&gt;"Subscription",INDEX('Game Records'!$U:$U,$H58)&lt;&gt;"Free Game",INDEX('Game Records'!$U:$U,$H58)&lt;&gt;"Disqualified — Free Game",INDEX('Game Records'!$I:$I,$H58)=""),"Eligible Players; ","")&amp;IF(AND(INDEX('Game Records'!$U:$U,$H58)&lt;&gt;"Subscription",INDEX('Game Records'!$U:$U,$H58)&lt;&gt;"Free Game",INDEX('Game Records'!$U:$U,$H58)&lt;&gt;"Disqualified — Free Game",INDEX('Game Records'!$J:$J,$H58)=""),"Total Players; ","")&amp;IF(AND(LOWER(INDEX('Game Records'!$D:$D,$H58)&amp;"")="finalized",LOWER(INDEX('Game Records'!$L:$L,$H58)&amp;"")&lt;&gt;"yes",INDEX('Game Records'!$U:$U,$H58)&lt;&gt;"Subscription",INDEX('Game Records'!$U:$U,$H58)&lt;&gt;"Free Game",INDEX('Game Records'!$U:$U,$H58)&lt;&gt;"Disqualified — Free Game",INDEX('Game Records'!$K:$K,$H58)=""),"Final Payout; ","")&amp;IF(AND(LOWER(INDEX('Game Records'!$D:$D,$H58)&amp;"")="finalized",INDEX('Game Records'!$U:$U,$H58)&lt;&gt;"Subscription",INDEX('Game Records'!$U:$U,$H58)&lt;&gt;"Free Game",INDEX('Game Records'!$U:$U,$H58)&lt;&gt;"Disqualified — Free Game",OR(INDEX('Game Records'!$L:$L,$H58)="",LOWER(INDEX('Game Records'!$L:$L,$H58)&amp;"")="n/a")),"Disqualified Status; ",""))</f>
        <v/>
      </c>
      <c r="G58" s="25" t="str">
        <f t="array" ref="G58">IF($H58="","",IFERROR(INDEX('Game Records'!$M:$M,$H58),""))</f>
        <v/>
      </c>
      <c r="H58" s="8"/>
      <c r="I58" s="8"/>
      <c r="J58" s="8"/>
    </row>
    <row r="59" ht="24.0" customHeight="1">
      <c r="A59" s="21" t="str">
        <f t="shared" si="1"/>
        <v/>
      </c>
      <c r="B59" s="21" t="str">
        <f t="shared" si="2"/>
        <v/>
      </c>
      <c r="C59" s="25" t="str">
        <f t="array" ref="C59">IF($H59="","",IFERROR(INDEX('Game Records'!$A:$A,$H59),""))</f>
        <v/>
      </c>
      <c r="D59" s="25" t="str">
        <f t="array" ref="D59">IF($H59="","",IFERROR(INDEX('Game Records'!$U:$U,$H59),""))</f>
        <v/>
      </c>
      <c r="E59" s="25" t="str">
        <f t="shared" si="3"/>
        <v/>
      </c>
      <c r="F59" s="25" t="str">
        <f t="array" ref="F59">IF($H59="","",IF(OR(NOT(_xlfn.ISFORMULA(INDEX('Game Records'!$N:$N,$H59))),NOT(_xlfn.ISFORMULA(INDEX('Game Records'!$O:$O,$H59))),NOT(_xlfn.ISFORMULA(INDEX('Game Records'!$P:$P,$H59))),NOT(_xlfn.ISFORMULA(INDEX('Game Records'!$Q:$Q,$H59))),NOT(_xlfn.ISFORMULA(INDEX('Game Records'!$R:$R,$H59))),NOT(_xlfn.ISFORMULA(INDEX('Game Records'!$S:$S,$H59))),NOT(_xlfn.ISFORMULA(INDEX('Game Records'!$T:$T,$H59))),NOT(_xlfn.ISFORMULA(INDEX('Game Records'!$U:$U,$H59))),NOT(_xlfn.ISFORMULA(INDEX('Game Records'!$V:$V,$H59))),NOT(_xlfn.ISFORMULA(INDEX('Game Records'!$W:$W,$H59))),NOT(_xlfn.ISFORMULA(INDEX('Game Records'!$X:$X,$H59))),NOT(_xlfn.ISFORMULA(INDEX('Game Records'!$Y:$Y,$H59))),NOT(_xlfn.ISFORMULA(INDEX('Game Records'!$Z:$Z,$H59)))),"","")&amp;IF(INDEX('Game Records'!$B:$B,$H59)="","Start Date; ","")&amp;IF(INDEX('Game Records'!$C:$C,$H59)="","End Date; ","")&amp;IF(AND(INDEX('Game Records'!$U:$U,$H59)&lt;&gt;"Subscription",INDEX('Game Records'!$U:$U,$H59)&lt;&gt;"Free Game",INDEX('Game Records'!$U:$U,$H59)&lt;&gt;"Disqualified — Free Game",OR(INDEX('Game Records'!$D:$D,$H59)="",LOWER(INDEX('Game Records'!$D:$D,$H59)&amp;"")="n/a")),"Entry Mode; ","")&amp;IF(AND(INDEX('Game Records'!$U:$U,$H59)&lt;&gt;"Subscription",INDEX('Game Records'!$U:$U,$H59)&lt;&gt;"Free Game",INDEX('Game Records'!$U:$U,$H59)&lt;&gt;"Disqualified — Free Game",OR(INDEX('Game Records'!$E:$E,$H59)="",LOWER(INDEX('Game Records'!$E:$E,$H59)&amp;"")="n/a")),"Game Type; ","")&amp;IF(INDEX('Game Records'!$F:$F,$H59)="","Payment Type; ","")&amp;IF(AND(INDEX('Game Records'!$U:$U,$H59)&lt;&gt;"Subscription",INDEX('Game Records'!$U:$U,$H59)&lt;&gt;"Free Game",INDEX('Game Records'!$U:$U,$H59)&lt;&gt;"Disqualified — Free Game",INDEX('Game Records'!$G:$G,$H59)=""),"Gross Pot; ","")&amp;IF(AND(INDEX('Game Records'!$U:$U,$H59)&lt;&gt;"Free Game",INDEX('Game Records'!$U:$U,$H59)&lt;&gt;"Disqualified — Free Game",INDEX('Game Records'!$H:$H,$H59)=""),"Entry Fee; ","")&amp;IF(AND(INDEX('Game Records'!$U:$U,$H59)&lt;&gt;"Subscription",INDEX('Game Records'!$U:$U,$H59)&lt;&gt;"Free Game",INDEX('Game Records'!$U:$U,$H59)&lt;&gt;"Disqualified — Free Game",INDEX('Game Records'!$I:$I,$H59)=""),"Eligible Players; ","")&amp;IF(AND(INDEX('Game Records'!$U:$U,$H59)&lt;&gt;"Subscription",INDEX('Game Records'!$U:$U,$H59)&lt;&gt;"Free Game",INDEX('Game Records'!$U:$U,$H59)&lt;&gt;"Disqualified — Free Game",INDEX('Game Records'!$J:$J,$H59)=""),"Total Players; ","")&amp;IF(AND(LOWER(INDEX('Game Records'!$D:$D,$H59)&amp;"")="finalized",LOWER(INDEX('Game Records'!$L:$L,$H59)&amp;"")&lt;&gt;"yes",INDEX('Game Records'!$U:$U,$H59)&lt;&gt;"Subscription",INDEX('Game Records'!$U:$U,$H59)&lt;&gt;"Free Game",INDEX('Game Records'!$U:$U,$H59)&lt;&gt;"Disqualified — Free Game",INDEX('Game Records'!$K:$K,$H59)=""),"Final Payout; ","")&amp;IF(AND(LOWER(INDEX('Game Records'!$D:$D,$H59)&amp;"")="finalized",INDEX('Game Records'!$U:$U,$H59)&lt;&gt;"Subscription",INDEX('Game Records'!$U:$U,$H59)&lt;&gt;"Free Game",INDEX('Game Records'!$U:$U,$H59)&lt;&gt;"Disqualified — Free Game",OR(INDEX('Game Records'!$L:$L,$H59)="",LOWER(INDEX('Game Records'!$L:$L,$H59)&amp;"")="n/a")),"Disqualified Status; ",""))</f>
        <v/>
      </c>
      <c r="G59" s="25" t="str">
        <f t="array" ref="G59">IF($H59="","",IFERROR(INDEX('Game Records'!$M:$M,$H59),""))</f>
        <v/>
      </c>
      <c r="H59" s="8"/>
      <c r="I59" s="8"/>
      <c r="J59" s="8"/>
    </row>
    <row r="60" ht="24.0" customHeight="1">
      <c r="A60" s="21" t="str">
        <f t="shared" si="1"/>
        <v/>
      </c>
      <c r="B60" s="21" t="str">
        <f t="shared" si="2"/>
        <v/>
      </c>
      <c r="C60" s="25" t="str">
        <f t="array" ref="C60">IF($H60="","",IFERROR(INDEX('Game Records'!$A:$A,$H60),""))</f>
        <v/>
      </c>
      <c r="D60" s="25" t="str">
        <f t="array" ref="D60">IF($H60="","",IFERROR(INDEX('Game Records'!$U:$U,$H60),""))</f>
        <v/>
      </c>
      <c r="E60" s="25" t="str">
        <f t="shared" si="3"/>
        <v/>
      </c>
      <c r="F60" s="25" t="str">
        <f t="array" ref="F60">IF($H60="","",IF(OR(NOT(_xlfn.ISFORMULA(INDEX('Game Records'!$N:$N,$H60))),NOT(_xlfn.ISFORMULA(INDEX('Game Records'!$O:$O,$H60))),NOT(_xlfn.ISFORMULA(INDEX('Game Records'!$P:$P,$H60))),NOT(_xlfn.ISFORMULA(INDEX('Game Records'!$Q:$Q,$H60))),NOT(_xlfn.ISFORMULA(INDEX('Game Records'!$R:$R,$H60))),NOT(_xlfn.ISFORMULA(INDEX('Game Records'!$S:$S,$H60))),NOT(_xlfn.ISFORMULA(INDEX('Game Records'!$T:$T,$H60))),NOT(_xlfn.ISFORMULA(INDEX('Game Records'!$U:$U,$H60))),NOT(_xlfn.ISFORMULA(INDEX('Game Records'!$V:$V,$H60))),NOT(_xlfn.ISFORMULA(INDEX('Game Records'!$W:$W,$H60))),NOT(_xlfn.ISFORMULA(INDEX('Game Records'!$X:$X,$H60))),NOT(_xlfn.ISFORMULA(INDEX('Game Records'!$Y:$Y,$H60))),NOT(_xlfn.ISFORMULA(INDEX('Game Records'!$Z:$Z,$H60)))),"","")&amp;IF(INDEX('Game Records'!$B:$B,$H60)="","Start Date; ","")&amp;IF(INDEX('Game Records'!$C:$C,$H60)="","End Date; ","")&amp;IF(AND(INDEX('Game Records'!$U:$U,$H60)&lt;&gt;"Subscription",INDEX('Game Records'!$U:$U,$H60)&lt;&gt;"Free Game",INDEX('Game Records'!$U:$U,$H60)&lt;&gt;"Disqualified — Free Game",OR(INDEX('Game Records'!$D:$D,$H60)="",LOWER(INDEX('Game Records'!$D:$D,$H60)&amp;"")="n/a")),"Entry Mode; ","")&amp;IF(AND(INDEX('Game Records'!$U:$U,$H60)&lt;&gt;"Subscription",INDEX('Game Records'!$U:$U,$H60)&lt;&gt;"Free Game",INDEX('Game Records'!$U:$U,$H60)&lt;&gt;"Disqualified — Free Game",OR(INDEX('Game Records'!$E:$E,$H60)="",LOWER(INDEX('Game Records'!$E:$E,$H60)&amp;"")="n/a")),"Game Type; ","")&amp;IF(INDEX('Game Records'!$F:$F,$H60)="","Payment Type; ","")&amp;IF(AND(INDEX('Game Records'!$U:$U,$H60)&lt;&gt;"Subscription",INDEX('Game Records'!$U:$U,$H60)&lt;&gt;"Free Game",INDEX('Game Records'!$U:$U,$H60)&lt;&gt;"Disqualified — Free Game",INDEX('Game Records'!$G:$G,$H60)=""),"Gross Pot; ","")&amp;IF(AND(INDEX('Game Records'!$U:$U,$H60)&lt;&gt;"Free Game",INDEX('Game Records'!$U:$U,$H60)&lt;&gt;"Disqualified — Free Game",INDEX('Game Records'!$H:$H,$H60)=""),"Entry Fee; ","")&amp;IF(AND(INDEX('Game Records'!$U:$U,$H60)&lt;&gt;"Subscription",INDEX('Game Records'!$U:$U,$H60)&lt;&gt;"Free Game",INDEX('Game Records'!$U:$U,$H60)&lt;&gt;"Disqualified — Free Game",INDEX('Game Records'!$I:$I,$H60)=""),"Eligible Players; ","")&amp;IF(AND(INDEX('Game Records'!$U:$U,$H60)&lt;&gt;"Subscription",INDEX('Game Records'!$U:$U,$H60)&lt;&gt;"Free Game",INDEX('Game Records'!$U:$U,$H60)&lt;&gt;"Disqualified — Free Game",INDEX('Game Records'!$J:$J,$H60)=""),"Total Players; ","")&amp;IF(AND(LOWER(INDEX('Game Records'!$D:$D,$H60)&amp;"")="finalized",LOWER(INDEX('Game Records'!$L:$L,$H60)&amp;"")&lt;&gt;"yes",INDEX('Game Records'!$U:$U,$H60)&lt;&gt;"Subscription",INDEX('Game Records'!$U:$U,$H60)&lt;&gt;"Free Game",INDEX('Game Records'!$U:$U,$H60)&lt;&gt;"Disqualified — Free Game",INDEX('Game Records'!$K:$K,$H60)=""),"Final Payout; ","")&amp;IF(AND(LOWER(INDEX('Game Records'!$D:$D,$H60)&amp;"")="finalized",INDEX('Game Records'!$U:$U,$H60)&lt;&gt;"Subscription",INDEX('Game Records'!$U:$U,$H60)&lt;&gt;"Free Game",INDEX('Game Records'!$U:$U,$H60)&lt;&gt;"Disqualified — Free Game",OR(INDEX('Game Records'!$L:$L,$H60)="",LOWER(INDEX('Game Records'!$L:$L,$H60)&amp;"")="n/a")),"Disqualified Status; ",""))</f>
        <v/>
      </c>
      <c r="G60" s="25" t="str">
        <f t="array" ref="G60">IF($H60="","",IFERROR(INDEX('Game Records'!$M:$M,$H60),""))</f>
        <v/>
      </c>
      <c r="H60" s="8"/>
      <c r="I60" s="8"/>
      <c r="J60" s="8"/>
    </row>
    <row r="61" ht="24.0" customHeight="1">
      <c r="A61" s="21" t="str">
        <f t="shared" si="1"/>
        <v/>
      </c>
      <c r="B61" s="21" t="str">
        <f t="shared" si="2"/>
        <v/>
      </c>
      <c r="C61" s="25" t="str">
        <f t="array" ref="C61">IF($H61="","",IFERROR(INDEX('Game Records'!$A:$A,$H61),""))</f>
        <v/>
      </c>
      <c r="D61" s="25" t="str">
        <f t="array" ref="D61">IF($H61="","",IFERROR(INDEX('Game Records'!$U:$U,$H61),""))</f>
        <v/>
      </c>
      <c r="E61" s="25" t="str">
        <f t="shared" si="3"/>
        <v/>
      </c>
      <c r="F61" s="25" t="str">
        <f t="array" ref="F61">IF($H61="","",IF(OR(NOT(_xlfn.ISFORMULA(INDEX('Game Records'!$N:$N,$H61))),NOT(_xlfn.ISFORMULA(INDEX('Game Records'!$O:$O,$H61))),NOT(_xlfn.ISFORMULA(INDEX('Game Records'!$P:$P,$H61))),NOT(_xlfn.ISFORMULA(INDEX('Game Records'!$Q:$Q,$H61))),NOT(_xlfn.ISFORMULA(INDEX('Game Records'!$R:$R,$H61))),NOT(_xlfn.ISFORMULA(INDEX('Game Records'!$S:$S,$H61))),NOT(_xlfn.ISFORMULA(INDEX('Game Records'!$T:$T,$H61))),NOT(_xlfn.ISFORMULA(INDEX('Game Records'!$U:$U,$H61))),NOT(_xlfn.ISFORMULA(INDEX('Game Records'!$V:$V,$H61))),NOT(_xlfn.ISFORMULA(INDEX('Game Records'!$W:$W,$H61))),NOT(_xlfn.ISFORMULA(INDEX('Game Records'!$X:$X,$H61))),NOT(_xlfn.ISFORMULA(INDEX('Game Records'!$Y:$Y,$H61))),NOT(_xlfn.ISFORMULA(INDEX('Game Records'!$Z:$Z,$H61)))),"","")&amp;IF(INDEX('Game Records'!$B:$B,$H61)="","Start Date; ","")&amp;IF(INDEX('Game Records'!$C:$C,$H61)="","End Date; ","")&amp;IF(AND(INDEX('Game Records'!$U:$U,$H61)&lt;&gt;"Subscription",INDEX('Game Records'!$U:$U,$H61)&lt;&gt;"Free Game",INDEX('Game Records'!$U:$U,$H61)&lt;&gt;"Disqualified — Free Game",OR(INDEX('Game Records'!$D:$D,$H61)="",LOWER(INDEX('Game Records'!$D:$D,$H61)&amp;"")="n/a")),"Entry Mode; ","")&amp;IF(AND(INDEX('Game Records'!$U:$U,$H61)&lt;&gt;"Subscription",INDEX('Game Records'!$U:$U,$H61)&lt;&gt;"Free Game",INDEX('Game Records'!$U:$U,$H61)&lt;&gt;"Disqualified — Free Game",OR(INDEX('Game Records'!$E:$E,$H61)="",LOWER(INDEX('Game Records'!$E:$E,$H61)&amp;"")="n/a")),"Game Type; ","")&amp;IF(INDEX('Game Records'!$F:$F,$H61)="","Payment Type; ","")&amp;IF(AND(INDEX('Game Records'!$U:$U,$H61)&lt;&gt;"Subscription",INDEX('Game Records'!$U:$U,$H61)&lt;&gt;"Free Game",INDEX('Game Records'!$U:$U,$H61)&lt;&gt;"Disqualified — Free Game",INDEX('Game Records'!$G:$G,$H61)=""),"Gross Pot; ","")&amp;IF(AND(INDEX('Game Records'!$U:$U,$H61)&lt;&gt;"Free Game",INDEX('Game Records'!$U:$U,$H61)&lt;&gt;"Disqualified — Free Game",INDEX('Game Records'!$H:$H,$H61)=""),"Entry Fee; ","")&amp;IF(AND(INDEX('Game Records'!$U:$U,$H61)&lt;&gt;"Subscription",INDEX('Game Records'!$U:$U,$H61)&lt;&gt;"Free Game",INDEX('Game Records'!$U:$U,$H61)&lt;&gt;"Disqualified — Free Game",INDEX('Game Records'!$I:$I,$H61)=""),"Eligible Players; ","")&amp;IF(AND(INDEX('Game Records'!$U:$U,$H61)&lt;&gt;"Subscription",INDEX('Game Records'!$U:$U,$H61)&lt;&gt;"Free Game",INDEX('Game Records'!$U:$U,$H61)&lt;&gt;"Disqualified — Free Game",INDEX('Game Records'!$J:$J,$H61)=""),"Total Players; ","")&amp;IF(AND(LOWER(INDEX('Game Records'!$D:$D,$H61)&amp;"")="finalized",LOWER(INDEX('Game Records'!$L:$L,$H61)&amp;"")&lt;&gt;"yes",INDEX('Game Records'!$U:$U,$H61)&lt;&gt;"Subscription",INDEX('Game Records'!$U:$U,$H61)&lt;&gt;"Free Game",INDEX('Game Records'!$U:$U,$H61)&lt;&gt;"Disqualified — Free Game",INDEX('Game Records'!$K:$K,$H61)=""),"Final Payout; ","")&amp;IF(AND(LOWER(INDEX('Game Records'!$D:$D,$H61)&amp;"")="finalized",INDEX('Game Records'!$U:$U,$H61)&lt;&gt;"Subscription",INDEX('Game Records'!$U:$U,$H61)&lt;&gt;"Free Game",INDEX('Game Records'!$U:$U,$H61)&lt;&gt;"Disqualified — Free Game",OR(INDEX('Game Records'!$L:$L,$H61)="",LOWER(INDEX('Game Records'!$L:$L,$H61)&amp;"")="n/a")),"Disqualified Status; ",""))</f>
        <v/>
      </c>
      <c r="G61" s="25" t="str">
        <f t="array" ref="G61">IF($H61="","",IFERROR(INDEX('Game Records'!$M:$M,$H61),""))</f>
        <v/>
      </c>
      <c r="H61" s="8"/>
      <c r="I61" s="8"/>
      <c r="J61" s="8"/>
    </row>
    <row r="62" ht="24.0" customHeight="1">
      <c r="A62" s="21" t="str">
        <f t="shared" si="1"/>
        <v/>
      </c>
      <c r="B62" s="21" t="str">
        <f t="shared" si="2"/>
        <v/>
      </c>
      <c r="C62" s="25" t="str">
        <f t="array" ref="C62">IF($H62="","",IFERROR(INDEX('Game Records'!$A:$A,$H62),""))</f>
        <v/>
      </c>
      <c r="D62" s="25" t="str">
        <f t="array" ref="D62">IF($H62="","",IFERROR(INDEX('Game Records'!$U:$U,$H62),""))</f>
        <v/>
      </c>
      <c r="E62" s="25" t="str">
        <f t="shared" si="3"/>
        <v/>
      </c>
      <c r="F62" s="25" t="str">
        <f t="array" ref="F62">IF($H62="","",IF(OR(NOT(_xlfn.ISFORMULA(INDEX('Game Records'!$N:$N,$H62))),NOT(_xlfn.ISFORMULA(INDEX('Game Records'!$O:$O,$H62))),NOT(_xlfn.ISFORMULA(INDEX('Game Records'!$P:$P,$H62))),NOT(_xlfn.ISFORMULA(INDEX('Game Records'!$Q:$Q,$H62))),NOT(_xlfn.ISFORMULA(INDEX('Game Records'!$R:$R,$H62))),NOT(_xlfn.ISFORMULA(INDEX('Game Records'!$S:$S,$H62))),NOT(_xlfn.ISFORMULA(INDEX('Game Records'!$T:$T,$H62))),NOT(_xlfn.ISFORMULA(INDEX('Game Records'!$U:$U,$H62))),NOT(_xlfn.ISFORMULA(INDEX('Game Records'!$V:$V,$H62))),NOT(_xlfn.ISFORMULA(INDEX('Game Records'!$W:$W,$H62))),NOT(_xlfn.ISFORMULA(INDEX('Game Records'!$X:$X,$H62))),NOT(_xlfn.ISFORMULA(INDEX('Game Records'!$Y:$Y,$H62))),NOT(_xlfn.ISFORMULA(INDEX('Game Records'!$Z:$Z,$H62)))),"","")&amp;IF(INDEX('Game Records'!$B:$B,$H62)="","Start Date; ","")&amp;IF(INDEX('Game Records'!$C:$C,$H62)="","End Date; ","")&amp;IF(AND(INDEX('Game Records'!$U:$U,$H62)&lt;&gt;"Subscription",INDEX('Game Records'!$U:$U,$H62)&lt;&gt;"Free Game",INDEX('Game Records'!$U:$U,$H62)&lt;&gt;"Disqualified — Free Game",OR(INDEX('Game Records'!$D:$D,$H62)="",LOWER(INDEX('Game Records'!$D:$D,$H62)&amp;"")="n/a")),"Entry Mode; ","")&amp;IF(AND(INDEX('Game Records'!$U:$U,$H62)&lt;&gt;"Subscription",INDEX('Game Records'!$U:$U,$H62)&lt;&gt;"Free Game",INDEX('Game Records'!$U:$U,$H62)&lt;&gt;"Disqualified — Free Game",OR(INDEX('Game Records'!$E:$E,$H62)="",LOWER(INDEX('Game Records'!$E:$E,$H62)&amp;"")="n/a")),"Game Type; ","")&amp;IF(INDEX('Game Records'!$F:$F,$H62)="","Payment Type; ","")&amp;IF(AND(INDEX('Game Records'!$U:$U,$H62)&lt;&gt;"Subscription",INDEX('Game Records'!$U:$U,$H62)&lt;&gt;"Free Game",INDEX('Game Records'!$U:$U,$H62)&lt;&gt;"Disqualified — Free Game",INDEX('Game Records'!$G:$G,$H62)=""),"Gross Pot; ","")&amp;IF(AND(INDEX('Game Records'!$U:$U,$H62)&lt;&gt;"Free Game",INDEX('Game Records'!$U:$U,$H62)&lt;&gt;"Disqualified — Free Game",INDEX('Game Records'!$H:$H,$H62)=""),"Entry Fee; ","")&amp;IF(AND(INDEX('Game Records'!$U:$U,$H62)&lt;&gt;"Subscription",INDEX('Game Records'!$U:$U,$H62)&lt;&gt;"Free Game",INDEX('Game Records'!$U:$U,$H62)&lt;&gt;"Disqualified — Free Game",INDEX('Game Records'!$I:$I,$H62)=""),"Eligible Players; ","")&amp;IF(AND(INDEX('Game Records'!$U:$U,$H62)&lt;&gt;"Subscription",INDEX('Game Records'!$U:$U,$H62)&lt;&gt;"Free Game",INDEX('Game Records'!$U:$U,$H62)&lt;&gt;"Disqualified — Free Game",INDEX('Game Records'!$J:$J,$H62)=""),"Total Players; ","")&amp;IF(AND(LOWER(INDEX('Game Records'!$D:$D,$H62)&amp;"")="finalized",LOWER(INDEX('Game Records'!$L:$L,$H62)&amp;"")&lt;&gt;"yes",INDEX('Game Records'!$U:$U,$H62)&lt;&gt;"Subscription",INDEX('Game Records'!$U:$U,$H62)&lt;&gt;"Free Game",INDEX('Game Records'!$U:$U,$H62)&lt;&gt;"Disqualified — Free Game",INDEX('Game Records'!$K:$K,$H62)=""),"Final Payout; ","")&amp;IF(AND(LOWER(INDEX('Game Records'!$D:$D,$H62)&amp;"")="finalized",INDEX('Game Records'!$U:$U,$H62)&lt;&gt;"Subscription",INDEX('Game Records'!$U:$U,$H62)&lt;&gt;"Free Game",INDEX('Game Records'!$U:$U,$H62)&lt;&gt;"Disqualified — Free Game",OR(INDEX('Game Records'!$L:$L,$H62)="",LOWER(INDEX('Game Records'!$L:$L,$H62)&amp;"")="n/a")),"Disqualified Status; ",""))</f>
        <v/>
      </c>
      <c r="G62" s="25" t="str">
        <f t="array" ref="G62">IF($H62="","",IFERROR(INDEX('Game Records'!$M:$M,$H62),""))</f>
        <v/>
      </c>
      <c r="H62" s="8"/>
      <c r="I62" s="8"/>
      <c r="J62" s="8"/>
    </row>
    <row r="63" ht="24.0" customHeight="1">
      <c r="A63" s="21" t="str">
        <f t="shared" si="1"/>
        <v/>
      </c>
      <c r="B63" s="21" t="str">
        <f t="shared" si="2"/>
        <v/>
      </c>
      <c r="C63" s="25" t="str">
        <f t="array" ref="C63">IF($H63="","",IFERROR(INDEX('Game Records'!$A:$A,$H63),""))</f>
        <v/>
      </c>
      <c r="D63" s="25" t="str">
        <f t="array" ref="D63">IF($H63="","",IFERROR(INDEX('Game Records'!$U:$U,$H63),""))</f>
        <v/>
      </c>
      <c r="E63" s="25" t="str">
        <f t="shared" si="3"/>
        <v/>
      </c>
      <c r="F63" s="25" t="str">
        <f t="array" ref="F63">IF($H63="","",IF(OR(NOT(_xlfn.ISFORMULA(INDEX('Game Records'!$N:$N,$H63))),NOT(_xlfn.ISFORMULA(INDEX('Game Records'!$O:$O,$H63))),NOT(_xlfn.ISFORMULA(INDEX('Game Records'!$P:$P,$H63))),NOT(_xlfn.ISFORMULA(INDEX('Game Records'!$Q:$Q,$H63))),NOT(_xlfn.ISFORMULA(INDEX('Game Records'!$R:$R,$H63))),NOT(_xlfn.ISFORMULA(INDEX('Game Records'!$S:$S,$H63))),NOT(_xlfn.ISFORMULA(INDEX('Game Records'!$T:$T,$H63))),NOT(_xlfn.ISFORMULA(INDEX('Game Records'!$U:$U,$H63))),NOT(_xlfn.ISFORMULA(INDEX('Game Records'!$V:$V,$H63))),NOT(_xlfn.ISFORMULA(INDEX('Game Records'!$W:$W,$H63))),NOT(_xlfn.ISFORMULA(INDEX('Game Records'!$X:$X,$H63))),NOT(_xlfn.ISFORMULA(INDEX('Game Records'!$Y:$Y,$H63))),NOT(_xlfn.ISFORMULA(INDEX('Game Records'!$Z:$Z,$H63)))),"","")&amp;IF(INDEX('Game Records'!$B:$B,$H63)="","Start Date; ","")&amp;IF(INDEX('Game Records'!$C:$C,$H63)="","End Date; ","")&amp;IF(AND(INDEX('Game Records'!$U:$U,$H63)&lt;&gt;"Subscription",INDEX('Game Records'!$U:$U,$H63)&lt;&gt;"Free Game",INDEX('Game Records'!$U:$U,$H63)&lt;&gt;"Disqualified — Free Game",OR(INDEX('Game Records'!$D:$D,$H63)="",LOWER(INDEX('Game Records'!$D:$D,$H63)&amp;"")="n/a")),"Entry Mode; ","")&amp;IF(AND(INDEX('Game Records'!$U:$U,$H63)&lt;&gt;"Subscription",INDEX('Game Records'!$U:$U,$H63)&lt;&gt;"Free Game",INDEX('Game Records'!$U:$U,$H63)&lt;&gt;"Disqualified — Free Game",OR(INDEX('Game Records'!$E:$E,$H63)="",LOWER(INDEX('Game Records'!$E:$E,$H63)&amp;"")="n/a")),"Game Type; ","")&amp;IF(INDEX('Game Records'!$F:$F,$H63)="","Payment Type; ","")&amp;IF(AND(INDEX('Game Records'!$U:$U,$H63)&lt;&gt;"Subscription",INDEX('Game Records'!$U:$U,$H63)&lt;&gt;"Free Game",INDEX('Game Records'!$U:$U,$H63)&lt;&gt;"Disqualified — Free Game",INDEX('Game Records'!$G:$G,$H63)=""),"Gross Pot; ","")&amp;IF(AND(INDEX('Game Records'!$U:$U,$H63)&lt;&gt;"Free Game",INDEX('Game Records'!$U:$U,$H63)&lt;&gt;"Disqualified — Free Game",INDEX('Game Records'!$H:$H,$H63)=""),"Entry Fee; ","")&amp;IF(AND(INDEX('Game Records'!$U:$U,$H63)&lt;&gt;"Subscription",INDEX('Game Records'!$U:$U,$H63)&lt;&gt;"Free Game",INDEX('Game Records'!$U:$U,$H63)&lt;&gt;"Disqualified — Free Game",INDEX('Game Records'!$I:$I,$H63)=""),"Eligible Players; ","")&amp;IF(AND(INDEX('Game Records'!$U:$U,$H63)&lt;&gt;"Subscription",INDEX('Game Records'!$U:$U,$H63)&lt;&gt;"Free Game",INDEX('Game Records'!$U:$U,$H63)&lt;&gt;"Disqualified — Free Game",INDEX('Game Records'!$J:$J,$H63)=""),"Total Players; ","")&amp;IF(AND(LOWER(INDEX('Game Records'!$D:$D,$H63)&amp;"")="finalized",LOWER(INDEX('Game Records'!$L:$L,$H63)&amp;"")&lt;&gt;"yes",INDEX('Game Records'!$U:$U,$H63)&lt;&gt;"Subscription",INDEX('Game Records'!$U:$U,$H63)&lt;&gt;"Free Game",INDEX('Game Records'!$U:$U,$H63)&lt;&gt;"Disqualified — Free Game",INDEX('Game Records'!$K:$K,$H63)=""),"Final Payout; ","")&amp;IF(AND(LOWER(INDEX('Game Records'!$D:$D,$H63)&amp;"")="finalized",INDEX('Game Records'!$U:$U,$H63)&lt;&gt;"Subscription",INDEX('Game Records'!$U:$U,$H63)&lt;&gt;"Free Game",INDEX('Game Records'!$U:$U,$H63)&lt;&gt;"Disqualified — Free Game",OR(INDEX('Game Records'!$L:$L,$H63)="",LOWER(INDEX('Game Records'!$L:$L,$H63)&amp;"")="n/a")),"Disqualified Status; ",""))</f>
        <v/>
      </c>
      <c r="G63" s="25" t="str">
        <f t="array" ref="G63">IF($H63="","",IFERROR(INDEX('Game Records'!$M:$M,$H63),""))</f>
        <v/>
      </c>
      <c r="H63" s="8"/>
      <c r="I63" s="8"/>
      <c r="J63" s="8"/>
    </row>
    <row r="64" ht="24.0" customHeight="1">
      <c r="A64" s="21" t="str">
        <f t="shared" si="1"/>
        <v/>
      </c>
      <c r="B64" s="21" t="str">
        <f t="shared" si="2"/>
        <v/>
      </c>
      <c r="C64" s="25" t="str">
        <f t="array" ref="C64">IF($H64="","",IFERROR(INDEX('Game Records'!$A:$A,$H64),""))</f>
        <v/>
      </c>
      <c r="D64" s="25" t="str">
        <f t="array" ref="D64">IF($H64="","",IFERROR(INDEX('Game Records'!$U:$U,$H64),""))</f>
        <v/>
      </c>
      <c r="E64" s="25" t="str">
        <f t="shared" si="3"/>
        <v/>
      </c>
      <c r="F64" s="25" t="str">
        <f t="array" ref="F64">IF($H64="","",IF(OR(NOT(_xlfn.ISFORMULA(INDEX('Game Records'!$N:$N,$H64))),NOT(_xlfn.ISFORMULA(INDEX('Game Records'!$O:$O,$H64))),NOT(_xlfn.ISFORMULA(INDEX('Game Records'!$P:$P,$H64))),NOT(_xlfn.ISFORMULA(INDEX('Game Records'!$Q:$Q,$H64))),NOT(_xlfn.ISFORMULA(INDEX('Game Records'!$R:$R,$H64))),NOT(_xlfn.ISFORMULA(INDEX('Game Records'!$S:$S,$H64))),NOT(_xlfn.ISFORMULA(INDEX('Game Records'!$T:$T,$H64))),NOT(_xlfn.ISFORMULA(INDEX('Game Records'!$U:$U,$H64))),NOT(_xlfn.ISFORMULA(INDEX('Game Records'!$V:$V,$H64))),NOT(_xlfn.ISFORMULA(INDEX('Game Records'!$W:$W,$H64))),NOT(_xlfn.ISFORMULA(INDEX('Game Records'!$X:$X,$H64))),NOT(_xlfn.ISFORMULA(INDEX('Game Records'!$Y:$Y,$H64))),NOT(_xlfn.ISFORMULA(INDEX('Game Records'!$Z:$Z,$H64)))),"","")&amp;IF(INDEX('Game Records'!$B:$B,$H64)="","Start Date; ","")&amp;IF(INDEX('Game Records'!$C:$C,$H64)="","End Date; ","")&amp;IF(AND(INDEX('Game Records'!$U:$U,$H64)&lt;&gt;"Subscription",INDEX('Game Records'!$U:$U,$H64)&lt;&gt;"Free Game",INDEX('Game Records'!$U:$U,$H64)&lt;&gt;"Disqualified — Free Game",OR(INDEX('Game Records'!$D:$D,$H64)="",LOWER(INDEX('Game Records'!$D:$D,$H64)&amp;"")="n/a")),"Entry Mode; ","")&amp;IF(AND(INDEX('Game Records'!$U:$U,$H64)&lt;&gt;"Subscription",INDEX('Game Records'!$U:$U,$H64)&lt;&gt;"Free Game",INDEX('Game Records'!$U:$U,$H64)&lt;&gt;"Disqualified — Free Game",OR(INDEX('Game Records'!$E:$E,$H64)="",LOWER(INDEX('Game Records'!$E:$E,$H64)&amp;"")="n/a")),"Game Type; ","")&amp;IF(INDEX('Game Records'!$F:$F,$H64)="","Payment Type; ","")&amp;IF(AND(INDEX('Game Records'!$U:$U,$H64)&lt;&gt;"Subscription",INDEX('Game Records'!$U:$U,$H64)&lt;&gt;"Free Game",INDEX('Game Records'!$U:$U,$H64)&lt;&gt;"Disqualified — Free Game",INDEX('Game Records'!$G:$G,$H64)=""),"Gross Pot; ","")&amp;IF(AND(INDEX('Game Records'!$U:$U,$H64)&lt;&gt;"Free Game",INDEX('Game Records'!$U:$U,$H64)&lt;&gt;"Disqualified — Free Game",INDEX('Game Records'!$H:$H,$H64)=""),"Entry Fee; ","")&amp;IF(AND(INDEX('Game Records'!$U:$U,$H64)&lt;&gt;"Subscription",INDEX('Game Records'!$U:$U,$H64)&lt;&gt;"Free Game",INDEX('Game Records'!$U:$U,$H64)&lt;&gt;"Disqualified — Free Game",INDEX('Game Records'!$I:$I,$H64)=""),"Eligible Players; ","")&amp;IF(AND(INDEX('Game Records'!$U:$U,$H64)&lt;&gt;"Subscription",INDEX('Game Records'!$U:$U,$H64)&lt;&gt;"Free Game",INDEX('Game Records'!$U:$U,$H64)&lt;&gt;"Disqualified — Free Game",INDEX('Game Records'!$J:$J,$H64)=""),"Total Players; ","")&amp;IF(AND(LOWER(INDEX('Game Records'!$D:$D,$H64)&amp;"")="finalized",LOWER(INDEX('Game Records'!$L:$L,$H64)&amp;"")&lt;&gt;"yes",INDEX('Game Records'!$U:$U,$H64)&lt;&gt;"Subscription",INDEX('Game Records'!$U:$U,$H64)&lt;&gt;"Free Game",INDEX('Game Records'!$U:$U,$H64)&lt;&gt;"Disqualified — Free Game",INDEX('Game Records'!$K:$K,$H64)=""),"Final Payout; ","")&amp;IF(AND(LOWER(INDEX('Game Records'!$D:$D,$H64)&amp;"")="finalized",INDEX('Game Records'!$U:$U,$H64)&lt;&gt;"Subscription",INDEX('Game Records'!$U:$U,$H64)&lt;&gt;"Free Game",INDEX('Game Records'!$U:$U,$H64)&lt;&gt;"Disqualified — Free Game",OR(INDEX('Game Records'!$L:$L,$H64)="",LOWER(INDEX('Game Records'!$L:$L,$H64)&amp;"")="n/a")),"Disqualified Status; ",""))</f>
        <v/>
      </c>
      <c r="G64" s="25" t="str">
        <f t="array" ref="G64">IF($H64="","",IFERROR(INDEX('Game Records'!$M:$M,$H64),""))</f>
        <v/>
      </c>
      <c r="H64" s="8"/>
      <c r="I64" s="8"/>
      <c r="J64" s="8"/>
    </row>
    <row r="65" ht="24.0" customHeight="1">
      <c r="A65" s="21" t="str">
        <f t="shared" si="1"/>
        <v/>
      </c>
      <c r="B65" s="21" t="str">
        <f t="shared" si="2"/>
        <v/>
      </c>
      <c r="C65" s="25" t="str">
        <f t="array" ref="C65">IF($H65="","",IFERROR(INDEX('Game Records'!$A:$A,$H65),""))</f>
        <v/>
      </c>
      <c r="D65" s="25" t="str">
        <f t="array" ref="D65">IF($H65="","",IFERROR(INDEX('Game Records'!$U:$U,$H65),""))</f>
        <v/>
      </c>
      <c r="E65" s="25" t="str">
        <f t="shared" si="3"/>
        <v/>
      </c>
      <c r="F65" s="25" t="str">
        <f t="array" ref="F65">IF($H65="","",IF(OR(NOT(_xlfn.ISFORMULA(INDEX('Game Records'!$N:$N,$H65))),NOT(_xlfn.ISFORMULA(INDEX('Game Records'!$O:$O,$H65))),NOT(_xlfn.ISFORMULA(INDEX('Game Records'!$P:$P,$H65))),NOT(_xlfn.ISFORMULA(INDEX('Game Records'!$Q:$Q,$H65))),NOT(_xlfn.ISFORMULA(INDEX('Game Records'!$R:$R,$H65))),NOT(_xlfn.ISFORMULA(INDEX('Game Records'!$S:$S,$H65))),NOT(_xlfn.ISFORMULA(INDEX('Game Records'!$T:$T,$H65))),NOT(_xlfn.ISFORMULA(INDEX('Game Records'!$U:$U,$H65))),NOT(_xlfn.ISFORMULA(INDEX('Game Records'!$V:$V,$H65))),NOT(_xlfn.ISFORMULA(INDEX('Game Records'!$W:$W,$H65))),NOT(_xlfn.ISFORMULA(INDEX('Game Records'!$X:$X,$H65))),NOT(_xlfn.ISFORMULA(INDEX('Game Records'!$Y:$Y,$H65))),NOT(_xlfn.ISFORMULA(INDEX('Game Records'!$Z:$Z,$H65)))),"","")&amp;IF(INDEX('Game Records'!$B:$B,$H65)="","Start Date; ","")&amp;IF(INDEX('Game Records'!$C:$C,$H65)="","End Date; ","")&amp;IF(AND(INDEX('Game Records'!$U:$U,$H65)&lt;&gt;"Subscription",INDEX('Game Records'!$U:$U,$H65)&lt;&gt;"Free Game",INDEX('Game Records'!$U:$U,$H65)&lt;&gt;"Disqualified — Free Game",OR(INDEX('Game Records'!$D:$D,$H65)="",LOWER(INDEX('Game Records'!$D:$D,$H65)&amp;"")="n/a")),"Entry Mode; ","")&amp;IF(AND(INDEX('Game Records'!$U:$U,$H65)&lt;&gt;"Subscription",INDEX('Game Records'!$U:$U,$H65)&lt;&gt;"Free Game",INDEX('Game Records'!$U:$U,$H65)&lt;&gt;"Disqualified — Free Game",OR(INDEX('Game Records'!$E:$E,$H65)="",LOWER(INDEX('Game Records'!$E:$E,$H65)&amp;"")="n/a")),"Game Type; ","")&amp;IF(INDEX('Game Records'!$F:$F,$H65)="","Payment Type; ","")&amp;IF(AND(INDEX('Game Records'!$U:$U,$H65)&lt;&gt;"Subscription",INDEX('Game Records'!$U:$U,$H65)&lt;&gt;"Free Game",INDEX('Game Records'!$U:$U,$H65)&lt;&gt;"Disqualified — Free Game",INDEX('Game Records'!$G:$G,$H65)=""),"Gross Pot; ","")&amp;IF(AND(INDEX('Game Records'!$U:$U,$H65)&lt;&gt;"Free Game",INDEX('Game Records'!$U:$U,$H65)&lt;&gt;"Disqualified — Free Game",INDEX('Game Records'!$H:$H,$H65)=""),"Entry Fee; ","")&amp;IF(AND(INDEX('Game Records'!$U:$U,$H65)&lt;&gt;"Subscription",INDEX('Game Records'!$U:$U,$H65)&lt;&gt;"Free Game",INDEX('Game Records'!$U:$U,$H65)&lt;&gt;"Disqualified — Free Game",INDEX('Game Records'!$I:$I,$H65)=""),"Eligible Players; ","")&amp;IF(AND(INDEX('Game Records'!$U:$U,$H65)&lt;&gt;"Subscription",INDEX('Game Records'!$U:$U,$H65)&lt;&gt;"Free Game",INDEX('Game Records'!$U:$U,$H65)&lt;&gt;"Disqualified — Free Game",INDEX('Game Records'!$J:$J,$H65)=""),"Total Players; ","")&amp;IF(AND(LOWER(INDEX('Game Records'!$D:$D,$H65)&amp;"")="finalized",LOWER(INDEX('Game Records'!$L:$L,$H65)&amp;"")&lt;&gt;"yes",INDEX('Game Records'!$U:$U,$H65)&lt;&gt;"Subscription",INDEX('Game Records'!$U:$U,$H65)&lt;&gt;"Free Game",INDEX('Game Records'!$U:$U,$H65)&lt;&gt;"Disqualified — Free Game",INDEX('Game Records'!$K:$K,$H65)=""),"Final Payout; ","")&amp;IF(AND(LOWER(INDEX('Game Records'!$D:$D,$H65)&amp;"")="finalized",INDEX('Game Records'!$U:$U,$H65)&lt;&gt;"Subscription",INDEX('Game Records'!$U:$U,$H65)&lt;&gt;"Free Game",INDEX('Game Records'!$U:$U,$H65)&lt;&gt;"Disqualified — Free Game",OR(INDEX('Game Records'!$L:$L,$H65)="",LOWER(INDEX('Game Records'!$L:$L,$H65)&amp;"")="n/a")),"Disqualified Status; ",""))</f>
        <v/>
      </c>
      <c r="G65" s="25" t="str">
        <f t="array" ref="G65">IF($H65="","",IFERROR(INDEX('Game Records'!$M:$M,$H65),""))</f>
        <v/>
      </c>
      <c r="H65" s="8"/>
      <c r="I65" s="8"/>
      <c r="J65" s="8"/>
    </row>
    <row r="66" ht="24.0" customHeight="1">
      <c r="A66" s="21" t="str">
        <f t="shared" si="1"/>
        <v/>
      </c>
      <c r="B66" s="21" t="str">
        <f t="shared" si="2"/>
        <v/>
      </c>
      <c r="C66" s="25" t="str">
        <f t="array" ref="C66">IF($H66="","",IFERROR(INDEX('Game Records'!$A:$A,$H66),""))</f>
        <v/>
      </c>
      <c r="D66" s="25" t="str">
        <f t="array" ref="D66">IF($H66="","",IFERROR(INDEX('Game Records'!$U:$U,$H66),""))</f>
        <v/>
      </c>
      <c r="E66" s="25" t="str">
        <f t="shared" si="3"/>
        <v/>
      </c>
      <c r="F66" s="25" t="str">
        <f t="array" ref="F66">IF($H66="","",IF(OR(NOT(_xlfn.ISFORMULA(INDEX('Game Records'!$N:$N,$H66))),NOT(_xlfn.ISFORMULA(INDEX('Game Records'!$O:$O,$H66))),NOT(_xlfn.ISFORMULA(INDEX('Game Records'!$P:$P,$H66))),NOT(_xlfn.ISFORMULA(INDEX('Game Records'!$Q:$Q,$H66))),NOT(_xlfn.ISFORMULA(INDEX('Game Records'!$R:$R,$H66))),NOT(_xlfn.ISFORMULA(INDEX('Game Records'!$S:$S,$H66))),NOT(_xlfn.ISFORMULA(INDEX('Game Records'!$T:$T,$H66))),NOT(_xlfn.ISFORMULA(INDEX('Game Records'!$U:$U,$H66))),NOT(_xlfn.ISFORMULA(INDEX('Game Records'!$V:$V,$H66))),NOT(_xlfn.ISFORMULA(INDEX('Game Records'!$W:$W,$H66))),NOT(_xlfn.ISFORMULA(INDEX('Game Records'!$X:$X,$H66))),NOT(_xlfn.ISFORMULA(INDEX('Game Records'!$Y:$Y,$H66))),NOT(_xlfn.ISFORMULA(INDEX('Game Records'!$Z:$Z,$H66)))),"","")&amp;IF(INDEX('Game Records'!$B:$B,$H66)="","Start Date; ","")&amp;IF(INDEX('Game Records'!$C:$C,$H66)="","End Date; ","")&amp;IF(AND(INDEX('Game Records'!$U:$U,$H66)&lt;&gt;"Subscription",INDEX('Game Records'!$U:$U,$H66)&lt;&gt;"Free Game",INDEX('Game Records'!$U:$U,$H66)&lt;&gt;"Disqualified — Free Game",OR(INDEX('Game Records'!$D:$D,$H66)="",LOWER(INDEX('Game Records'!$D:$D,$H66)&amp;"")="n/a")),"Entry Mode; ","")&amp;IF(AND(INDEX('Game Records'!$U:$U,$H66)&lt;&gt;"Subscription",INDEX('Game Records'!$U:$U,$H66)&lt;&gt;"Free Game",INDEX('Game Records'!$U:$U,$H66)&lt;&gt;"Disqualified — Free Game",OR(INDEX('Game Records'!$E:$E,$H66)="",LOWER(INDEX('Game Records'!$E:$E,$H66)&amp;"")="n/a")),"Game Type; ","")&amp;IF(INDEX('Game Records'!$F:$F,$H66)="","Payment Type; ","")&amp;IF(AND(INDEX('Game Records'!$U:$U,$H66)&lt;&gt;"Subscription",INDEX('Game Records'!$U:$U,$H66)&lt;&gt;"Free Game",INDEX('Game Records'!$U:$U,$H66)&lt;&gt;"Disqualified — Free Game",INDEX('Game Records'!$G:$G,$H66)=""),"Gross Pot; ","")&amp;IF(AND(INDEX('Game Records'!$U:$U,$H66)&lt;&gt;"Free Game",INDEX('Game Records'!$U:$U,$H66)&lt;&gt;"Disqualified — Free Game",INDEX('Game Records'!$H:$H,$H66)=""),"Entry Fee; ","")&amp;IF(AND(INDEX('Game Records'!$U:$U,$H66)&lt;&gt;"Subscription",INDEX('Game Records'!$U:$U,$H66)&lt;&gt;"Free Game",INDEX('Game Records'!$U:$U,$H66)&lt;&gt;"Disqualified — Free Game",INDEX('Game Records'!$I:$I,$H66)=""),"Eligible Players; ","")&amp;IF(AND(INDEX('Game Records'!$U:$U,$H66)&lt;&gt;"Subscription",INDEX('Game Records'!$U:$U,$H66)&lt;&gt;"Free Game",INDEX('Game Records'!$U:$U,$H66)&lt;&gt;"Disqualified — Free Game",INDEX('Game Records'!$J:$J,$H66)=""),"Total Players; ","")&amp;IF(AND(LOWER(INDEX('Game Records'!$D:$D,$H66)&amp;"")="finalized",LOWER(INDEX('Game Records'!$L:$L,$H66)&amp;"")&lt;&gt;"yes",INDEX('Game Records'!$U:$U,$H66)&lt;&gt;"Subscription",INDEX('Game Records'!$U:$U,$H66)&lt;&gt;"Free Game",INDEX('Game Records'!$U:$U,$H66)&lt;&gt;"Disqualified — Free Game",INDEX('Game Records'!$K:$K,$H66)=""),"Final Payout; ","")&amp;IF(AND(LOWER(INDEX('Game Records'!$D:$D,$H66)&amp;"")="finalized",INDEX('Game Records'!$U:$U,$H66)&lt;&gt;"Subscription",INDEX('Game Records'!$U:$U,$H66)&lt;&gt;"Free Game",INDEX('Game Records'!$U:$U,$H66)&lt;&gt;"Disqualified — Free Game",OR(INDEX('Game Records'!$L:$L,$H66)="",LOWER(INDEX('Game Records'!$L:$L,$H66)&amp;"")="n/a")),"Disqualified Status; ",""))</f>
        <v/>
      </c>
      <c r="G66" s="25" t="str">
        <f t="array" ref="G66">IF($H66="","",IFERROR(INDEX('Game Records'!$M:$M,$H66),""))</f>
        <v/>
      </c>
      <c r="H66" s="8"/>
      <c r="I66" s="8"/>
      <c r="J66" s="8"/>
    </row>
    <row r="67" ht="24.0" customHeight="1">
      <c r="A67" s="21" t="str">
        <f t="shared" si="1"/>
        <v/>
      </c>
      <c r="B67" s="21" t="str">
        <f t="shared" si="2"/>
        <v/>
      </c>
      <c r="C67" s="25" t="str">
        <f t="array" ref="C67">IF($H67="","",IFERROR(INDEX('Game Records'!$A:$A,$H67),""))</f>
        <v/>
      </c>
      <c r="D67" s="25" t="str">
        <f t="array" ref="D67">IF($H67="","",IFERROR(INDEX('Game Records'!$U:$U,$H67),""))</f>
        <v/>
      </c>
      <c r="E67" s="25" t="str">
        <f t="shared" si="3"/>
        <v/>
      </c>
      <c r="F67" s="25" t="str">
        <f t="array" ref="F67">IF($H67="","",IF(OR(NOT(_xlfn.ISFORMULA(INDEX('Game Records'!$N:$N,$H67))),NOT(_xlfn.ISFORMULA(INDEX('Game Records'!$O:$O,$H67))),NOT(_xlfn.ISFORMULA(INDEX('Game Records'!$P:$P,$H67))),NOT(_xlfn.ISFORMULA(INDEX('Game Records'!$Q:$Q,$H67))),NOT(_xlfn.ISFORMULA(INDEX('Game Records'!$R:$R,$H67))),NOT(_xlfn.ISFORMULA(INDEX('Game Records'!$S:$S,$H67))),NOT(_xlfn.ISFORMULA(INDEX('Game Records'!$T:$T,$H67))),NOT(_xlfn.ISFORMULA(INDEX('Game Records'!$U:$U,$H67))),NOT(_xlfn.ISFORMULA(INDEX('Game Records'!$V:$V,$H67))),NOT(_xlfn.ISFORMULA(INDEX('Game Records'!$W:$W,$H67))),NOT(_xlfn.ISFORMULA(INDEX('Game Records'!$X:$X,$H67))),NOT(_xlfn.ISFORMULA(INDEX('Game Records'!$Y:$Y,$H67))),NOT(_xlfn.ISFORMULA(INDEX('Game Records'!$Z:$Z,$H67)))),"","")&amp;IF(INDEX('Game Records'!$B:$B,$H67)="","Start Date; ","")&amp;IF(INDEX('Game Records'!$C:$C,$H67)="","End Date; ","")&amp;IF(AND(INDEX('Game Records'!$U:$U,$H67)&lt;&gt;"Subscription",INDEX('Game Records'!$U:$U,$H67)&lt;&gt;"Free Game",INDEX('Game Records'!$U:$U,$H67)&lt;&gt;"Disqualified — Free Game",OR(INDEX('Game Records'!$D:$D,$H67)="",LOWER(INDEX('Game Records'!$D:$D,$H67)&amp;"")="n/a")),"Entry Mode; ","")&amp;IF(AND(INDEX('Game Records'!$U:$U,$H67)&lt;&gt;"Subscription",INDEX('Game Records'!$U:$U,$H67)&lt;&gt;"Free Game",INDEX('Game Records'!$U:$U,$H67)&lt;&gt;"Disqualified — Free Game",OR(INDEX('Game Records'!$E:$E,$H67)="",LOWER(INDEX('Game Records'!$E:$E,$H67)&amp;"")="n/a")),"Game Type; ","")&amp;IF(INDEX('Game Records'!$F:$F,$H67)="","Payment Type; ","")&amp;IF(AND(INDEX('Game Records'!$U:$U,$H67)&lt;&gt;"Subscription",INDEX('Game Records'!$U:$U,$H67)&lt;&gt;"Free Game",INDEX('Game Records'!$U:$U,$H67)&lt;&gt;"Disqualified — Free Game",INDEX('Game Records'!$G:$G,$H67)=""),"Gross Pot; ","")&amp;IF(AND(INDEX('Game Records'!$U:$U,$H67)&lt;&gt;"Free Game",INDEX('Game Records'!$U:$U,$H67)&lt;&gt;"Disqualified — Free Game",INDEX('Game Records'!$H:$H,$H67)=""),"Entry Fee; ","")&amp;IF(AND(INDEX('Game Records'!$U:$U,$H67)&lt;&gt;"Subscription",INDEX('Game Records'!$U:$U,$H67)&lt;&gt;"Free Game",INDEX('Game Records'!$U:$U,$H67)&lt;&gt;"Disqualified — Free Game",INDEX('Game Records'!$I:$I,$H67)=""),"Eligible Players; ","")&amp;IF(AND(INDEX('Game Records'!$U:$U,$H67)&lt;&gt;"Subscription",INDEX('Game Records'!$U:$U,$H67)&lt;&gt;"Free Game",INDEX('Game Records'!$U:$U,$H67)&lt;&gt;"Disqualified — Free Game",INDEX('Game Records'!$J:$J,$H67)=""),"Total Players; ","")&amp;IF(AND(LOWER(INDEX('Game Records'!$D:$D,$H67)&amp;"")="finalized",LOWER(INDEX('Game Records'!$L:$L,$H67)&amp;"")&lt;&gt;"yes",INDEX('Game Records'!$U:$U,$H67)&lt;&gt;"Subscription",INDEX('Game Records'!$U:$U,$H67)&lt;&gt;"Free Game",INDEX('Game Records'!$U:$U,$H67)&lt;&gt;"Disqualified — Free Game",INDEX('Game Records'!$K:$K,$H67)=""),"Final Payout; ","")&amp;IF(AND(LOWER(INDEX('Game Records'!$D:$D,$H67)&amp;"")="finalized",INDEX('Game Records'!$U:$U,$H67)&lt;&gt;"Subscription",INDEX('Game Records'!$U:$U,$H67)&lt;&gt;"Free Game",INDEX('Game Records'!$U:$U,$H67)&lt;&gt;"Disqualified — Free Game",OR(INDEX('Game Records'!$L:$L,$H67)="",LOWER(INDEX('Game Records'!$L:$L,$H67)&amp;"")="n/a")),"Disqualified Status; ",""))</f>
        <v/>
      </c>
      <c r="G67" s="25" t="str">
        <f t="array" ref="G67">IF($H67="","",IFERROR(INDEX('Game Records'!$M:$M,$H67),""))</f>
        <v/>
      </c>
      <c r="H67" s="8"/>
      <c r="I67" s="8"/>
      <c r="J67" s="8"/>
    </row>
    <row r="68" ht="24.0" customHeight="1">
      <c r="A68" s="21" t="str">
        <f t="shared" si="1"/>
        <v/>
      </c>
      <c r="B68" s="21" t="str">
        <f t="shared" si="2"/>
        <v/>
      </c>
      <c r="C68" s="25" t="str">
        <f t="array" ref="C68">IF($H68="","",IFERROR(INDEX('Game Records'!$A:$A,$H68),""))</f>
        <v/>
      </c>
      <c r="D68" s="25" t="str">
        <f t="array" ref="D68">IF($H68="","",IFERROR(INDEX('Game Records'!$U:$U,$H68),""))</f>
        <v/>
      </c>
      <c r="E68" s="25" t="str">
        <f t="shared" si="3"/>
        <v/>
      </c>
      <c r="F68" s="25" t="str">
        <f t="array" ref="F68">IF($H68="","",IF(OR(NOT(_xlfn.ISFORMULA(INDEX('Game Records'!$N:$N,$H68))),NOT(_xlfn.ISFORMULA(INDEX('Game Records'!$O:$O,$H68))),NOT(_xlfn.ISFORMULA(INDEX('Game Records'!$P:$P,$H68))),NOT(_xlfn.ISFORMULA(INDEX('Game Records'!$Q:$Q,$H68))),NOT(_xlfn.ISFORMULA(INDEX('Game Records'!$R:$R,$H68))),NOT(_xlfn.ISFORMULA(INDEX('Game Records'!$S:$S,$H68))),NOT(_xlfn.ISFORMULA(INDEX('Game Records'!$T:$T,$H68))),NOT(_xlfn.ISFORMULA(INDEX('Game Records'!$U:$U,$H68))),NOT(_xlfn.ISFORMULA(INDEX('Game Records'!$V:$V,$H68))),NOT(_xlfn.ISFORMULA(INDEX('Game Records'!$W:$W,$H68))),NOT(_xlfn.ISFORMULA(INDEX('Game Records'!$X:$X,$H68))),NOT(_xlfn.ISFORMULA(INDEX('Game Records'!$Y:$Y,$H68))),NOT(_xlfn.ISFORMULA(INDEX('Game Records'!$Z:$Z,$H68)))),"","")&amp;IF(INDEX('Game Records'!$B:$B,$H68)="","Start Date; ","")&amp;IF(INDEX('Game Records'!$C:$C,$H68)="","End Date; ","")&amp;IF(AND(INDEX('Game Records'!$U:$U,$H68)&lt;&gt;"Subscription",INDEX('Game Records'!$U:$U,$H68)&lt;&gt;"Free Game",INDEX('Game Records'!$U:$U,$H68)&lt;&gt;"Disqualified — Free Game",OR(INDEX('Game Records'!$D:$D,$H68)="",LOWER(INDEX('Game Records'!$D:$D,$H68)&amp;"")="n/a")),"Entry Mode; ","")&amp;IF(AND(INDEX('Game Records'!$U:$U,$H68)&lt;&gt;"Subscription",INDEX('Game Records'!$U:$U,$H68)&lt;&gt;"Free Game",INDEX('Game Records'!$U:$U,$H68)&lt;&gt;"Disqualified — Free Game",OR(INDEX('Game Records'!$E:$E,$H68)="",LOWER(INDEX('Game Records'!$E:$E,$H68)&amp;"")="n/a")),"Game Type; ","")&amp;IF(INDEX('Game Records'!$F:$F,$H68)="","Payment Type; ","")&amp;IF(AND(INDEX('Game Records'!$U:$U,$H68)&lt;&gt;"Subscription",INDEX('Game Records'!$U:$U,$H68)&lt;&gt;"Free Game",INDEX('Game Records'!$U:$U,$H68)&lt;&gt;"Disqualified — Free Game",INDEX('Game Records'!$G:$G,$H68)=""),"Gross Pot; ","")&amp;IF(AND(INDEX('Game Records'!$U:$U,$H68)&lt;&gt;"Free Game",INDEX('Game Records'!$U:$U,$H68)&lt;&gt;"Disqualified — Free Game",INDEX('Game Records'!$H:$H,$H68)=""),"Entry Fee; ","")&amp;IF(AND(INDEX('Game Records'!$U:$U,$H68)&lt;&gt;"Subscription",INDEX('Game Records'!$U:$U,$H68)&lt;&gt;"Free Game",INDEX('Game Records'!$U:$U,$H68)&lt;&gt;"Disqualified — Free Game",INDEX('Game Records'!$I:$I,$H68)=""),"Eligible Players; ","")&amp;IF(AND(INDEX('Game Records'!$U:$U,$H68)&lt;&gt;"Subscription",INDEX('Game Records'!$U:$U,$H68)&lt;&gt;"Free Game",INDEX('Game Records'!$U:$U,$H68)&lt;&gt;"Disqualified — Free Game",INDEX('Game Records'!$J:$J,$H68)=""),"Total Players; ","")&amp;IF(AND(LOWER(INDEX('Game Records'!$D:$D,$H68)&amp;"")="finalized",LOWER(INDEX('Game Records'!$L:$L,$H68)&amp;"")&lt;&gt;"yes",INDEX('Game Records'!$U:$U,$H68)&lt;&gt;"Subscription",INDEX('Game Records'!$U:$U,$H68)&lt;&gt;"Free Game",INDEX('Game Records'!$U:$U,$H68)&lt;&gt;"Disqualified — Free Game",INDEX('Game Records'!$K:$K,$H68)=""),"Final Payout; ","")&amp;IF(AND(LOWER(INDEX('Game Records'!$D:$D,$H68)&amp;"")="finalized",INDEX('Game Records'!$U:$U,$H68)&lt;&gt;"Subscription",INDEX('Game Records'!$U:$U,$H68)&lt;&gt;"Free Game",INDEX('Game Records'!$U:$U,$H68)&lt;&gt;"Disqualified — Free Game",OR(INDEX('Game Records'!$L:$L,$H68)="",LOWER(INDEX('Game Records'!$L:$L,$H68)&amp;"")="n/a")),"Disqualified Status; ",""))</f>
        <v/>
      </c>
      <c r="G68" s="25" t="str">
        <f t="array" ref="G68">IF($H68="","",IFERROR(INDEX('Game Records'!$M:$M,$H68),""))</f>
        <v/>
      </c>
      <c r="H68" s="8"/>
      <c r="I68" s="8"/>
      <c r="J68" s="8"/>
    </row>
    <row r="69" ht="24.0" customHeight="1">
      <c r="A69" s="21" t="str">
        <f t="shared" si="1"/>
        <v/>
      </c>
      <c r="B69" s="21" t="str">
        <f t="shared" si="2"/>
        <v/>
      </c>
      <c r="C69" s="25" t="str">
        <f t="array" ref="C69">IF($H69="","",IFERROR(INDEX('Game Records'!$A:$A,$H69),""))</f>
        <v/>
      </c>
      <c r="D69" s="25" t="str">
        <f t="array" ref="D69">IF($H69="","",IFERROR(INDEX('Game Records'!$U:$U,$H69),""))</f>
        <v/>
      </c>
      <c r="E69" s="25" t="str">
        <f t="shared" si="3"/>
        <v/>
      </c>
      <c r="F69" s="25" t="str">
        <f t="array" ref="F69">IF($H69="","",IF(OR(NOT(_xlfn.ISFORMULA(INDEX('Game Records'!$N:$N,$H69))),NOT(_xlfn.ISFORMULA(INDEX('Game Records'!$O:$O,$H69))),NOT(_xlfn.ISFORMULA(INDEX('Game Records'!$P:$P,$H69))),NOT(_xlfn.ISFORMULA(INDEX('Game Records'!$Q:$Q,$H69))),NOT(_xlfn.ISFORMULA(INDEX('Game Records'!$R:$R,$H69))),NOT(_xlfn.ISFORMULA(INDEX('Game Records'!$S:$S,$H69))),NOT(_xlfn.ISFORMULA(INDEX('Game Records'!$T:$T,$H69))),NOT(_xlfn.ISFORMULA(INDEX('Game Records'!$U:$U,$H69))),NOT(_xlfn.ISFORMULA(INDEX('Game Records'!$V:$V,$H69))),NOT(_xlfn.ISFORMULA(INDEX('Game Records'!$W:$W,$H69))),NOT(_xlfn.ISFORMULA(INDEX('Game Records'!$X:$X,$H69))),NOT(_xlfn.ISFORMULA(INDEX('Game Records'!$Y:$Y,$H69))),NOT(_xlfn.ISFORMULA(INDEX('Game Records'!$Z:$Z,$H69)))),"","")&amp;IF(INDEX('Game Records'!$B:$B,$H69)="","Start Date; ","")&amp;IF(INDEX('Game Records'!$C:$C,$H69)="","End Date; ","")&amp;IF(AND(INDEX('Game Records'!$U:$U,$H69)&lt;&gt;"Subscription",INDEX('Game Records'!$U:$U,$H69)&lt;&gt;"Free Game",INDEX('Game Records'!$U:$U,$H69)&lt;&gt;"Disqualified — Free Game",OR(INDEX('Game Records'!$D:$D,$H69)="",LOWER(INDEX('Game Records'!$D:$D,$H69)&amp;"")="n/a")),"Entry Mode; ","")&amp;IF(AND(INDEX('Game Records'!$U:$U,$H69)&lt;&gt;"Subscription",INDEX('Game Records'!$U:$U,$H69)&lt;&gt;"Free Game",INDEX('Game Records'!$U:$U,$H69)&lt;&gt;"Disqualified — Free Game",OR(INDEX('Game Records'!$E:$E,$H69)="",LOWER(INDEX('Game Records'!$E:$E,$H69)&amp;"")="n/a")),"Game Type; ","")&amp;IF(INDEX('Game Records'!$F:$F,$H69)="","Payment Type; ","")&amp;IF(AND(INDEX('Game Records'!$U:$U,$H69)&lt;&gt;"Subscription",INDEX('Game Records'!$U:$U,$H69)&lt;&gt;"Free Game",INDEX('Game Records'!$U:$U,$H69)&lt;&gt;"Disqualified — Free Game",INDEX('Game Records'!$G:$G,$H69)=""),"Gross Pot; ","")&amp;IF(AND(INDEX('Game Records'!$U:$U,$H69)&lt;&gt;"Free Game",INDEX('Game Records'!$U:$U,$H69)&lt;&gt;"Disqualified — Free Game",INDEX('Game Records'!$H:$H,$H69)=""),"Entry Fee; ","")&amp;IF(AND(INDEX('Game Records'!$U:$U,$H69)&lt;&gt;"Subscription",INDEX('Game Records'!$U:$U,$H69)&lt;&gt;"Free Game",INDEX('Game Records'!$U:$U,$H69)&lt;&gt;"Disqualified — Free Game",INDEX('Game Records'!$I:$I,$H69)=""),"Eligible Players; ","")&amp;IF(AND(INDEX('Game Records'!$U:$U,$H69)&lt;&gt;"Subscription",INDEX('Game Records'!$U:$U,$H69)&lt;&gt;"Free Game",INDEX('Game Records'!$U:$U,$H69)&lt;&gt;"Disqualified — Free Game",INDEX('Game Records'!$J:$J,$H69)=""),"Total Players; ","")&amp;IF(AND(LOWER(INDEX('Game Records'!$D:$D,$H69)&amp;"")="finalized",LOWER(INDEX('Game Records'!$L:$L,$H69)&amp;"")&lt;&gt;"yes",INDEX('Game Records'!$U:$U,$H69)&lt;&gt;"Subscription",INDEX('Game Records'!$U:$U,$H69)&lt;&gt;"Free Game",INDEX('Game Records'!$U:$U,$H69)&lt;&gt;"Disqualified — Free Game",INDEX('Game Records'!$K:$K,$H69)=""),"Final Payout; ","")&amp;IF(AND(LOWER(INDEX('Game Records'!$D:$D,$H69)&amp;"")="finalized",INDEX('Game Records'!$U:$U,$H69)&lt;&gt;"Subscription",INDEX('Game Records'!$U:$U,$H69)&lt;&gt;"Free Game",INDEX('Game Records'!$U:$U,$H69)&lt;&gt;"Disqualified — Free Game",OR(INDEX('Game Records'!$L:$L,$H69)="",LOWER(INDEX('Game Records'!$L:$L,$H69)&amp;"")="n/a")),"Disqualified Status; ",""))</f>
        <v/>
      </c>
      <c r="G69" s="25" t="str">
        <f t="array" ref="G69">IF($H69="","",IFERROR(INDEX('Game Records'!$M:$M,$H69),""))</f>
        <v/>
      </c>
      <c r="H69" s="8"/>
      <c r="I69" s="8"/>
      <c r="J69" s="8"/>
    </row>
    <row r="70" ht="24.0" customHeight="1">
      <c r="A70" s="21" t="str">
        <f t="shared" si="1"/>
        <v/>
      </c>
      <c r="B70" s="21" t="str">
        <f t="shared" si="2"/>
        <v/>
      </c>
      <c r="C70" s="25" t="str">
        <f t="array" ref="C70">IF($H70="","",IFERROR(INDEX('Game Records'!$A:$A,$H70),""))</f>
        <v/>
      </c>
      <c r="D70" s="25" t="str">
        <f t="array" ref="D70">IF($H70="","",IFERROR(INDEX('Game Records'!$U:$U,$H70),""))</f>
        <v/>
      </c>
      <c r="E70" s="25" t="str">
        <f t="shared" si="3"/>
        <v/>
      </c>
      <c r="F70" s="25" t="str">
        <f t="array" ref="F70">IF($H70="","",IF(OR(NOT(_xlfn.ISFORMULA(INDEX('Game Records'!$N:$N,$H70))),NOT(_xlfn.ISFORMULA(INDEX('Game Records'!$O:$O,$H70))),NOT(_xlfn.ISFORMULA(INDEX('Game Records'!$P:$P,$H70))),NOT(_xlfn.ISFORMULA(INDEX('Game Records'!$Q:$Q,$H70))),NOT(_xlfn.ISFORMULA(INDEX('Game Records'!$R:$R,$H70))),NOT(_xlfn.ISFORMULA(INDEX('Game Records'!$S:$S,$H70))),NOT(_xlfn.ISFORMULA(INDEX('Game Records'!$T:$T,$H70))),NOT(_xlfn.ISFORMULA(INDEX('Game Records'!$U:$U,$H70))),NOT(_xlfn.ISFORMULA(INDEX('Game Records'!$V:$V,$H70))),NOT(_xlfn.ISFORMULA(INDEX('Game Records'!$W:$W,$H70))),NOT(_xlfn.ISFORMULA(INDEX('Game Records'!$X:$X,$H70))),NOT(_xlfn.ISFORMULA(INDEX('Game Records'!$Y:$Y,$H70))),NOT(_xlfn.ISFORMULA(INDEX('Game Records'!$Z:$Z,$H70)))),"","")&amp;IF(INDEX('Game Records'!$B:$B,$H70)="","Start Date; ","")&amp;IF(INDEX('Game Records'!$C:$C,$H70)="","End Date; ","")&amp;IF(AND(INDEX('Game Records'!$U:$U,$H70)&lt;&gt;"Subscription",INDEX('Game Records'!$U:$U,$H70)&lt;&gt;"Free Game",INDEX('Game Records'!$U:$U,$H70)&lt;&gt;"Disqualified — Free Game",OR(INDEX('Game Records'!$D:$D,$H70)="",LOWER(INDEX('Game Records'!$D:$D,$H70)&amp;"")="n/a")),"Entry Mode; ","")&amp;IF(AND(INDEX('Game Records'!$U:$U,$H70)&lt;&gt;"Subscription",INDEX('Game Records'!$U:$U,$H70)&lt;&gt;"Free Game",INDEX('Game Records'!$U:$U,$H70)&lt;&gt;"Disqualified — Free Game",OR(INDEX('Game Records'!$E:$E,$H70)="",LOWER(INDEX('Game Records'!$E:$E,$H70)&amp;"")="n/a")),"Game Type; ","")&amp;IF(INDEX('Game Records'!$F:$F,$H70)="","Payment Type; ","")&amp;IF(AND(INDEX('Game Records'!$U:$U,$H70)&lt;&gt;"Subscription",INDEX('Game Records'!$U:$U,$H70)&lt;&gt;"Free Game",INDEX('Game Records'!$U:$U,$H70)&lt;&gt;"Disqualified — Free Game",INDEX('Game Records'!$G:$G,$H70)=""),"Gross Pot; ","")&amp;IF(AND(INDEX('Game Records'!$U:$U,$H70)&lt;&gt;"Free Game",INDEX('Game Records'!$U:$U,$H70)&lt;&gt;"Disqualified — Free Game",INDEX('Game Records'!$H:$H,$H70)=""),"Entry Fee; ","")&amp;IF(AND(INDEX('Game Records'!$U:$U,$H70)&lt;&gt;"Subscription",INDEX('Game Records'!$U:$U,$H70)&lt;&gt;"Free Game",INDEX('Game Records'!$U:$U,$H70)&lt;&gt;"Disqualified — Free Game",INDEX('Game Records'!$I:$I,$H70)=""),"Eligible Players; ","")&amp;IF(AND(INDEX('Game Records'!$U:$U,$H70)&lt;&gt;"Subscription",INDEX('Game Records'!$U:$U,$H70)&lt;&gt;"Free Game",INDEX('Game Records'!$U:$U,$H70)&lt;&gt;"Disqualified — Free Game",INDEX('Game Records'!$J:$J,$H70)=""),"Total Players; ","")&amp;IF(AND(LOWER(INDEX('Game Records'!$D:$D,$H70)&amp;"")="finalized",LOWER(INDEX('Game Records'!$L:$L,$H70)&amp;"")&lt;&gt;"yes",INDEX('Game Records'!$U:$U,$H70)&lt;&gt;"Subscription",INDEX('Game Records'!$U:$U,$H70)&lt;&gt;"Free Game",INDEX('Game Records'!$U:$U,$H70)&lt;&gt;"Disqualified — Free Game",INDEX('Game Records'!$K:$K,$H70)=""),"Final Payout; ","")&amp;IF(AND(LOWER(INDEX('Game Records'!$D:$D,$H70)&amp;"")="finalized",INDEX('Game Records'!$U:$U,$H70)&lt;&gt;"Subscription",INDEX('Game Records'!$U:$U,$H70)&lt;&gt;"Free Game",INDEX('Game Records'!$U:$U,$H70)&lt;&gt;"Disqualified — Free Game",OR(INDEX('Game Records'!$L:$L,$H70)="",LOWER(INDEX('Game Records'!$L:$L,$H70)&amp;"")="n/a")),"Disqualified Status; ",""))</f>
        <v/>
      </c>
      <c r="G70" s="25" t="str">
        <f t="array" ref="G70">IF($H70="","",IFERROR(INDEX('Game Records'!$M:$M,$H70),""))</f>
        <v/>
      </c>
      <c r="H70" s="8"/>
      <c r="I70" s="8"/>
      <c r="J70" s="8"/>
    </row>
    <row r="71" ht="24.0" customHeight="1">
      <c r="A71" s="21" t="str">
        <f t="shared" si="1"/>
        <v/>
      </c>
      <c r="B71" s="21" t="str">
        <f t="shared" si="2"/>
        <v/>
      </c>
      <c r="C71" s="25" t="str">
        <f t="array" ref="C71">IF($H71="","",IFERROR(INDEX('Game Records'!$A:$A,$H71),""))</f>
        <v/>
      </c>
      <c r="D71" s="25" t="str">
        <f t="array" ref="D71">IF($H71="","",IFERROR(INDEX('Game Records'!$U:$U,$H71),""))</f>
        <v/>
      </c>
      <c r="E71" s="25" t="str">
        <f t="shared" si="3"/>
        <v/>
      </c>
      <c r="F71" s="25" t="str">
        <f t="array" ref="F71">IF($H71="","",IF(OR(NOT(_xlfn.ISFORMULA(INDEX('Game Records'!$N:$N,$H71))),NOT(_xlfn.ISFORMULA(INDEX('Game Records'!$O:$O,$H71))),NOT(_xlfn.ISFORMULA(INDEX('Game Records'!$P:$P,$H71))),NOT(_xlfn.ISFORMULA(INDEX('Game Records'!$Q:$Q,$H71))),NOT(_xlfn.ISFORMULA(INDEX('Game Records'!$R:$R,$H71))),NOT(_xlfn.ISFORMULA(INDEX('Game Records'!$S:$S,$H71))),NOT(_xlfn.ISFORMULA(INDEX('Game Records'!$T:$T,$H71))),NOT(_xlfn.ISFORMULA(INDEX('Game Records'!$U:$U,$H71))),NOT(_xlfn.ISFORMULA(INDEX('Game Records'!$V:$V,$H71))),NOT(_xlfn.ISFORMULA(INDEX('Game Records'!$W:$W,$H71))),NOT(_xlfn.ISFORMULA(INDEX('Game Records'!$X:$X,$H71))),NOT(_xlfn.ISFORMULA(INDEX('Game Records'!$Y:$Y,$H71))),NOT(_xlfn.ISFORMULA(INDEX('Game Records'!$Z:$Z,$H71)))),"","")&amp;IF(INDEX('Game Records'!$B:$B,$H71)="","Start Date; ","")&amp;IF(INDEX('Game Records'!$C:$C,$H71)="","End Date; ","")&amp;IF(AND(INDEX('Game Records'!$U:$U,$H71)&lt;&gt;"Subscription",INDEX('Game Records'!$U:$U,$H71)&lt;&gt;"Free Game",INDEX('Game Records'!$U:$U,$H71)&lt;&gt;"Disqualified — Free Game",OR(INDEX('Game Records'!$D:$D,$H71)="",LOWER(INDEX('Game Records'!$D:$D,$H71)&amp;"")="n/a")),"Entry Mode; ","")&amp;IF(AND(INDEX('Game Records'!$U:$U,$H71)&lt;&gt;"Subscription",INDEX('Game Records'!$U:$U,$H71)&lt;&gt;"Free Game",INDEX('Game Records'!$U:$U,$H71)&lt;&gt;"Disqualified — Free Game",OR(INDEX('Game Records'!$E:$E,$H71)="",LOWER(INDEX('Game Records'!$E:$E,$H71)&amp;"")="n/a")),"Game Type; ","")&amp;IF(INDEX('Game Records'!$F:$F,$H71)="","Payment Type; ","")&amp;IF(AND(INDEX('Game Records'!$U:$U,$H71)&lt;&gt;"Subscription",INDEX('Game Records'!$U:$U,$H71)&lt;&gt;"Free Game",INDEX('Game Records'!$U:$U,$H71)&lt;&gt;"Disqualified — Free Game",INDEX('Game Records'!$G:$G,$H71)=""),"Gross Pot; ","")&amp;IF(AND(INDEX('Game Records'!$U:$U,$H71)&lt;&gt;"Free Game",INDEX('Game Records'!$U:$U,$H71)&lt;&gt;"Disqualified — Free Game",INDEX('Game Records'!$H:$H,$H71)=""),"Entry Fee; ","")&amp;IF(AND(INDEX('Game Records'!$U:$U,$H71)&lt;&gt;"Subscription",INDEX('Game Records'!$U:$U,$H71)&lt;&gt;"Free Game",INDEX('Game Records'!$U:$U,$H71)&lt;&gt;"Disqualified — Free Game",INDEX('Game Records'!$I:$I,$H71)=""),"Eligible Players; ","")&amp;IF(AND(INDEX('Game Records'!$U:$U,$H71)&lt;&gt;"Subscription",INDEX('Game Records'!$U:$U,$H71)&lt;&gt;"Free Game",INDEX('Game Records'!$U:$U,$H71)&lt;&gt;"Disqualified — Free Game",INDEX('Game Records'!$J:$J,$H71)=""),"Total Players; ","")&amp;IF(AND(LOWER(INDEX('Game Records'!$D:$D,$H71)&amp;"")="finalized",LOWER(INDEX('Game Records'!$L:$L,$H71)&amp;"")&lt;&gt;"yes",INDEX('Game Records'!$U:$U,$H71)&lt;&gt;"Subscription",INDEX('Game Records'!$U:$U,$H71)&lt;&gt;"Free Game",INDEX('Game Records'!$U:$U,$H71)&lt;&gt;"Disqualified — Free Game",INDEX('Game Records'!$K:$K,$H71)=""),"Final Payout; ","")&amp;IF(AND(LOWER(INDEX('Game Records'!$D:$D,$H71)&amp;"")="finalized",INDEX('Game Records'!$U:$U,$H71)&lt;&gt;"Subscription",INDEX('Game Records'!$U:$U,$H71)&lt;&gt;"Free Game",INDEX('Game Records'!$U:$U,$H71)&lt;&gt;"Disqualified — Free Game",OR(INDEX('Game Records'!$L:$L,$H71)="",LOWER(INDEX('Game Records'!$L:$L,$H71)&amp;"")="n/a")),"Disqualified Status; ",""))</f>
        <v/>
      </c>
      <c r="G71" s="25" t="str">
        <f t="array" ref="G71">IF($H71="","",IFERROR(INDEX('Game Records'!$M:$M,$H71),""))</f>
        <v/>
      </c>
      <c r="H71" s="8"/>
      <c r="I71" s="8"/>
      <c r="J71" s="8"/>
    </row>
    <row r="72" ht="24.0" customHeight="1">
      <c r="A72" s="21" t="str">
        <f t="shared" si="1"/>
        <v/>
      </c>
      <c r="B72" s="21" t="str">
        <f t="shared" si="2"/>
        <v/>
      </c>
      <c r="C72" s="25" t="str">
        <f t="array" ref="C72">IF($H72="","",IFERROR(INDEX('Game Records'!$A:$A,$H72),""))</f>
        <v/>
      </c>
      <c r="D72" s="25" t="str">
        <f t="array" ref="D72">IF($H72="","",IFERROR(INDEX('Game Records'!$U:$U,$H72),""))</f>
        <v/>
      </c>
      <c r="E72" s="25" t="str">
        <f t="shared" si="3"/>
        <v/>
      </c>
      <c r="F72" s="25" t="str">
        <f t="array" ref="F72">IF($H72="","",IF(OR(NOT(_xlfn.ISFORMULA(INDEX('Game Records'!$N:$N,$H72))),NOT(_xlfn.ISFORMULA(INDEX('Game Records'!$O:$O,$H72))),NOT(_xlfn.ISFORMULA(INDEX('Game Records'!$P:$P,$H72))),NOT(_xlfn.ISFORMULA(INDEX('Game Records'!$Q:$Q,$H72))),NOT(_xlfn.ISFORMULA(INDEX('Game Records'!$R:$R,$H72))),NOT(_xlfn.ISFORMULA(INDEX('Game Records'!$S:$S,$H72))),NOT(_xlfn.ISFORMULA(INDEX('Game Records'!$T:$T,$H72))),NOT(_xlfn.ISFORMULA(INDEX('Game Records'!$U:$U,$H72))),NOT(_xlfn.ISFORMULA(INDEX('Game Records'!$V:$V,$H72))),NOT(_xlfn.ISFORMULA(INDEX('Game Records'!$W:$W,$H72))),NOT(_xlfn.ISFORMULA(INDEX('Game Records'!$X:$X,$H72))),NOT(_xlfn.ISFORMULA(INDEX('Game Records'!$Y:$Y,$H72))),NOT(_xlfn.ISFORMULA(INDEX('Game Records'!$Z:$Z,$H72)))),"","")&amp;IF(INDEX('Game Records'!$B:$B,$H72)="","Start Date; ","")&amp;IF(INDEX('Game Records'!$C:$C,$H72)="","End Date; ","")&amp;IF(AND(INDEX('Game Records'!$U:$U,$H72)&lt;&gt;"Subscription",INDEX('Game Records'!$U:$U,$H72)&lt;&gt;"Free Game",INDEX('Game Records'!$U:$U,$H72)&lt;&gt;"Disqualified — Free Game",OR(INDEX('Game Records'!$D:$D,$H72)="",LOWER(INDEX('Game Records'!$D:$D,$H72)&amp;"")="n/a")),"Entry Mode; ","")&amp;IF(AND(INDEX('Game Records'!$U:$U,$H72)&lt;&gt;"Subscription",INDEX('Game Records'!$U:$U,$H72)&lt;&gt;"Free Game",INDEX('Game Records'!$U:$U,$H72)&lt;&gt;"Disqualified — Free Game",OR(INDEX('Game Records'!$E:$E,$H72)="",LOWER(INDEX('Game Records'!$E:$E,$H72)&amp;"")="n/a")),"Game Type; ","")&amp;IF(INDEX('Game Records'!$F:$F,$H72)="","Payment Type; ","")&amp;IF(AND(INDEX('Game Records'!$U:$U,$H72)&lt;&gt;"Subscription",INDEX('Game Records'!$U:$U,$H72)&lt;&gt;"Free Game",INDEX('Game Records'!$U:$U,$H72)&lt;&gt;"Disqualified — Free Game",INDEX('Game Records'!$G:$G,$H72)=""),"Gross Pot; ","")&amp;IF(AND(INDEX('Game Records'!$U:$U,$H72)&lt;&gt;"Free Game",INDEX('Game Records'!$U:$U,$H72)&lt;&gt;"Disqualified — Free Game",INDEX('Game Records'!$H:$H,$H72)=""),"Entry Fee; ","")&amp;IF(AND(INDEX('Game Records'!$U:$U,$H72)&lt;&gt;"Subscription",INDEX('Game Records'!$U:$U,$H72)&lt;&gt;"Free Game",INDEX('Game Records'!$U:$U,$H72)&lt;&gt;"Disqualified — Free Game",INDEX('Game Records'!$I:$I,$H72)=""),"Eligible Players; ","")&amp;IF(AND(INDEX('Game Records'!$U:$U,$H72)&lt;&gt;"Subscription",INDEX('Game Records'!$U:$U,$H72)&lt;&gt;"Free Game",INDEX('Game Records'!$U:$U,$H72)&lt;&gt;"Disqualified — Free Game",INDEX('Game Records'!$J:$J,$H72)=""),"Total Players; ","")&amp;IF(AND(LOWER(INDEX('Game Records'!$D:$D,$H72)&amp;"")="finalized",LOWER(INDEX('Game Records'!$L:$L,$H72)&amp;"")&lt;&gt;"yes",INDEX('Game Records'!$U:$U,$H72)&lt;&gt;"Subscription",INDEX('Game Records'!$U:$U,$H72)&lt;&gt;"Free Game",INDEX('Game Records'!$U:$U,$H72)&lt;&gt;"Disqualified — Free Game",INDEX('Game Records'!$K:$K,$H72)=""),"Final Payout; ","")&amp;IF(AND(LOWER(INDEX('Game Records'!$D:$D,$H72)&amp;"")="finalized",INDEX('Game Records'!$U:$U,$H72)&lt;&gt;"Subscription",INDEX('Game Records'!$U:$U,$H72)&lt;&gt;"Free Game",INDEX('Game Records'!$U:$U,$H72)&lt;&gt;"Disqualified — Free Game",OR(INDEX('Game Records'!$L:$L,$H72)="",LOWER(INDEX('Game Records'!$L:$L,$H72)&amp;"")="n/a")),"Disqualified Status; ",""))</f>
        <v/>
      </c>
      <c r="G72" s="25" t="str">
        <f t="array" ref="G72">IF($H72="","",IFERROR(INDEX('Game Records'!$M:$M,$H72),""))</f>
        <v/>
      </c>
      <c r="H72" s="8"/>
      <c r="I72" s="8"/>
      <c r="J72" s="8"/>
    </row>
    <row r="73" ht="24.0" customHeight="1">
      <c r="A73" s="21" t="str">
        <f t="shared" si="1"/>
        <v/>
      </c>
      <c r="B73" s="21" t="str">
        <f t="shared" si="2"/>
        <v/>
      </c>
      <c r="C73" s="25" t="str">
        <f t="array" ref="C73">IF($H73="","",IFERROR(INDEX('Game Records'!$A:$A,$H73),""))</f>
        <v/>
      </c>
      <c r="D73" s="25" t="str">
        <f t="array" ref="D73">IF($H73="","",IFERROR(INDEX('Game Records'!$U:$U,$H73),""))</f>
        <v/>
      </c>
      <c r="E73" s="25" t="str">
        <f t="shared" si="3"/>
        <v/>
      </c>
      <c r="F73" s="25" t="str">
        <f t="array" ref="F73">IF($H73="","",IF(OR(NOT(_xlfn.ISFORMULA(INDEX('Game Records'!$N:$N,$H73))),NOT(_xlfn.ISFORMULA(INDEX('Game Records'!$O:$O,$H73))),NOT(_xlfn.ISFORMULA(INDEX('Game Records'!$P:$P,$H73))),NOT(_xlfn.ISFORMULA(INDEX('Game Records'!$Q:$Q,$H73))),NOT(_xlfn.ISFORMULA(INDEX('Game Records'!$R:$R,$H73))),NOT(_xlfn.ISFORMULA(INDEX('Game Records'!$S:$S,$H73))),NOT(_xlfn.ISFORMULA(INDEX('Game Records'!$T:$T,$H73))),NOT(_xlfn.ISFORMULA(INDEX('Game Records'!$U:$U,$H73))),NOT(_xlfn.ISFORMULA(INDEX('Game Records'!$V:$V,$H73))),NOT(_xlfn.ISFORMULA(INDEX('Game Records'!$W:$W,$H73))),NOT(_xlfn.ISFORMULA(INDEX('Game Records'!$X:$X,$H73))),NOT(_xlfn.ISFORMULA(INDEX('Game Records'!$Y:$Y,$H73))),NOT(_xlfn.ISFORMULA(INDEX('Game Records'!$Z:$Z,$H73)))),"","")&amp;IF(INDEX('Game Records'!$B:$B,$H73)="","Start Date; ","")&amp;IF(INDEX('Game Records'!$C:$C,$H73)="","End Date; ","")&amp;IF(AND(INDEX('Game Records'!$U:$U,$H73)&lt;&gt;"Subscription",INDEX('Game Records'!$U:$U,$H73)&lt;&gt;"Free Game",INDEX('Game Records'!$U:$U,$H73)&lt;&gt;"Disqualified — Free Game",OR(INDEX('Game Records'!$D:$D,$H73)="",LOWER(INDEX('Game Records'!$D:$D,$H73)&amp;"")="n/a")),"Entry Mode; ","")&amp;IF(AND(INDEX('Game Records'!$U:$U,$H73)&lt;&gt;"Subscription",INDEX('Game Records'!$U:$U,$H73)&lt;&gt;"Free Game",INDEX('Game Records'!$U:$U,$H73)&lt;&gt;"Disqualified — Free Game",OR(INDEX('Game Records'!$E:$E,$H73)="",LOWER(INDEX('Game Records'!$E:$E,$H73)&amp;"")="n/a")),"Game Type; ","")&amp;IF(INDEX('Game Records'!$F:$F,$H73)="","Payment Type; ","")&amp;IF(AND(INDEX('Game Records'!$U:$U,$H73)&lt;&gt;"Subscription",INDEX('Game Records'!$U:$U,$H73)&lt;&gt;"Free Game",INDEX('Game Records'!$U:$U,$H73)&lt;&gt;"Disqualified — Free Game",INDEX('Game Records'!$G:$G,$H73)=""),"Gross Pot; ","")&amp;IF(AND(INDEX('Game Records'!$U:$U,$H73)&lt;&gt;"Free Game",INDEX('Game Records'!$U:$U,$H73)&lt;&gt;"Disqualified — Free Game",INDEX('Game Records'!$H:$H,$H73)=""),"Entry Fee; ","")&amp;IF(AND(INDEX('Game Records'!$U:$U,$H73)&lt;&gt;"Subscription",INDEX('Game Records'!$U:$U,$H73)&lt;&gt;"Free Game",INDEX('Game Records'!$U:$U,$H73)&lt;&gt;"Disqualified — Free Game",INDEX('Game Records'!$I:$I,$H73)=""),"Eligible Players; ","")&amp;IF(AND(INDEX('Game Records'!$U:$U,$H73)&lt;&gt;"Subscription",INDEX('Game Records'!$U:$U,$H73)&lt;&gt;"Free Game",INDEX('Game Records'!$U:$U,$H73)&lt;&gt;"Disqualified — Free Game",INDEX('Game Records'!$J:$J,$H73)=""),"Total Players; ","")&amp;IF(AND(LOWER(INDEX('Game Records'!$D:$D,$H73)&amp;"")="finalized",LOWER(INDEX('Game Records'!$L:$L,$H73)&amp;"")&lt;&gt;"yes",INDEX('Game Records'!$U:$U,$H73)&lt;&gt;"Subscription",INDEX('Game Records'!$U:$U,$H73)&lt;&gt;"Free Game",INDEX('Game Records'!$U:$U,$H73)&lt;&gt;"Disqualified — Free Game",INDEX('Game Records'!$K:$K,$H73)=""),"Final Payout; ","")&amp;IF(AND(LOWER(INDEX('Game Records'!$D:$D,$H73)&amp;"")="finalized",INDEX('Game Records'!$U:$U,$H73)&lt;&gt;"Subscription",INDEX('Game Records'!$U:$U,$H73)&lt;&gt;"Free Game",INDEX('Game Records'!$U:$U,$H73)&lt;&gt;"Disqualified — Free Game",OR(INDEX('Game Records'!$L:$L,$H73)="",LOWER(INDEX('Game Records'!$L:$L,$H73)&amp;"")="n/a")),"Disqualified Status; ",""))</f>
        <v/>
      </c>
      <c r="G73" s="25" t="str">
        <f t="array" ref="G73">IF($H73="","",IFERROR(INDEX('Game Records'!$M:$M,$H73),""))</f>
        <v/>
      </c>
      <c r="H73" s="8"/>
      <c r="I73" s="8"/>
      <c r="J73" s="8"/>
    </row>
    <row r="74" ht="24.0" customHeight="1">
      <c r="A74" s="21" t="str">
        <f t="shared" si="1"/>
        <v/>
      </c>
      <c r="B74" s="21" t="str">
        <f t="shared" si="2"/>
        <v/>
      </c>
      <c r="C74" s="25" t="str">
        <f t="array" ref="C74">IF($H74="","",IFERROR(INDEX('Game Records'!$A:$A,$H74),""))</f>
        <v/>
      </c>
      <c r="D74" s="25" t="str">
        <f t="array" ref="D74">IF($H74="","",IFERROR(INDEX('Game Records'!$U:$U,$H74),""))</f>
        <v/>
      </c>
      <c r="E74" s="25" t="str">
        <f t="shared" si="3"/>
        <v/>
      </c>
      <c r="F74" s="25" t="str">
        <f t="array" ref="F74">IF($H74="","",IF(OR(NOT(_xlfn.ISFORMULA(INDEX('Game Records'!$N:$N,$H74))),NOT(_xlfn.ISFORMULA(INDEX('Game Records'!$O:$O,$H74))),NOT(_xlfn.ISFORMULA(INDEX('Game Records'!$P:$P,$H74))),NOT(_xlfn.ISFORMULA(INDEX('Game Records'!$Q:$Q,$H74))),NOT(_xlfn.ISFORMULA(INDEX('Game Records'!$R:$R,$H74))),NOT(_xlfn.ISFORMULA(INDEX('Game Records'!$S:$S,$H74))),NOT(_xlfn.ISFORMULA(INDEX('Game Records'!$T:$T,$H74))),NOT(_xlfn.ISFORMULA(INDEX('Game Records'!$U:$U,$H74))),NOT(_xlfn.ISFORMULA(INDEX('Game Records'!$V:$V,$H74))),NOT(_xlfn.ISFORMULA(INDEX('Game Records'!$W:$W,$H74))),NOT(_xlfn.ISFORMULA(INDEX('Game Records'!$X:$X,$H74))),NOT(_xlfn.ISFORMULA(INDEX('Game Records'!$Y:$Y,$H74))),NOT(_xlfn.ISFORMULA(INDEX('Game Records'!$Z:$Z,$H74)))),"","")&amp;IF(INDEX('Game Records'!$B:$B,$H74)="","Start Date; ","")&amp;IF(INDEX('Game Records'!$C:$C,$H74)="","End Date; ","")&amp;IF(AND(INDEX('Game Records'!$U:$U,$H74)&lt;&gt;"Subscription",INDEX('Game Records'!$U:$U,$H74)&lt;&gt;"Free Game",INDEX('Game Records'!$U:$U,$H74)&lt;&gt;"Disqualified — Free Game",OR(INDEX('Game Records'!$D:$D,$H74)="",LOWER(INDEX('Game Records'!$D:$D,$H74)&amp;"")="n/a")),"Entry Mode; ","")&amp;IF(AND(INDEX('Game Records'!$U:$U,$H74)&lt;&gt;"Subscription",INDEX('Game Records'!$U:$U,$H74)&lt;&gt;"Free Game",INDEX('Game Records'!$U:$U,$H74)&lt;&gt;"Disqualified — Free Game",OR(INDEX('Game Records'!$E:$E,$H74)="",LOWER(INDEX('Game Records'!$E:$E,$H74)&amp;"")="n/a")),"Game Type; ","")&amp;IF(INDEX('Game Records'!$F:$F,$H74)="","Payment Type; ","")&amp;IF(AND(INDEX('Game Records'!$U:$U,$H74)&lt;&gt;"Subscription",INDEX('Game Records'!$U:$U,$H74)&lt;&gt;"Free Game",INDEX('Game Records'!$U:$U,$H74)&lt;&gt;"Disqualified — Free Game",INDEX('Game Records'!$G:$G,$H74)=""),"Gross Pot; ","")&amp;IF(AND(INDEX('Game Records'!$U:$U,$H74)&lt;&gt;"Free Game",INDEX('Game Records'!$U:$U,$H74)&lt;&gt;"Disqualified — Free Game",INDEX('Game Records'!$H:$H,$H74)=""),"Entry Fee; ","")&amp;IF(AND(INDEX('Game Records'!$U:$U,$H74)&lt;&gt;"Subscription",INDEX('Game Records'!$U:$U,$H74)&lt;&gt;"Free Game",INDEX('Game Records'!$U:$U,$H74)&lt;&gt;"Disqualified — Free Game",INDEX('Game Records'!$I:$I,$H74)=""),"Eligible Players; ","")&amp;IF(AND(INDEX('Game Records'!$U:$U,$H74)&lt;&gt;"Subscription",INDEX('Game Records'!$U:$U,$H74)&lt;&gt;"Free Game",INDEX('Game Records'!$U:$U,$H74)&lt;&gt;"Disqualified — Free Game",INDEX('Game Records'!$J:$J,$H74)=""),"Total Players; ","")&amp;IF(AND(LOWER(INDEX('Game Records'!$D:$D,$H74)&amp;"")="finalized",LOWER(INDEX('Game Records'!$L:$L,$H74)&amp;"")&lt;&gt;"yes",INDEX('Game Records'!$U:$U,$H74)&lt;&gt;"Subscription",INDEX('Game Records'!$U:$U,$H74)&lt;&gt;"Free Game",INDEX('Game Records'!$U:$U,$H74)&lt;&gt;"Disqualified — Free Game",INDEX('Game Records'!$K:$K,$H74)=""),"Final Payout; ","")&amp;IF(AND(LOWER(INDEX('Game Records'!$D:$D,$H74)&amp;"")="finalized",INDEX('Game Records'!$U:$U,$H74)&lt;&gt;"Subscription",INDEX('Game Records'!$U:$U,$H74)&lt;&gt;"Free Game",INDEX('Game Records'!$U:$U,$H74)&lt;&gt;"Disqualified — Free Game",OR(INDEX('Game Records'!$L:$L,$H74)="",LOWER(INDEX('Game Records'!$L:$L,$H74)&amp;"")="n/a")),"Disqualified Status; ",""))</f>
        <v/>
      </c>
      <c r="G74" s="25" t="str">
        <f t="array" ref="G74">IF($H74="","",IFERROR(INDEX('Game Records'!$M:$M,$H74),""))</f>
        <v/>
      </c>
      <c r="H74" s="8"/>
      <c r="I74" s="8"/>
      <c r="J74" s="8"/>
    </row>
    <row r="75" ht="24.0" customHeight="1">
      <c r="A75" s="21" t="str">
        <f t="shared" si="1"/>
        <v/>
      </c>
      <c r="B75" s="21" t="str">
        <f t="shared" si="2"/>
        <v/>
      </c>
      <c r="C75" s="25" t="str">
        <f t="array" ref="C75">IF($H75="","",IFERROR(INDEX('Game Records'!$A:$A,$H75),""))</f>
        <v/>
      </c>
      <c r="D75" s="25" t="str">
        <f t="array" ref="D75">IF($H75="","",IFERROR(INDEX('Game Records'!$U:$U,$H75),""))</f>
        <v/>
      </c>
      <c r="E75" s="25" t="str">
        <f t="shared" si="3"/>
        <v/>
      </c>
      <c r="F75" s="25" t="str">
        <f t="array" ref="F75">IF($H75="","",IF(OR(NOT(_xlfn.ISFORMULA(INDEX('Game Records'!$N:$N,$H75))),NOT(_xlfn.ISFORMULA(INDEX('Game Records'!$O:$O,$H75))),NOT(_xlfn.ISFORMULA(INDEX('Game Records'!$P:$P,$H75))),NOT(_xlfn.ISFORMULA(INDEX('Game Records'!$Q:$Q,$H75))),NOT(_xlfn.ISFORMULA(INDEX('Game Records'!$R:$R,$H75))),NOT(_xlfn.ISFORMULA(INDEX('Game Records'!$S:$S,$H75))),NOT(_xlfn.ISFORMULA(INDEX('Game Records'!$T:$T,$H75))),NOT(_xlfn.ISFORMULA(INDEX('Game Records'!$U:$U,$H75))),NOT(_xlfn.ISFORMULA(INDEX('Game Records'!$V:$V,$H75))),NOT(_xlfn.ISFORMULA(INDEX('Game Records'!$W:$W,$H75))),NOT(_xlfn.ISFORMULA(INDEX('Game Records'!$X:$X,$H75))),NOT(_xlfn.ISFORMULA(INDEX('Game Records'!$Y:$Y,$H75))),NOT(_xlfn.ISFORMULA(INDEX('Game Records'!$Z:$Z,$H75)))),"","")&amp;IF(INDEX('Game Records'!$B:$B,$H75)="","Start Date; ","")&amp;IF(INDEX('Game Records'!$C:$C,$H75)="","End Date; ","")&amp;IF(AND(INDEX('Game Records'!$U:$U,$H75)&lt;&gt;"Subscription",INDEX('Game Records'!$U:$U,$H75)&lt;&gt;"Free Game",INDEX('Game Records'!$U:$U,$H75)&lt;&gt;"Disqualified — Free Game",OR(INDEX('Game Records'!$D:$D,$H75)="",LOWER(INDEX('Game Records'!$D:$D,$H75)&amp;"")="n/a")),"Entry Mode; ","")&amp;IF(AND(INDEX('Game Records'!$U:$U,$H75)&lt;&gt;"Subscription",INDEX('Game Records'!$U:$U,$H75)&lt;&gt;"Free Game",INDEX('Game Records'!$U:$U,$H75)&lt;&gt;"Disqualified — Free Game",OR(INDEX('Game Records'!$E:$E,$H75)="",LOWER(INDEX('Game Records'!$E:$E,$H75)&amp;"")="n/a")),"Game Type; ","")&amp;IF(INDEX('Game Records'!$F:$F,$H75)="","Payment Type; ","")&amp;IF(AND(INDEX('Game Records'!$U:$U,$H75)&lt;&gt;"Subscription",INDEX('Game Records'!$U:$U,$H75)&lt;&gt;"Free Game",INDEX('Game Records'!$U:$U,$H75)&lt;&gt;"Disqualified — Free Game",INDEX('Game Records'!$G:$G,$H75)=""),"Gross Pot; ","")&amp;IF(AND(INDEX('Game Records'!$U:$U,$H75)&lt;&gt;"Free Game",INDEX('Game Records'!$U:$U,$H75)&lt;&gt;"Disqualified — Free Game",INDEX('Game Records'!$H:$H,$H75)=""),"Entry Fee; ","")&amp;IF(AND(INDEX('Game Records'!$U:$U,$H75)&lt;&gt;"Subscription",INDEX('Game Records'!$U:$U,$H75)&lt;&gt;"Free Game",INDEX('Game Records'!$U:$U,$H75)&lt;&gt;"Disqualified — Free Game",INDEX('Game Records'!$I:$I,$H75)=""),"Eligible Players; ","")&amp;IF(AND(INDEX('Game Records'!$U:$U,$H75)&lt;&gt;"Subscription",INDEX('Game Records'!$U:$U,$H75)&lt;&gt;"Free Game",INDEX('Game Records'!$U:$U,$H75)&lt;&gt;"Disqualified — Free Game",INDEX('Game Records'!$J:$J,$H75)=""),"Total Players; ","")&amp;IF(AND(LOWER(INDEX('Game Records'!$D:$D,$H75)&amp;"")="finalized",LOWER(INDEX('Game Records'!$L:$L,$H75)&amp;"")&lt;&gt;"yes",INDEX('Game Records'!$U:$U,$H75)&lt;&gt;"Subscription",INDEX('Game Records'!$U:$U,$H75)&lt;&gt;"Free Game",INDEX('Game Records'!$U:$U,$H75)&lt;&gt;"Disqualified — Free Game",INDEX('Game Records'!$K:$K,$H75)=""),"Final Payout; ","")&amp;IF(AND(LOWER(INDEX('Game Records'!$D:$D,$H75)&amp;"")="finalized",INDEX('Game Records'!$U:$U,$H75)&lt;&gt;"Subscription",INDEX('Game Records'!$U:$U,$H75)&lt;&gt;"Free Game",INDEX('Game Records'!$U:$U,$H75)&lt;&gt;"Disqualified — Free Game",OR(INDEX('Game Records'!$L:$L,$H75)="",LOWER(INDEX('Game Records'!$L:$L,$H75)&amp;"")="n/a")),"Disqualified Status; ",""))</f>
        <v/>
      </c>
      <c r="G75" s="25" t="str">
        <f t="array" ref="G75">IF($H75="","",IFERROR(INDEX('Game Records'!$M:$M,$H75),""))</f>
        <v/>
      </c>
      <c r="H75" s="8"/>
      <c r="I75" s="8"/>
      <c r="J75" s="8"/>
    </row>
    <row r="76" ht="24.0" customHeight="1">
      <c r="A76" s="21" t="str">
        <f t="shared" si="1"/>
        <v/>
      </c>
      <c r="B76" s="21" t="str">
        <f t="shared" si="2"/>
        <v/>
      </c>
      <c r="C76" s="25" t="str">
        <f t="array" ref="C76">IF($H76="","",IFERROR(INDEX('Game Records'!$A:$A,$H76),""))</f>
        <v/>
      </c>
      <c r="D76" s="25" t="str">
        <f t="array" ref="D76">IF($H76="","",IFERROR(INDEX('Game Records'!$U:$U,$H76),""))</f>
        <v/>
      </c>
      <c r="E76" s="25" t="str">
        <f t="shared" si="3"/>
        <v/>
      </c>
      <c r="F76" s="25" t="str">
        <f t="array" ref="F76">IF($H76="","",IF(OR(NOT(_xlfn.ISFORMULA(INDEX('Game Records'!$N:$N,$H76))),NOT(_xlfn.ISFORMULA(INDEX('Game Records'!$O:$O,$H76))),NOT(_xlfn.ISFORMULA(INDEX('Game Records'!$P:$P,$H76))),NOT(_xlfn.ISFORMULA(INDEX('Game Records'!$Q:$Q,$H76))),NOT(_xlfn.ISFORMULA(INDEX('Game Records'!$R:$R,$H76))),NOT(_xlfn.ISFORMULA(INDEX('Game Records'!$S:$S,$H76))),NOT(_xlfn.ISFORMULA(INDEX('Game Records'!$T:$T,$H76))),NOT(_xlfn.ISFORMULA(INDEX('Game Records'!$U:$U,$H76))),NOT(_xlfn.ISFORMULA(INDEX('Game Records'!$V:$V,$H76))),NOT(_xlfn.ISFORMULA(INDEX('Game Records'!$W:$W,$H76))),NOT(_xlfn.ISFORMULA(INDEX('Game Records'!$X:$X,$H76))),NOT(_xlfn.ISFORMULA(INDEX('Game Records'!$Y:$Y,$H76))),NOT(_xlfn.ISFORMULA(INDEX('Game Records'!$Z:$Z,$H76)))),"","")&amp;IF(INDEX('Game Records'!$B:$B,$H76)="","Start Date; ","")&amp;IF(INDEX('Game Records'!$C:$C,$H76)="","End Date; ","")&amp;IF(AND(INDEX('Game Records'!$U:$U,$H76)&lt;&gt;"Subscription",INDEX('Game Records'!$U:$U,$H76)&lt;&gt;"Free Game",INDEX('Game Records'!$U:$U,$H76)&lt;&gt;"Disqualified — Free Game",OR(INDEX('Game Records'!$D:$D,$H76)="",LOWER(INDEX('Game Records'!$D:$D,$H76)&amp;"")="n/a")),"Entry Mode; ","")&amp;IF(AND(INDEX('Game Records'!$U:$U,$H76)&lt;&gt;"Subscription",INDEX('Game Records'!$U:$U,$H76)&lt;&gt;"Free Game",INDEX('Game Records'!$U:$U,$H76)&lt;&gt;"Disqualified — Free Game",OR(INDEX('Game Records'!$E:$E,$H76)="",LOWER(INDEX('Game Records'!$E:$E,$H76)&amp;"")="n/a")),"Game Type; ","")&amp;IF(INDEX('Game Records'!$F:$F,$H76)="","Payment Type; ","")&amp;IF(AND(INDEX('Game Records'!$U:$U,$H76)&lt;&gt;"Subscription",INDEX('Game Records'!$U:$U,$H76)&lt;&gt;"Free Game",INDEX('Game Records'!$U:$U,$H76)&lt;&gt;"Disqualified — Free Game",INDEX('Game Records'!$G:$G,$H76)=""),"Gross Pot; ","")&amp;IF(AND(INDEX('Game Records'!$U:$U,$H76)&lt;&gt;"Free Game",INDEX('Game Records'!$U:$U,$H76)&lt;&gt;"Disqualified — Free Game",INDEX('Game Records'!$H:$H,$H76)=""),"Entry Fee; ","")&amp;IF(AND(INDEX('Game Records'!$U:$U,$H76)&lt;&gt;"Subscription",INDEX('Game Records'!$U:$U,$H76)&lt;&gt;"Free Game",INDEX('Game Records'!$U:$U,$H76)&lt;&gt;"Disqualified — Free Game",INDEX('Game Records'!$I:$I,$H76)=""),"Eligible Players; ","")&amp;IF(AND(INDEX('Game Records'!$U:$U,$H76)&lt;&gt;"Subscription",INDEX('Game Records'!$U:$U,$H76)&lt;&gt;"Free Game",INDEX('Game Records'!$U:$U,$H76)&lt;&gt;"Disqualified — Free Game",INDEX('Game Records'!$J:$J,$H76)=""),"Total Players; ","")&amp;IF(AND(LOWER(INDEX('Game Records'!$D:$D,$H76)&amp;"")="finalized",LOWER(INDEX('Game Records'!$L:$L,$H76)&amp;"")&lt;&gt;"yes",INDEX('Game Records'!$U:$U,$H76)&lt;&gt;"Subscription",INDEX('Game Records'!$U:$U,$H76)&lt;&gt;"Free Game",INDEX('Game Records'!$U:$U,$H76)&lt;&gt;"Disqualified — Free Game",INDEX('Game Records'!$K:$K,$H76)=""),"Final Payout; ","")&amp;IF(AND(LOWER(INDEX('Game Records'!$D:$D,$H76)&amp;"")="finalized",INDEX('Game Records'!$U:$U,$H76)&lt;&gt;"Subscription",INDEX('Game Records'!$U:$U,$H76)&lt;&gt;"Free Game",INDEX('Game Records'!$U:$U,$H76)&lt;&gt;"Disqualified — Free Game",OR(INDEX('Game Records'!$L:$L,$H76)="",LOWER(INDEX('Game Records'!$L:$L,$H76)&amp;"")="n/a")),"Disqualified Status; ",""))</f>
        <v/>
      </c>
      <c r="G76" s="25" t="str">
        <f t="array" ref="G76">IF($H76="","",IFERROR(INDEX('Game Records'!$M:$M,$H76),""))</f>
        <v/>
      </c>
      <c r="H76" s="8"/>
      <c r="I76" s="8"/>
      <c r="J76" s="8"/>
    </row>
    <row r="77" ht="24.0" customHeight="1">
      <c r="A77" s="21" t="str">
        <f t="shared" si="1"/>
        <v/>
      </c>
      <c r="B77" s="21" t="str">
        <f t="shared" si="2"/>
        <v/>
      </c>
      <c r="C77" s="25" t="str">
        <f t="array" ref="C77">IF($H77="","",IFERROR(INDEX('Game Records'!$A:$A,$H77),""))</f>
        <v/>
      </c>
      <c r="D77" s="25" t="str">
        <f t="array" ref="D77">IF($H77="","",IFERROR(INDEX('Game Records'!$U:$U,$H77),""))</f>
        <v/>
      </c>
      <c r="E77" s="25" t="str">
        <f t="shared" si="3"/>
        <v/>
      </c>
      <c r="F77" s="25" t="str">
        <f t="array" ref="F77">IF($H77="","",IF(OR(NOT(_xlfn.ISFORMULA(INDEX('Game Records'!$N:$N,$H77))),NOT(_xlfn.ISFORMULA(INDEX('Game Records'!$O:$O,$H77))),NOT(_xlfn.ISFORMULA(INDEX('Game Records'!$P:$P,$H77))),NOT(_xlfn.ISFORMULA(INDEX('Game Records'!$Q:$Q,$H77))),NOT(_xlfn.ISFORMULA(INDEX('Game Records'!$R:$R,$H77))),NOT(_xlfn.ISFORMULA(INDEX('Game Records'!$S:$S,$H77))),NOT(_xlfn.ISFORMULA(INDEX('Game Records'!$T:$T,$H77))),NOT(_xlfn.ISFORMULA(INDEX('Game Records'!$U:$U,$H77))),NOT(_xlfn.ISFORMULA(INDEX('Game Records'!$V:$V,$H77))),NOT(_xlfn.ISFORMULA(INDEX('Game Records'!$W:$W,$H77))),NOT(_xlfn.ISFORMULA(INDEX('Game Records'!$X:$X,$H77))),NOT(_xlfn.ISFORMULA(INDEX('Game Records'!$Y:$Y,$H77))),NOT(_xlfn.ISFORMULA(INDEX('Game Records'!$Z:$Z,$H77)))),"","")&amp;IF(INDEX('Game Records'!$B:$B,$H77)="","Start Date; ","")&amp;IF(INDEX('Game Records'!$C:$C,$H77)="","End Date; ","")&amp;IF(AND(INDEX('Game Records'!$U:$U,$H77)&lt;&gt;"Subscription",INDEX('Game Records'!$U:$U,$H77)&lt;&gt;"Free Game",INDEX('Game Records'!$U:$U,$H77)&lt;&gt;"Disqualified — Free Game",OR(INDEX('Game Records'!$D:$D,$H77)="",LOWER(INDEX('Game Records'!$D:$D,$H77)&amp;"")="n/a")),"Entry Mode; ","")&amp;IF(AND(INDEX('Game Records'!$U:$U,$H77)&lt;&gt;"Subscription",INDEX('Game Records'!$U:$U,$H77)&lt;&gt;"Free Game",INDEX('Game Records'!$U:$U,$H77)&lt;&gt;"Disqualified — Free Game",OR(INDEX('Game Records'!$E:$E,$H77)="",LOWER(INDEX('Game Records'!$E:$E,$H77)&amp;"")="n/a")),"Game Type; ","")&amp;IF(INDEX('Game Records'!$F:$F,$H77)="","Payment Type; ","")&amp;IF(AND(INDEX('Game Records'!$U:$U,$H77)&lt;&gt;"Subscription",INDEX('Game Records'!$U:$U,$H77)&lt;&gt;"Free Game",INDEX('Game Records'!$U:$U,$H77)&lt;&gt;"Disqualified — Free Game",INDEX('Game Records'!$G:$G,$H77)=""),"Gross Pot; ","")&amp;IF(AND(INDEX('Game Records'!$U:$U,$H77)&lt;&gt;"Free Game",INDEX('Game Records'!$U:$U,$H77)&lt;&gt;"Disqualified — Free Game",INDEX('Game Records'!$H:$H,$H77)=""),"Entry Fee; ","")&amp;IF(AND(INDEX('Game Records'!$U:$U,$H77)&lt;&gt;"Subscription",INDEX('Game Records'!$U:$U,$H77)&lt;&gt;"Free Game",INDEX('Game Records'!$U:$U,$H77)&lt;&gt;"Disqualified — Free Game",INDEX('Game Records'!$I:$I,$H77)=""),"Eligible Players; ","")&amp;IF(AND(INDEX('Game Records'!$U:$U,$H77)&lt;&gt;"Subscription",INDEX('Game Records'!$U:$U,$H77)&lt;&gt;"Free Game",INDEX('Game Records'!$U:$U,$H77)&lt;&gt;"Disqualified — Free Game",INDEX('Game Records'!$J:$J,$H77)=""),"Total Players; ","")&amp;IF(AND(LOWER(INDEX('Game Records'!$D:$D,$H77)&amp;"")="finalized",LOWER(INDEX('Game Records'!$L:$L,$H77)&amp;"")&lt;&gt;"yes",INDEX('Game Records'!$U:$U,$H77)&lt;&gt;"Subscription",INDEX('Game Records'!$U:$U,$H77)&lt;&gt;"Free Game",INDEX('Game Records'!$U:$U,$H77)&lt;&gt;"Disqualified — Free Game",INDEX('Game Records'!$K:$K,$H77)=""),"Final Payout; ","")&amp;IF(AND(LOWER(INDEX('Game Records'!$D:$D,$H77)&amp;"")="finalized",INDEX('Game Records'!$U:$U,$H77)&lt;&gt;"Subscription",INDEX('Game Records'!$U:$U,$H77)&lt;&gt;"Free Game",INDEX('Game Records'!$U:$U,$H77)&lt;&gt;"Disqualified — Free Game",OR(INDEX('Game Records'!$L:$L,$H77)="",LOWER(INDEX('Game Records'!$L:$L,$H77)&amp;"")="n/a")),"Disqualified Status; ",""))</f>
        <v/>
      </c>
      <c r="G77" s="25" t="str">
        <f t="array" ref="G77">IF($H77="","",IFERROR(INDEX('Game Records'!$M:$M,$H77),""))</f>
        <v/>
      </c>
      <c r="H77" s="8"/>
      <c r="I77" s="8"/>
      <c r="J77" s="8"/>
    </row>
    <row r="78" ht="24.0" customHeight="1">
      <c r="A78" s="21" t="str">
        <f t="shared" si="1"/>
        <v/>
      </c>
      <c r="B78" s="21" t="str">
        <f t="shared" si="2"/>
        <v/>
      </c>
      <c r="C78" s="25" t="str">
        <f t="array" ref="C78">IF($H78="","",IFERROR(INDEX('Game Records'!$A:$A,$H78),""))</f>
        <v/>
      </c>
      <c r="D78" s="25" t="str">
        <f t="array" ref="D78">IF($H78="","",IFERROR(INDEX('Game Records'!$U:$U,$H78),""))</f>
        <v/>
      </c>
      <c r="E78" s="25" t="str">
        <f t="shared" si="3"/>
        <v/>
      </c>
      <c r="F78" s="25" t="str">
        <f t="array" ref="F78">IF($H78="","",IF(OR(NOT(_xlfn.ISFORMULA(INDEX('Game Records'!$N:$N,$H78))),NOT(_xlfn.ISFORMULA(INDEX('Game Records'!$O:$O,$H78))),NOT(_xlfn.ISFORMULA(INDEX('Game Records'!$P:$P,$H78))),NOT(_xlfn.ISFORMULA(INDEX('Game Records'!$Q:$Q,$H78))),NOT(_xlfn.ISFORMULA(INDEX('Game Records'!$R:$R,$H78))),NOT(_xlfn.ISFORMULA(INDEX('Game Records'!$S:$S,$H78))),NOT(_xlfn.ISFORMULA(INDEX('Game Records'!$T:$T,$H78))),NOT(_xlfn.ISFORMULA(INDEX('Game Records'!$U:$U,$H78))),NOT(_xlfn.ISFORMULA(INDEX('Game Records'!$V:$V,$H78))),NOT(_xlfn.ISFORMULA(INDEX('Game Records'!$W:$W,$H78))),NOT(_xlfn.ISFORMULA(INDEX('Game Records'!$X:$X,$H78))),NOT(_xlfn.ISFORMULA(INDEX('Game Records'!$Y:$Y,$H78))),NOT(_xlfn.ISFORMULA(INDEX('Game Records'!$Z:$Z,$H78)))),"","")&amp;IF(INDEX('Game Records'!$B:$B,$H78)="","Start Date; ","")&amp;IF(INDEX('Game Records'!$C:$C,$H78)="","End Date; ","")&amp;IF(AND(INDEX('Game Records'!$U:$U,$H78)&lt;&gt;"Subscription",INDEX('Game Records'!$U:$U,$H78)&lt;&gt;"Free Game",INDEX('Game Records'!$U:$U,$H78)&lt;&gt;"Disqualified — Free Game",OR(INDEX('Game Records'!$D:$D,$H78)="",LOWER(INDEX('Game Records'!$D:$D,$H78)&amp;"")="n/a")),"Entry Mode; ","")&amp;IF(AND(INDEX('Game Records'!$U:$U,$H78)&lt;&gt;"Subscription",INDEX('Game Records'!$U:$U,$H78)&lt;&gt;"Free Game",INDEX('Game Records'!$U:$U,$H78)&lt;&gt;"Disqualified — Free Game",OR(INDEX('Game Records'!$E:$E,$H78)="",LOWER(INDEX('Game Records'!$E:$E,$H78)&amp;"")="n/a")),"Game Type; ","")&amp;IF(INDEX('Game Records'!$F:$F,$H78)="","Payment Type; ","")&amp;IF(AND(INDEX('Game Records'!$U:$U,$H78)&lt;&gt;"Subscription",INDEX('Game Records'!$U:$U,$H78)&lt;&gt;"Free Game",INDEX('Game Records'!$U:$U,$H78)&lt;&gt;"Disqualified — Free Game",INDEX('Game Records'!$G:$G,$H78)=""),"Gross Pot; ","")&amp;IF(AND(INDEX('Game Records'!$U:$U,$H78)&lt;&gt;"Free Game",INDEX('Game Records'!$U:$U,$H78)&lt;&gt;"Disqualified — Free Game",INDEX('Game Records'!$H:$H,$H78)=""),"Entry Fee; ","")&amp;IF(AND(INDEX('Game Records'!$U:$U,$H78)&lt;&gt;"Subscription",INDEX('Game Records'!$U:$U,$H78)&lt;&gt;"Free Game",INDEX('Game Records'!$U:$U,$H78)&lt;&gt;"Disqualified — Free Game",INDEX('Game Records'!$I:$I,$H78)=""),"Eligible Players; ","")&amp;IF(AND(INDEX('Game Records'!$U:$U,$H78)&lt;&gt;"Subscription",INDEX('Game Records'!$U:$U,$H78)&lt;&gt;"Free Game",INDEX('Game Records'!$U:$U,$H78)&lt;&gt;"Disqualified — Free Game",INDEX('Game Records'!$J:$J,$H78)=""),"Total Players; ","")&amp;IF(AND(LOWER(INDEX('Game Records'!$D:$D,$H78)&amp;"")="finalized",LOWER(INDEX('Game Records'!$L:$L,$H78)&amp;"")&lt;&gt;"yes",INDEX('Game Records'!$U:$U,$H78)&lt;&gt;"Subscription",INDEX('Game Records'!$U:$U,$H78)&lt;&gt;"Free Game",INDEX('Game Records'!$U:$U,$H78)&lt;&gt;"Disqualified — Free Game",INDEX('Game Records'!$K:$K,$H78)=""),"Final Payout; ","")&amp;IF(AND(LOWER(INDEX('Game Records'!$D:$D,$H78)&amp;"")="finalized",INDEX('Game Records'!$U:$U,$H78)&lt;&gt;"Subscription",INDEX('Game Records'!$U:$U,$H78)&lt;&gt;"Free Game",INDEX('Game Records'!$U:$U,$H78)&lt;&gt;"Disqualified — Free Game",OR(INDEX('Game Records'!$L:$L,$H78)="",LOWER(INDEX('Game Records'!$L:$L,$H78)&amp;"")="n/a")),"Disqualified Status; ",""))</f>
        <v/>
      </c>
      <c r="G78" s="25" t="str">
        <f t="array" ref="G78">IF($H78="","",IFERROR(INDEX('Game Records'!$M:$M,$H78),""))</f>
        <v/>
      </c>
      <c r="H78" s="8"/>
      <c r="I78" s="8"/>
      <c r="J78" s="8"/>
    </row>
    <row r="79" ht="24.0" customHeight="1">
      <c r="A79" s="21" t="str">
        <f t="shared" si="1"/>
        <v/>
      </c>
      <c r="B79" s="21" t="str">
        <f t="shared" si="2"/>
        <v/>
      </c>
      <c r="C79" s="25" t="str">
        <f t="array" ref="C79">IF($H79="","",IFERROR(INDEX('Game Records'!$A:$A,$H79),""))</f>
        <v/>
      </c>
      <c r="D79" s="25" t="str">
        <f t="array" ref="D79">IF($H79="","",IFERROR(INDEX('Game Records'!$U:$U,$H79),""))</f>
        <v/>
      </c>
      <c r="E79" s="25" t="str">
        <f t="shared" si="3"/>
        <v/>
      </c>
      <c r="F79" s="25" t="str">
        <f t="array" ref="F79">IF($H79="","",IF(OR(NOT(_xlfn.ISFORMULA(INDEX('Game Records'!$N:$N,$H79))),NOT(_xlfn.ISFORMULA(INDEX('Game Records'!$O:$O,$H79))),NOT(_xlfn.ISFORMULA(INDEX('Game Records'!$P:$P,$H79))),NOT(_xlfn.ISFORMULA(INDEX('Game Records'!$Q:$Q,$H79))),NOT(_xlfn.ISFORMULA(INDEX('Game Records'!$R:$R,$H79))),NOT(_xlfn.ISFORMULA(INDEX('Game Records'!$S:$S,$H79))),NOT(_xlfn.ISFORMULA(INDEX('Game Records'!$T:$T,$H79))),NOT(_xlfn.ISFORMULA(INDEX('Game Records'!$U:$U,$H79))),NOT(_xlfn.ISFORMULA(INDEX('Game Records'!$V:$V,$H79))),NOT(_xlfn.ISFORMULA(INDEX('Game Records'!$W:$W,$H79))),NOT(_xlfn.ISFORMULA(INDEX('Game Records'!$X:$X,$H79))),NOT(_xlfn.ISFORMULA(INDEX('Game Records'!$Y:$Y,$H79))),NOT(_xlfn.ISFORMULA(INDEX('Game Records'!$Z:$Z,$H79)))),"","")&amp;IF(INDEX('Game Records'!$B:$B,$H79)="","Start Date; ","")&amp;IF(INDEX('Game Records'!$C:$C,$H79)="","End Date; ","")&amp;IF(AND(INDEX('Game Records'!$U:$U,$H79)&lt;&gt;"Subscription",INDEX('Game Records'!$U:$U,$H79)&lt;&gt;"Free Game",INDEX('Game Records'!$U:$U,$H79)&lt;&gt;"Disqualified — Free Game",OR(INDEX('Game Records'!$D:$D,$H79)="",LOWER(INDEX('Game Records'!$D:$D,$H79)&amp;"")="n/a")),"Entry Mode; ","")&amp;IF(AND(INDEX('Game Records'!$U:$U,$H79)&lt;&gt;"Subscription",INDEX('Game Records'!$U:$U,$H79)&lt;&gt;"Free Game",INDEX('Game Records'!$U:$U,$H79)&lt;&gt;"Disqualified — Free Game",OR(INDEX('Game Records'!$E:$E,$H79)="",LOWER(INDEX('Game Records'!$E:$E,$H79)&amp;"")="n/a")),"Game Type; ","")&amp;IF(INDEX('Game Records'!$F:$F,$H79)="","Payment Type; ","")&amp;IF(AND(INDEX('Game Records'!$U:$U,$H79)&lt;&gt;"Subscription",INDEX('Game Records'!$U:$U,$H79)&lt;&gt;"Free Game",INDEX('Game Records'!$U:$U,$H79)&lt;&gt;"Disqualified — Free Game",INDEX('Game Records'!$G:$G,$H79)=""),"Gross Pot; ","")&amp;IF(AND(INDEX('Game Records'!$U:$U,$H79)&lt;&gt;"Free Game",INDEX('Game Records'!$U:$U,$H79)&lt;&gt;"Disqualified — Free Game",INDEX('Game Records'!$H:$H,$H79)=""),"Entry Fee; ","")&amp;IF(AND(INDEX('Game Records'!$U:$U,$H79)&lt;&gt;"Subscription",INDEX('Game Records'!$U:$U,$H79)&lt;&gt;"Free Game",INDEX('Game Records'!$U:$U,$H79)&lt;&gt;"Disqualified — Free Game",INDEX('Game Records'!$I:$I,$H79)=""),"Eligible Players; ","")&amp;IF(AND(INDEX('Game Records'!$U:$U,$H79)&lt;&gt;"Subscription",INDEX('Game Records'!$U:$U,$H79)&lt;&gt;"Free Game",INDEX('Game Records'!$U:$U,$H79)&lt;&gt;"Disqualified — Free Game",INDEX('Game Records'!$J:$J,$H79)=""),"Total Players; ","")&amp;IF(AND(LOWER(INDEX('Game Records'!$D:$D,$H79)&amp;"")="finalized",LOWER(INDEX('Game Records'!$L:$L,$H79)&amp;"")&lt;&gt;"yes",INDEX('Game Records'!$U:$U,$H79)&lt;&gt;"Subscription",INDEX('Game Records'!$U:$U,$H79)&lt;&gt;"Free Game",INDEX('Game Records'!$U:$U,$H79)&lt;&gt;"Disqualified — Free Game",INDEX('Game Records'!$K:$K,$H79)=""),"Final Payout; ","")&amp;IF(AND(LOWER(INDEX('Game Records'!$D:$D,$H79)&amp;"")="finalized",INDEX('Game Records'!$U:$U,$H79)&lt;&gt;"Subscription",INDEX('Game Records'!$U:$U,$H79)&lt;&gt;"Free Game",INDEX('Game Records'!$U:$U,$H79)&lt;&gt;"Disqualified — Free Game",OR(INDEX('Game Records'!$L:$L,$H79)="",LOWER(INDEX('Game Records'!$L:$L,$H79)&amp;"")="n/a")),"Disqualified Status; ",""))</f>
        <v/>
      </c>
      <c r="G79" s="25" t="str">
        <f t="array" ref="G79">IF($H79="","",IFERROR(INDEX('Game Records'!$M:$M,$H79),""))</f>
        <v/>
      </c>
      <c r="H79" s="8"/>
      <c r="I79" s="8"/>
      <c r="J79" s="8"/>
    </row>
    <row r="80" ht="24.0" customHeight="1">
      <c r="A80" s="21" t="str">
        <f t="shared" si="1"/>
        <v/>
      </c>
      <c r="B80" s="21" t="str">
        <f t="shared" si="2"/>
        <v/>
      </c>
      <c r="C80" s="25" t="str">
        <f t="array" ref="C80">IF($H80="","",IFERROR(INDEX('Game Records'!$A:$A,$H80),""))</f>
        <v/>
      </c>
      <c r="D80" s="25" t="str">
        <f t="array" ref="D80">IF($H80="","",IFERROR(INDEX('Game Records'!$U:$U,$H80),""))</f>
        <v/>
      </c>
      <c r="E80" s="25" t="str">
        <f t="shared" si="3"/>
        <v/>
      </c>
      <c r="F80" s="25" t="str">
        <f t="array" ref="F80">IF($H80="","",IF(OR(NOT(_xlfn.ISFORMULA(INDEX('Game Records'!$N:$N,$H80))),NOT(_xlfn.ISFORMULA(INDEX('Game Records'!$O:$O,$H80))),NOT(_xlfn.ISFORMULA(INDEX('Game Records'!$P:$P,$H80))),NOT(_xlfn.ISFORMULA(INDEX('Game Records'!$Q:$Q,$H80))),NOT(_xlfn.ISFORMULA(INDEX('Game Records'!$R:$R,$H80))),NOT(_xlfn.ISFORMULA(INDEX('Game Records'!$S:$S,$H80))),NOT(_xlfn.ISFORMULA(INDEX('Game Records'!$T:$T,$H80))),NOT(_xlfn.ISFORMULA(INDEX('Game Records'!$U:$U,$H80))),NOT(_xlfn.ISFORMULA(INDEX('Game Records'!$V:$V,$H80))),NOT(_xlfn.ISFORMULA(INDEX('Game Records'!$W:$W,$H80))),NOT(_xlfn.ISFORMULA(INDEX('Game Records'!$X:$X,$H80))),NOT(_xlfn.ISFORMULA(INDEX('Game Records'!$Y:$Y,$H80))),NOT(_xlfn.ISFORMULA(INDEX('Game Records'!$Z:$Z,$H80)))),"","")&amp;IF(INDEX('Game Records'!$B:$B,$H80)="","Start Date; ","")&amp;IF(INDEX('Game Records'!$C:$C,$H80)="","End Date; ","")&amp;IF(AND(INDEX('Game Records'!$U:$U,$H80)&lt;&gt;"Subscription",INDEX('Game Records'!$U:$U,$H80)&lt;&gt;"Free Game",INDEX('Game Records'!$U:$U,$H80)&lt;&gt;"Disqualified — Free Game",OR(INDEX('Game Records'!$D:$D,$H80)="",LOWER(INDEX('Game Records'!$D:$D,$H80)&amp;"")="n/a")),"Entry Mode; ","")&amp;IF(AND(INDEX('Game Records'!$U:$U,$H80)&lt;&gt;"Subscription",INDEX('Game Records'!$U:$U,$H80)&lt;&gt;"Free Game",INDEX('Game Records'!$U:$U,$H80)&lt;&gt;"Disqualified — Free Game",OR(INDEX('Game Records'!$E:$E,$H80)="",LOWER(INDEX('Game Records'!$E:$E,$H80)&amp;"")="n/a")),"Game Type; ","")&amp;IF(INDEX('Game Records'!$F:$F,$H80)="","Payment Type; ","")&amp;IF(AND(INDEX('Game Records'!$U:$U,$H80)&lt;&gt;"Subscription",INDEX('Game Records'!$U:$U,$H80)&lt;&gt;"Free Game",INDEX('Game Records'!$U:$U,$H80)&lt;&gt;"Disqualified — Free Game",INDEX('Game Records'!$G:$G,$H80)=""),"Gross Pot; ","")&amp;IF(AND(INDEX('Game Records'!$U:$U,$H80)&lt;&gt;"Free Game",INDEX('Game Records'!$U:$U,$H80)&lt;&gt;"Disqualified — Free Game",INDEX('Game Records'!$H:$H,$H80)=""),"Entry Fee; ","")&amp;IF(AND(INDEX('Game Records'!$U:$U,$H80)&lt;&gt;"Subscription",INDEX('Game Records'!$U:$U,$H80)&lt;&gt;"Free Game",INDEX('Game Records'!$U:$U,$H80)&lt;&gt;"Disqualified — Free Game",INDEX('Game Records'!$I:$I,$H80)=""),"Eligible Players; ","")&amp;IF(AND(INDEX('Game Records'!$U:$U,$H80)&lt;&gt;"Subscription",INDEX('Game Records'!$U:$U,$H80)&lt;&gt;"Free Game",INDEX('Game Records'!$U:$U,$H80)&lt;&gt;"Disqualified — Free Game",INDEX('Game Records'!$J:$J,$H80)=""),"Total Players; ","")&amp;IF(AND(LOWER(INDEX('Game Records'!$D:$D,$H80)&amp;"")="finalized",LOWER(INDEX('Game Records'!$L:$L,$H80)&amp;"")&lt;&gt;"yes",INDEX('Game Records'!$U:$U,$H80)&lt;&gt;"Subscription",INDEX('Game Records'!$U:$U,$H80)&lt;&gt;"Free Game",INDEX('Game Records'!$U:$U,$H80)&lt;&gt;"Disqualified — Free Game",INDEX('Game Records'!$K:$K,$H80)=""),"Final Payout; ","")&amp;IF(AND(LOWER(INDEX('Game Records'!$D:$D,$H80)&amp;"")="finalized",INDEX('Game Records'!$U:$U,$H80)&lt;&gt;"Subscription",INDEX('Game Records'!$U:$U,$H80)&lt;&gt;"Free Game",INDEX('Game Records'!$U:$U,$H80)&lt;&gt;"Disqualified — Free Game",OR(INDEX('Game Records'!$L:$L,$H80)="",LOWER(INDEX('Game Records'!$L:$L,$H80)&amp;"")="n/a")),"Disqualified Status; ",""))</f>
        <v/>
      </c>
      <c r="G80" s="25" t="str">
        <f t="array" ref="G80">IF($H80="","",IFERROR(INDEX('Game Records'!$M:$M,$H80),""))</f>
        <v/>
      </c>
      <c r="H80" s="8"/>
      <c r="I80" s="8"/>
      <c r="J80" s="8"/>
    </row>
    <row r="81" ht="24.0" customHeight="1">
      <c r="A81" s="21" t="str">
        <f t="shared" si="1"/>
        <v/>
      </c>
      <c r="B81" s="21" t="str">
        <f t="shared" si="2"/>
        <v/>
      </c>
      <c r="C81" s="25" t="str">
        <f t="array" ref="C81">IF($H81="","",IFERROR(INDEX('Game Records'!$A:$A,$H81),""))</f>
        <v/>
      </c>
      <c r="D81" s="25" t="str">
        <f t="array" ref="D81">IF($H81="","",IFERROR(INDEX('Game Records'!$U:$U,$H81),""))</f>
        <v/>
      </c>
      <c r="E81" s="25" t="str">
        <f t="shared" si="3"/>
        <v/>
      </c>
      <c r="F81" s="25" t="str">
        <f t="array" ref="F81">IF($H81="","",IF(OR(NOT(_xlfn.ISFORMULA(INDEX('Game Records'!$N:$N,$H81))),NOT(_xlfn.ISFORMULA(INDEX('Game Records'!$O:$O,$H81))),NOT(_xlfn.ISFORMULA(INDEX('Game Records'!$P:$P,$H81))),NOT(_xlfn.ISFORMULA(INDEX('Game Records'!$Q:$Q,$H81))),NOT(_xlfn.ISFORMULA(INDEX('Game Records'!$R:$R,$H81))),NOT(_xlfn.ISFORMULA(INDEX('Game Records'!$S:$S,$H81))),NOT(_xlfn.ISFORMULA(INDEX('Game Records'!$T:$T,$H81))),NOT(_xlfn.ISFORMULA(INDEX('Game Records'!$U:$U,$H81))),NOT(_xlfn.ISFORMULA(INDEX('Game Records'!$V:$V,$H81))),NOT(_xlfn.ISFORMULA(INDEX('Game Records'!$W:$W,$H81))),NOT(_xlfn.ISFORMULA(INDEX('Game Records'!$X:$X,$H81))),NOT(_xlfn.ISFORMULA(INDEX('Game Records'!$Y:$Y,$H81))),NOT(_xlfn.ISFORMULA(INDEX('Game Records'!$Z:$Z,$H81)))),"","")&amp;IF(INDEX('Game Records'!$B:$B,$H81)="","Start Date; ","")&amp;IF(INDEX('Game Records'!$C:$C,$H81)="","End Date; ","")&amp;IF(AND(INDEX('Game Records'!$U:$U,$H81)&lt;&gt;"Subscription",INDEX('Game Records'!$U:$U,$H81)&lt;&gt;"Free Game",INDEX('Game Records'!$U:$U,$H81)&lt;&gt;"Disqualified — Free Game",OR(INDEX('Game Records'!$D:$D,$H81)="",LOWER(INDEX('Game Records'!$D:$D,$H81)&amp;"")="n/a")),"Entry Mode; ","")&amp;IF(AND(INDEX('Game Records'!$U:$U,$H81)&lt;&gt;"Subscription",INDEX('Game Records'!$U:$U,$H81)&lt;&gt;"Free Game",INDEX('Game Records'!$U:$U,$H81)&lt;&gt;"Disqualified — Free Game",OR(INDEX('Game Records'!$E:$E,$H81)="",LOWER(INDEX('Game Records'!$E:$E,$H81)&amp;"")="n/a")),"Game Type; ","")&amp;IF(INDEX('Game Records'!$F:$F,$H81)="","Payment Type; ","")&amp;IF(AND(INDEX('Game Records'!$U:$U,$H81)&lt;&gt;"Subscription",INDEX('Game Records'!$U:$U,$H81)&lt;&gt;"Free Game",INDEX('Game Records'!$U:$U,$H81)&lt;&gt;"Disqualified — Free Game",INDEX('Game Records'!$G:$G,$H81)=""),"Gross Pot; ","")&amp;IF(AND(INDEX('Game Records'!$U:$U,$H81)&lt;&gt;"Free Game",INDEX('Game Records'!$U:$U,$H81)&lt;&gt;"Disqualified — Free Game",INDEX('Game Records'!$H:$H,$H81)=""),"Entry Fee; ","")&amp;IF(AND(INDEX('Game Records'!$U:$U,$H81)&lt;&gt;"Subscription",INDEX('Game Records'!$U:$U,$H81)&lt;&gt;"Free Game",INDEX('Game Records'!$U:$U,$H81)&lt;&gt;"Disqualified — Free Game",INDEX('Game Records'!$I:$I,$H81)=""),"Eligible Players; ","")&amp;IF(AND(INDEX('Game Records'!$U:$U,$H81)&lt;&gt;"Subscription",INDEX('Game Records'!$U:$U,$H81)&lt;&gt;"Free Game",INDEX('Game Records'!$U:$U,$H81)&lt;&gt;"Disqualified — Free Game",INDEX('Game Records'!$J:$J,$H81)=""),"Total Players; ","")&amp;IF(AND(LOWER(INDEX('Game Records'!$D:$D,$H81)&amp;"")="finalized",LOWER(INDEX('Game Records'!$L:$L,$H81)&amp;"")&lt;&gt;"yes",INDEX('Game Records'!$U:$U,$H81)&lt;&gt;"Subscription",INDEX('Game Records'!$U:$U,$H81)&lt;&gt;"Free Game",INDEX('Game Records'!$U:$U,$H81)&lt;&gt;"Disqualified — Free Game",INDEX('Game Records'!$K:$K,$H81)=""),"Final Payout; ","")&amp;IF(AND(LOWER(INDEX('Game Records'!$D:$D,$H81)&amp;"")="finalized",INDEX('Game Records'!$U:$U,$H81)&lt;&gt;"Subscription",INDEX('Game Records'!$U:$U,$H81)&lt;&gt;"Free Game",INDEX('Game Records'!$U:$U,$H81)&lt;&gt;"Disqualified — Free Game",OR(INDEX('Game Records'!$L:$L,$H81)="",LOWER(INDEX('Game Records'!$L:$L,$H81)&amp;"")="n/a")),"Disqualified Status; ",""))</f>
        <v/>
      </c>
      <c r="G81" s="25" t="str">
        <f t="array" ref="G81">IF($H81="","",IFERROR(INDEX('Game Records'!$M:$M,$H81),""))</f>
        <v/>
      </c>
      <c r="H81" s="8"/>
      <c r="I81" s="8"/>
      <c r="J81" s="8"/>
    </row>
    <row r="82" ht="24.0" customHeight="1">
      <c r="A82" s="21" t="str">
        <f t="shared" si="1"/>
        <v/>
      </c>
      <c r="B82" s="21" t="str">
        <f t="shared" si="2"/>
        <v/>
      </c>
      <c r="C82" s="25" t="str">
        <f t="array" ref="C82">IF($H82="","",IFERROR(INDEX('Game Records'!$A:$A,$H82),""))</f>
        <v/>
      </c>
      <c r="D82" s="25" t="str">
        <f t="array" ref="D82">IF($H82="","",IFERROR(INDEX('Game Records'!$U:$U,$H82),""))</f>
        <v/>
      </c>
      <c r="E82" s="25" t="str">
        <f t="shared" si="3"/>
        <v/>
      </c>
      <c r="F82" s="25" t="str">
        <f t="array" ref="F82">IF($H82="","",IF(OR(NOT(_xlfn.ISFORMULA(INDEX('Game Records'!$N:$N,$H82))),NOT(_xlfn.ISFORMULA(INDEX('Game Records'!$O:$O,$H82))),NOT(_xlfn.ISFORMULA(INDEX('Game Records'!$P:$P,$H82))),NOT(_xlfn.ISFORMULA(INDEX('Game Records'!$Q:$Q,$H82))),NOT(_xlfn.ISFORMULA(INDEX('Game Records'!$R:$R,$H82))),NOT(_xlfn.ISFORMULA(INDEX('Game Records'!$S:$S,$H82))),NOT(_xlfn.ISFORMULA(INDEX('Game Records'!$T:$T,$H82))),NOT(_xlfn.ISFORMULA(INDEX('Game Records'!$U:$U,$H82))),NOT(_xlfn.ISFORMULA(INDEX('Game Records'!$V:$V,$H82))),NOT(_xlfn.ISFORMULA(INDEX('Game Records'!$W:$W,$H82))),NOT(_xlfn.ISFORMULA(INDEX('Game Records'!$X:$X,$H82))),NOT(_xlfn.ISFORMULA(INDEX('Game Records'!$Y:$Y,$H82))),NOT(_xlfn.ISFORMULA(INDEX('Game Records'!$Z:$Z,$H82)))),"","")&amp;IF(INDEX('Game Records'!$B:$B,$H82)="","Start Date; ","")&amp;IF(INDEX('Game Records'!$C:$C,$H82)="","End Date; ","")&amp;IF(AND(INDEX('Game Records'!$U:$U,$H82)&lt;&gt;"Subscription",INDEX('Game Records'!$U:$U,$H82)&lt;&gt;"Free Game",INDEX('Game Records'!$U:$U,$H82)&lt;&gt;"Disqualified — Free Game",OR(INDEX('Game Records'!$D:$D,$H82)="",LOWER(INDEX('Game Records'!$D:$D,$H82)&amp;"")="n/a")),"Entry Mode; ","")&amp;IF(AND(INDEX('Game Records'!$U:$U,$H82)&lt;&gt;"Subscription",INDEX('Game Records'!$U:$U,$H82)&lt;&gt;"Free Game",INDEX('Game Records'!$U:$U,$H82)&lt;&gt;"Disqualified — Free Game",OR(INDEX('Game Records'!$E:$E,$H82)="",LOWER(INDEX('Game Records'!$E:$E,$H82)&amp;"")="n/a")),"Game Type; ","")&amp;IF(INDEX('Game Records'!$F:$F,$H82)="","Payment Type; ","")&amp;IF(AND(INDEX('Game Records'!$U:$U,$H82)&lt;&gt;"Subscription",INDEX('Game Records'!$U:$U,$H82)&lt;&gt;"Free Game",INDEX('Game Records'!$U:$U,$H82)&lt;&gt;"Disqualified — Free Game",INDEX('Game Records'!$G:$G,$H82)=""),"Gross Pot; ","")&amp;IF(AND(INDEX('Game Records'!$U:$U,$H82)&lt;&gt;"Free Game",INDEX('Game Records'!$U:$U,$H82)&lt;&gt;"Disqualified — Free Game",INDEX('Game Records'!$H:$H,$H82)=""),"Entry Fee; ","")&amp;IF(AND(INDEX('Game Records'!$U:$U,$H82)&lt;&gt;"Subscription",INDEX('Game Records'!$U:$U,$H82)&lt;&gt;"Free Game",INDEX('Game Records'!$U:$U,$H82)&lt;&gt;"Disqualified — Free Game",INDEX('Game Records'!$I:$I,$H82)=""),"Eligible Players; ","")&amp;IF(AND(INDEX('Game Records'!$U:$U,$H82)&lt;&gt;"Subscription",INDEX('Game Records'!$U:$U,$H82)&lt;&gt;"Free Game",INDEX('Game Records'!$U:$U,$H82)&lt;&gt;"Disqualified — Free Game",INDEX('Game Records'!$J:$J,$H82)=""),"Total Players; ","")&amp;IF(AND(LOWER(INDEX('Game Records'!$D:$D,$H82)&amp;"")="finalized",LOWER(INDEX('Game Records'!$L:$L,$H82)&amp;"")&lt;&gt;"yes",INDEX('Game Records'!$U:$U,$H82)&lt;&gt;"Subscription",INDEX('Game Records'!$U:$U,$H82)&lt;&gt;"Free Game",INDEX('Game Records'!$U:$U,$H82)&lt;&gt;"Disqualified — Free Game",INDEX('Game Records'!$K:$K,$H82)=""),"Final Payout; ","")&amp;IF(AND(LOWER(INDEX('Game Records'!$D:$D,$H82)&amp;"")="finalized",INDEX('Game Records'!$U:$U,$H82)&lt;&gt;"Subscription",INDEX('Game Records'!$U:$U,$H82)&lt;&gt;"Free Game",INDEX('Game Records'!$U:$U,$H82)&lt;&gt;"Disqualified — Free Game",OR(INDEX('Game Records'!$L:$L,$H82)="",LOWER(INDEX('Game Records'!$L:$L,$H82)&amp;"")="n/a")),"Disqualified Status; ",""))</f>
        <v/>
      </c>
      <c r="G82" s="25" t="str">
        <f t="array" ref="G82">IF($H82="","",IFERROR(INDEX('Game Records'!$M:$M,$H82),""))</f>
        <v/>
      </c>
      <c r="H82" s="8"/>
      <c r="I82" s="8"/>
      <c r="J82" s="8"/>
    </row>
    <row r="83" ht="24.0" customHeight="1">
      <c r="A83" s="21" t="str">
        <f t="shared" si="1"/>
        <v/>
      </c>
      <c r="B83" s="21" t="str">
        <f t="shared" si="2"/>
        <v/>
      </c>
      <c r="C83" s="25" t="str">
        <f t="array" ref="C83">IF($H83="","",IFERROR(INDEX('Game Records'!$A:$A,$H83),""))</f>
        <v/>
      </c>
      <c r="D83" s="25" t="str">
        <f t="array" ref="D83">IF($H83="","",IFERROR(INDEX('Game Records'!$U:$U,$H83),""))</f>
        <v/>
      </c>
      <c r="E83" s="25" t="str">
        <f t="shared" si="3"/>
        <v/>
      </c>
      <c r="F83" s="25" t="str">
        <f t="array" ref="F83">IF($H83="","",IF(OR(NOT(_xlfn.ISFORMULA(INDEX('Game Records'!$N:$N,$H83))),NOT(_xlfn.ISFORMULA(INDEX('Game Records'!$O:$O,$H83))),NOT(_xlfn.ISFORMULA(INDEX('Game Records'!$P:$P,$H83))),NOT(_xlfn.ISFORMULA(INDEX('Game Records'!$Q:$Q,$H83))),NOT(_xlfn.ISFORMULA(INDEX('Game Records'!$R:$R,$H83))),NOT(_xlfn.ISFORMULA(INDEX('Game Records'!$S:$S,$H83))),NOT(_xlfn.ISFORMULA(INDEX('Game Records'!$T:$T,$H83))),NOT(_xlfn.ISFORMULA(INDEX('Game Records'!$U:$U,$H83))),NOT(_xlfn.ISFORMULA(INDEX('Game Records'!$V:$V,$H83))),NOT(_xlfn.ISFORMULA(INDEX('Game Records'!$W:$W,$H83))),NOT(_xlfn.ISFORMULA(INDEX('Game Records'!$X:$X,$H83))),NOT(_xlfn.ISFORMULA(INDEX('Game Records'!$Y:$Y,$H83))),NOT(_xlfn.ISFORMULA(INDEX('Game Records'!$Z:$Z,$H83)))),"","")&amp;IF(INDEX('Game Records'!$B:$B,$H83)="","Start Date; ","")&amp;IF(INDEX('Game Records'!$C:$C,$H83)="","End Date; ","")&amp;IF(AND(INDEX('Game Records'!$U:$U,$H83)&lt;&gt;"Subscription",INDEX('Game Records'!$U:$U,$H83)&lt;&gt;"Free Game",INDEX('Game Records'!$U:$U,$H83)&lt;&gt;"Disqualified — Free Game",OR(INDEX('Game Records'!$D:$D,$H83)="",LOWER(INDEX('Game Records'!$D:$D,$H83)&amp;"")="n/a")),"Entry Mode; ","")&amp;IF(AND(INDEX('Game Records'!$U:$U,$H83)&lt;&gt;"Subscription",INDEX('Game Records'!$U:$U,$H83)&lt;&gt;"Free Game",INDEX('Game Records'!$U:$U,$H83)&lt;&gt;"Disqualified — Free Game",OR(INDEX('Game Records'!$E:$E,$H83)="",LOWER(INDEX('Game Records'!$E:$E,$H83)&amp;"")="n/a")),"Game Type; ","")&amp;IF(INDEX('Game Records'!$F:$F,$H83)="","Payment Type; ","")&amp;IF(AND(INDEX('Game Records'!$U:$U,$H83)&lt;&gt;"Subscription",INDEX('Game Records'!$U:$U,$H83)&lt;&gt;"Free Game",INDEX('Game Records'!$U:$U,$H83)&lt;&gt;"Disqualified — Free Game",INDEX('Game Records'!$G:$G,$H83)=""),"Gross Pot; ","")&amp;IF(AND(INDEX('Game Records'!$U:$U,$H83)&lt;&gt;"Free Game",INDEX('Game Records'!$U:$U,$H83)&lt;&gt;"Disqualified — Free Game",INDEX('Game Records'!$H:$H,$H83)=""),"Entry Fee; ","")&amp;IF(AND(INDEX('Game Records'!$U:$U,$H83)&lt;&gt;"Subscription",INDEX('Game Records'!$U:$U,$H83)&lt;&gt;"Free Game",INDEX('Game Records'!$U:$U,$H83)&lt;&gt;"Disqualified — Free Game",INDEX('Game Records'!$I:$I,$H83)=""),"Eligible Players; ","")&amp;IF(AND(INDEX('Game Records'!$U:$U,$H83)&lt;&gt;"Subscription",INDEX('Game Records'!$U:$U,$H83)&lt;&gt;"Free Game",INDEX('Game Records'!$U:$U,$H83)&lt;&gt;"Disqualified — Free Game",INDEX('Game Records'!$J:$J,$H83)=""),"Total Players; ","")&amp;IF(AND(LOWER(INDEX('Game Records'!$D:$D,$H83)&amp;"")="finalized",LOWER(INDEX('Game Records'!$L:$L,$H83)&amp;"")&lt;&gt;"yes",INDEX('Game Records'!$U:$U,$H83)&lt;&gt;"Subscription",INDEX('Game Records'!$U:$U,$H83)&lt;&gt;"Free Game",INDEX('Game Records'!$U:$U,$H83)&lt;&gt;"Disqualified — Free Game",INDEX('Game Records'!$K:$K,$H83)=""),"Final Payout; ","")&amp;IF(AND(LOWER(INDEX('Game Records'!$D:$D,$H83)&amp;"")="finalized",INDEX('Game Records'!$U:$U,$H83)&lt;&gt;"Subscription",INDEX('Game Records'!$U:$U,$H83)&lt;&gt;"Free Game",INDEX('Game Records'!$U:$U,$H83)&lt;&gt;"Disqualified — Free Game",OR(INDEX('Game Records'!$L:$L,$H83)="",LOWER(INDEX('Game Records'!$L:$L,$H83)&amp;"")="n/a")),"Disqualified Status; ",""))</f>
        <v/>
      </c>
      <c r="G83" s="25" t="str">
        <f t="array" ref="G83">IF($H83="","",IFERROR(INDEX('Game Records'!$M:$M,$H83),""))</f>
        <v/>
      </c>
      <c r="H83" s="8"/>
      <c r="I83" s="8"/>
      <c r="J83" s="8"/>
    </row>
    <row r="84" ht="24.0" customHeight="1">
      <c r="A84" s="21" t="str">
        <f t="shared" si="1"/>
        <v/>
      </c>
      <c r="B84" s="21" t="str">
        <f t="shared" si="2"/>
        <v/>
      </c>
      <c r="C84" s="25" t="str">
        <f t="array" ref="C84">IF($H84="","",IFERROR(INDEX('Game Records'!$A:$A,$H84),""))</f>
        <v/>
      </c>
      <c r="D84" s="25" t="str">
        <f t="array" ref="D84">IF($H84="","",IFERROR(INDEX('Game Records'!$U:$U,$H84),""))</f>
        <v/>
      </c>
      <c r="E84" s="25" t="str">
        <f t="shared" si="3"/>
        <v/>
      </c>
      <c r="F84" s="25" t="str">
        <f t="array" ref="F84">IF($H84="","",IF(OR(NOT(_xlfn.ISFORMULA(INDEX('Game Records'!$N:$N,$H84))),NOT(_xlfn.ISFORMULA(INDEX('Game Records'!$O:$O,$H84))),NOT(_xlfn.ISFORMULA(INDEX('Game Records'!$P:$P,$H84))),NOT(_xlfn.ISFORMULA(INDEX('Game Records'!$Q:$Q,$H84))),NOT(_xlfn.ISFORMULA(INDEX('Game Records'!$R:$R,$H84))),NOT(_xlfn.ISFORMULA(INDEX('Game Records'!$S:$S,$H84))),NOT(_xlfn.ISFORMULA(INDEX('Game Records'!$T:$T,$H84))),NOT(_xlfn.ISFORMULA(INDEX('Game Records'!$U:$U,$H84))),NOT(_xlfn.ISFORMULA(INDEX('Game Records'!$V:$V,$H84))),NOT(_xlfn.ISFORMULA(INDEX('Game Records'!$W:$W,$H84))),NOT(_xlfn.ISFORMULA(INDEX('Game Records'!$X:$X,$H84))),NOT(_xlfn.ISFORMULA(INDEX('Game Records'!$Y:$Y,$H84))),NOT(_xlfn.ISFORMULA(INDEX('Game Records'!$Z:$Z,$H84)))),"","")&amp;IF(INDEX('Game Records'!$B:$B,$H84)="","Start Date; ","")&amp;IF(INDEX('Game Records'!$C:$C,$H84)="","End Date; ","")&amp;IF(AND(INDEX('Game Records'!$U:$U,$H84)&lt;&gt;"Subscription",INDEX('Game Records'!$U:$U,$H84)&lt;&gt;"Free Game",INDEX('Game Records'!$U:$U,$H84)&lt;&gt;"Disqualified — Free Game",OR(INDEX('Game Records'!$D:$D,$H84)="",LOWER(INDEX('Game Records'!$D:$D,$H84)&amp;"")="n/a")),"Entry Mode; ","")&amp;IF(AND(INDEX('Game Records'!$U:$U,$H84)&lt;&gt;"Subscription",INDEX('Game Records'!$U:$U,$H84)&lt;&gt;"Free Game",INDEX('Game Records'!$U:$U,$H84)&lt;&gt;"Disqualified — Free Game",OR(INDEX('Game Records'!$E:$E,$H84)="",LOWER(INDEX('Game Records'!$E:$E,$H84)&amp;"")="n/a")),"Game Type; ","")&amp;IF(INDEX('Game Records'!$F:$F,$H84)="","Payment Type; ","")&amp;IF(AND(INDEX('Game Records'!$U:$U,$H84)&lt;&gt;"Subscription",INDEX('Game Records'!$U:$U,$H84)&lt;&gt;"Free Game",INDEX('Game Records'!$U:$U,$H84)&lt;&gt;"Disqualified — Free Game",INDEX('Game Records'!$G:$G,$H84)=""),"Gross Pot; ","")&amp;IF(AND(INDEX('Game Records'!$U:$U,$H84)&lt;&gt;"Free Game",INDEX('Game Records'!$U:$U,$H84)&lt;&gt;"Disqualified — Free Game",INDEX('Game Records'!$H:$H,$H84)=""),"Entry Fee; ","")&amp;IF(AND(INDEX('Game Records'!$U:$U,$H84)&lt;&gt;"Subscription",INDEX('Game Records'!$U:$U,$H84)&lt;&gt;"Free Game",INDEX('Game Records'!$U:$U,$H84)&lt;&gt;"Disqualified — Free Game",INDEX('Game Records'!$I:$I,$H84)=""),"Eligible Players; ","")&amp;IF(AND(INDEX('Game Records'!$U:$U,$H84)&lt;&gt;"Subscription",INDEX('Game Records'!$U:$U,$H84)&lt;&gt;"Free Game",INDEX('Game Records'!$U:$U,$H84)&lt;&gt;"Disqualified — Free Game",INDEX('Game Records'!$J:$J,$H84)=""),"Total Players; ","")&amp;IF(AND(LOWER(INDEX('Game Records'!$D:$D,$H84)&amp;"")="finalized",LOWER(INDEX('Game Records'!$L:$L,$H84)&amp;"")&lt;&gt;"yes",INDEX('Game Records'!$U:$U,$H84)&lt;&gt;"Subscription",INDEX('Game Records'!$U:$U,$H84)&lt;&gt;"Free Game",INDEX('Game Records'!$U:$U,$H84)&lt;&gt;"Disqualified — Free Game",INDEX('Game Records'!$K:$K,$H84)=""),"Final Payout; ","")&amp;IF(AND(LOWER(INDEX('Game Records'!$D:$D,$H84)&amp;"")="finalized",INDEX('Game Records'!$U:$U,$H84)&lt;&gt;"Subscription",INDEX('Game Records'!$U:$U,$H84)&lt;&gt;"Free Game",INDEX('Game Records'!$U:$U,$H84)&lt;&gt;"Disqualified — Free Game",OR(INDEX('Game Records'!$L:$L,$H84)="",LOWER(INDEX('Game Records'!$L:$L,$H84)&amp;"")="n/a")),"Disqualified Status; ",""))</f>
        <v/>
      </c>
      <c r="G84" s="25" t="str">
        <f t="array" ref="G84">IF($H84="","",IFERROR(INDEX('Game Records'!$M:$M,$H84),""))</f>
        <v/>
      </c>
      <c r="H84" s="8"/>
      <c r="I84" s="8"/>
      <c r="J84" s="8"/>
    </row>
    <row r="85" ht="24.0" customHeight="1">
      <c r="A85" s="21" t="str">
        <f t="shared" si="1"/>
        <v/>
      </c>
      <c r="B85" s="21" t="str">
        <f t="shared" si="2"/>
        <v/>
      </c>
      <c r="C85" s="25" t="str">
        <f t="array" ref="C85">IF($H85="","",IFERROR(INDEX('Game Records'!$A:$A,$H85),""))</f>
        <v/>
      </c>
      <c r="D85" s="25" t="str">
        <f t="array" ref="D85">IF($H85="","",IFERROR(INDEX('Game Records'!$U:$U,$H85),""))</f>
        <v/>
      </c>
      <c r="E85" s="25" t="str">
        <f t="shared" si="3"/>
        <v/>
      </c>
      <c r="F85" s="25" t="str">
        <f t="array" ref="F85">IF($H85="","",IF(OR(NOT(_xlfn.ISFORMULA(INDEX('Game Records'!$N:$N,$H85))),NOT(_xlfn.ISFORMULA(INDEX('Game Records'!$O:$O,$H85))),NOT(_xlfn.ISFORMULA(INDEX('Game Records'!$P:$P,$H85))),NOT(_xlfn.ISFORMULA(INDEX('Game Records'!$Q:$Q,$H85))),NOT(_xlfn.ISFORMULA(INDEX('Game Records'!$R:$R,$H85))),NOT(_xlfn.ISFORMULA(INDEX('Game Records'!$S:$S,$H85))),NOT(_xlfn.ISFORMULA(INDEX('Game Records'!$T:$T,$H85))),NOT(_xlfn.ISFORMULA(INDEX('Game Records'!$U:$U,$H85))),NOT(_xlfn.ISFORMULA(INDEX('Game Records'!$V:$V,$H85))),NOT(_xlfn.ISFORMULA(INDEX('Game Records'!$W:$W,$H85))),NOT(_xlfn.ISFORMULA(INDEX('Game Records'!$X:$X,$H85))),NOT(_xlfn.ISFORMULA(INDEX('Game Records'!$Y:$Y,$H85))),NOT(_xlfn.ISFORMULA(INDEX('Game Records'!$Z:$Z,$H85)))),"","")&amp;IF(INDEX('Game Records'!$B:$B,$H85)="","Start Date; ","")&amp;IF(INDEX('Game Records'!$C:$C,$H85)="","End Date; ","")&amp;IF(AND(INDEX('Game Records'!$U:$U,$H85)&lt;&gt;"Subscription",INDEX('Game Records'!$U:$U,$H85)&lt;&gt;"Free Game",INDEX('Game Records'!$U:$U,$H85)&lt;&gt;"Disqualified — Free Game",OR(INDEX('Game Records'!$D:$D,$H85)="",LOWER(INDEX('Game Records'!$D:$D,$H85)&amp;"")="n/a")),"Entry Mode; ","")&amp;IF(AND(INDEX('Game Records'!$U:$U,$H85)&lt;&gt;"Subscription",INDEX('Game Records'!$U:$U,$H85)&lt;&gt;"Free Game",INDEX('Game Records'!$U:$U,$H85)&lt;&gt;"Disqualified — Free Game",OR(INDEX('Game Records'!$E:$E,$H85)="",LOWER(INDEX('Game Records'!$E:$E,$H85)&amp;"")="n/a")),"Game Type; ","")&amp;IF(INDEX('Game Records'!$F:$F,$H85)="","Payment Type; ","")&amp;IF(AND(INDEX('Game Records'!$U:$U,$H85)&lt;&gt;"Subscription",INDEX('Game Records'!$U:$U,$H85)&lt;&gt;"Free Game",INDEX('Game Records'!$U:$U,$H85)&lt;&gt;"Disqualified — Free Game",INDEX('Game Records'!$G:$G,$H85)=""),"Gross Pot; ","")&amp;IF(AND(INDEX('Game Records'!$U:$U,$H85)&lt;&gt;"Free Game",INDEX('Game Records'!$U:$U,$H85)&lt;&gt;"Disqualified — Free Game",INDEX('Game Records'!$H:$H,$H85)=""),"Entry Fee; ","")&amp;IF(AND(INDEX('Game Records'!$U:$U,$H85)&lt;&gt;"Subscription",INDEX('Game Records'!$U:$U,$H85)&lt;&gt;"Free Game",INDEX('Game Records'!$U:$U,$H85)&lt;&gt;"Disqualified — Free Game",INDEX('Game Records'!$I:$I,$H85)=""),"Eligible Players; ","")&amp;IF(AND(INDEX('Game Records'!$U:$U,$H85)&lt;&gt;"Subscription",INDEX('Game Records'!$U:$U,$H85)&lt;&gt;"Free Game",INDEX('Game Records'!$U:$U,$H85)&lt;&gt;"Disqualified — Free Game",INDEX('Game Records'!$J:$J,$H85)=""),"Total Players; ","")&amp;IF(AND(LOWER(INDEX('Game Records'!$D:$D,$H85)&amp;"")="finalized",LOWER(INDEX('Game Records'!$L:$L,$H85)&amp;"")&lt;&gt;"yes",INDEX('Game Records'!$U:$U,$H85)&lt;&gt;"Subscription",INDEX('Game Records'!$U:$U,$H85)&lt;&gt;"Free Game",INDEX('Game Records'!$U:$U,$H85)&lt;&gt;"Disqualified — Free Game",INDEX('Game Records'!$K:$K,$H85)=""),"Final Payout; ","")&amp;IF(AND(LOWER(INDEX('Game Records'!$D:$D,$H85)&amp;"")="finalized",INDEX('Game Records'!$U:$U,$H85)&lt;&gt;"Subscription",INDEX('Game Records'!$U:$U,$H85)&lt;&gt;"Free Game",INDEX('Game Records'!$U:$U,$H85)&lt;&gt;"Disqualified — Free Game",OR(INDEX('Game Records'!$L:$L,$H85)="",LOWER(INDEX('Game Records'!$L:$L,$H85)&amp;"")="n/a")),"Disqualified Status; ",""))</f>
        <v/>
      </c>
      <c r="G85" s="25" t="str">
        <f t="array" ref="G85">IF($H85="","",IFERROR(INDEX('Game Records'!$M:$M,$H85),""))</f>
        <v/>
      </c>
      <c r="H85" s="8"/>
      <c r="I85" s="8"/>
      <c r="J85" s="8"/>
    </row>
    <row r="86" ht="24.0" customHeight="1">
      <c r="A86" s="21" t="str">
        <f t="shared" si="1"/>
        <v/>
      </c>
      <c r="B86" s="21" t="str">
        <f t="shared" si="2"/>
        <v/>
      </c>
      <c r="C86" s="25" t="str">
        <f t="array" ref="C86">IF($H86="","",IFERROR(INDEX('Game Records'!$A:$A,$H86),""))</f>
        <v/>
      </c>
      <c r="D86" s="25" t="str">
        <f t="array" ref="D86">IF($H86="","",IFERROR(INDEX('Game Records'!$U:$U,$H86),""))</f>
        <v/>
      </c>
      <c r="E86" s="25" t="str">
        <f t="shared" si="3"/>
        <v/>
      </c>
      <c r="F86" s="25" t="str">
        <f t="array" ref="F86">IF($H86="","",IF(OR(NOT(_xlfn.ISFORMULA(INDEX('Game Records'!$N:$N,$H86))),NOT(_xlfn.ISFORMULA(INDEX('Game Records'!$O:$O,$H86))),NOT(_xlfn.ISFORMULA(INDEX('Game Records'!$P:$P,$H86))),NOT(_xlfn.ISFORMULA(INDEX('Game Records'!$Q:$Q,$H86))),NOT(_xlfn.ISFORMULA(INDEX('Game Records'!$R:$R,$H86))),NOT(_xlfn.ISFORMULA(INDEX('Game Records'!$S:$S,$H86))),NOT(_xlfn.ISFORMULA(INDEX('Game Records'!$T:$T,$H86))),NOT(_xlfn.ISFORMULA(INDEX('Game Records'!$U:$U,$H86))),NOT(_xlfn.ISFORMULA(INDEX('Game Records'!$V:$V,$H86))),NOT(_xlfn.ISFORMULA(INDEX('Game Records'!$W:$W,$H86))),NOT(_xlfn.ISFORMULA(INDEX('Game Records'!$X:$X,$H86))),NOT(_xlfn.ISFORMULA(INDEX('Game Records'!$Y:$Y,$H86))),NOT(_xlfn.ISFORMULA(INDEX('Game Records'!$Z:$Z,$H86)))),"","")&amp;IF(INDEX('Game Records'!$B:$B,$H86)="","Start Date; ","")&amp;IF(INDEX('Game Records'!$C:$C,$H86)="","End Date; ","")&amp;IF(AND(INDEX('Game Records'!$U:$U,$H86)&lt;&gt;"Subscription",INDEX('Game Records'!$U:$U,$H86)&lt;&gt;"Free Game",INDEX('Game Records'!$U:$U,$H86)&lt;&gt;"Disqualified — Free Game",OR(INDEX('Game Records'!$D:$D,$H86)="",LOWER(INDEX('Game Records'!$D:$D,$H86)&amp;"")="n/a")),"Entry Mode; ","")&amp;IF(AND(INDEX('Game Records'!$U:$U,$H86)&lt;&gt;"Subscription",INDEX('Game Records'!$U:$U,$H86)&lt;&gt;"Free Game",INDEX('Game Records'!$U:$U,$H86)&lt;&gt;"Disqualified — Free Game",OR(INDEX('Game Records'!$E:$E,$H86)="",LOWER(INDEX('Game Records'!$E:$E,$H86)&amp;"")="n/a")),"Game Type; ","")&amp;IF(INDEX('Game Records'!$F:$F,$H86)="","Payment Type; ","")&amp;IF(AND(INDEX('Game Records'!$U:$U,$H86)&lt;&gt;"Subscription",INDEX('Game Records'!$U:$U,$H86)&lt;&gt;"Free Game",INDEX('Game Records'!$U:$U,$H86)&lt;&gt;"Disqualified — Free Game",INDEX('Game Records'!$G:$G,$H86)=""),"Gross Pot; ","")&amp;IF(AND(INDEX('Game Records'!$U:$U,$H86)&lt;&gt;"Free Game",INDEX('Game Records'!$U:$U,$H86)&lt;&gt;"Disqualified — Free Game",INDEX('Game Records'!$H:$H,$H86)=""),"Entry Fee; ","")&amp;IF(AND(INDEX('Game Records'!$U:$U,$H86)&lt;&gt;"Subscription",INDEX('Game Records'!$U:$U,$H86)&lt;&gt;"Free Game",INDEX('Game Records'!$U:$U,$H86)&lt;&gt;"Disqualified — Free Game",INDEX('Game Records'!$I:$I,$H86)=""),"Eligible Players; ","")&amp;IF(AND(INDEX('Game Records'!$U:$U,$H86)&lt;&gt;"Subscription",INDEX('Game Records'!$U:$U,$H86)&lt;&gt;"Free Game",INDEX('Game Records'!$U:$U,$H86)&lt;&gt;"Disqualified — Free Game",INDEX('Game Records'!$J:$J,$H86)=""),"Total Players; ","")&amp;IF(AND(LOWER(INDEX('Game Records'!$D:$D,$H86)&amp;"")="finalized",LOWER(INDEX('Game Records'!$L:$L,$H86)&amp;"")&lt;&gt;"yes",INDEX('Game Records'!$U:$U,$H86)&lt;&gt;"Subscription",INDEX('Game Records'!$U:$U,$H86)&lt;&gt;"Free Game",INDEX('Game Records'!$U:$U,$H86)&lt;&gt;"Disqualified — Free Game",INDEX('Game Records'!$K:$K,$H86)=""),"Final Payout; ","")&amp;IF(AND(LOWER(INDEX('Game Records'!$D:$D,$H86)&amp;"")="finalized",INDEX('Game Records'!$U:$U,$H86)&lt;&gt;"Subscription",INDEX('Game Records'!$U:$U,$H86)&lt;&gt;"Free Game",INDEX('Game Records'!$U:$U,$H86)&lt;&gt;"Disqualified — Free Game",OR(INDEX('Game Records'!$L:$L,$H86)="",LOWER(INDEX('Game Records'!$L:$L,$H86)&amp;"")="n/a")),"Disqualified Status; ",""))</f>
        <v/>
      </c>
      <c r="G86" s="25" t="str">
        <f t="array" ref="G86">IF($H86="","",IFERROR(INDEX('Game Records'!$M:$M,$H86),""))</f>
        <v/>
      </c>
      <c r="H86" s="8"/>
      <c r="I86" s="8"/>
      <c r="J86" s="8"/>
    </row>
    <row r="87" ht="24.0" customHeight="1">
      <c r="A87" s="21" t="str">
        <f t="shared" si="1"/>
        <v/>
      </c>
      <c r="B87" s="21" t="str">
        <f t="shared" si="2"/>
        <v/>
      </c>
      <c r="C87" s="25" t="str">
        <f t="array" ref="C87">IF($H87="","",IFERROR(INDEX('Game Records'!$A:$A,$H87),""))</f>
        <v/>
      </c>
      <c r="D87" s="25" t="str">
        <f t="array" ref="D87">IF($H87="","",IFERROR(INDEX('Game Records'!$U:$U,$H87),""))</f>
        <v/>
      </c>
      <c r="E87" s="25" t="str">
        <f t="shared" si="3"/>
        <v/>
      </c>
      <c r="F87" s="25" t="str">
        <f t="array" ref="F87">IF($H87="","",IF(OR(NOT(_xlfn.ISFORMULA(INDEX('Game Records'!$N:$N,$H87))),NOT(_xlfn.ISFORMULA(INDEX('Game Records'!$O:$O,$H87))),NOT(_xlfn.ISFORMULA(INDEX('Game Records'!$P:$P,$H87))),NOT(_xlfn.ISFORMULA(INDEX('Game Records'!$Q:$Q,$H87))),NOT(_xlfn.ISFORMULA(INDEX('Game Records'!$R:$R,$H87))),NOT(_xlfn.ISFORMULA(INDEX('Game Records'!$S:$S,$H87))),NOT(_xlfn.ISFORMULA(INDEX('Game Records'!$T:$T,$H87))),NOT(_xlfn.ISFORMULA(INDEX('Game Records'!$U:$U,$H87))),NOT(_xlfn.ISFORMULA(INDEX('Game Records'!$V:$V,$H87))),NOT(_xlfn.ISFORMULA(INDEX('Game Records'!$W:$W,$H87))),NOT(_xlfn.ISFORMULA(INDEX('Game Records'!$X:$X,$H87))),NOT(_xlfn.ISFORMULA(INDEX('Game Records'!$Y:$Y,$H87))),NOT(_xlfn.ISFORMULA(INDEX('Game Records'!$Z:$Z,$H87)))),"","")&amp;IF(INDEX('Game Records'!$B:$B,$H87)="","Start Date; ","")&amp;IF(INDEX('Game Records'!$C:$C,$H87)="","End Date; ","")&amp;IF(AND(INDEX('Game Records'!$U:$U,$H87)&lt;&gt;"Subscription",INDEX('Game Records'!$U:$U,$H87)&lt;&gt;"Free Game",INDEX('Game Records'!$U:$U,$H87)&lt;&gt;"Disqualified — Free Game",OR(INDEX('Game Records'!$D:$D,$H87)="",LOWER(INDEX('Game Records'!$D:$D,$H87)&amp;"")="n/a")),"Entry Mode; ","")&amp;IF(AND(INDEX('Game Records'!$U:$U,$H87)&lt;&gt;"Subscription",INDEX('Game Records'!$U:$U,$H87)&lt;&gt;"Free Game",INDEX('Game Records'!$U:$U,$H87)&lt;&gt;"Disqualified — Free Game",OR(INDEX('Game Records'!$E:$E,$H87)="",LOWER(INDEX('Game Records'!$E:$E,$H87)&amp;"")="n/a")),"Game Type; ","")&amp;IF(INDEX('Game Records'!$F:$F,$H87)="","Payment Type; ","")&amp;IF(AND(INDEX('Game Records'!$U:$U,$H87)&lt;&gt;"Subscription",INDEX('Game Records'!$U:$U,$H87)&lt;&gt;"Free Game",INDEX('Game Records'!$U:$U,$H87)&lt;&gt;"Disqualified — Free Game",INDEX('Game Records'!$G:$G,$H87)=""),"Gross Pot; ","")&amp;IF(AND(INDEX('Game Records'!$U:$U,$H87)&lt;&gt;"Free Game",INDEX('Game Records'!$U:$U,$H87)&lt;&gt;"Disqualified — Free Game",INDEX('Game Records'!$H:$H,$H87)=""),"Entry Fee; ","")&amp;IF(AND(INDEX('Game Records'!$U:$U,$H87)&lt;&gt;"Subscription",INDEX('Game Records'!$U:$U,$H87)&lt;&gt;"Free Game",INDEX('Game Records'!$U:$U,$H87)&lt;&gt;"Disqualified — Free Game",INDEX('Game Records'!$I:$I,$H87)=""),"Eligible Players; ","")&amp;IF(AND(INDEX('Game Records'!$U:$U,$H87)&lt;&gt;"Subscription",INDEX('Game Records'!$U:$U,$H87)&lt;&gt;"Free Game",INDEX('Game Records'!$U:$U,$H87)&lt;&gt;"Disqualified — Free Game",INDEX('Game Records'!$J:$J,$H87)=""),"Total Players; ","")&amp;IF(AND(LOWER(INDEX('Game Records'!$D:$D,$H87)&amp;"")="finalized",LOWER(INDEX('Game Records'!$L:$L,$H87)&amp;"")&lt;&gt;"yes",INDEX('Game Records'!$U:$U,$H87)&lt;&gt;"Subscription",INDEX('Game Records'!$U:$U,$H87)&lt;&gt;"Free Game",INDEX('Game Records'!$U:$U,$H87)&lt;&gt;"Disqualified — Free Game",INDEX('Game Records'!$K:$K,$H87)=""),"Final Payout; ","")&amp;IF(AND(LOWER(INDEX('Game Records'!$D:$D,$H87)&amp;"")="finalized",INDEX('Game Records'!$U:$U,$H87)&lt;&gt;"Subscription",INDEX('Game Records'!$U:$U,$H87)&lt;&gt;"Free Game",INDEX('Game Records'!$U:$U,$H87)&lt;&gt;"Disqualified — Free Game",OR(INDEX('Game Records'!$L:$L,$H87)="",LOWER(INDEX('Game Records'!$L:$L,$H87)&amp;"")="n/a")),"Disqualified Status; ",""))</f>
        <v/>
      </c>
      <c r="G87" s="25" t="str">
        <f t="array" ref="G87">IF($H87="","",IFERROR(INDEX('Game Records'!$M:$M,$H87),""))</f>
        <v/>
      </c>
      <c r="H87" s="8"/>
      <c r="I87" s="8"/>
      <c r="J87" s="8"/>
    </row>
    <row r="88" ht="24.0" customHeight="1">
      <c r="A88" s="21" t="str">
        <f t="shared" si="1"/>
        <v/>
      </c>
      <c r="B88" s="21" t="str">
        <f t="shared" si="2"/>
        <v/>
      </c>
      <c r="C88" s="25" t="str">
        <f t="array" ref="C88">IF($H88="","",IFERROR(INDEX('Game Records'!$A:$A,$H88),""))</f>
        <v/>
      </c>
      <c r="D88" s="25" t="str">
        <f t="array" ref="D88">IF($H88="","",IFERROR(INDEX('Game Records'!$U:$U,$H88),""))</f>
        <v/>
      </c>
      <c r="E88" s="25" t="str">
        <f t="shared" si="3"/>
        <v/>
      </c>
      <c r="F88" s="25" t="str">
        <f t="array" ref="F88">IF($H88="","",IF(OR(NOT(_xlfn.ISFORMULA(INDEX('Game Records'!$N:$N,$H88))),NOT(_xlfn.ISFORMULA(INDEX('Game Records'!$O:$O,$H88))),NOT(_xlfn.ISFORMULA(INDEX('Game Records'!$P:$P,$H88))),NOT(_xlfn.ISFORMULA(INDEX('Game Records'!$Q:$Q,$H88))),NOT(_xlfn.ISFORMULA(INDEX('Game Records'!$R:$R,$H88))),NOT(_xlfn.ISFORMULA(INDEX('Game Records'!$S:$S,$H88))),NOT(_xlfn.ISFORMULA(INDEX('Game Records'!$T:$T,$H88))),NOT(_xlfn.ISFORMULA(INDEX('Game Records'!$U:$U,$H88))),NOT(_xlfn.ISFORMULA(INDEX('Game Records'!$V:$V,$H88))),NOT(_xlfn.ISFORMULA(INDEX('Game Records'!$W:$W,$H88))),NOT(_xlfn.ISFORMULA(INDEX('Game Records'!$X:$X,$H88))),NOT(_xlfn.ISFORMULA(INDEX('Game Records'!$Y:$Y,$H88))),NOT(_xlfn.ISFORMULA(INDEX('Game Records'!$Z:$Z,$H88)))),"","")&amp;IF(INDEX('Game Records'!$B:$B,$H88)="","Start Date; ","")&amp;IF(INDEX('Game Records'!$C:$C,$H88)="","End Date; ","")&amp;IF(AND(INDEX('Game Records'!$U:$U,$H88)&lt;&gt;"Subscription",INDEX('Game Records'!$U:$U,$H88)&lt;&gt;"Free Game",INDEX('Game Records'!$U:$U,$H88)&lt;&gt;"Disqualified — Free Game",OR(INDEX('Game Records'!$D:$D,$H88)="",LOWER(INDEX('Game Records'!$D:$D,$H88)&amp;"")="n/a")),"Entry Mode; ","")&amp;IF(AND(INDEX('Game Records'!$U:$U,$H88)&lt;&gt;"Subscription",INDEX('Game Records'!$U:$U,$H88)&lt;&gt;"Free Game",INDEX('Game Records'!$U:$U,$H88)&lt;&gt;"Disqualified — Free Game",OR(INDEX('Game Records'!$E:$E,$H88)="",LOWER(INDEX('Game Records'!$E:$E,$H88)&amp;"")="n/a")),"Game Type; ","")&amp;IF(INDEX('Game Records'!$F:$F,$H88)="","Payment Type; ","")&amp;IF(AND(INDEX('Game Records'!$U:$U,$H88)&lt;&gt;"Subscription",INDEX('Game Records'!$U:$U,$H88)&lt;&gt;"Free Game",INDEX('Game Records'!$U:$U,$H88)&lt;&gt;"Disqualified — Free Game",INDEX('Game Records'!$G:$G,$H88)=""),"Gross Pot; ","")&amp;IF(AND(INDEX('Game Records'!$U:$U,$H88)&lt;&gt;"Free Game",INDEX('Game Records'!$U:$U,$H88)&lt;&gt;"Disqualified — Free Game",INDEX('Game Records'!$H:$H,$H88)=""),"Entry Fee; ","")&amp;IF(AND(INDEX('Game Records'!$U:$U,$H88)&lt;&gt;"Subscription",INDEX('Game Records'!$U:$U,$H88)&lt;&gt;"Free Game",INDEX('Game Records'!$U:$U,$H88)&lt;&gt;"Disqualified — Free Game",INDEX('Game Records'!$I:$I,$H88)=""),"Eligible Players; ","")&amp;IF(AND(INDEX('Game Records'!$U:$U,$H88)&lt;&gt;"Subscription",INDEX('Game Records'!$U:$U,$H88)&lt;&gt;"Free Game",INDEX('Game Records'!$U:$U,$H88)&lt;&gt;"Disqualified — Free Game",INDEX('Game Records'!$J:$J,$H88)=""),"Total Players; ","")&amp;IF(AND(LOWER(INDEX('Game Records'!$D:$D,$H88)&amp;"")="finalized",LOWER(INDEX('Game Records'!$L:$L,$H88)&amp;"")&lt;&gt;"yes",INDEX('Game Records'!$U:$U,$H88)&lt;&gt;"Subscription",INDEX('Game Records'!$U:$U,$H88)&lt;&gt;"Free Game",INDEX('Game Records'!$U:$U,$H88)&lt;&gt;"Disqualified — Free Game",INDEX('Game Records'!$K:$K,$H88)=""),"Final Payout; ","")&amp;IF(AND(LOWER(INDEX('Game Records'!$D:$D,$H88)&amp;"")="finalized",INDEX('Game Records'!$U:$U,$H88)&lt;&gt;"Subscription",INDEX('Game Records'!$U:$U,$H88)&lt;&gt;"Free Game",INDEX('Game Records'!$U:$U,$H88)&lt;&gt;"Disqualified — Free Game",OR(INDEX('Game Records'!$L:$L,$H88)="",LOWER(INDEX('Game Records'!$L:$L,$H88)&amp;"")="n/a")),"Disqualified Status; ",""))</f>
        <v/>
      </c>
      <c r="G88" s="25" t="str">
        <f t="array" ref="G88">IF($H88="","",IFERROR(INDEX('Game Records'!$M:$M,$H88),""))</f>
        <v/>
      </c>
      <c r="H88" s="8"/>
      <c r="I88" s="8"/>
      <c r="J88" s="8"/>
    </row>
    <row r="89" ht="24.0" customHeight="1">
      <c r="A89" s="21" t="str">
        <f t="shared" si="1"/>
        <v/>
      </c>
      <c r="B89" s="21" t="str">
        <f t="shared" si="2"/>
        <v/>
      </c>
      <c r="C89" s="25" t="str">
        <f t="array" ref="C89">IF($H89="","",IFERROR(INDEX('Game Records'!$A:$A,$H89),""))</f>
        <v/>
      </c>
      <c r="D89" s="25" t="str">
        <f t="array" ref="D89">IF($H89="","",IFERROR(INDEX('Game Records'!$U:$U,$H89),""))</f>
        <v/>
      </c>
      <c r="E89" s="25" t="str">
        <f t="shared" si="3"/>
        <v/>
      </c>
      <c r="F89" s="25" t="str">
        <f t="array" ref="F89">IF($H89="","",IF(OR(NOT(_xlfn.ISFORMULA(INDEX('Game Records'!$N:$N,$H89))),NOT(_xlfn.ISFORMULA(INDEX('Game Records'!$O:$O,$H89))),NOT(_xlfn.ISFORMULA(INDEX('Game Records'!$P:$P,$H89))),NOT(_xlfn.ISFORMULA(INDEX('Game Records'!$Q:$Q,$H89))),NOT(_xlfn.ISFORMULA(INDEX('Game Records'!$R:$R,$H89))),NOT(_xlfn.ISFORMULA(INDEX('Game Records'!$S:$S,$H89))),NOT(_xlfn.ISFORMULA(INDEX('Game Records'!$T:$T,$H89))),NOT(_xlfn.ISFORMULA(INDEX('Game Records'!$U:$U,$H89))),NOT(_xlfn.ISFORMULA(INDEX('Game Records'!$V:$V,$H89))),NOT(_xlfn.ISFORMULA(INDEX('Game Records'!$W:$W,$H89))),NOT(_xlfn.ISFORMULA(INDEX('Game Records'!$X:$X,$H89))),NOT(_xlfn.ISFORMULA(INDEX('Game Records'!$Y:$Y,$H89))),NOT(_xlfn.ISFORMULA(INDEX('Game Records'!$Z:$Z,$H89)))),"","")&amp;IF(INDEX('Game Records'!$B:$B,$H89)="","Start Date; ","")&amp;IF(INDEX('Game Records'!$C:$C,$H89)="","End Date; ","")&amp;IF(AND(INDEX('Game Records'!$U:$U,$H89)&lt;&gt;"Subscription",INDEX('Game Records'!$U:$U,$H89)&lt;&gt;"Free Game",INDEX('Game Records'!$U:$U,$H89)&lt;&gt;"Disqualified — Free Game",OR(INDEX('Game Records'!$D:$D,$H89)="",LOWER(INDEX('Game Records'!$D:$D,$H89)&amp;"")="n/a")),"Entry Mode; ","")&amp;IF(AND(INDEX('Game Records'!$U:$U,$H89)&lt;&gt;"Subscription",INDEX('Game Records'!$U:$U,$H89)&lt;&gt;"Free Game",INDEX('Game Records'!$U:$U,$H89)&lt;&gt;"Disqualified — Free Game",OR(INDEX('Game Records'!$E:$E,$H89)="",LOWER(INDEX('Game Records'!$E:$E,$H89)&amp;"")="n/a")),"Game Type; ","")&amp;IF(INDEX('Game Records'!$F:$F,$H89)="","Payment Type; ","")&amp;IF(AND(INDEX('Game Records'!$U:$U,$H89)&lt;&gt;"Subscription",INDEX('Game Records'!$U:$U,$H89)&lt;&gt;"Free Game",INDEX('Game Records'!$U:$U,$H89)&lt;&gt;"Disqualified — Free Game",INDEX('Game Records'!$G:$G,$H89)=""),"Gross Pot; ","")&amp;IF(AND(INDEX('Game Records'!$U:$U,$H89)&lt;&gt;"Free Game",INDEX('Game Records'!$U:$U,$H89)&lt;&gt;"Disqualified — Free Game",INDEX('Game Records'!$H:$H,$H89)=""),"Entry Fee; ","")&amp;IF(AND(INDEX('Game Records'!$U:$U,$H89)&lt;&gt;"Subscription",INDEX('Game Records'!$U:$U,$H89)&lt;&gt;"Free Game",INDEX('Game Records'!$U:$U,$H89)&lt;&gt;"Disqualified — Free Game",INDEX('Game Records'!$I:$I,$H89)=""),"Eligible Players; ","")&amp;IF(AND(INDEX('Game Records'!$U:$U,$H89)&lt;&gt;"Subscription",INDEX('Game Records'!$U:$U,$H89)&lt;&gt;"Free Game",INDEX('Game Records'!$U:$U,$H89)&lt;&gt;"Disqualified — Free Game",INDEX('Game Records'!$J:$J,$H89)=""),"Total Players; ","")&amp;IF(AND(LOWER(INDEX('Game Records'!$D:$D,$H89)&amp;"")="finalized",LOWER(INDEX('Game Records'!$L:$L,$H89)&amp;"")&lt;&gt;"yes",INDEX('Game Records'!$U:$U,$H89)&lt;&gt;"Subscription",INDEX('Game Records'!$U:$U,$H89)&lt;&gt;"Free Game",INDEX('Game Records'!$U:$U,$H89)&lt;&gt;"Disqualified — Free Game",INDEX('Game Records'!$K:$K,$H89)=""),"Final Payout; ","")&amp;IF(AND(LOWER(INDEX('Game Records'!$D:$D,$H89)&amp;"")="finalized",INDEX('Game Records'!$U:$U,$H89)&lt;&gt;"Subscription",INDEX('Game Records'!$U:$U,$H89)&lt;&gt;"Free Game",INDEX('Game Records'!$U:$U,$H89)&lt;&gt;"Disqualified — Free Game",OR(INDEX('Game Records'!$L:$L,$H89)="",LOWER(INDEX('Game Records'!$L:$L,$H89)&amp;"")="n/a")),"Disqualified Status; ",""))</f>
        <v/>
      </c>
      <c r="G89" s="25" t="str">
        <f t="array" ref="G89">IF($H89="","",IFERROR(INDEX('Game Records'!$M:$M,$H89),""))</f>
        <v/>
      </c>
      <c r="H89" s="8"/>
      <c r="I89" s="8"/>
      <c r="J89" s="8"/>
    </row>
    <row r="90" ht="24.0" customHeight="1">
      <c r="A90" s="21" t="str">
        <f t="shared" si="1"/>
        <v/>
      </c>
      <c r="B90" s="21" t="str">
        <f t="shared" si="2"/>
        <v/>
      </c>
      <c r="C90" s="25" t="str">
        <f t="array" ref="C90">IF($H90="","",IFERROR(INDEX('Game Records'!$A:$A,$H90),""))</f>
        <v/>
      </c>
      <c r="D90" s="25" t="str">
        <f t="array" ref="D90">IF($H90="","",IFERROR(INDEX('Game Records'!$U:$U,$H90),""))</f>
        <v/>
      </c>
      <c r="E90" s="25" t="str">
        <f t="shared" si="3"/>
        <v/>
      </c>
      <c r="F90" s="25" t="str">
        <f t="array" ref="F90">IF($H90="","",IF(OR(NOT(_xlfn.ISFORMULA(INDEX('Game Records'!$N:$N,$H90))),NOT(_xlfn.ISFORMULA(INDEX('Game Records'!$O:$O,$H90))),NOT(_xlfn.ISFORMULA(INDEX('Game Records'!$P:$P,$H90))),NOT(_xlfn.ISFORMULA(INDEX('Game Records'!$Q:$Q,$H90))),NOT(_xlfn.ISFORMULA(INDEX('Game Records'!$R:$R,$H90))),NOT(_xlfn.ISFORMULA(INDEX('Game Records'!$S:$S,$H90))),NOT(_xlfn.ISFORMULA(INDEX('Game Records'!$T:$T,$H90))),NOT(_xlfn.ISFORMULA(INDEX('Game Records'!$U:$U,$H90))),NOT(_xlfn.ISFORMULA(INDEX('Game Records'!$V:$V,$H90))),NOT(_xlfn.ISFORMULA(INDEX('Game Records'!$W:$W,$H90))),NOT(_xlfn.ISFORMULA(INDEX('Game Records'!$X:$X,$H90))),NOT(_xlfn.ISFORMULA(INDEX('Game Records'!$Y:$Y,$H90))),NOT(_xlfn.ISFORMULA(INDEX('Game Records'!$Z:$Z,$H90)))),"","")&amp;IF(INDEX('Game Records'!$B:$B,$H90)="","Start Date; ","")&amp;IF(INDEX('Game Records'!$C:$C,$H90)="","End Date; ","")&amp;IF(AND(INDEX('Game Records'!$U:$U,$H90)&lt;&gt;"Subscription",INDEX('Game Records'!$U:$U,$H90)&lt;&gt;"Free Game",INDEX('Game Records'!$U:$U,$H90)&lt;&gt;"Disqualified — Free Game",OR(INDEX('Game Records'!$D:$D,$H90)="",LOWER(INDEX('Game Records'!$D:$D,$H90)&amp;"")="n/a")),"Entry Mode; ","")&amp;IF(AND(INDEX('Game Records'!$U:$U,$H90)&lt;&gt;"Subscription",INDEX('Game Records'!$U:$U,$H90)&lt;&gt;"Free Game",INDEX('Game Records'!$U:$U,$H90)&lt;&gt;"Disqualified — Free Game",OR(INDEX('Game Records'!$E:$E,$H90)="",LOWER(INDEX('Game Records'!$E:$E,$H90)&amp;"")="n/a")),"Game Type; ","")&amp;IF(INDEX('Game Records'!$F:$F,$H90)="","Payment Type; ","")&amp;IF(AND(INDEX('Game Records'!$U:$U,$H90)&lt;&gt;"Subscription",INDEX('Game Records'!$U:$U,$H90)&lt;&gt;"Free Game",INDEX('Game Records'!$U:$U,$H90)&lt;&gt;"Disqualified — Free Game",INDEX('Game Records'!$G:$G,$H90)=""),"Gross Pot; ","")&amp;IF(AND(INDEX('Game Records'!$U:$U,$H90)&lt;&gt;"Free Game",INDEX('Game Records'!$U:$U,$H90)&lt;&gt;"Disqualified — Free Game",INDEX('Game Records'!$H:$H,$H90)=""),"Entry Fee; ","")&amp;IF(AND(INDEX('Game Records'!$U:$U,$H90)&lt;&gt;"Subscription",INDEX('Game Records'!$U:$U,$H90)&lt;&gt;"Free Game",INDEX('Game Records'!$U:$U,$H90)&lt;&gt;"Disqualified — Free Game",INDEX('Game Records'!$I:$I,$H90)=""),"Eligible Players; ","")&amp;IF(AND(INDEX('Game Records'!$U:$U,$H90)&lt;&gt;"Subscription",INDEX('Game Records'!$U:$U,$H90)&lt;&gt;"Free Game",INDEX('Game Records'!$U:$U,$H90)&lt;&gt;"Disqualified — Free Game",INDEX('Game Records'!$J:$J,$H90)=""),"Total Players; ","")&amp;IF(AND(LOWER(INDEX('Game Records'!$D:$D,$H90)&amp;"")="finalized",LOWER(INDEX('Game Records'!$L:$L,$H90)&amp;"")&lt;&gt;"yes",INDEX('Game Records'!$U:$U,$H90)&lt;&gt;"Subscription",INDEX('Game Records'!$U:$U,$H90)&lt;&gt;"Free Game",INDEX('Game Records'!$U:$U,$H90)&lt;&gt;"Disqualified — Free Game",INDEX('Game Records'!$K:$K,$H90)=""),"Final Payout; ","")&amp;IF(AND(LOWER(INDEX('Game Records'!$D:$D,$H90)&amp;"")="finalized",INDEX('Game Records'!$U:$U,$H90)&lt;&gt;"Subscription",INDEX('Game Records'!$U:$U,$H90)&lt;&gt;"Free Game",INDEX('Game Records'!$U:$U,$H90)&lt;&gt;"Disqualified — Free Game",OR(INDEX('Game Records'!$L:$L,$H90)="",LOWER(INDEX('Game Records'!$L:$L,$H90)&amp;"")="n/a")),"Disqualified Status; ",""))</f>
        <v/>
      </c>
      <c r="G90" s="25" t="str">
        <f t="array" ref="G90">IF($H90="","",IFERROR(INDEX('Game Records'!$M:$M,$H90),""))</f>
        <v/>
      </c>
      <c r="H90" s="8"/>
      <c r="I90" s="8"/>
      <c r="J90" s="8"/>
    </row>
    <row r="91" ht="24.0" customHeight="1">
      <c r="A91" s="21" t="str">
        <f t="shared" si="1"/>
        <v/>
      </c>
      <c r="B91" s="21" t="str">
        <f t="shared" si="2"/>
        <v/>
      </c>
      <c r="C91" s="25" t="str">
        <f t="array" ref="C91">IF($H91="","",IFERROR(INDEX('Game Records'!$A:$A,$H91),""))</f>
        <v/>
      </c>
      <c r="D91" s="25" t="str">
        <f t="array" ref="D91">IF($H91="","",IFERROR(INDEX('Game Records'!$U:$U,$H91),""))</f>
        <v/>
      </c>
      <c r="E91" s="25" t="str">
        <f t="shared" si="3"/>
        <v/>
      </c>
      <c r="F91" s="25" t="str">
        <f t="array" ref="F91">IF($H91="","",IF(OR(NOT(_xlfn.ISFORMULA(INDEX('Game Records'!$N:$N,$H91))),NOT(_xlfn.ISFORMULA(INDEX('Game Records'!$O:$O,$H91))),NOT(_xlfn.ISFORMULA(INDEX('Game Records'!$P:$P,$H91))),NOT(_xlfn.ISFORMULA(INDEX('Game Records'!$Q:$Q,$H91))),NOT(_xlfn.ISFORMULA(INDEX('Game Records'!$R:$R,$H91))),NOT(_xlfn.ISFORMULA(INDEX('Game Records'!$S:$S,$H91))),NOT(_xlfn.ISFORMULA(INDEX('Game Records'!$T:$T,$H91))),NOT(_xlfn.ISFORMULA(INDEX('Game Records'!$U:$U,$H91))),NOT(_xlfn.ISFORMULA(INDEX('Game Records'!$V:$V,$H91))),NOT(_xlfn.ISFORMULA(INDEX('Game Records'!$W:$W,$H91))),NOT(_xlfn.ISFORMULA(INDEX('Game Records'!$X:$X,$H91))),NOT(_xlfn.ISFORMULA(INDEX('Game Records'!$Y:$Y,$H91))),NOT(_xlfn.ISFORMULA(INDEX('Game Records'!$Z:$Z,$H91)))),"","")&amp;IF(INDEX('Game Records'!$B:$B,$H91)="","Start Date; ","")&amp;IF(INDEX('Game Records'!$C:$C,$H91)="","End Date; ","")&amp;IF(AND(INDEX('Game Records'!$U:$U,$H91)&lt;&gt;"Subscription",INDEX('Game Records'!$U:$U,$H91)&lt;&gt;"Free Game",INDEX('Game Records'!$U:$U,$H91)&lt;&gt;"Disqualified — Free Game",OR(INDEX('Game Records'!$D:$D,$H91)="",LOWER(INDEX('Game Records'!$D:$D,$H91)&amp;"")="n/a")),"Entry Mode; ","")&amp;IF(AND(INDEX('Game Records'!$U:$U,$H91)&lt;&gt;"Subscription",INDEX('Game Records'!$U:$U,$H91)&lt;&gt;"Free Game",INDEX('Game Records'!$U:$U,$H91)&lt;&gt;"Disqualified — Free Game",OR(INDEX('Game Records'!$E:$E,$H91)="",LOWER(INDEX('Game Records'!$E:$E,$H91)&amp;"")="n/a")),"Game Type; ","")&amp;IF(INDEX('Game Records'!$F:$F,$H91)="","Payment Type; ","")&amp;IF(AND(INDEX('Game Records'!$U:$U,$H91)&lt;&gt;"Subscription",INDEX('Game Records'!$U:$U,$H91)&lt;&gt;"Free Game",INDEX('Game Records'!$U:$U,$H91)&lt;&gt;"Disqualified — Free Game",INDEX('Game Records'!$G:$G,$H91)=""),"Gross Pot; ","")&amp;IF(AND(INDEX('Game Records'!$U:$U,$H91)&lt;&gt;"Free Game",INDEX('Game Records'!$U:$U,$H91)&lt;&gt;"Disqualified — Free Game",INDEX('Game Records'!$H:$H,$H91)=""),"Entry Fee; ","")&amp;IF(AND(INDEX('Game Records'!$U:$U,$H91)&lt;&gt;"Subscription",INDEX('Game Records'!$U:$U,$H91)&lt;&gt;"Free Game",INDEX('Game Records'!$U:$U,$H91)&lt;&gt;"Disqualified — Free Game",INDEX('Game Records'!$I:$I,$H91)=""),"Eligible Players; ","")&amp;IF(AND(INDEX('Game Records'!$U:$U,$H91)&lt;&gt;"Subscription",INDEX('Game Records'!$U:$U,$H91)&lt;&gt;"Free Game",INDEX('Game Records'!$U:$U,$H91)&lt;&gt;"Disqualified — Free Game",INDEX('Game Records'!$J:$J,$H91)=""),"Total Players; ","")&amp;IF(AND(LOWER(INDEX('Game Records'!$D:$D,$H91)&amp;"")="finalized",LOWER(INDEX('Game Records'!$L:$L,$H91)&amp;"")&lt;&gt;"yes",INDEX('Game Records'!$U:$U,$H91)&lt;&gt;"Subscription",INDEX('Game Records'!$U:$U,$H91)&lt;&gt;"Free Game",INDEX('Game Records'!$U:$U,$H91)&lt;&gt;"Disqualified — Free Game",INDEX('Game Records'!$K:$K,$H91)=""),"Final Payout; ","")&amp;IF(AND(LOWER(INDEX('Game Records'!$D:$D,$H91)&amp;"")="finalized",INDEX('Game Records'!$U:$U,$H91)&lt;&gt;"Subscription",INDEX('Game Records'!$U:$U,$H91)&lt;&gt;"Free Game",INDEX('Game Records'!$U:$U,$H91)&lt;&gt;"Disqualified — Free Game",OR(INDEX('Game Records'!$L:$L,$H91)="",LOWER(INDEX('Game Records'!$L:$L,$H91)&amp;"")="n/a")),"Disqualified Status; ",""))</f>
        <v/>
      </c>
      <c r="G91" s="25" t="str">
        <f t="array" ref="G91">IF($H91="","",IFERROR(INDEX('Game Records'!$M:$M,$H91),""))</f>
        <v/>
      </c>
      <c r="H91" s="8"/>
      <c r="I91" s="8"/>
      <c r="J91" s="8"/>
    </row>
    <row r="92" ht="24.0" customHeight="1">
      <c r="A92" s="21" t="str">
        <f t="shared" si="1"/>
        <v/>
      </c>
      <c r="B92" s="21" t="str">
        <f t="shared" si="2"/>
        <v/>
      </c>
      <c r="C92" s="25" t="str">
        <f t="array" ref="C92">IF($H92="","",IFERROR(INDEX('Game Records'!$A:$A,$H92),""))</f>
        <v/>
      </c>
      <c r="D92" s="25" t="str">
        <f t="array" ref="D92">IF($H92="","",IFERROR(INDEX('Game Records'!$U:$U,$H92),""))</f>
        <v/>
      </c>
      <c r="E92" s="25" t="str">
        <f t="shared" si="3"/>
        <v/>
      </c>
      <c r="F92" s="25" t="str">
        <f t="array" ref="F92">IF($H92="","",IF(OR(NOT(_xlfn.ISFORMULA(INDEX('Game Records'!$N:$N,$H92))),NOT(_xlfn.ISFORMULA(INDEX('Game Records'!$O:$O,$H92))),NOT(_xlfn.ISFORMULA(INDEX('Game Records'!$P:$P,$H92))),NOT(_xlfn.ISFORMULA(INDEX('Game Records'!$Q:$Q,$H92))),NOT(_xlfn.ISFORMULA(INDEX('Game Records'!$R:$R,$H92))),NOT(_xlfn.ISFORMULA(INDEX('Game Records'!$S:$S,$H92))),NOT(_xlfn.ISFORMULA(INDEX('Game Records'!$T:$T,$H92))),NOT(_xlfn.ISFORMULA(INDEX('Game Records'!$U:$U,$H92))),NOT(_xlfn.ISFORMULA(INDEX('Game Records'!$V:$V,$H92))),NOT(_xlfn.ISFORMULA(INDEX('Game Records'!$W:$W,$H92))),NOT(_xlfn.ISFORMULA(INDEX('Game Records'!$X:$X,$H92))),NOT(_xlfn.ISFORMULA(INDEX('Game Records'!$Y:$Y,$H92))),NOT(_xlfn.ISFORMULA(INDEX('Game Records'!$Z:$Z,$H92)))),"","")&amp;IF(INDEX('Game Records'!$B:$B,$H92)="","Start Date; ","")&amp;IF(INDEX('Game Records'!$C:$C,$H92)="","End Date; ","")&amp;IF(AND(INDEX('Game Records'!$U:$U,$H92)&lt;&gt;"Subscription",INDEX('Game Records'!$U:$U,$H92)&lt;&gt;"Free Game",INDEX('Game Records'!$U:$U,$H92)&lt;&gt;"Disqualified — Free Game",OR(INDEX('Game Records'!$D:$D,$H92)="",LOWER(INDEX('Game Records'!$D:$D,$H92)&amp;"")="n/a")),"Entry Mode; ","")&amp;IF(AND(INDEX('Game Records'!$U:$U,$H92)&lt;&gt;"Subscription",INDEX('Game Records'!$U:$U,$H92)&lt;&gt;"Free Game",INDEX('Game Records'!$U:$U,$H92)&lt;&gt;"Disqualified — Free Game",OR(INDEX('Game Records'!$E:$E,$H92)="",LOWER(INDEX('Game Records'!$E:$E,$H92)&amp;"")="n/a")),"Game Type; ","")&amp;IF(INDEX('Game Records'!$F:$F,$H92)="","Payment Type; ","")&amp;IF(AND(INDEX('Game Records'!$U:$U,$H92)&lt;&gt;"Subscription",INDEX('Game Records'!$U:$U,$H92)&lt;&gt;"Free Game",INDEX('Game Records'!$U:$U,$H92)&lt;&gt;"Disqualified — Free Game",INDEX('Game Records'!$G:$G,$H92)=""),"Gross Pot; ","")&amp;IF(AND(INDEX('Game Records'!$U:$U,$H92)&lt;&gt;"Free Game",INDEX('Game Records'!$U:$U,$H92)&lt;&gt;"Disqualified — Free Game",INDEX('Game Records'!$H:$H,$H92)=""),"Entry Fee; ","")&amp;IF(AND(INDEX('Game Records'!$U:$U,$H92)&lt;&gt;"Subscription",INDEX('Game Records'!$U:$U,$H92)&lt;&gt;"Free Game",INDEX('Game Records'!$U:$U,$H92)&lt;&gt;"Disqualified — Free Game",INDEX('Game Records'!$I:$I,$H92)=""),"Eligible Players; ","")&amp;IF(AND(INDEX('Game Records'!$U:$U,$H92)&lt;&gt;"Subscription",INDEX('Game Records'!$U:$U,$H92)&lt;&gt;"Free Game",INDEX('Game Records'!$U:$U,$H92)&lt;&gt;"Disqualified — Free Game",INDEX('Game Records'!$J:$J,$H92)=""),"Total Players; ","")&amp;IF(AND(LOWER(INDEX('Game Records'!$D:$D,$H92)&amp;"")="finalized",LOWER(INDEX('Game Records'!$L:$L,$H92)&amp;"")&lt;&gt;"yes",INDEX('Game Records'!$U:$U,$H92)&lt;&gt;"Subscription",INDEX('Game Records'!$U:$U,$H92)&lt;&gt;"Free Game",INDEX('Game Records'!$U:$U,$H92)&lt;&gt;"Disqualified — Free Game",INDEX('Game Records'!$K:$K,$H92)=""),"Final Payout; ","")&amp;IF(AND(LOWER(INDEX('Game Records'!$D:$D,$H92)&amp;"")="finalized",INDEX('Game Records'!$U:$U,$H92)&lt;&gt;"Subscription",INDEX('Game Records'!$U:$U,$H92)&lt;&gt;"Free Game",INDEX('Game Records'!$U:$U,$H92)&lt;&gt;"Disqualified — Free Game",OR(INDEX('Game Records'!$L:$L,$H92)="",LOWER(INDEX('Game Records'!$L:$L,$H92)&amp;"")="n/a")),"Disqualified Status; ",""))</f>
        <v/>
      </c>
      <c r="G92" s="25" t="str">
        <f t="array" ref="G92">IF($H92="","",IFERROR(INDEX('Game Records'!$M:$M,$H92),""))</f>
        <v/>
      </c>
      <c r="H92" s="8"/>
      <c r="I92" s="8"/>
      <c r="J92" s="8"/>
    </row>
    <row r="93" ht="24.0" customHeight="1">
      <c r="A93" s="21" t="str">
        <f t="shared" si="1"/>
        <v/>
      </c>
      <c r="B93" s="21" t="str">
        <f t="shared" si="2"/>
        <v/>
      </c>
      <c r="C93" s="25" t="str">
        <f t="array" ref="C93">IF($H93="","",IFERROR(INDEX('Game Records'!$A:$A,$H93),""))</f>
        <v/>
      </c>
      <c r="D93" s="25" t="str">
        <f t="array" ref="D93">IF($H93="","",IFERROR(INDEX('Game Records'!$U:$U,$H93),""))</f>
        <v/>
      </c>
      <c r="E93" s="25" t="str">
        <f t="shared" si="3"/>
        <v/>
      </c>
      <c r="F93" s="25" t="str">
        <f t="array" ref="F93">IF($H93="","",IF(OR(NOT(_xlfn.ISFORMULA(INDEX('Game Records'!$N:$N,$H93))),NOT(_xlfn.ISFORMULA(INDEX('Game Records'!$O:$O,$H93))),NOT(_xlfn.ISFORMULA(INDEX('Game Records'!$P:$P,$H93))),NOT(_xlfn.ISFORMULA(INDEX('Game Records'!$Q:$Q,$H93))),NOT(_xlfn.ISFORMULA(INDEX('Game Records'!$R:$R,$H93))),NOT(_xlfn.ISFORMULA(INDEX('Game Records'!$S:$S,$H93))),NOT(_xlfn.ISFORMULA(INDEX('Game Records'!$T:$T,$H93))),NOT(_xlfn.ISFORMULA(INDEX('Game Records'!$U:$U,$H93))),NOT(_xlfn.ISFORMULA(INDEX('Game Records'!$V:$V,$H93))),NOT(_xlfn.ISFORMULA(INDEX('Game Records'!$W:$W,$H93))),NOT(_xlfn.ISFORMULA(INDEX('Game Records'!$X:$X,$H93))),NOT(_xlfn.ISFORMULA(INDEX('Game Records'!$Y:$Y,$H93))),NOT(_xlfn.ISFORMULA(INDEX('Game Records'!$Z:$Z,$H93)))),"","")&amp;IF(INDEX('Game Records'!$B:$B,$H93)="","Start Date; ","")&amp;IF(INDEX('Game Records'!$C:$C,$H93)="","End Date; ","")&amp;IF(AND(INDEX('Game Records'!$U:$U,$H93)&lt;&gt;"Subscription",INDEX('Game Records'!$U:$U,$H93)&lt;&gt;"Free Game",INDEX('Game Records'!$U:$U,$H93)&lt;&gt;"Disqualified — Free Game",OR(INDEX('Game Records'!$D:$D,$H93)="",LOWER(INDEX('Game Records'!$D:$D,$H93)&amp;"")="n/a")),"Entry Mode; ","")&amp;IF(AND(INDEX('Game Records'!$U:$U,$H93)&lt;&gt;"Subscription",INDEX('Game Records'!$U:$U,$H93)&lt;&gt;"Free Game",INDEX('Game Records'!$U:$U,$H93)&lt;&gt;"Disqualified — Free Game",OR(INDEX('Game Records'!$E:$E,$H93)="",LOWER(INDEX('Game Records'!$E:$E,$H93)&amp;"")="n/a")),"Game Type; ","")&amp;IF(INDEX('Game Records'!$F:$F,$H93)="","Payment Type; ","")&amp;IF(AND(INDEX('Game Records'!$U:$U,$H93)&lt;&gt;"Subscription",INDEX('Game Records'!$U:$U,$H93)&lt;&gt;"Free Game",INDEX('Game Records'!$U:$U,$H93)&lt;&gt;"Disqualified — Free Game",INDEX('Game Records'!$G:$G,$H93)=""),"Gross Pot; ","")&amp;IF(AND(INDEX('Game Records'!$U:$U,$H93)&lt;&gt;"Free Game",INDEX('Game Records'!$U:$U,$H93)&lt;&gt;"Disqualified — Free Game",INDEX('Game Records'!$H:$H,$H93)=""),"Entry Fee; ","")&amp;IF(AND(INDEX('Game Records'!$U:$U,$H93)&lt;&gt;"Subscription",INDEX('Game Records'!$U:$U,$H93)&lt;&gt;"Free Game",INDEX('Game Records'!$U:$U,$H93)&lt;&gt;"Disqualified — Free Game",INDEX('Game Records'!$I:$I,$H93)=""),"Eligible Players; ","")&amp;IF(AND(INDEX('Game Records'!$U:$U,$H93)&lt;&gt;"Subscription",INDEX('Game Records'!$U:$U,$H93)&lt;&gt;"Free Game",INDEX('Game Records'!$U:$U,$H93)&lt;&gt;"Disqualified — Free Game",INDEX('Game Records'!$J:$J,$H93)=""),"Total Players; ","")&amp;IF(AND(LOWER(INDEX('Game Records'!$D:$D,$H93)&amp;"")="finalized",LOWER(INDEX('Game Records'!$L:$L,$H93)&amp;"")&lt;&gt;"yes",INDEX('Game Records'!$U:$U,$H93)&lt;&gt;"Subscription",INDEX('Game Records'!$U:$U,$H93)&lt;&gt;"Free Game",INDEX('Game Records'!$U:$U,$H93)&lt;&gt;"Disqualified — Free Game",INDEX('Game Records'!$K:$K,$H93)=""),"Final Payout; ","")&amp;IF(AND(LOWER(INDEX('Game Records'!$D:$D,$H93)&amp;"")="finalized",INDEX('Game Records'!$U:$U,$H93)&lt;&gt;"Subscription",INDEX('Game Records'!$U:$U,$H93)&lt;&gt;"Free Game",INDEX('Game Records'!$U:$U,$H93)&lt;&gt;"Disqualified — Free Game",OR(INDEX('Game Records'!$L:$L,$H93)="",LOWER(INDEX('Game Records'!$L:$L,$H93)&amp;"")="n/a")),"Disqualified Status; ",""))</f>
        <v/>
      </c>
      <c r="G93" s="25" t="str">
        <f t="array" ref="G93">IF($H93="","",IFERROR(INDEX('Game Records'!$M:$M,$H93),""))</f>
        <v/>
      </c>
      <c r="H93" s="8"/>
      <c r="I93" s="8"/>
      <c r="J93" s="8"/>
    </row>
    <row r="94" ht="24.0" customHeight="1">
      <c r="A94" s="21" t="str">
        <f t="shared" si="1"/>
        <v/>
      </c>
      <c r="B94" s="21" t="str">
        <f t="shared" si="2"/>
        <v/>
      </c>
      <c r="C94" s="25" t="str">
        <f t="array" ref="C94">IF($H94="","",IFERROR(INDEX('Game Records'!$A:$A,$H94),""))</f>
        <v/>
      </c>
      <c r="D94" s="25" t="str">
        <f t="array" ref="D94">IF($H94="","",IFERROR(INDEX('Game Records'!$U:$U,$H94),""))</f>
        <v/>
      </c>
      <c r="E94" s="25" t="str">
        <f t="shared" si="3"/>
        <v/>
      </c>
      <c r="F94" s="25" t="str">
        <f t="array" ref="F94">IF($H94="","",IF(OR(NOT(_xlfn.ISFORMULA(INDEX('Game Records'!$N:$N,$H94))),NOT(_xlfn.ISFORMULA(INDEX('Game Records'!$O:$O,$H94))),NOT(_xlfn.ISFORMULA(INDEX('Game Records'!$P:$P,$H94))),NOT(_xlfn.ISFORMULA(INDEX('Game Records'!$Q:$Q,$H94))),NOT(_xlfn.ISFORMULA(INDEX('Game Records'!$R:$R,$H94))),NOT(_xlfn.ISFORMULA(INDEX('Game Records'!$S:$S,$H94))),NOT(_xlfn.ISFORMULA(INDEX('Game Records'!$T:$T,$H94))),NOT(_xlfn.ISFORMULA(INDEX('Game Records'!$U:$U,$H94))),NOT(_xlfn.ISFORMULA(INDEX('Game Records'!$V:$V,$H94))),NOT(_xlfn.ISFORMULA(INDEX('Game Records'!$W:$W,$H94))),NOT(_xlfn.ISFORMULA(INDEX('Game Records'!$X:$X,$H94))),NOT(_xlfn.ISFORMULA(INDEX('Game Records'!$Y:$Y,$H94))),NOT(_xlfn.ISFORMULA(INDEX('Game Records'!$Z:$Z,$H94)))),"","")&amp;IF(INDEX('Game Records'!$B:$B,$H94)="","Start Date; ","")&amp;IF(INDEX('Game Records'!$C:$C,$H94)="","End Date; ","")&amp;IF(AND(INDEX('Game Records'!$U:$U,$H94)&lt;&gt;"Subscription",INDEX('Game Records'!$U:$U,$H94)&lt;&gt;"Free Game",INDEX('Game Records'!$U:$U,$H94)&lt;&gt;"Disqualified — Free Game",OR(INDEX('Game Records'!$D:$D,$H94)="",LOWER(INDEX('Game Records'!$D:$D,$H94)&amp;"")="n/a")),"Entry Mode; ","")&amp;IF(AND(INDEX('Game Records'!$U:$U,$H94)&lt;&gt;"Subscription",INDEX('Game Records'!$U:$U,$H94)&lt;&gt;"Free Game",INDEX('Game Records'!$U:$U,$H94)&lt;&gt;"Disqualified — Free Game",OR(INDEX('Game Records'!$E:$E,$H94)="",LOWER(INDEX('Game Records'!$E:$E,$H94)&amp;"")="n/a")),"Game Type; ","")&amp;IF(INDEX('Game Records'!$F:$F,$H94)="","Payment Type; ","")&amp;IF(AND(INDEX('Game Records'!$U:$U,$H94)&lt;&gt;"Subscription",INDEX('Game Records'!$U:$U,$H94)&lt;&gt;"Free Game",INDEX('Game Records'!$U:$U,$H94)&lt;&gt;"Disqualified — Free Game",INDEX('Game Records'!$G:$G,$H94)=""),"Gross Pot; ","")&amp;IF(AND(INDEX('Game Records'!$U:$U,$H94)&lt;&gt;"Free Game",INDEX('Game Records'!$U:$U,$H94)&lt;&gt;"Disqualified — Free Game",INDEX('Game Records'!$H:$H,$H94)=""),"Entry Fee; ","")&amp;IF(AND(INDEX('Game Records'!$U:$U,$H94)&lt;&gt;"Subscription",INDEX('Game Records'!$U:$U,$H94)&lt;&gt;"Free Game",INDEX('Game Records'!$U:$U,$H94)&lt;&gt;"Disqualified — Free Game",INDEX('Game Records'!$I:$I,$H94)=""),"Eligible Players; ","")&amp;IF(AND(INDEX('Game Records'!$U:$U,$H94)&lt;&gt;"Subscription",INDEX('Game Records'!$U:$U,$H94)&lt;&gt;"Free Game",INDEX('Game Records'!$U:$U,$H94)&lt;&gt;"Disqualified — Free Game",INDEX('Game Records'!$J:$J,$H94)=""),"Total Players; ","")&amp;IF(AND(LOWER(INDEX('Game Records'!$D:$D,$H94)&amp;"")="finalized",LOWER(INDEX('Game Records'!$L:$L,$H94)&amp;"")&lt;&gt;"yes",INDEX('Game Records'!$U:$U,$H94)&lt;&gt;"Subscription",INDEX('Game Records'!$U:$U,$H94)&lt;&gt;"Free Game",INDEX('Game Records'!$U:$U,$H94)&lt;&gt;"Disqualified — Free Game",INDEX('Game Records'!$K:$K,$H94)=""),"Final Payout; ","")&amp;IF(AND(LOWER(INDEX('Game Records'!$D:$D,$H94)&amp;"")="finalized",INDEX('Game Records'!$U:$U,$H94)&lt;&gt;"Subscription",INDEX('Game Records'!$U:$U,$H94)&lt;&gt;"Free Game",INDEX('Game Records'!$U:$U,$H94)&lt;&gt;"Disqualified — Free Game",OR(INDEX('Game Records'!$L:$L,$H94)="",LOWER(INDEX('Game Records'!$L:$L,$H94)&amp;"")="n/a")),"Disqualified Status; ",""))</f>
        <v/>
      </c>
      <c r="G94" s="25" t="str">
        <f t="array" ref="G94">IF($H94="","",IFERROR(INDEX('Game Records'!$M:$M,$H94),""))</f>
        <v/>
      </c>
      <c r="H94" s="8"/>
      <c r="I94" s="8"/>
      <c r="J94" s="8"/>
    </row>
    <row r="95" ht="24.0" customHeight="1">
      <c r="A95" s="21" t="str">
        <f t="shared" si="1"/>
        <v/>
      </c>
      <c r="B95" s="21" t="str">
        <f t="shared" si="2"/>
        <v/>
      </c>
      <c r="C95" s="25" t="str">
        <f t="array" ref="C95">IF($H95="","",IFERROR(INDEX('Game Records'!$A:$A,$H95),""))</f>
        <v/>
      </c>
      <c r="D95" s="25" t="str">
        <f t="array" ref="D95">IF($H95="","",IFERROR(INDEX('Game Records'!$U:$U,$H95),""))</f>
        <v/>
      </c>
      <c r="E95" s="25" t="str">
        <f t="shared" si="3"/>
        <v/>
      </c>
      <c r="F95" s="25" t="str">
        <f t="array" ref="F95">IF($H95="","",IF(OR(NOT(_xlfn.ISFORMULA(INDEX('Game Records'!$N:$N,$H95))),NOT(_xlfn.ISFORMULA(INDEX('Game Records'!$O:$O,$H95))),NOT(_xlfn.ISFORMULA(INDEX('Game Records'!$P:$P,$H95))),NOT(_xlfn.ISFORMULA(INDEX('Game Records'!$Q:$Q,$H95))),NOT(_xlfn.ISFORMULA(INDEX('Game Records'!$R:$R,$H95))),NOT(_xlfn.ISFORMULA(INDEX('Game Records'!$S:$S,$H95))),NOT(_xlfn.ISFORMULA(INDEX('Game Records'!$T:$T,$H95))),NOT(_xlfn.ISFORMULA(INDEX('Game Records'!$U:$U,$H95))),NOT(_xlfn.ISFORMULA(INDEX('Game Records'!$V:$V,$H95))),NOT(_xlfn.ISFORMULA(INDEX('Game Records'!$W:$W,$H95))),NOT(_xlfn.ISFORMULA(INDEX('Game Records'!$X:$X,$H95))),NOT(_xlfn.ISFORMULA(INDEX('Game Records'!$Y:$Y,$H95))),NOT(_xlfn.ISFORMULA(INDEX('Game Records'!$Z:$Z,$H95)))),"","")&amp;IF(INDEX('Game Records'!$B:$B,$H95)="","Start Date; ","")&amp;IF(INDEX('Game Records'!$C:$C,$H95)="","End Date; ","")&amp;IF(AND(INDEX('Game Records'!$U:$U,$H95)&lt;&gt;"Subscription",INDEX('Game Records'!$U:$U,$H95)&lt;&gt;"Free Game",INDEX('Game Records'!$U:$U,$H95)&lt;&gt;"Disqualified — Free Game",OR(INDEX('Game Records'!$D:$D,$H95)="",LOWER(INDEX('Game Records'!$D:$D,$H95)&amp;"")="n/a")),"Entry Mode; ","")&amp;IF(AND(INDEX('Game Records'!$U:$U,$H95)&lt;&gt;"Subscription",INDEX('Game Records'!$U:$U,$H95)&lt;&gt;"Free Game",INDEX('Game Records'!$U:$U,$H95)&lt;&gt;"Disqualified — Free Game",OR(INDEX('Game Records'!$E:$E,$H95)="",LOWER(INDEX('Game Records'!$E:$E,$H95)&amp;"")="n/a")),"Game Type; ","")&amp;IF(INDEX('Game Records'!$F:$F,$H95)="","Payment Type; ","")&amp;IF(AND(INDEX('Game Records'!$U:$U,$H95)&lt;&gt;"Subscription",INDEX('Game Records'!$U:$U,$H95)&lt;&gt;"Free Game",INDEX('Game Records'!$U:$U,$H95)&lt;&gt;"Disqualified — Free Game",INDEX('Game Records'!$G:$G,$H95)=""),"Gross Pot; ","")&amp;IF(AND(INDEX('Game Records'!$U:$U,$H95)&lt;&gt;"Free Game",INDEX('Game Records'!$U:$U,$H95)&lt;&gt;"Disqualified — Free Game",INDEX('Game Records'!$H:$H,$H95)=""),"Entry Fee; ","")&amp;IF(AND(INDEX('Game Records'!$U:$U,$H95)&lt;&gt;"Subscription",INDEX('Game Records'!$U:$U,$H95)&lt;&gt;"Free Game",INDEX('Game Records'!$U:$U,$H95)&lt;&gt;"Disqualified — Free Game",INDEX('Game Records'!$I:$I,$H95)=""),"Eligible Players; ","")&amp;IF(AND(INDEX('Game Records'!$U:$U,$H95)&lt;&gt;"Subscription",INDEX('Game Records'!$U:$U,$H95)&lt;&gt;"Free Game",INDEX('Game Records'!$U:$U,$H95)&lt;&gt;"Disqualified — Free Game",INDEX('Game Records'!$J:$J,$H95)=""),"Total Players; ","")&amp;IF(AND(LOWER(INDEX('Game Records'!$D:$D,$H95)&amp;"")="finalized",LOWER(INDEX('Game Records'!$L:$L,$H95)&amp;"")&lt;&gt;"yes",INDEX('Game Records'!$U:$U,$H95)&lt;&gt;"Subscription",INDEX('Game Records'!$U:$U,$H95)&lt;&gt;"Free Game",INDEX('Game Records'!$U:$U,$H95)&lt;&gt;"Disqualified — Free Game",INDEX('Game Records'!$K:$K,$H95)=""),"Final Payout; ","")&amp;IF(AND(LOWER(INDEX('Game Records'!$D:$D,$H95)&amp;"")="finalized",INDEX('Game Records'!$U:$U,$H95)&lt;&gt;"Subscription",INDEX('Game Records'!$U:$U,$H95)&lt;&gt;"Free Game",INDEX('Game Records'!$U:$U,$H95)&lt;&gt;"Disqualified — Free Game",OR(INDEX('Game Records'!$L:$L,$H95)="",LOWER(INDEX('Game Records'!$L:$L,$H95)&amp;"")="n/a")),"Disqualified Status; ",""))</f>
        <v/>
      </c>
      <c r="G95" s="25" t="str">
        <f t="array" ref="G95">IF($H95="","",IFERROR(INDEX('Game Records'!$M:$M,$H95),""))</f>
        <v/>
      </c>
      <c r="H95" s="8"/>
      <c r="I95" s="8"/>
      <c r="J95" s="8"/>
    </row>
    <row r="96" ht="24.0" customHeight="1">
      <c r="A96" s="21" t="str">
        <f t="shared" si="1"/>
        <v/>
      </c>
      <c r="B96" s="21" t="str">
        <f t="shared" si="2"/>
        <v/>
      </c>
      <c r="C96" s="25" t="str">
        <f t="array" ref="C96">IF($H96="","",IFERROR(INDEX('Game Records'!$A:$A,$H96),""))</f>
        <v/>
      </c>
      <c r="D96" s="25" t="str">
        <f t="array" ref="D96">IF($H96="","",IFERROR(INDEX('Game Records'!$U:$U,$H96),""))</f>
        <v/>
      </c>
      <c r="E96" s="25" t="str">
        <f t="shared" si="3"/>
        <v/>
      </c>
      <c r="F96" s="25" t="str">
        <f t="array" ref="F96">IF($H96="","",IF(OR(NOT(_xlfn.ISFORMULA(INDEX('Game Records'!$N:$N,$H96))),NOT(_xlfn.ISFORMULA(INDEX('Game Records'!$O:$O,$H96))),NOT(_xlfn.ISFORMULA(INDEX('Game Records'!$P:$P,$H96))),NOT(_xlfn.ISFORMULA(INDEX('Game Records'!$Q:$Q,$H96))),NOT(_xlfn.ISFORMULA(INDEX('Game Records'!$R:$R,$H96))),NOT(_xlfn.ISFORMULA(INDEX('Game Records'!$S:$S,$H96))),NOT(_xlfn.ISFORMULA(INDEX('Game Records'!$T:$T,$H96))),NOT(_xlfn.ISFORMULA(INDEX('Game Records'!$U:$U,$H96))),NOT(_xlfn.ISFORMULA(INDEX('Game Records'!$V:$V,$H96))),NOT(_xlfn.ISFORMULA(INDEX('Game Records'!$W:$W,$H96))),NOT(_xlfn.ISFORMULA(INDEX('Game Records'!$X:$X,$H96))),NOT(_xlfn.ISFORMULA(INDEX('Game Records'!$Y:$Y,$H96))),NOT(_xlfn.ISFORMULA(INDEX('Game Records'!$Z:$Z,$H96)))),"","")&amp;IF(INDEX('Game Records'!$B:$B,$H96)="","Start Date; ","")&amp;IF(INDEX('Game Records'!$C:$C,$H96)="","End Date; ","")&amp;IF(AND(INDEX('Game Records'!$U:$U,$H96)&lt;&gt;"Subscription",INDEX('Game Records'!$U:$U,$H96)&lt;&gt;"Free Game",INDEX('Game Records'!$U:$U,$H96)&lt;&gt;"Disqualified — Free Game",OR(INDEX('Game Records'!$D:$D,$H96)="",LOWER(INDEX('Game Records'!$D:$D,$H96)&amp;"")="n/a")),"Entry Mode; ","")&amp;IF(AND(INDEX('Game Records'!$U:$U,$H96)&lt;&gt;"Subscription",INDEX('Game Records'!$U:$U,$H96)&lt;&gt;"Free Game",INDEX('Game Records'!$U:$U,$H96)&lt;&gt;"Disqualified — Free Game",OR(INDEX('Game Records'!$E:$E,$H96)="",LOWER(INDEX('Game Records'!$E:$E,$H96)&amp;"")="n/a")),"Game Type; ","")&amp;IF(INDEX('Game Records'!$F:$F,$H96)="","Payment Type; ","")&amp;IF(AND(INDEX('Game Records'!$U:$U,$H96)&lt;&gt;"Subscription",INDEX('Game Records'!$U:$U,$H96)&lt;&gt;"Free Game",INDEX('Game Records'!$U:$U,$H96)&lt;&gt;"Disqualified — Free Game",INDEX('Game Records'!$G:$G,$H96)=""),"Gross Pot; ","")&amp;IF(AND(INDEX('Game Records'!$U:$U,$H96)&lt;&gt;"Free Game",INDEX('Game Records'!$U:$U,$H96)&lt;&gt;"Disqualified — Free Game",INDEX('Game Records'!$H:$H,$H96)=""),"Entry Fee; ","")&amp;IF(AND(INDEX('Game Records'!$U:$U,$H96)&lt;&gt;"Subscription",INDEX('Game Records'!$U:$U,$H96)&lt;&gt;"Free Game",INDEX('Game Records'!$U:$U,$H96)&lt;&gt;"Disqualified — Free Game",INDEX('Game Records'!$I:$I,$H96)=""),"Eligible Players; ","")&amp;IF(AND(INDEX('Game Records'!$U:$U,$H96)&lt;&gt;"Subscription",INDEX('Game Records'!$U:$U,$H96)&lt;&gt;"Free Game",INDEX('Game Records'!$U:$U,$H96)&lt;&gt;"Disqualified — Free Game",INDEX('Game Records'!$J:$J,$H96)=""),"Total Players; ","")&amp;IF(AND(LOWER(INDEX('Game Records'!$D:$D,$H96)&amp;"")="finalized",LOWER(INDEX('Game Records'!$L:$L,$H96)&amp;"")&lt;&gt;"yes",INDEX('Game Records'!$U:$U,$H96)&lt;&gt;"Subscription",INDEX('Game Records'!$U:$U,$H96)&lt;&gt;"Free Game",INDEX('Game Records'!$U:$U,$H96)&lt;&gt;"Disqualified — Free Game",INDEX('Game Records'!$K:$K,$H96)=""),"Final Payout; ","")&amp;IF(AND(LOWER(INDEX('Game Records'!$D:$D,$H96)&amp;"")="finalized",INDEX('Game Records'!$U:$U,$H96)&lt;&gt;"Subscription",INDEX('Game Records'!$U:$U,$H96)&lt;&gt;"Free Game",INDEX('Game Records'!$U:$U,$H96)&lt;&gt;"Disqualified — Free Game",OR(INDEX('Game Records'!$L:$L,$H96)="",LOWER(INDEX('Game Records'!$L:$L,$H96)&amp;"")="n/a")),"Disqualified Status; ",""))</f>
        <v/>
      </c>
      <c r="G96" s="25" t="str">
        <f t="array" ref="G96">IF($H96="","",IFERROR(INDEX('Game Records'!$M:$M,$H96),""))</f>
        <v/>
      </c>
      <c r="H96" s="8"/>
      <c r="I96" s="8"/>
      <c r="J96" s="8"/>
    </row>
    <row r="97" ht="24.0" customHeight="1">
      <c r="A97" s="21" t="str">
        <f t="shared" si="1"/>
        <v/>
      </c>
      <c r="B97" s="21" t="str">
        <f t="shared" si="2"/>
        <v/>
      </c>
      <c r="C97" s="25" t="str">
        <f t="array" ref="C97">IF($H97="","",IFERROR(INDEX('Game Records'!$A:$A,$H97),""))</f>
        <v/>
      </c>
      <c r="D97" s="25" t="str">
        <f t="array" ref="D97">IF($H97="","",IFERROR(INDEX('Game Records'!$U:$U,$H97),""))</f>
        <v/>
      </c>
      <c r="E97" s="25" t="str">
        <f t="shared" si="3"/>
        <v/>
      </c>
      <c r="F97" s="25" t="str">
        <f t="array" ref="F97">IF($H97="","",IF(OR(NOT(_xlfn.ISFORMULA(INDEX('Game Records'!$N:$N,$H97))),NOT(_xlfn.ISFORMULA(INDEX('Game Records'!$O:$O,$H97))),NOT(_xlfn.ISFORMULA(INDEX('Game Records'!$P:$P,$H97))),NOT(_xlfn.ISFORMULA(INDEX('Game Records'!$Q:$Q,$H97))),NOT(_xlfn.ISFORMULA(INDEX('Game Records'!$R:$R,$H97))),NOT(_xlfn.ISFORMULA(INDEX('Game Records'!$S:$S,$H97))),NOT(_xlfn.ISFORMULA(INDEX('Game Records'!$T:$T,$H97))),NOT(_xlfn.ISFORMULA(INDEX('Game Records'!$U:$U,$H97))),NOT(_xlfn.ISFORMULA(INDEX('Game Records'!$V:$V,$H97))),NOT(_xlfn.ISFORMULA(INDEX('Game Records'!$W:$W,$H97))),NOT(_xlfn.ISFORMULA(INDEX('Game Records'!$X:$X,$H97))),NOT(_xlfn.ISFORMULA(INDEX('Game Records'!$Y:$Y,$H97))),NOT(_xlfn.ISFORMULA(INDEX('Game Records'!$Z:$Z,$H97)))),"","")&amp;IF(INDEX('Game Records'!$B:$B,$H97)="","Start Date; ","")&amp;IF(INDEX('Game Records'!$C:$C,$H97)="","End Date; ","")&amp;IF(AND(INDEX('Game Records'!$U:$U,$H97)&lt;&gt;"Subscription",INDEX('Game Records'!$U:$U,$H97)&lt;&gt;"Free Game",INDEX('Game Records'!$U:$U,$H97)&lt;&gt;"Disqualified — Free Game",OR(INDEX('Game Records'!$D:$D,$H97)="",LOWER(INDEX('Game Records'!$D:$D,$H97)&amp;"")="n/a")),"Entry Mode; ","")&amp;IF(AND(INDEX('Game Records'!$U:$U,$H97)&lt;&gt;"Subscription",INDEX('Game Records'!$U:$U,$H97)&lt;&gt;"Free Game",INDEX('Game Records'!$U:$U,$H97)&lt;&gt;"Disqualified — Free Game",OR(INDEX('Game Records'!$E:$E,$H97)="",LOWER(INDEX('Game Records'!$E:$E,$H97)&amp;"")="n/a")),"Game Type; ","")&amp;IF(INDEX('Game Records'!$F:$F,$H97)="","Payment Type; ","")&amp;IF(AND(INDEX('Game Records'!$U:$U,$H97)&lt;&gt;"Subscription",INDEX('Game Records'!$U:$U,$H97)&lt;&gt;"Free Game",INDEX('Game Records'!$U:$U,$H97)&lt;&gt;"Disqualified — Free Game",INDEX('Game Records'!$G:$G,$H97)=""),"Gross Pot; ","")&amp;IF(AND(INDEX('Game Records'!$U:$U,$H97)&lt;&gt;"Free Game",INDEX('Game Records'!$U:$U,$H97)&lt;&gt;"Disqualified — Free Game",INDEX('Game Records'!$H:$H,$H97)=""),"Entry Fee; ","")&amp;IF(AND(INDEX('Game Records'!$U:$U,$H97)&lt;&gt;"Subscription",INDEX('Game Records'!$U:$U,$H97)&lt;&gt;"Free Game",INDEX('Game Records'!$U:$U,$H97)&lt;&gt;"Disqualified — Free Game",INDEX('Game Records'!$I:$I,$H97)=""),"Eligible Players; ","")&amp;IF(AND(INDEX('Game Records'!$U:$U,$H97)&lt;&gt;"Subscription",INDEX('Game Records'!$U:$U,$H97)&lt;&gt;"Free Game",INDEX('Game Records'!$U:$U,$H97)&lt;&gt;"Disqualified — Free Game",INDEX('Game Records'!$J:$J,$H97)=""),"Total Players; ","")&amp;IF(AND(LOWER(INDEX('Game Records'!$D:$D,$H97)&amp;"")="finalized",LOWER(INDEX('Game Records'!$L:$L,$H97)&amp;"")&lt;&gt;"yes",INDEX('Game Records'!$U:$U,$H97)&lt;&gt;"Subscription",INDEX('Game Records'!$U:$U,$H97)&lt;&gt;"Free Game",INDEX('Game Records'!$U:$U,$H97)&lt;&gt;"Disqualified — Free Game",INDEX('Game Records'!$K:$K,$H97)=""),"Final Payout; ","")&amp;IF(AND(LOWER(INDEX('Game Records'!$D:$D,$H97)&amp;"")="finalized",INDEX('Game Records'!$U:$U,$H97)&lt;&gt;"Subscription",INDEX('Game Records'!$U:$U,$H97)&lt;&gt;"Free Game",INDEX('Game Records'!$U:$U,$H97)&lt;&gt;"Disqualified — Free Game",OR(INDEX('Game Records'!$L:$L,$H97)="",LOWER(INDEX('Game Records'!$L:$L,$H97)&amp;"")="n/a")),"Disqualified Status; ",""))</f>
        <v/>
      </c>
      <c r="G97" s="25" t="str">
        <f t="array" ref="G97">IF($H97="","",IFERROR(INDEX('Game Records'!$M:$M,$H97),""))</f>
        <v/>
      </c>
      <c r="H97" s="8"/>
      <c r="I97" s="8"/>
      <c r="J97" s="8"/>
    </row>
    <row r="98" ht="24.0" customHeight="1">
      <c r="A98" s="21" t="str">
        <f t="shared" si="1"/>
        <v/>
      </c>
      <c r="B98" s="21" t="str">
        <f t="shared" si="2"/>
        <v/>
      </c>
      <c r="C98" s="25" t="str">
        <f t="array" ref="C98">IF($H98="","",IFERROR(INDEX('Game Records'!$A:$A,$H98),""))</f>
        <v/>
      </c>
      <c r="D98" s="25" t="str">
        <f t="array" ref="D98">IF($H98="","",IFERROR(INDEX('Game Records'!$U:$U,$H98),""))</f>
        <v/>
      </c>
      <c r="E98" s="25" t="str">
        <f t="shared" si="3"/>
        <v/>
      </c>
      <c r="F98" s="25" t="str">
        <f t="array" ref="F98">IF($H98="","",IF(OR(NOT(_xlfn.ISFORMULA(INDEX('Game Records'!$N:$N,$H98))),NOT(_xlfn.ISFORMULA(INDEX('Game Records'!$O:$O,$H98))),NOT(_xlfn.ISFORMULA(INDEX('Game Records'!$P:$P,$H98))),NOT(_xlfn.ISFORMULA(INDEX('Game Records'!$Q:$Q,$H98))),NOT(_xlfn.ISFORMULA(INDEX('Game Records'!$R:$R,$H98))),NOT(_xlfn.ISFORMULA(INDEX('Game Records'!$S:$S,$H98))),NOT(_xlfn.ISFORMULA(INDEX('Game Records'!$T:$T,$H98))),NOT(_xlfn.ISFORMULA(INDEX('Game Records'!$U:$U,$H98))),NOT(_xlfn.ISFORMULA(INDEX('Game Records'!$V:$V,$H98))),NOT(_xlfn.ISFORMULA(INDEX('Game Records'!$W:$W,$H98))),NOT(_xlfn.ISFORMULA(INDEX('Game Records'!$X:$X,$H98))),NOT(_xlfn.ISFORMULA(INDEX('Game Records'!$Y:$Y,$H98))),NOT(_xlfn.ISFORMULA(INDEX('Game Records'!$Z:$Z,$H98)))),"","")&amp;IF(INDEX('Game Records'!$B:$B,$H98)="","Start Date; ","")&amp;IF(INDEX('Game Records'!$C:$C,$H98)="","End Date; ","")&amp;IF(AND(INDEX('Game Records'!$U:$U,$H98)&lt;&gt;"Subscription",INDEX('Game Records'!$U:$U,$H98)&lt;&gt;"Free Game",INDEX('Game Records'!$U:$U,$H98)&lt;&gt;"Disqualified — Free Game",OR(INDEX('Game Records'!$D:$D,$H98)="",LOWER(INDEX('Game Records'!$D:$D,$H98)&amp;"")="n/a")),"Entry Mode; ","")&amp;IF(AND(INDEX('Game Records'!$U:$U,$H98)&lt;&gt;"Subscription",INDEX('Game Records'!$U:$U,$H98)&lt;&gt;"Free Game",INDEX('Game Records'!$U:$U,$H98)&lt;&gt;"Disqualified — Free Game",OR(INDEX('Game Records'!$E:$E,$H98)="",LOWER(INDEX('Game Records'!$E:$E,$H98)&amp;"")="n/a")),"Game Type; ","")&amp;IF(INDEX('Game Records'!$F:$F,$H98)="","Payment Type; ","")&amp;IF(AND(INDEX('Game Records'!$U:$U,$H98)&lt;&gt;"Subscription",INDEX('Game Records'!$U:$U,$H98)&lt;&gt;"Free Game",INDEX('Game Records'!$U:$U,$H98)&lt;&gt;"Disqualified — Free Game",INDEX('Game Records'!$G:$G,$H98)=""),"Gross Pot; ","")&amp;IF(AND(INDEX('Game Records'!$U:$U,$H98)&lt;&gt;"Free Game",INDEX('Game Records'!$U:$U,$H98)&lt;&gt;"Disqualified — Free Game",INDEX('Game Records'!$H:$H,$H98)=""),"Entry Fee; ","")&amp;IF(AND(INDEX('Game Records'!$U:$U,$H98)&lt;&gt;"Subscription",INDEX('Game Records'!$U:$U,$H98)&lt;&gt;"Free Game",INDEX('Game Records'!$U:$U,$H98)&lt;&gt;"Disqualified — Free Game",INDEX('Game Records'!$I:$I,$H98)=""),"Eligible Players; ","")&amp;IF(AND(INDEX('Game Records'!$U:$U,$H98)&lt;&gt;"Subscription",INDEX('Game Records'!$U:$U,$H98)&lt;&gt;"Free Game",INDEX('Game Records'!$U:$U,$H98)&lt;&gt;"Disqualified — Free Game",INDEX('Game Records'!$J:$J,$H98)=""),"Total Players; ","")&amp;IF(AND(LOWER(INDEX('Game Records'!$D:$D,$H98)&amp;"")="finalized",LOWER(INDEX('Game Records'!$L:$L,$H98)&amp;"")&lt;&gt;"yes",INDEX('Game Records'!$U:$U,$H98)&lt;&gt;"Subscription",INDEX('Game Records'!$U:$U,$H98)&lt;&gt;"Free Game",INDEX('Game Records'!$U:$U,$H98)&lt;&gt;"Disqualified — Free Game",INDEX('Game Records'!$K:$K,$H98)=""),"Final Payout; ","")&amp;IF(AND(LOWER(INDEX('Game Records'!$D:$D,$H98)&amp;"")="finalized",INDEX('Game Records'!$U:$U,$H98)&lt;&gt;"Subscription",INDEX('Game Records'!$U:$U,$H98)&lt;&gt;"Free Game",INDEX('Game Records'!$U:$U,$H98)&lt;&gt;"Disqualified — Free Game",OR(INDEX('Game Records'!$L:$L,$H98)="",LOWER(INDEX('Game Records'!$L:$L,$H98)&amp;"")="n/a")),"Disqualified Status; ",""))</f>
        <v/>
      </c>
      <c r="G98" s="25" t="str">
        <f t="array" ref="G98">IF($H98="","",IFERROR(INDEX('Game Records'!$M:$M,$H98),""))</f>
        <v/>
      </c>
      <c r="H98" s="8"/>
      <c r="I98" s="8"/>
      <c r="J98" s="8"/>
    </row>
    <row r="99" ht="24.0" customHeight="1">
      <c r="A99" s="21" t="str">
        <f t="shared" si="1"/>
        <v/>
      </c>
      <c r="B99" s="21" t="str">
        <f t="shared" si="2"/>
        <v/>
      </c>
      <c r="C99" s="25" t="str">
        <f t="array" ref="C99">IF($H99="","",IFERROR(INDEX('Game Records'!$A:$A,$H99),""))</f>
        <v/>
      </c>
      <c r="D99" s="25" t="str">
        <f t="array" ref="D99">IF($H99="","",IFERROR(INDEX('Game Records'!$U:$U,$H99),""))</f>
        <v/>
      </c>
      <c r="E99" s="25" t="str">
        <f t="shared" si="3"/>
        <v/>
      </c>
      <c r="F99" s="25" t="str">
        <f t="array" ref="F99">IF($H99="","",IF(OR(NOT(_xlfn.ISFORMULA(INDEX('Game Records'!$N:$N,$H99))),NOT(_xlfn.ISFORMULA(INDEX('Game Records'!$O:$O,$H99))),NOT(_xlfn.ISFORMULA(INDEX('Game Records'!$P:$P,$H99))),NOT(_xlfn.ISFORMULA(INDEX('Game Records'!$Q:$Q,$H99))),NOT(_xlfn.ISFORMULA(INDEX('Game Records'!$R:$R,$H99))),NOT(_xlfn.ISFORMULA(INDEX('Game Records'!$S:$S,$H99))),NOT(_xlfn.ISFORMULA(INDEX('Game Records'!$T:$T,$H99))),NOT(_xlfn.ISFORMULA(INDEX('Game Records'!$U:$U,$H99))),NOT(_xlfn.ISFORMULA(INDEX('Game Records'!$V:$V,$H99))),NOT(_xlfn.ISFORMULA(INDEX('Game Records'!$W:$W,$H99))),NOT(_xlfn.ISFORMULA(INDEX('Game Records'!$X:$X,$H99))),NOT(_xlfn.ISFORMULA(INDEX('Game Records'!$Y:$Y,$H99))),NOT(_xlfn.ISFORMULA(INDEX('Game Records'!$Z:$Z,$H99)))),"","")&amp;IF(INDEX('Game Records'!$B:$B,$H99)="","Start Date; ","")&amp;IF(INDEX('Game Records'!$C:$C,$H99)="","End Date; ","")&amp;IF(AND(INDEX('Game Records'!$U:$U,$H99)&lt;&gt;"Subscription",INDEX('Game Records'!$U:$U,$H99)&lt;&gt;"Free Game",INDEX('Game Records'!$U:$U,$H99)&lt;&gt;"Disqualified — Free Game",OR(INDEX('Game Records'!$D:$D,$H99)="",LOWER(INDEX('Game Records'!$D:$D,$H99)&amp;"")="n/a")),"Entry Mode; ","")&amp;IF(AND(INDEX('Game Records'!$U:$U,$H99)&lt;&gt;"Subscription",INDEX('Game Records'!$U:$U,$H99)&lt;&gt;"Free Game",INDEX('Game Records'!$U:$U,$H99)&lt;&gt;"Disqualified — Free Game",OR(INDEX('Game Records'!$E:$E,$H99)="",LOWER(INDEX('Game Records'!$E:$E,$H99)&amp;"")="n/a")),"Game Type; ","")&amp;IF(INDEX('Game Records'!$F:$F,$H99)="","Payment Type; ","")&amp;IF(AND(INDEX('Game Records'!$U:$U,$H99)&lt;&gt;"Subscription",INDEX('Game Records'!$U:$U,$H99)&lt;&gt;"Free Game",INDEX('Game Records'!$U:$U,$H99)&lt;&gt;"Disqualified — Free Game",INDEX('Game Records'!$G:$G,$H99)=""),"Gross Pot; ","")&amp;IF(AND(INDEX('Game Records'!$U:$U,$H99)&lt;&gt;"Free Game",INDEX('Game Records'!$U:$U,$H99)&lt;&gt;"Disqualified — Free Game",INDEX('Game Records'!$H:$H,$H99)=""),"Entry Fee; ","")&amp;IF(AND(INDEX('Game Records'!$U:$U,$H99)&lt;&gt;"Subscription",INDEX('Game Records'!$U:$U,$H99)&lt;&gt;"Free Game",INDEX('Game Records'!$U:$U,$H99)&lt;&gt;"Disqualified — Free Game",INDEX('Game Records'!$I:$I,$H99)=""),"Eligible Players; ","")&amp;IF(AND(INDEX('Game Records'!$U:$U,$H99)&lt;&gt;"Subscription",INDEX('Game Records'!$U:$U,$H99)&lt;&gt;"Free Game",INDEX('Game Records'!$U:$U,$H99)&lt;&gt;"Disqualified — Free Game",INDEX('Game Records'!$J:$J,$H99)=""),"Total Players; ","")&amp;IF(AND(LOWER(INDEX('Game Records'!$D:$D,$H99)&amp;"")="finalized",LOWER(INDEX('Game Records'!$L:$L,$H99)&amp;"")&lt;&gt;"yes",INDEX('Game Records'!$U:$U,$H99)&lt;&gt;"Subscription",INDEX('Game Records'!$U:$U,$H99)&lt;&gt;"Free Game",INDEX('Game Records'!$U:$U,$H99)&lt;&gt;"Disqualified — Free Game",INDEX('Game Records'!$K:$K,$H99)=""),"Final Payout; ","")&amp;IF(AND(LOWER(INDEX('Game Records'!$D:$D,$H99)&amp;"")="finalized",INDEX('Game Records'!$U:$U,$H99)&lt;&gt;"Subscription",INDEX('Game Records'!$U:$U,$H99)&lt;&gt;"Free Game",INDEX('Game Records'!$U:$U,$H99)&lt;&gt;"Disqualified — Free Game",OR(INDEX('Game Records'!$L:$L,$H99)="",LOWER(INDEX('Game Records'!$L:$L,$H99)&amp;"")="n/a")),"Disqualified Status; ",""))</f>
        <v/>
      </c>
      <c r="G99" s="25" t="str">
        <f t="array" ref="G99">IF($H99="","",IFERROR(INDEX('Game Records'!$M:$M,$H99),""))</f>
        <v/>
      </c>
      <c r="H99" s="8"/>
      <c r="I99" s="8"/>
      <c r="J99" s="8"/>
    </row>
    <row r="100" ht="24.0" customHeight="1">
      <c r="A100" s="21" t="str">
        <f t="shared" si="1"/>
        <v/>
      </c>
      <c r="B100" s="21" t="str">
        <f t="shared" si="2"/>
        <v/>
      </c>
      <c r="C100" s="25" t="str">
        <f t="array" ref="C100">IF($H100="","",IFERROR(INDEX('Game Records'!$A:$A,$H100),""))</f>
        <v/>
      </c>
      <c r="D100" s="25" t="str">
        <f t="array" ref="D100">IF($H100="","",IFERROR(INDEX('Game Records'!$U:$U,$H100),""))</f>
        <v/>
      </c>
      <c r="E100" s="25" t="str">
        <f t="shared" si="3"/>
        <v/>
      </c>
      <c r="F100" s="25" t="str">
        <f t="array" ref="F100">IF($H100="","",IF(OR(NOT(_xlfn.ISFORMULA(INDEX('Game Records'!$N:$N,$H100))),NOT(_xlfn.ISFORMULA(INDEX('Game Records'!$O:$O,$H100))),NOT(_xlfn.ISFORMULA(INDEX('Game Records'!$P:$P,$H100))),NOT(_xlfn.ISFORMULA(INDEX('Game Records'!$Q:$Q,$H100))),NOT(_xlfn.ISFORMULA(INDEX('Game Records'!$R:$R,$H100))),NOT(_xlfn.ISFORMULA(INDEX('Game Records'!$S:$S,$H100))),NOT(_xlfn.ISFORMULA(INDEX('Game Records'!$T:$T,$H100))),NOT(_xlfn.ISFORMULA(INDEX('Game Records'!$U:$U,$H100))),NOT(_xlfn.ISFORMULA(INDEX('Game Records'!$V:$V,$H100))),NOT(_xlfn.ISFORMULA(INDEX('Game Records'!$W:$W,$H100))),NOT(_xlfn.ISFORMULA(INDEX('Game Records'!$X:$X,$H100))),NOT(_xlfn.ISFORMULA(INDEX('Game Records'!$Y:$Y,$H100))),NOT(_xlfn.ISFORMULA(INDEX('Game Records'!$Z:$Z,$H100)))),"","")&amp;IF(INDEX('Game Records'!$B:$B,$H100)="","Start Date; ","")&amp;IF(INDEX('Game Records'!$C:$C,$H100)="","End Date; ","")&amp;IF(AND(INDEX('Game Records'!$U:$U,$H100)&lt;&gt;"Subscription",INDEX('Game Records'!$U:$U,$H100)&lt;&gt;"Free Game",INDEX('Game Records'!$U:$U,$H100)&lt;&gt;"Disqualified — Free Game",OR(INDEX('Game Records'!$D:$D,$H100)="",LOWER(INDEX('Game Records'!$D:$D,$H100)&amp;"")="n/a")),"Entry Mode; ","")&amp;IF(AND(INDEX('Game Records'!$U:$U,$H100)&lt;&gt;"Subscription",INDEX('Game Records'!$U:$U,$H100)&lt;&gt;"Free Game",INDEX('Game Records'!$U:$U,$H100)&lt;&gt;"Disqualified — Free Game",OR(INDEX('Game Records'!$E:$E,$H100)="",LOWER(INDEX('Game Records'!$E:$E,$H100)&amp;"")="n/a")),"Game Type; ","")&amp;IF(INDEX('Game Records'!$F:$F,$H100)="","Payment Type; ","")&amp;IF(AND(INDEX('Game Records'!$U:$U,$H100)&lt;&gt;"Subscription",INDEX('Game Records'!$U:$U,$H100)&lt;&gt;"Free Game",INDEX('Game Records'!$U:$U,$H100)&lt;&gt;"Disqualified — Free Game",INDEX('Game Records'!$G:$G,$H100)=""),"Gross Pot; ","")&amp;IF(AND(INDEX('Game Records'!$U:$U,$H100)&lt;&gt;"Free Game",INDEX('Game Records'!$U:$U,$H100)&lt;&gt;"Disqualified — Free Game",INDEX('Game Records'!$H:$H,$H100)=""),"Entry Fee; ","")&amp;IF(AND(INDEX('Game Records'!$U:$U,$H100)&lt;&gt;"Subscription",INDEX('Game Records'!$U:$U,$H100)&lt;&gt;"Free Game",INDEX('Game Records'!$U:$U,$H100)&lt;&gt;"Disqualified — Free Game",INDEX('Game Records'!$I:$I,$H100)=""),"Eligible Players; ","")&amp;IF(AND(INDEX('Game Records'!$U:$U,$H100)&lt;&gt;"Subscription",INDEX('Game Records'!$U:$U,$H100)&lt;&gt;"Free Game",INDEX('Game Records'!$U:$U,$H100)&lt;&gt;"Disqualified — Free Game",INDEX('Game Records'!$J:$J,$H100)=""),"Total Players; ","")&amp;IF(AND(LOWER(INDEX('Game Records'!$D:$D,$H100)&amp;"")="finalized",LOWER(INDEX('Game Records'!$L:$L,$H100)&amp;"")&lt;&gt;"yes",INDEX('Game Records'!$U:$U,$H100)&lt;&gt;"Subscription",INDEX('Game Records'!$U:$U,$H100)&lt;&gt;"Free Game",INDEX('Game Records'!$U:$U,$H100)&lt;&gt;"Disqualified — Free Game",INDEX('Game Records'!$K:$K,$H100)=""),"Final Payout; ","")&amp;IF(AND(LOWER(INDEX('Game Records'!$D:$D,$H100)&amp;"")="finalized",INDEX('Game Records'!$U:$U,$H100)&lt;&gt;"Subscription",INDEX('Game Records'!$U:$U,$H100)&lt;&gt;"Free Game",INDEX('Game Records'!$U:$U,$H100)&lt;&gt;"Disqualified — Free Game",OR(INDEX('Game Records'!$L:$L,$H100)="",LOWER(INDEX('Game Records'!$L:$L,$H100)&amp;"")="n/a")),"Disqualified Status; ",""))</f>
        <v/>
      </c>
      <c r="G100" s="25" t="str">
        <f t="array" ref="G100">IF($H100="","",IFERROR(INDEX('Game Records'!$M:$M,$H100),""))</f>
        <v/>
      </c>
      <c r="H100" s="8"/>
      <c r="I100" s="8"/>
      <c r="J100" s="8"/>
    </row>
    <row r="101" ht="24.0" customHeight="1">
      <c r="A101" s="21" t="str">
        <f t="shared" si="1"/>
        <v/>
      </c>
      <c r="B101" s="21" t="str">
        <f t="shared" si="2"/>
        <v/>
      </c>
      <c r="C101" s="25" t="str">
        <f t="array" ref="C101">IF($H101="","",IFERROR(INDEX('Game Records'!$A:$A,$H101),""))</f>
        <v/>
      </c>
      <c r="D101" s="25" t="str">
        <f t="array" ref="D101">IF($H101="","",IFERROR(INDEX('Game Records'!$U:$U,$H101),""))</f>
        <v/>
      </c>
      <c r="E101" s="25" t="str">
        <f t="shared" si="3"/>
        <v/>
      </c>
      <c r="F101" s="25" t="str">
        <f t="array" ref="F101">IF($H101="","",IF(OR(NOT(_xlfn.ISFORMULA(INDEX('Game Records'!$N:$N,$H101))),NOT(_xlfn.ISFORMULA(INDEX('Game Records'!$O:$O,$H101))),NOT(_xlfn.ISFORMULA(INDEX('Game Records'!$P:$P,$H101))),NOT(_xlfn.ISFORMULA(INDEX('Game Records'!$Q:$Q,$H101))),NOT(_xlfn.ISFORMULA(INDEX('Game Records'!$R:$R,$H101))),NOT(_xlfn.ISFORMULA(INDEX('Game Records'!$S:$S,$H101))),NOT(_xlfn.ISFORMULA(INDEX('Game Records'!$T:$T,$H101))),NOT(_xlfn.ISFORMULA(INDEX('Game Records'!$U:$U,$H101))),NOT(_xlfn.ISFORMULA(INDEX('Game Records'!$V:$V,$H101))),NOT(_xlfn.ISFORMULA(INDEX('Game Records'!$W:$W,$H101))),NOT(_xlfn.ISFORMULA(INDEX('Game Records'!$X:$X,$H101))),NOT(_xlfn.ISFORMULA(INDEX('Game Records'!$Y:$Y,$H101))),NOT(_xlfn.ISFORMULA(INDEX('Game Records'!$Z:$Z,$H101)))),"","")&amp;IF(INDEX('Game Records'!$B:$B,$H101)="","Start Date; ","")&amp;IF(INDEX('Game Records'!$C:$C,$H101)="","End Date; ","")&amp;IF(AND(INDEX('Game Records'!$U:$U,$H101)&lt;&gt;"Subscription",INDEX('Game Records'!$U:$U,$H101)&lt;&gt;"Free Game",INDEX('Game Records'!$U:$U,$H101)&lt;&gt;"Disqualified — Free Game",OR(INDEX('Game Records'!$D:$D,$H101)="",LOWER(INDEX('Game Records'!$D:$D,$H101)&amp;"")="n/a")),"Entry Mode; ","")&amp;IF(AND(INDEX('Game Records'!$U:$U,$H101)&lt;&gt;"Subscription",INDEX('Game Records'!$U:$U,$H101)&lt;&gt;"Free Game",INDEX('Game Records'!$U:$U,$H101)&lt;&gt;"Disqualified — Free Game",OR(INDEX('Game Records'!$E:$E,$H101)="",LOWER(INDEX('Game Records'!$E:$E,$H101)&amp;"")="n/a")),"Game Type; ","")&amp;IF(INDEX('Game Records'!$F:$F,$H101)="","Payment Type; ","")&amp;IF(AND(INDEX('Game Records'!$U:$U,$H101)&lt;&gt;"Subscription",INDEX('Game Records'!$U:$U,$H101)&lt;&gt;"Free Game",INDEX('Game Records'!$U:$U,$H101)&lt;&gt;"Disqualified — Free Game",INDEX('Game Records'!$G:$G,$H101)=""),"Gross Pot; ","")&amp;IF(AND(INDEX('Game Records'!$U:$U,$H101)&lt;&gt;"Free Game",INDEX('Game Records'!$U:$U,$H101)&lt;&gt;"Disqualified — Free Game",INDEX('Game Records'!$H:$H,$H101)=""),"Entry Fee; ","")&amp;IF(AND(INDEX('Game Records'!$U:$U,$H101)&lt;&gt;"Subscription",INDEX('Game Records'!$U:$U,$H101)&lt;&gt;"Free Game",INDEX('Game Records'!$U:$U,$H101)&lt;&gt;"Disqualified — Free Game",INDEX('Game Records'!$I:$I,$H101)=""),"Eligible Players; ","")&amp;IF(AND(INDEX('Game Records'!$U:$U,$H101)&lt;&gt;"Subscription",INDEX('Game Records'!$U:$U,$H101)&lt;&gt;"Free Game",INDEX('Game Records'!$U:$U,$H101)&lt;&gt;"Disqualified — Free Game",INDEX('Game Records'!$J:$J,$H101)=""),"Total Players; ","")&amp;IF(AND(LOWER(INDEX('Game Records'!$D:$D,$H101)&amp;"")="finalized",LOWER(INDEX('Game Records'!$L:$L,$H101)&amp;"")&lt;&gt;"yes",INDEX('Game Records'!$U:$U,$H101)&lt;&gt;"Subscription",INDEX('Game Records'!$U:$U,$H101)&lt;&gt;"Free Game",INDEX('Game Records'!$U:$U,$H101)&lt;&gt;"Disqualified — Free Game",INDEX('Game Records'!$K:$K,$H101)=""),"Final Payout; ","")&amp;IF(AND(LOWER(INDEX('Game Records'!$D:$D,$H101)&amp;"")="finalized",INDEX('Game Records'!$U:$U,$H101)&lt;&gt;"Subscription",INDEX('Game Records'!$U:$U,$H101)&lt;&gt;"Free Game",INDEX('Game Records'!$U:$U,$H101)&lt;&gt;"Disqualified — Free Game",OR(INDEX('Game Records'!$L:$L,$H101)="",LOWER(INDEX('Game Records'!$L:$L,$H101)&amp;"")="n/a")),"Disqualified Status; ",""))</f>
        <v/>
      </c>
      <c r="G101" s="25" t="str">
        <f t="array" ref="G101">IF($H101="","",IFERROR(INDEX('Game Records'!$M:$M,$H101),""))</f>
        <v/>
      </c>
      <c r="H101" s="8"/>
      <c r="I101" s="8"/>
      <c r="J101" s="8"/>
    </row>
    <row r="102" ht="24.0" customHeight="1">
      <c r="A102" s="21" t="str">
        <f t="shared" si="1"/>
        <v/>
      </c>
      <c r="B102" s="21" t="str">
        <f t="shared" si="2"/>
        <v/>
      </c>
      <c r="C102" s="25" t="str">
        <f t="array" ref="C102">IF($H102="","",IFERROR(INDEX('Game Records'!$A:$A,$H102),""))</f>
        <v/>
      </c>
      <c r="D102" s="25" t="str">
        <f t="array" ref="D102">IF($H102="","",IFERROR(INDEX('Game Records'!$U:$U,$H102),""))</f>
        <v/>
      </c>
      <c r="E102" s="25" t="str">
        <f t="shared" si="3"/>
        <v/>
      </c>
      <c r="F102" s="25" t="str">
        <f t="array" ref="F102">IF($H102="","",IF(OR(NOT(_xlfn.ISFORMULA(INDEX('Game Records'!$N:$N,$H102))),NOT(_xlfn.ISFORMULA(INDEX('Game Records'!$O:$O,$H102))),NOT(_xlfn.ISFORMULA(INDEX('Game Records'!$P:$P,$H102))),NOT(_xlfn.ISFORMULA(INDEX('Game Records'!$Q:$Q,$H102))),NOT(_xlfn.ISFORMULA(INDEX('Game Records'!$R:$R,$H102))),NOT(_xlfn.ISFORMULA(INDEX('Game Records'!$S:$S,$H102))),NOT(_xlfn.ISFORMULA(INDEX('Game Records'!$T:$T,$H102))),NOT(_xlfn.ISFORMULA(INDEX('Game Records'!$U:$U,$H102))),NOT(_xlfn.ISFORMULA(INDEX('Game Records'!$V:$V,$H102))),NOT(_xlfn.ISFORMULA(INDEX('Game Records'!$W:$W,$H102))),NOT(_xlfn.ISFORMULA(INDEX('Game Records'!$X:$X,$H102))),NOT(_xlfn.ISFORMULA(INDEX('Game Records'!$Y:$Y,$H102))),NOT(_xlfn.ISFORMULA(INDEX('Game Records'!$Z:$Z,$H102)))),"","")&amp;IF(INDEX('Game Records'!$B:$B,$H102)="","Start Date; ","")&amp;IF(INDEX('Game Records'!$C:$C,$H102)="","End Date; ","")&amp;IF(AND(INDEX('Game Records'!$U:$U,$H102)&lt;&gt;"Subscription",INDEX('Game Records'!$U:$U,$H102)&lt;&gt;"Free Game",INDEX('Game Records'!$U:$U,$H102)&lt;&gt;"Disqualified — Free Game",OR(INDEX('Game Records'!$D:$D,$H102)="",LOWER(INDEX('Game Records'!$D:$D,$H102)&amp;"")="n/a")),"Entry Mode; ","")&amp;IF(AND(INDEX('Game Records'!$U:$U,$H102)&lt;&gt;"Subscription",INDEX('Game Records'!$U:$U,$H102)&lt;&gt;"Free Game",INDEX('Game Records'!$U:$U,$H102)&lt;&gt;"Disqualified — Free Game",OR(INDEX('Game Records'!$E:$E,$H102)="",LOWER(INDEX('Game Records'!$E:$E,$H102)&amp;"")="n/a")),"Game Type; ","")&amp;IF(INDEX('Game Records'!$F:$F,$H102)="","Payment Type; ","")&amp;IF(AND(INDEX('Game Records'!$U:$U,$H102)&lt;&gt;"Subscription",INDEX('Game Records'!$U:$U,$H102)&lt;&gt;"Free Game",INDEX('Game Records'!$U:$U,$H102)&lt;&gt;"Disqualified — Free Game",INDEX('Game Records'!$G:$G,$H102)=""),"Gross Pot; ","")&amp;IF(AND(INDEX('Game Records'!$U:$U,$H102)&lt;&gt;"Free Game",INDEX('Game Records'!$U:$U,$H102)&lt;&gt;"Disqualified — Free Game",INDEX('Game Records'!$H:$H,$H102)=""),"Entry Fee; ","")&amp;IF(AND(INDEX('Game Records'!$U:$U,$H102)&lt;&gt;"Subscription",INDEX('Game Records'!$U:$U,$H102)&lt;&gt;"Free Game",INDEX('Game Records'!$U:$U,$H102)&lt;&gt;"Disqualified — Free Game",INDEX('Game Records'!$I:$I,$H102)=""),"Eligible Players; ","")&amp;IF(AND(INDEX('Game Records'!$U:$U,$H102)&lt;&gt;"Subscription",INDEX('Game Records'!$U:$U,$H102)&lt;&gt;"Free Game",INDEX('Game Records'!$U:$U,$H102)&lt;&gt;"Disqualified — Free Game",INDEX('Game Records'!$J:$J,$H102)=""),"Total Players; ","")&amp;IF(AND(LOWER(INDEX('Game Records'!$D:$D,$H102)&amp;"")="finalized",LOWER(INDEX('Game Records'!$L:$L,$H102)&amp;"")&lt;&gt;"yes",INDEX('Game Records'!$U:$U,$H102)&lt;&gt;"Subscription",INDEX('Game Records'!$U:$U,$H102)&lt;&gt;"Free Game",INDEX('Game Records'!$U:$U,$H102)&lt;&gt;"Disqualified — Free Game",INDEX('Game Records'!$K:$K,$H102)=""),"Final Payout; ","")&amp;IF(AND(LOWER(INDEX('Game Records'!$D:$D,$H102)&amp;"")="finalized",INDEX('Game Records'!$U:$U,$H102)&lt;&gt;"Subscription",INDEX('Game Records'!$U:$U,$H102)&lt;&gt;"Free Game",INDEX('Game Records'!$U:$U,$H102)&lt;&gt;"Disqualified — Free Game",OR(INDEX('Game Records'!$L:$L,$H102)="",LOWER(INDEX('Game Records'!$L:$L,$H102)&amp;"")="n/a")),"Disqualified Status; ",""))</f>
        <v/>
      </c>
      <c r="G102" s="25" t="str">
        <f t="array" ref="G102">IF($H102="","",IFERROR(INDEX('Game Records'!$M:$M,$H102),""))</f>
        <v/>
      </c>
      <c r="H102" s="8"/>
      <c r="I102" s="8"/>
      <c r="J102" s="8"/>
    </row>
    <row r="103" ht="24.0" customHeight="1">
      <c r="A103" s="21" t="str">
        <f t="shared" si="1"/>
        <v/>
      </c>
      <c r="B103" s="21" t="str">
        <f t="shared" si="2"/>
        <v/>
      </c>
      <c r="C103" s="25" t="str">
        <f t="array" ref="C103">IF($H103="","",IFERROR(INDEX('Game Records'!$A:$A,$H103),""))</f>
        <v/>
      </c>
      <c r="D103" s="25" t="str">
        <f t="array" ref="D103">IF($H103="","",IFERROR(INDEX('Game Records'!$U:$U,$H103),""))</f>
        <v/>
      </c>
      <c r="E103" s="25" t="str">
        <f t="shared" si="3"/>
        <v/>
      </c>
      <c r="F103" s="25" t="str">
        <f t="array" ref="F103">IF($H103="","",IF(OR(NOT(_xlfn.ISFORMULA(INDEX('Game Records'!$N:$N,$H103))),NOT(_xlfn.ISFORMULA(INDEX('Game Records'!$O:$O,$H103))),NOT(_xlfn.ISFORMULA(INDEX('Game Records'!$P:$P,$H103))),NOT(_xlfn.ISFORMULA(INDEX('Game Records'!$Q:$Q,$H103))),NOT(_xlfn.ISFORMULA(INDEX('Game Records'!$R:$R,$H103))),NOT(_xlfn.ISFORMULA(INDEX('Game Records'!$S:$S,$H103))),NOT(_xlfn.ISFORMULA(INDEX('Game Records'!$T:$T,$H103))),NOT(_xlfn.ISFORMULA(INDEX('Game Records'!$U:$U,$H103))),NOT(_xlfn.ISFORMULA(INDEX('Game Records'!$V:$V,$H103))),NOT(_xlfn.ISFORMULA(INDEX('Game Records'!$W:$W,$H103))),NOT(_xlfn.ISFORMULA(INDEX('Game Records'!$X:$X,$H103))),NOT(_xlfn.ISFORMULA(INDEX('Game Records'!$Y:$Y,$H103))),NOT(_xlfn.ISFORMULA(INDEX('Game Records'!$Z:$Z,$H103)))),"","")&amp;IF(INDEX('Game Records'!$B:$B,$H103)="","Start Date; ","")&amp;IF(INDEX('Game Records'!$C:$C,$H103)="","End Date; ","")&amp;IF(AND(INDEX('Game Records'!$U:$U,$H103)&lt;&gt;"Subscription",INDEX('Game Records'!$U:$U,$H103)&lt;&gt;"Free Game",INDEX('Game Records'!$U:$U,$H103)&lt;&gt;"Disqualified — Free Game",OR(INDEX('Game Records'!$D:$D,$H103)="",LOWER(INDEX('Game Records'!$D:$D,$H103)&amp;"")="n/a")),"Entry Mode; ","")&amp;IF(AND(INDEX('Game Records'!$U:$U,$H103)&lt;&gt;"Subscription",INDEX('Game Records'!$U:$U,$H103)&lt;&gt;"Free Game",INDEX('Game Records'!$U:$U,$H103)&lt;&gt;"Disqualified — Free Game",OR(INDEX('Game Records'!$E:$E,$H103)="",LOWER(INDEX('Game Records'!$E:$E,$H103)&amp;"")="n/a")),"Game Type; ","")&amp;IF(INDEX('Game Records'!$F:$F,$H103)="","Payment Type; ","")&amp;IF(AND(INDEX('Game Records'!$U:$U,$H103)&lt;&gt;"Subscription",INDEX('Game Records'!$U:$U,$H103)&lt;&gt;"Free Game",INDEX('Game Records'!$U:$U,$H103)&lt;&gt;"Disqualified — Free Game",INDEX('Game Records'!$G:$G,$H103)=""),"Gross Pot; ","")&amp;IF(AND(INDEX('Game Records'!$U:$U,$H103)&lt;&gt;"Free Game",INDEX('Game Records'!$U:$U,$H103)&lt;&gt;"Disqualified — Free Game",INDEX('Game Records'!$H:$H,$H103)=""),"Entry Fee; ","")&amp;IF(AND(INDEX('Game Records'!$U:$U,$H103)&lt;&gt;"Subscription",INDEX('Game Records'!$U:$U,$H103)&lt;&gt;"Free Game",INDEX('Game Records'!$U:$U,$H103)&lt;&gt;"Disqualified — Free Game",INDEX('Game Records'!$I:$I,$H103)=""),"Eligible Players; ","")&amp;IF(AND(INDEX('Game Records'!$U:$U,$H103)&lt;&gt;"Subscription",INDEX('Game Records'!$U:$U,$H103)&lt;&gt;"Free Game",INDEX('Game Records'!$U:$U,$H103)&lt;&gt;"Disqualified — Free Game",INDEX('Game Records'!$J:$J,$H103)=""),"Total Players; ","")&amp;IF(AND(LOWER(INDEX('Game Records'!$D:$D,$H103)&amp;"")="finalized",LOWER(INDEX('Game Records'!$L:$L,$H103)&amp;"")&lt;&gt;"yes",INDEX('Game Records'!$U:$U,$H103)&lt;&gt;"Subscription",INDEX('Game Records'!$U:$U,$H103)&lt;&gt;"Free Game",INDEX('Game Records'!$U:$U,$H103)&lt;&gt;"Disqualified — Free Game",INDEX('Game Records'!$K:$K,$H103)=""),"Final Payout; ","")&amp;IF(AND(LOWER(INDEX('Game Records'!$D:$D,$H103)&amp;"")="finalized",INDEX('Game Records'!$U:$U,$H103)&lt;&gt;"Subscription",INDEX('Game Records'!$U:$U,$H103)&lt;&gt;"Free Game",INDEX('Game Records'!$U:$U,$H103)&lt;&gt;"Disqualified — Free Game",OR(INDEX('Game Records'!$L:$L,$H103)="",LOWER(INDEX('Game Records'!$L:$L,$H103)&amp;"")="n/a")),"Disqualified Status; ",""))</f>
        <v/>
      </c>
      <c r="G103" s="25" t="str">
        <f t="array" ref="G103">IF($H103="","",IFERROR(INDEX('Game Records'!$M:$M,$H103),""))</f>
        <v/>
      </c>
      <c r="H103" s="8"/>
      <c r="I103" s="8"/>
      <c r="J103" s="8"/>
    </row>
    <row r="104" ht="24.0" customHeight="1">
      <c r="A104" s="21" t="str">
        <f t="shared" si="1"/>
        <v/>
      </c>
      <c r="B104" s="21" t="str">
        <f t="shared" si="2"/>
        <v/>
      </c>
      <c r="C104" s="25" t="str">
        <f t="array" ref="C104">IF($H104="","",IFERROR(INDEX('Game Records'!$A:$A,$H104),""))</f>
        <v/>
      </c>
      <c r="D104" s="25" t="str">
        <f t="array" ref="D104">IF($H104="","",IFERROR(INDEX('Game Records'!$U:$U,$H104),""))</f>
        <v/>
      </c>
      <c r="E104" s="25" t="str">
        <f t="shared" si="3"/>
        <v/>
      </c>
      <c r="F104" s="25" t="str">
        <f t="array" ref="F104">IF($H104="","",IF(OR(NOT(_xlfn.ISFORMULA(INDEX('Game Records'!$N:$N,$H104))),NOT(_xlfn.ISFORMULA(INDEX('Game Records'!$O:$O,$H104))),NOT(_xlfn.ISFORMULA(INDEX('Game Records'!$P:$P,$H104))),NOT(_xlfn.ISFORMULA(INDEX('Game Records'!$Q:$Q,$H104))),NOT(_xlfn.ISFORMULA(INDEX('Game Records'!$R:$R,$H104))),NOT(_xlfn.ISFORMULA(INDEX('Game Records'!$S:$S,$H104))),NOT(_xlfn.ISFORMULA(INDEX('Game Records'!$T:$T,$H104))),NOT(_xlfn.ISFORMULA(INDEX('Game Records'!$U:$U,$H104))),NOT(_xlfn.ISFORMULA(INDEX('Game Records'!$V:$V,$H104))),NOT(_xlfn.ISFORMULA(INDEX('Game Records'!$W:$W,$H104))),NOT(_xlfn.ISFORMULA(INDEX('Game Records'!$X:$X,$H104))),NOT(_xlfn.ISFORMULA(INDEX('Game Records'!$Y:$Y,$H104))),NOT(_xlfn.ISFORMULA(INDEX('Game Records'!$Z:$Z,$H104)))),"","")&amp;IF(INDEX('Game Records'!$B:$B,$H104)="","Start Date; ","")&amp;IF(INDEX('Game Records'!$C:$C,$H104)="","End Date; ","")&amp;IF(AND(INDEX('Game Records'!$U:$U,$H104)&lt;&gt;"Subscription",INDEX('Game Records'!$U:$U,$H104)&lt;&gt;"Free Game",INDEX('Game Records'!$U:$U,$H104)&lt;&gt;"Disqualified — Free Game",OR(INDEX('Game Records'!$D:$D,$H104)="",LOWER(INDEX('Game Records'!$D:$D,$H104)&amp;"")="n/a")),"Entry Mode; ","")&amp;IF(AND(INDEX('Game Records'!$U:$U,$H104)&lt;&gt;"Subscription",INDEX('Game Records'!$U:$U,$H104)&lt;&gt;"Free Game",INDEX('Game Records'!$U:$U,$H104)&lt;&gt;"Disqualified — Free Game",OR(INDEX('Game Records'!$E:$E,$H104)="",LOWER(INDEX('Game Records'!$E:$E,$H104)&amp;"")="n/a")),"Game Type; ","")&amp;IF(INDEX('Game Records'!$F:$F,$H104)="","Payment Type; ","")&amp;IF(AND(INDEX('Game Records'!$U:$U,$H104)&lt;&gt;"Subscription",INDEX('Game Records'!$U:$U,$H104)&lt;&gt;"Free Game",INDEX('Game Records'!$U:$U,$H104)&lt;&gt;"Disqualified — Free Game",INDEX('Game Records'!$G:$G,$H104)=""),"Gross Pot; ","")&amp;IF(AND(INDEX('Game Records'!$U:$U,$H104)&lt;&gt;"Free Game",INDEX('Game Records'!$U:$U,$H104)&lt;&gt;"Disqualified — Free Game",INDEX('Game Records'!$H:$H,$H104)=""),"Entry Fee; ","")&amp;IF(AND(INDEX('Game Records'!$U:$U,$H104)&lt;&gt;"Subscription",INDEX('Game Records'!$U:$U,$H104)&lt;&gt;"Free Game",INDEX('Game Records'!$U:$U,$H104)&lt;&gt;"Disqualified — Free Game",INDEX('Game Records'!$I:$I,$H104)=""),"Eligible Players; ","")&amp;IF(AND(INDEX('Game Records'!$U:$U,$H104)&lt;&gt;"Subscription",INDEX('Game Records'!$U:$U,$H104)&lt;&gt;"Free Game",INDEX('Game Records'!$U:$U,$H104)&lt;&gt;"Disqualified — Free Game",INDEX('Game Records'!$J:$J,$H104)=""),"Total Players; ","")&amp;IF(AND(LOWER(INDEX('Game Records'!$D:$D,$H104)&amp;"")="finalized",LOWER(INDEX('Game Records'!$L:$L,$H104)&amp;"")&lt;&gt;"yes",INDEX('Game Records'!$U:$U,$H104)&lt;&gt;"Subscription",INDEX('Game Records'!$U:$U,$H104)&lt;&gt;"Free Game",INDEX('Game Records'!$U:$U,$H104)&lt;&gt;"Disqualified — Free Game",INDEX('Game Records'!$K:$K,$H104)=""),"Final Payout; ","")&amp;IF(AND(LOWER(INDEX('Game Records'!$D:$D,$H104)&amp;"")="finalized",INDEX('Game Records'!$U:$U,$H104)&lt;&gt;"Subscription",INDEX('Game Records'!$U:$U,$H104)&lt;&gt;"Free Game",INDEX('Game Records'!$U:$U,$H104)&lt;&gt;"Disqualified — Free Game",OR(INDEX('Game Records'!$L:$L,$H104)="",LOWER(INDEX('Game Records'!$L:$L,$H104)&amp;"")="n/a")),"Disqualified Status; ",""))</f>
        <v/>
      </c>
      <c r="G104" s="25" t="str">
        <f t="array" ref="G104">IF($H104="","",IFERROR(INDEX('Game Records'!$M:$M,$H104),""))</f>
        <v/>
      </c>
      <c r="H104" s="8"/>
      <c r="I104" s="8"/>
      <c r="J104" s="8"/>
    </row>
    <row r="105" ht="24.0" customHeight="1">
      <c r="A105" s="21" t="str">
        <f t="shared" si="1"/>
        <v/>
      </c>
      <c r="B105" s="21" t="str">
        <f t="shared" si="2"/>
        <v/>
      </c>
      <c r="C105" s="25" t="str">
        <f t="array" ref="C105">IF($H105="","",IFERROR(INDEX('Game Records'!$A:$A,$H105),""))</f>
        <v/>
      </c>
      <c r="D105" s="25" t="str">
        <f t="array" ref="D105">IF($H105="","",IFERROR(INDEX('Game Records'!$U:$U,$H105),""))</f>
        <v/>
      </c>
      <c r="E105" s="25" t="str">
        <f t="shared" si="3"/>
        <v/>
      </c>
      <c r="F105" s="25" t="str">
        <f t="array" ref="F105">IF($H105="","",IF(OR(NOT(_xlfn.ISFORMULA(INDEX('Game Records'!$N:$N,$H105))),NOT(_xlfn.ISFORMULA(INDEX('Game Records'!$O:$O,$H105))),NOT(_xlfn.ISFORMULA(INDEX('Game Records'!$P:$P,$H105))),NOT(_xlfn.ISFORMULA(INDEX('Game Records'!$Q:$Q,$H105))),NOT(_xlfn.ISFORMULA(INDEX('Game Records'!$R:$R,$H105))),NOT(_xlfn.ISFORMULA(INDEX('Game Records'!$S:$S,$H105))),NOT(_xlfn.ISFORMULA(INDEX('Game Records'!$T:$T,$H105))),NOT(_xlfn.ISFORMULA(INDEX('Game Records'!$U:$U,$H105))),NOT(_xlfn.ISFORMULA(INDEX('Game Records'!$V:$V,$H105))),NOT(_xlfn.ISFORMULA(INDEX('Game Records'!$W:$W,$H105))),NOT(_xlfn.ISFORMULA(INDEX('Game Records'!$X:$X,$H105))),NOT(_xlfn.ISFORMULA(INDEX('Game Records'!$Y:$Y,$H105))),NOT(_xlfn.ISFORMULA(INDEX('Game Records'!$Z:$Z,$H105)))),"","")&amp;IF(INDEX('Game Records'!$B:$B,$H105)="","Start Date; ","")&amp;IF(INDEX('Game Records'!$C:$C,$H105)="","End Date; ","")&amp;IF(AND(INDEX('Game Records'!$U:$U,$H105)&lt;&gt;"Subscription",INDEX('Game Records'!$U:$U,$H105)&lt;&gt;"Free Game",INDEX('Game Records'!$U:$U,$H105)&lt;&gt;"Disqualified — Free Game",OR(INDEX('Game Records'!$D:$D,$H105)="",LOWER(INDEX('Game Records'!$D:$D,$H105)&amp;"")="n/a")),"Entry Mode; ","")&amp;IF(AND(INDEX('Game Records'!$U:$U,$H105)&lt;&gt;"Subscription",INDEX('Game Records'!$U:$U,$H105)&lt;&gt;"Free Game",INDEX('Game Records'!$U:$U,$H105)&lt;&gt;"Disqualified — Free Game",OR(INDEX('Game Records'!$E:$E,$H105)="",LOWER(INDEX('Game Records'!$E:$E,$H105)&amp;"")="n/a")),"Game Type; ","")&amp;IF(INDEX('Game Records'!$F:$F,$H105)="","Payment Type; ","")&amp;IF(AND(INDEX('Game Records'!$U:$U,$H105)&lt;&gt;"Subscription",INDEX('Game Records'!$U:$U,$H105)&lt;&gt;"Free Game",INDEX('Game Records'!$U:$U,$H105)&lt;&gt;"Disqualified — Free Game",INDEX('Game Records'!$G:$G,$H105)=""),"Gross Pot; ","")&amp;IF(AND(INDEX('Game Records'!$U:$U,$H105)&lt;&gt;"Free Game",INDEX('Game Records'!$U:$U,$H105)&lt;&gt;"Disqualified — Free Game",INDEX('Game Records'!$H:$H,$H105)=""),"Entry Fee; ","")&amp;IF(AND(INDEX('Game Records'!$U:$U,$H105)&lt;&gt;"Subscription",INDEX('Game Records'!$U:$U,$H105)&lt;&gt;"Free Game",INDEX('Game Records'!$U:$U,$H105)&lt;&gt;"Disqualified — Free Game",INDEX('Game Records'!$I:$I,$H105)=""),"Eligible Players; ","")&amp;IF(AND(INDEX('Game Records'!$U:$U,$H105)&lt;&gt;"Subscription",INDEX('Game Records'!$U:$U,$H105)&lt;&gt;"Free Game",INDEX('Game Records'!$U:$U,$H105)&lt;&gt;"Disqualified — Free Game",INDEX('Game Records'!$J:$J,$H105)=""),"Total Players; ","")&amp;IF(AND(LOWER(INDEX('Game Records'!$D:$D,$H105)&amp;"")="finalized",LOWER(INDEX('Game Records'!$L:$L,$H105)&amp;"")&lt;&gt;"yes",INDEX('Game Records'!$U:$U,$H105)&lt;&gt;"Subscription",INDEX('Game Records'!$U:$U,$H105)&lt;&gt;"Free Game",INDEX('Game Records'!$U:$U,$H105)&lt;&gt;"Disqualified — Free Game",INDEX('Game Records'!$K:$K,$H105)=""),"Final Payout; ","")&amp;IF(AND(LOWER(INDEX('Game Records'!$D:$D,$H105)&amp;"")="finalized",INDEX('Game Records'!$U:$U,$H105)&lt;&gt;"Subscription",INDEX('Game Records'!$U:$U,$H105)&lt;&gt;"Free Game",INDEX('Game Records'!$U:$U,$H105)&lt;&gt;"Disqualified — Free Game",OR(INDEX('Game Records'!$L:$L,$H105)="",LOWER(INDEX('Game Records'!$L:$L,$H105)&amp;"")="n/a")),"Disqualified Status; ",""))</f>
        <v/>
      </c>
      <c r="G105" s="25" t="str">
        <f t="array" ref="G105">IF($H105="","",IFERROR(INDEX('Game Records'!$M:$M,$H105),""))</f>
        <v/>
      </c>
      <c r="H105" s="8"/>
      <c r="I105" s="8"/>
      <c r="J105" s="8"/>
    </row>
    <row r="106" ht="24.0" customHeight="1">
      <c r="A106" s="21" t="str">
        <f t="shared" si="1"/>
        <v/>
      </c>
      <c r="B106" s="21" t="str">
        <f t="shared" si="2"/>
        <v/>
      </c>
      <c r="C106" s="25" t="str">
        <f t="array" ref="C106">IF($H106="","",IFERROR(INDEX('Game Records'!$A:$A,$H106),""))</f>
        <v/>
      </c>
      <c r="D106" s="25" t="str">
        <f t="array" ref="D106">IF($H106="","",IFERROR(INDEX('Game Records'!$U:$U,$H106),""))</f>
        <v/>
      </c>
      <c r="E106" s="25" t="str">
        <f t="shared" si="3"/>
        <v/>
      </c>
      <c r="F106" s="25" t="str">
        <f t="array" ref="F106">IF($H106="","",IF(OR(NOT(_xlfn.ISFORMULA(INDEX('Game Records'!$N:$N,$H106))),NOT(_xlfn.ISFORMULA(INDEX('Game Records'!$O:$O,$H106))),NOT(_xlfn.ISFORMULA(INDEX('Game Records'!$P:$P,$H106))),NOT(_xlfn.ISFORMULA(INDEX('Game Records'!$Q:$Q,$H106))),NOT(_xlfn.ISFORMULA(INDEX('Game Records'!$R:$R,$H106))),NOT(_xlfn.ISFORMULA(INDEX('Game Records'!$S:$S,$H106))),NOT(_xlfn.ISFORMULA(INDEX('Game Records'!$T:$T,$H106))),NOT(_xlfn.ISFORMULA(INDEX('Game Records'!$U:$U,$H106))),NOT(_xlfn.ISFORMULA(INDEX('Game Records'!$V:$V,$H106))),NOT(_xlfn.ISFORMULA(INDEX('Game Records'!$W:$W,$H106))),NOT(_xlfn.ISFORMULA(INDEX('Game Records'!$X:$X,$H106))),NOT(_xlfn.ISFORMULA(INDEX('Game Records'!$Y:$Y,$H106))),NOT(_xlfn.ISFORMULA(INDEX('Game Records'!$Z:$Z,$H106)))),"","")&amp;IF(INDEX('Game Records'!$B:$B,$H106)="","Start Date; ","")&amp;IF(INDEX('Game Records'!$C:$C,$H106)="","End Date; ","")&amp;IF(AND(INDEX('Game Records'!$U:$U,$H106)&lt;&gt;"Subscription",INDEX('Game Records'!$U:$U,$H106)&lt;&gt;"Free Game",INDEX('Game Records'!$U:$U,$H106)&lt;&gt;"Disqualified — Free Game",OR(INDEX('Game Records'!$D:$D,$H106)="",LOWER(INDEX('Game Records'!$D:$D,$H106)&amp;"")="n/a")),"Entry Mode; ","")&amp;IF(AND(INDEX('Game Records'!$U:$U,$H106)&lt;&gt;"Subscription",INDEX('Game Records'!$U:$U,$H106)&lt;&gt;"Free Game",INDEX('Game Records'!$U:$U,$H106)&lt;&gt;"Disqualified — Free Game",OR(INDEX('Game Records'!$E:$E,$H106)="",LOWER(INDEX('Game Records'!$E:$E,$H106)&amp;"")="n/a")),"Game Type; ","")&amp;IF(INDEX('Game Records'!$F:$F,$H106)="","Payment Type; ","")&amp;IF(AND(INDEX('Game Records'!$U:$U,$H106)&lt;&gt;"Subscription",INDEX('Game Records'!$U:$U,$H106)&lt;&gt;"Free Game",INDEX('Game Records'!$U:$U,$H106)&lt;&gt;"Disqualified — Free Game",INDEX('Game Records'!$G:$G,$H106)=""),"Gross Pot; ","")&amp;IF(AND(INDEX('Game Records'!$U:$U,$H106)&lt;&gt;"Free Game",INDEX('Game Records'!$U:$U,$H106)&lt;&gt;"Disqualified — Free Game",INDEX('Game Records'!$H:$H,$H106)=""),"Entry Fee; ","")&amp;IF(AND(INDEX('Game Records'!$U:$U,$H106)&lt;&gt;"Subscription",INDEX('Game Records'!$U:$U,$H106)&lt;&gt;"Free Game",INDEX('Game Records'!$U:$U,$H106)&lt;&gt;"Disqualified — Free Game",INDEX('Game Records'!$I:$I,$H106)=""),"Eligible Players; ","")&amp;IF(AND(INDEX('Game Records'!$U:$U,$H106)&lt;&gt;"Subscription",INDEX('Game Records'!$U:$U,$H106)&lt;&gt;"Free Game",INDEX('Game Records'!$U:$U,$H106)&lt;&gt;"Disqualified — Free Game",INDEX('Game Records'!$J:$J,$H106)=""),"Total Players; ","")&amp;IF(AND(LOWER(INDEX('Game Records'!$D:$D,$H106)&amp;"")="finalized",LOWER(INDEX('Game Records'!$L:$L,$H106)&amp;"")&lt;&gt;"yes",INDEX('Game Records'!$U:$U,$H106)&lt;&gt;"Subscription",INDEX('Game Records'!$U:$U,$H106)&lt;&gt;"Free Game",INDEX('Game Records'!$U:$U,$H106)&lt;&gt;"Disqualified — Free Game",INDEX('Game Records'!$K:$K,$H106)=""),"Final Payout; ","")&amp;IF(AND(LOWER(INDEX('Game Records'!$D:$D,$H106)&amp;"")="finalized",INDEX('Game Records'!$U:$U,$H106)&lt;&gt;"Subscription",INDEX('Game Records'!$U:$U,$H106)&lt;&gt;"Free Game",INDEX('Game Records'!$U:$U,$H106)&lt;&gt;"Disqualified — Free Game",OR(INDEX('Game Records'!$L:$L,$H106)="",LOWER(INDEX('Game Records'!$L:$L,$H106)&amp;"")="n/a")),"Disqualified Status; ",""))</f>
        <v/>
      </c>
      <c r="G106" s="25" t="str">
        <f t="array" ref="G106">IF($H106="","",IFERROR(INDEX('Game Records'!$M:$M,$H106),""))</f>
        <v/>
      </c>
      <c r="H106" s="8"/>
      <c r="I106" s="8"/>
      <c r="J106" s="8"/>
    </row>
    <row r="107" ht="24.0" customHeight="1">
      <c r="A107" s="21" t="str">
        <f t="shared" si="1"/>
        <v/>
      </c>
      <c r="B107" s="21" t="str">
        <f t="shared" si="2"/>
        <v/>
      </c>
      <c r="C107" s="25" t="str">
        <f t="array" ref="C107">IF($H107="","",IFERROR(INDEX('Game Records'!$A:$A,$H107),""))</f>
        <v/>
      </c>
      <c r="D107" s="25" t="str">
        <f t="array" ref="D107">IF($H107="","",IFERROR(INDEX('Game Records'!$U:$U,$H107),""))</f>
        <v/>
      </c>
      <c r="E107" s="25" t="str">
        <f t="shared" si="3"/>
        <v/>
      </c>
      <c r="F107" s="25" t="str">
        <f t="array" ref="F107">IF($H107="","",IF(OR(NOT(_xlfn.ISFORMULA(INDEX('Game Records'!$N:$N,$H107))),NOT(_xlfn.ISFORMULA(INDEX('Game Records'!$O:$O,$H107))),NOT(_xlfn.ISFORMULA(INDEX('Game Records'!$P:$P,$H107))),NOT(_xlfn.ISFORMULA(INDEX('Game Records'!$Q:$Q,$H107))),NOT(_xlfn.ISFORMULA(INDEX('Game Records'!$R:$R,$H107))),NOT(_xlfn.ISFORMULA(INDEX('Game Records'!$S:$S,$H107))),NOT(_xlfn.ISFORMULA(INDEX('Game Records'!$T:$T,$H107))),NOT(_xlfn.ISFORMULA(INDEX('Game Records'!$U:$U,$H107))),NOT(_xlfn.ISFORMULA(INDEX('Game Records'!$V:$V,$H107))),NOT(_xlfn.ISFORMULA(INDEX('Game Records'!$W:$W,$H107))),NOT(_xlfn.ISFORMULA(INDEX('Game Records'!$X:$X,$H107))),NOT(_xlfn.ISFORMULA(INDEX('Game Records'!$Y:$Y,$H107))),NOT(_xlfn.ISFORMULA(INDEX('Game Records'!$Z:$Z,$H107)))),"","")&amp;IF(INDEX('Game Records'!$B:$B,$H107)="","Start Date; ","")&amp;IF(INDEX('Game Records'!$C:$C,$H107)="","End Date; ","")&amp;IF(AND(INDEX('Game Records'!$U:$U,$H107)&lt;&gt;"Subscription",INDEX('Game Records'!$U:$U,$H107)&lt;&gt;"Free Game",INDEX('Game Records'!$U:$U,$H107)&lt;&gt;"Disqualified — Free Game",OR(INDEX('Game Records'!$D:$D,$H107)="",LOWER(INDEX('Game Records'!$D:$D,$H107)&amp;"")="n/a")),"Entry Mode; ","")&amp;IF(AND(INDEX('Game Records'!$U:$U,$H107)&lt;&gt;"Subscription",INDEX('Game Records'!$U:$U,$H107)&lt;&gt;"Free Game",INDEX('Game Records'!$U:$U,$H107)&lt;&gt;"Disqualified — Free Game",OR(INDEX('Game Records'!$E:$E,$H107)="",LOWER(INDEX('Game Records'!$E:$E,$H107)&amp;"")="n/a")),"Game Type; ","")&amp;IF(INDEX('Game Records'!$F:$F,$H107)="","Payment Type; ","")&amp;IF(AND(INDEX('Game Records'!$U:$U,$H107)&lt;&gt;"Subscription",INDEX('Game Records'!$U:$U,$H107)&lt;&gt;"Free Game",INDEX('Game Records'!$U:$U,$H107)&lt;&gt;"Disqualified — Free Game",INDEX('Game Records'!$G:$G,$H107)=""),"Gross Pot; ","")&amp;IF(AND(INDEX('Game Records'!$U:$U,$H107)&lt;&gt;"Free Game",INDEX('Game Records'!$U:$U,$H107)&lt;&gt;"Disqualified — Free Game",INDEX('Game Records'!$H:$H,$H107)=""),"Entry Fee; ","")&amp;IF(AND(INDEX('Game Records'!$U:$U,$H107)&lt;&gt;"Subscription",INDEX('Game Records'!$U:$U,$H107)&lt;&gt;"Free Game",INDEX('Game Records'!$U:$U,$H107)&lt;&gt;"Disqualified — Free Game",INDEX('Game Records'!$I:$I,$H107)=""),"Eligible Players; ","")&amp;IF(AND(INDEX('Game Records'!$U:$U,$H107)&lt;&gt;"Subscription",INDEX('Game Records'!$U:$U,$H107)&lt;&gt;"Free Game",INDEX('Game Records'!$U:$U,$H107)&lt;&gt;"Disqualified — Free Game",INDEX('Game Records'!$J:$J,$H107)=""),"Total Players; ","")&amp;IF(AND(LOWER(INDEX('Game Records'!$D:$D,$H107)&amp;"")="finalized",LOWER(INDEX('Game Records'!$L:$L,$H107)&amp;"")&lt;&gt;"yes",INDEX('Game Records'!$U:$U,$H107)&lt;&gt;"Subscription",INDEX('Game Records'!$U:$U,$H107)&lt;&gt;"Free Game",INDEX('Game Records'!$U:$U,$H107)&lt;&gt;"Disqualified — Free Game",INDEX('Game Records'!$K:$K,$H107)=""),"Final Payout; ","")&amp;IF(AND(LOWER(INDEX('Game Records'!$D:$D,$H107)&amp;"")="finalized",INDEX('Game Records'!$U:$U,$H107)&lt;&gt;"Subscription",INDEX('Game Records'!$U:$U,$H107)&lt;&gt;"Free Game",INDEX('Game Records'!$U:$U,$H107)&lt;&gt;"Disqualified — Free Game",OR(INDEX('Game Records'!$L:$L,$H107)="",LOWER(INDEX('Game Records'!$L:$L,$H107)&amp;"")="n/a")),"Disqualified Status; ",""))</f>
        <v/>
      </c>
      <c r="G107" s="25" t="str">
        <f t="array" ref="G107">IF($H107="","",IFERROR(INDEX('Game Records'!$M:$M,$H107),""))</f>
        <v/>
      </c>
      <c r="H107" s="8"/>
      <c r="I107" s="8"/>
      <c r="J107" s="8"/>
    </row>
    <row r="108" ht="24.0" customHeight="1">
      <c r="A108" s="21" t="str">
        <f t="shared" si="1"/>
        <v/>
      </c>
      <c r="B108" s="21" t="str">
        <f t="shared" si="2"/>
        <v/>
      </c>
      <c r="C108" s="25" t="str">
        <f t="array" ref="C108">IF($H108="","",IFERROR(INDEX('Game Records'!$A:$A,$H108),""))</f>
        <v/>
      </c>
      <c r="D108" s="25" t="str">
        <f t="array" ref="D108">IF($H108="","",IFERROR(INDEX('Game Records'!$U:$U,$H108),""))</f>
        <v/>
      </c>
      <c r="E108" s="25" t="str">
        <f t="shared" si="3"/>
        <v/>
      </c>
      <c r="F108" s="25" t="str">
        <f t="array" ref="F108">IF($H108="","",IF(OR(NOT(_xlfn.ISFORMULA(INDEX('Game Records'!$N:$N,$H108))),NOT(_xlfn.ISFORMULA(INDEX('Game Records'!$O:$O,$H108))),NOT(_xlfn.ISFORMULA(INDEX('Game Records'!$P:$P,$H108))),NOT(_xlfn.ISFORMULA(INDEX('Game Records'!$Q:$Q,$H108))),NOT(_xlfn.ISFORMULA(INDEX('Game Records'!$R:$R,$H108))),NOT(_xlfn.ISFORMULA(INDEX('Game Records'!$S:$S,$H108))),NOT(_xlfn.ISFORMULA(INDEX('Game Records'!$T:$T,$H108))),NOT(_xlfn.ISFORMULA(INDEX('Game Records'!$U:$U,$H108))),NOT(_xlfn.ISFORMULA(INDEX('Game Records'!$V:$V,$H108))),NOT(_xlfn.ISFORMULA(INDEX('Game Records'!$W:$W,$H108))),NOT(_xlfn.ISFORMULA(INDEX('Game Records'!$X:$X,$H108))),NOT(_xlfn.ISFORMULA(INDEX('Game Records'!$Y:$Y,$H108))),NOT(_xlfn.ISFORMULA(INDEX('Game Records'!$Z:$Z,$H108)))),"","")&amp;IF(INDEX('Game Records'!$B:$B,$H108)="","Start Date; ","")&amp;IF(INDEX('Game Records'!$C:$C,$H108)="","End Date; ","")&amp;IF(AND(INDEX('Game Records'!$U:$U,$H108)&lt;&gt;"Subscription",INDEX('Game Records'!$U:$U,$H108)&lt;&gt;"Free Game",INDEX('Game Records'!$U:$U,$H108)&lt;&gt;"Disqualified — Free Game",OR(INDEX('Game Records'!$D:$D,$H108)="",LOWER(INDEX('Game Records'!$D:$D,$H108)&amp;"")="n/a")),"Entry Mode; ","")&amp;IF(AND(INDEX('Game Records'!$U:$U,$H108)&lt;&gt;"Subscription",INDEX('Game Records'!$U:$U,$H108)&lt;&gt;"Free Game",INDEX('Game Records'!$U:$U,$H108)&lt;&gt;"Disqualified — Free Game",OR(INDEX('Game Records'!$E:$E,$H108)="",LOWER(INDEX('Game Records'!$E:$E,$H108)&amp;"")="n/a")),"Game Type; ","")&amp;IF(INDEX('Game Records'!$F:$F,$H108)="","Payment Type; ","")&amp;IF(AND(INDEX('Game Records'!$U:$U,$H108)&lt;&gt;"Subscription",INDEX('Game Records'!$U:$U,$H108)&lt;&gt;"Free Game",INDEX('Game Records'!$U:$U,$H108)&lt;&gt;"Disqualified — Free Game",INDEX('Game Records'!$G:$G,$H108)=""),"Gross Pot; ","")&amp;IF(AND(INDEX('Game Records'!$U:$U,$H108)&lt;&gt;"Free Game",INDEX('Game Records'!$U:$U,$H108)&lt;&gt;"Disqualified — Free Game",INDEX('Game Records'!$H:$H,$H108)=""),"Entry Fee; ","")&amp;IF(AND(INDEX('Game Records'!$U:$U,$H108)&lt;&gt;"Subscription",INDEX('Game Records'!$U:$U,$H108)&lt;&gt;"Free Game",INDEX('Game Records'!$U:$U,$H108)&lt;&gt;"Disqualified — Free Game",INDEX('Game Records'!$I:$I,$H108)=""),"Eligible Players; ","")&amp;IF(AND(INDEX('Game Records'!$U:$U,$H108)&lt;&gt;"Subscription",INDEX('Game Records'!$U:$U,$H108)&lt;&gt;"Free Game",INDEX('Game Records'!$U:$U,$H108)&lt;&gt;"Disqualified — Free Game",INDEX('Game Records'!$J:$J,$H108)=""),"Total Players; ","")&amp;IF(AND(LOWER(INDEX('Game Records'!$D:$D,$H108)&amp;"")="finalized",LOWER(INDEX('Game Records'!$L:$L,$H108)&amp;"")&lt;&gt;"yes",INDEX('Game Records'!$U:$U,$H108)&lt;&gt;"Subscription",INDEX('Game Records'!$U:$U,$H108)&lt;&gt;"Free Game",INDEX('Game Records'!$U:$U,$H108)&lt;&gt;"Disqualified — Free Game",INDEX('Game Records'!$K:$K,$H108)=""),"Final Payout; ","")&amp;IF(AND(LOWER(INDEX('Game Records'!$D:$D,$H108)&amp;"")="finalized",INDEX('Game Records'!$U:$U,$H108)&lt;&gt;"Subscription",INDEX('Game Records'!$U:$U,$H108)&lt;&gt;"Free Game",INDEX('Game Records'!$U:$U,$H108)&lt;&gt;"Disqualified — Free Game",OR(INDEX('Game Records'!$L:$L,$H108)="",LOWER(INDEX('Game Records'!$L:$L,$H108)&amp;"")="n/a")),"Disqualified Status; ",""))</f>
        <v/>
      </c>
      <c r="G108" s="25" t="str">
        <f t="array" ref="G108">IF($H108="","",IFERROR(INDEX('Game Records'!$M:$M,$H108),""))</f>
        <v/>
      </c>
      <c r="H108" s="8"/>
      <c r="I108" s="8"/>
      <c r="J108" s="8"/>
    </row>
    <row r="109" ht="24.0" customHeight="1">
      <c r="A109" s="21" t="str">
        <f t="shared" si="1"/>
        <v/>
      </c>
      <c r="B109" s="21" t="str">
        <f t="shared" si="2"/>
        <v/>
      </c>
      <c r="C109" s="25" t="str">
        <f t="array" ref="C109">IF($H109="","",IFERROR(INDEX('Game Records'!$A:$A,$H109),""))</f>
        <v/>
      </c>
      <c r="D109" s="25" t="str">
        <f t="array" ref="D109">IF($H109="","",IFERROR(INDEX('Game Records'!$U:$U,$H109),""))</f>
        <v/>
      </c>
      <c r="E109" s="25" t="str">
        <f t="shared" si="3"/>
        <v/>
      </c>
      <c r="F109" s="25" t="str">
        <f t="array" ref="F109">IF($H109="","",IF(OR(NOT(_xlfn.ISFORMULA(INDEX('Game Records'!$N:$N,$H109))),NOT(_xlfn.ISFORMULA(INDEX('Game Records'!$O:$O,$H109))),NOT(_xlfn.ISFORMULA(INDEX('Game Records'!$P:$P,$H109))),NOT(_xlfn.ISFORMULA(INDEX('Game Records'!$Q:$Q,$H109))),NOT(_xlfn.ISFORMULA(INDEX('Game Records'!$R:$R,$H109))),NOT(_xlfn.ISFORMULA(INDEX('Game Records'!$S:$S,$H109))),NOT(_xlfn.ISFORMULA(INDEX('Game Records'!$T:$T,$H109))),NOT(_xlfn.ISFORMULA(INDEX('Game Records'!$U:$U,$H109))),NOT(_xlfn.ISFORMULA(INDEX('Game Records'!$V:$V,$H109))),NOT(_xlfn.ISFORMULA(INDEX('Game Records'!$W:$W,$H109))),NOT(_xlfn.ISFORMULA(INDEX('Game Records'!$X:$X,$H109))),NOT(_xlfn.ISFORMULA(INDEX('Game Records'!$Y:$Y,$H109))),NOT(_xlfn.ISFORMULA(INDEX('Game Records'!$Z:$Z,$H109)))),"","")&amp;IF(INDEX('Game Records'!$B:$B,$H109)="","Start Date; ","")&amp;IF(INDEX('Game Records'!$C:$C,$H109)="","End Date; ","")&amp;IF(AND(INDEX('Game Records'!$U:$U,$H109)&lt;&gt;"Subscription",INDEX('Game Records'!$U:$U,$H109)&lt;&gt;"Free Game",INDEX('Game Records'!$U:$U,$H109)&lt;&gt;"Disqualified — Free Game",OR(INDEX('Game Records'!$D:$D,$H109)="",LOWER(INDEX('Game Records'!$D:$D,$H109)&amp;"")="n/a")),"Entry Mode; ","")&amp;IF(AND(INDEX('Game Records'!$U:$U,$H109)&lt;&gt;"Subscription",INDEX('Game Records'!$U:$U,$H109)&lt;&gt;"Free Game",INDEX('Game Records'!$U:$U,$H109)&lt;&gt;"Disqualified — Free Game",OR(INDEX('Game Records'!$E:$E,$H109)="",LOWER(INDEX('Game Records'!$E:$E,$H109)&amp;"")="n/a")),"Game Type; ","")&amp;IF(INDEX('Game Records'!$F:$F,$H109)="","Payment Type; ","")&amp;IF(AND(INDEX('Game Records'!$U:$U,$H109)&lt;&gt;"Subscription",INDEX('Game Records'!$U:$U,$H109)&lt;&gt;"Free Game",INDEX('Game Records'!$U:$U,$H109)&lt;&gt;"Disqualified — Free Game",INDEX('Game Records'!$G:$G,$H109)=""),"Gross Pot; ","")&amp;IF(AND(INDEX('Game Records'!$U:$U,$H109)&lt;&gt;"Free Game",INDEX('Game Records'!$U:$U,$H109)&lt;&gt;"Disqualified — Free Game",INDEX('Game Records'!$H:$H,$H109)=""),"Entry Fee; ","")&amp;IF(AND(INDEX('Game Records'!$U:$U,$H109)&lt;&gt;"Subscription",INDEX('Game Records'!$U:$U,$H109)&lt;&gt;"Free Game",INDEX('Game Records'!$U:$U,$H109)&lt;&gt;"Disqualified — Free Game",INDEX('Game Records'!$I:$I,$H109)=""),"Eligible Players; ","")&amp;IF(AND(INDEX('Game Records'!$U:$U,$H109)&lt;&gt;"Subscription",INDEX('Game Records'!$U:$U,$H109)&lt;&gt;"Free Game",INDEX('Game Records'!$U:$U,$H109)&lt;&gt;"Disqualified — Free Game",INDEX('Game Records'!$J:$J,$H109)=""),"Total Players; ","")&amp;IF(AND(LOWER(INDEX('Game Records'!$D:$D,$H109)&amp;"")="finalized",LOWER(INDEX('Game Records'!$L:$L,$H109)&amp;"")&lt;&gt;"yes",INDEX('Game Records'!$U:$U,$H109)&lt;&gt;"Subscription",INDEX('Game Records'!$U:$U,$H109)&lt;&gt;"Free Game",INDEX('Game Records'!$U:$U,$H109)&lt;&gt;"Disqualified — Free Game",INDEX('Game Records'!$K:$K,$H109)=""),"Final Payout; ","")&amp;IF(AND(LOWER(INDEX('Game Records'!$D:$D,$H109)&amp;"")="finalized",INDEX('Game Records'!$U:$U,$H109)&lt;&gt;"Subscription",INDEX('Game Records'!$U:$U,$H109)&lt;&gt;"Free Game",INDEX('Game Records'!$U:$U,$H109)&lt;&gt;"Disqualified — Free Game",OR(INDEX('Game Records'!$L:$L,$H109)="",LOWER(INDEX('Game Records'!$L:$L,$H109)&amp;"")="n/a")),"Disqualified Status; ",""))</f>
        <v/>
      </c>
      <c r="G109" s="25" t="str">
        <f t="array" ref="G109">IF($H109="","",IFERROR(INDEX('Game Records'!$M:$M,$H109),""))</f>
        <v/>
      </c>
      <c r="H109" s="8"/>
      <c r="I109" s="8"/>
      <c r="J109" s="8"/>
    </row>
    <row r="110" ht="24.0" customHeight="1">
      <c r="A110" s="21" t="str">
        <f t="shared" si="1"/>
        <v/>
      </c>
      <c r="B110" s="21" t="str">
        <f t="shared" si="2"/>
        <v/>
      </c>
      <c r="C110" s="25" t="str">
        <f t="array" ref="C110">IF($H110="","",IFERROR(INDEX('Game Records'!$A:$A,$H110),""))</f>
        <v/>
      </c>
      <c r="D110" s="25" t="str">
        <f t="array" ref="D110">IF($H110="","",IFERROR(INDEX('Game Records'!$U:$U,$H110),""))</f>
        <v/>
      </c>
      <c r="E110" s="25" t="str">
        <f t="shared" si="3"/>
        <v/>
      </c>
      <c r="F110" s="25" t="str">
        <f t="array" ref="F110">IF($H110="","",IF(OR(NOT(_xlfn.ISFORMULA(INDEX('Game Records'!$N:$N,$H110))),NOT(_xlfn.ISFORMULA(INDEX('Game Records'!$O:$O,$H110))),NOT(_xlfn.ISFORMULA(INDEX('Game Records'!$P:$P,$H110))),NOT(_xlfn.ISFORMULA(INDEX('Game Records'!$Q:$Q,$H110))),NOT(_xlfn.ISFORMULA(INDEX('Game Records'!$R:$R,$H110))),NOT(_xlfn.ISFORMULA(INDEX('Game Records'!$S:$S,$H110))),NOT(_xlfn.ISFORMULA(INDEX('Game Records'!$T:$T,$H110))),NOT(_xlfn.ISFORMULA(INDEX('Game Records'!$U:$U,$H110))),NOT(_xlfn.ISFORMULA(INDEX('Game Records'!$V:$V,$H110))),NOT(_xlfn.ISFORMULA(INDEX('Game Records'!$W:$W,$H110))),NOT(_xlfn.ISFORMULA(INDEX('Game Records'!$X:$X,$H110))),NOT(_xlfn.ISFORMULA(INDEX('Game Records'!$Y:$Y,$H110))),NOT(_xlfn.ISFORMULA(INDEX('Game Records'!$Z:$Z,$H110)))),"","")&amp;IF(INDEX('Game Records'!$B:$B,$H110)="","Start Date; ","")&amp;IF(INDEX('Game Records'!$C:$C,$H110)="","End Date; ","")&amp;IF(AND(INDEX('Game Records'!$U:$U,$H110)&lt;&gt;"Subscription",INDEX('Game Records'!$U:$U,$H110)&lt;&gt;"Free Game",INDEX('Game Records'!$U:$U,$H110)&lt;&gt;"Disqualified — Free Game",OR(INDEX('Game Records'!$D:$D,$H110)="",LOWER(INDEX('Game Records'!$D:$D,$H110)&amp;"")="n/a")),"Entry Mode; ","")&amp;IF(AND(INDEX('Game Records'!$U:$U,$H110)&lt;&gt;"Subscription",INDEX('Game Records'!$U:$U,$H110)&lt;&gt;"Free Game",INDEX('Game Records'!$U:$U,$H110)&lt;&gt;"Disqualified — Free Game",OR(INDEX('Game Records'!$E:$E,$H110)="",LOWER(INDEX('Game Records'!$E:$E,$H110)&amp;"")="n/a")),"Game Type; ","")&amp;IF(INDEX('Game Records'!$F:$F,$H110)="","Payment Type; ","")&amp;IF(AND(INDEX('Game Records'!$U:$U,$H110)&lt;&gt;"Subscription",INDEX('Game Records'!$U:$U,$H110)&lt;&gt;"Free Game",INDEX('Game Records'!$U:$U,$H110)&lt;&gt;"Disqualified — Free Game",INDEX('Game Records'!$G:$G,$H110)=""),"Gross Pot; ","")&amp;IF(AND(INDEX('Game Records'!$U:$U,$H110)&lt;&gt;"Free Game",INDEX('Game Records'!$U:$U,$H110)&lt;&gt;"Disqualified — Free Game",INDEX('Game Records'!$H:$H,$H110)=""),"Entry Fee; ","")&amp;IF(AND(INDEX('Game Records'!$U:$U,$H110)&lt;&gt;"Subscription",INDEX('Game Records'!$U:$U,$H110)&lt;&gt;"Free Game",INDEX('Game Records'!$U:$U,$H110)&lt;&gt;"Disqualified — Free Game",INDEX('Game Records'!$I:$I,$H110)=""),"Eligible Players; ","")&amp;IF(AND(INDEX('Game Records'!$U:$U,$H110)&lt;&gt;"Subscription",INDEX('Game Records'!$U:$U,$H110)&lt;&gt;"Free Game",INDEX('Game Records'!$U:$U,$H110)&lt;&gt;"Disqualified — Free Game",INDEX('Game Records'!$J:$J,$H110)=""),"Total Players; ","")&amp;IF(AND(LOWER(INDEX('Game Records'!$D:$D,$H110)&amp;"")="finalized",LOWER(INDEX('Game Records'!$L:$L,$H110)&amp;"")&lt;&gt;"yes",INDEX('Game Records'!$U:$U,$H110)&lt;&gt;"Subscription",INDEX('Game Records'!$U:$U,$H110)&lt;&gt;"Free Game",INDEX('Game Records'!$U:$U,$H110)&lt;&gt;"Disqualified — Free Game",INDEX('Game Records'!$K:$K,$H110)=""),"Final Payout; ","")&amp;IF(AND(LOWER(INDEX('Game Records'!$D:$D,$H110)&amp;"")="finalized",INDEX('Game Records'!$U:$U,$H110)&lt;&gt;"Subscription",INDEX('Game Records'!$U:$U,$H110)&lt;&gt;"Free Game",INDEX('Game Records'!$U:$U,$H110)&lt;&gt;"Disqualified — Free Game",OR(INDEX('Game Records'!$L:$L,$H110)="",LOWER(INDEX('Game Records'!$L:$L,$H110)&amp;"")="n/a")),"Disqualified Status; ",""))</f>
        <v/>
      </c>
      <c r="G110" s="25" t="str">
        <f t="array" ref="G110">IF($H110="","",IFERROR(INDEX('Game Records'!$M:$M,$H110),""))</f>
        <v/>
      </c>
      <c r="H110" s="8"/>
      <c r="I110" s="8"/>
      <c r="J110" s="8"/>
    </row>
    <row r="111" ht="24.0" customHeight="1">
      <c r="A111" s="21" t="str">
        <f t="shared" si="1"/>
        <v/>
      </c>
      <c r="B111" s="21" t="str">
        <f t="shared" si="2"/>
        <v/>
      </c>
      <c r="C111" s="25" t="str">
        <f t="array" ref="C111">IF($H111="","",IFERROR(INDEX('Game Records'!$A:$A,$H111),""))</f>
        <v/>
      </c>
      <c r="D111" s="25" t="str">
        <f t="array" ref="D111">IF($H111="","",IFERROR(INDEX('Game Records'!$U:$U,$H111),""))</f>
        <v/>
      </c>
      <c r="E111" s="25" t="str">
        <f t="shared" si="3"/>
        <v/>
      </c>
      <c r="F111" s="25" t="str">
        <f t="array" ref="F111">IF($H111="","",IF(OR(NOT(_xlfn.ISFORMULA(INDEX('Game Records'!$N:$N,$H111))),NOT(_xlfn.ISFORMULA(INDEX('Game Records'!$O:$O,$H111))),NOT(_xlfn.ISFORMULA(INDEX('Game Records'!$P:$P,$H111))),NOT(_xlfn.ISFORMULA(INDEX('Game Records'!$Q:$Q,$H111))),NOT(_xlfn.ISFORMULA(INDEX('Game Records'!$R:$R,$H111))),NOT(_xlfn.ISFORMULA(INDEX('Game Records'!$S:$S,$H111))),NOT(_xlfn.ISFORMULA(INDEX('Game Records'!$T:$T,$H111))),NOT(_xlfn.ISFORMULA(INDEX('Game Records'!$U:$U,$H111))),NOT(_xlfn.ISFORMULA(INDEX('Game Records'!$V:$V,$H111))),NOT(_xlfn.ISFORMULA(INDEX('Game Records'!$W:$W,$H111))),NOT(_xlfn.ISFORMULA(INDEX('Game Records'!$X:$X,$H111))),NOT(_xlfn.ISFORMULA(INDEX('Game Records'!$Y:$Y,$H111))),NOT(_xlfn.ISFORMULA(INDEX('Game Records'!$Z:$Z,$H111)))),"","")&amp;IF(INDEX('Game Records'!$B:$B,$H111)="","Start Date; ","")&amp;IF(INDEX('Game Records'!$C:$C,$H111)="","End Date; ","")&amp;IF(AND(INDEX('Game Records'!$U:$U,$H111)&lt;&gt;"Subscription",INDEX('Game Records'!$U:$U,$H111)&lt;&gt;"Free Game",INDEX('Game Records'!$U:$U,$H111)&lt;&gt;"Disqualified — Free Game",OR(INDEX('Game Records'!$D:$D,$H111)="",LOWER(INDEX('Game Records'!$D:$D,$H111)&amp;"")="n/a")),"Entry Mode; ","")&amp;IF(AND(INDEX('Game Records'!$U:$U,$H111)&lt;&gt;"Subscription",INDEX('Game Records'!$U:$U,$H111)&lt;&gt;"Free Game",INDEX('Game Records'!$U:$U,$H111)&lt;&gt;"Disqualified — Free Game",OR(INDEX('Game Records'!$E:$E,$H111)="",LOWER(INDEX('Game Records'!$E:$E,$H111)&amp;"")="n/a")),"Game Type; ","")&amp;IF(INDEX('Game Records'!$F:$F,$H111)="","Payment Type; ","")&amp;IF(AND(INDEX('Game Records'!$U:$U,$H111)&lt;&gt;"Subscription",INDEX('Game Records'!$U:$U,$H111)&lt;&gt;"Free Game",INDEX('Game Records'!$U:$U,$H111)&lt;&gt;"Disqualified — Free Game",INDEX('Game Records'!$G:$G,$H111)=""),"Gross Pot; ","")&amp;IF(AND(INDEX('Game Records'!$U:$U,$H111)&lt;&gt;"Free Game",INDEX('Game Records'!$U:$U,$H111)&lt;&gt;"Disqualified — Free Game",INDEX('Game Records'!$H:$H,$H111)=""),"Entry Fee; ","")&amp;IF(AND(INDEX('Game Records'!$U:$U,$H111)&lt;&gt;"Subscription",INDEX('Game Records'!$U:$U,$H111)&lt;&gt;"Free Game",INDEX('Game Records'!$U:$U,$H111)&lt;&gt;"Disqualified — Free Game",INDEX('Game Records'!$I:$I,$H111)=""),"Eligible Players; ","")&amp;IF(AND(INDEX('Game Records'!$U:$U,$H111)&lt;&gt;"Subscription",INDEX('Game Records'!$U:$U,$H111)&lt;&gt;"Free Game",INDEX('Game Records'!$U:$U,$H111)&lt;&gt;"Disqualified — Free Game",INDEX('Game Records'!$J:$J,$H111)=""),"Total Players; ","")&amp;IF(AND(LOWER(INDEX('Game Records'!$D:$D,$H111)&amp;"")="finalized",LOWER(INDEX('Game Records'!$L:$L,$H111)&amp;"")&lt;&gt;"yes",INDEX('Game Records'!$U:$U,$H111)&lt;&gt;"Subscription",INDEX('Game Records'!$U:$U,$H111)&lt;&gt;"Free Game",INDEX('Game Records'!$U:$U,$H111)&lt;&gt;"Disqualified — Free Game",INDEX('Game Records'!$K:$K,$H111)=""),"Final Payout; ","")&amp;IF(AND(LOWER(INDEX('Game Records'!$D:$D,$H111)&amp;"")="finalized",INDEX('Game Records'!$U:$U,$H111)&lt;&gt;"Subscription",INDEX('Game Records'!$U:$U,$H111)&lt;&gt;"Free Game",INDEX('Game Records'!$U:$U,$H111)&lt;&gt;"Disqualified — Free Game",OR(INDEX('Game Records'!$L:$L,$H111)="",LOWER(INDEX('Game Records'!$L:$L,$H111)&amp;"")="n/a")),"Disqualified Status; ",""))</f>
        <v/>
      </c>
      <c r="G111" s="25" t="str">
        <f t="array" ref="G111">IF($H111="","",IFERROR(INDEX('Game Records'!$M:$M,$H111),""))</f>
        <v/>
      </c>
      <c r="H111" s="8"/>
      <c r="I111" s="8"/>
      <c r="J111" s="8"/>
    </row>
    <row r="112" ht="24.0" customHeight="1">
      <c r="A112" s="21" t="str">
        <f t="shared" si="1"/>
        <v/>
      </c>
      <c r="B112" s="21" t="str">
        <f t="shared" si="2"/>
        <v/>
      </c>
      <c r="C112" s="25" t="str">
        <f t="array" ref="C112">IF($H112="","",IFERROR(INDEX('Game Records'!$A:$A,$H112),""))</f>
        <v/>
      </c>
      <c r="D112" s="25" t="str">
        <f t="array" ref="D112">IF($H112="","",IFERROR(INDEX('Game Records'!$U:$U,$H112),""))</f>
        <v/>
      </c>
      <c r="E112" s="25" t="str">
        <f t="shared" si="3"/>
        <v/>
      </c>
      <c r="F112" s="25" t="str">
        <f t="array" ref="F112">IF($H112="","",IF(OR(NOT(_xlfn.ISFORMULA(INDEX('Game Records'!$N:$N,$H112))),NOT(_xlfn.ISFORMULA(INDEX('Game Records'!$O:$O,$H112))),NOT(_xlfn.ISFORMULA(INDEX('Game Records'!$P:$P,$H112))),NOT(_xlfn.ISFORMULA(INDEX('Game Records'!$Q:$Q,$H112))),NOT(_xlfn.ISFORMULA(INDEX('Game Records'!$R:$R,$H112))),NOT(_xlfn.ISFORMULA(INDEX('Game Records'!$S:$S,$H112))),NOT(_xlfn.ISFORMULA(INDEX('Game Records'!$T:$T,$H112))),NOT(_xlfn.ISFORMULA(INDEX('Game Records'!$U:$U,$H112))),NOT(_xlfn.ISFORMULA(INDEX('Game Records'!$V:$V,$H112))),NOT(_xlfn.ISFORMULA(INDEX('Game Records'!$W:$W,$H112))),NOT(_xlfn.ISFORMULA(INDEX('Game Records'!$X:$X,$H112))),NOT(_xlfn.ISFORMULA(INDEX('Game Records'!$Y:$Y,$H112))),NOT(_xlfn.ISFORMULA(INDEX('Game Records'!$Z:$Z,$H112)))),"","")&amp;IF(INDEX('Game Records'!$B:$B,$H112)="","Start Date; ","")&amp;IF(INDEX('Game Records'!$C:$C,$H112)="","End Date; ","")&amp;IF(AND(INDEX('Game Records'!$U:$U,$H112)&lt;&gt;"Subscription",INDEX('Game Records'!$U:$U,$H112)&lt;&gt;"Free Game",INDEX('Game Records'!$U:$U,$H112)&lt;&gt;"Disqualified — Free Game",OR(INDEX('Game Records'!$D:$D,$H112)="",LOWER(INDEX('Game Records'!$D:$D,$H112)&amp;"")="n/a")),"Entry Mode; ","")&amp;IF(AND(INDEX('Game Records'!$U:$U,$H112)&lt;&gt;"Subscription",INDEX('Game Records'!$U:$U,$H112)&lt;&gt;"Free Game",INDEX('Game Records'!$U:$U,$H112)&lt;&gt;"Disqualified — Free Game",OR(INDEX('Game Records'!$E:$E,$H112)="",LOWER(INDEX('Game Records'!$E:$E,$H112)&amp;"")="n/a")),"Game Type; ","")&amp;IF(INDEX('Game Records'!$F:$F,$H112)="","Payment Type; ","")&amp;IF(AND(INDEX('Game Records'!$U:$U,$H112)&lt;&gt;"Subscription",INDEX('Game Records'!$U:$U,$H112)&lt;&gt;"Free Game",INDEX('Game Records'!$U:$U,$H112)&lt;&gt;"Disqualified — Free Game",INDEX('Game Records'!$G:$G,$H112)=""),"Gross Pot; ","")&amp;IF(AND(INDEX('Game Records'!$U:$U,$H112)&lt;&gt;"Free Game",INDEX('Game Records'!$U:$U,$H112)&lt;&gt;"Disqualified — Free Game",INDEX('Game Records'!$H:$H,$H112)=""),"Entry Fee; ","")&amp;IF(AND(INDEX('Game Records'!$U:$U,$H112)&lt;&gt;"Subscription",INDEX('Game Records'!$U:$U,$H112)&lt;&gt;"Free Game",INDEX('Game Records'!$U:$U,$H112)&lt;&gt;"Disqualified — Free Game",INDEX('Game Records'!$I:$I,$H112)=""),"Eligible Players; ","")&amp;IF(AND(INDEX('Game Records'!$U:$U,$H112)&lt;&gt;"Subscription",INDEX('Game Records'!$U:$U,$H112)&lt;&gt;"Free Game",INDEX('Game Records'!$U:$U,$H112)&lt;&gt;"Disqualified — Free Game",INDEX('Game Records'!$J:$J,$H112)=""),"Total Players; ","")&amp;IF(AND(LOWER(INDEX('Game Records'!$D:$D,$H112)&amp;"")="finalized",LOWER(INDEX('Game Records'!$L:$L,$H112)&amp;"")&lt;&gt;"yes",INDEX('Game Records'!$U:$U,$H112)&lt;&gt;"Subscription",INDEX('Game Records'!$U:$U,$H112)&lt;&gt;"Free Game",INDEX('Game Records'!$U:$U,$H112)&lt;&gt;"Disqualified — Free Game",INDEX('Game Records'!$K:$K,$H112)=""),"Final Payout; ","")&amp;IF(AND(LOWER(INDEX('Game Records'!$D:$D,$H112)&amp;"")="finalized",INDEX('Game Records'!$U:$U,$H112)&lt;&gt;"Subscription",INDEX('Game Records'!$U:$U,$H112)&lt;&gt;"Free Game",INDEX('Game Records'!$U:$U,$H112)&lt;&gt;"Disqualified — Free Game",OR(INDEX('Game Records'!$L:$L,$H112)="",LOWER(INDEX('Game Records'!$L:$L,$H112)&amp;"")="n/a")),"Disqualified Status; ",""))</f>
        <v/>
      </c>
      <c r="G112" s="25" t="str">
        <f t="array" ref="G112">IF($H112="","",IFERROR(INDEX('Game Records'!$M:$M,$H112),""))</f>
        <v/>
      </c>
      <c r="H112" s="8"/>
      <c r="I112" s="8"/>
      <c r="J112" s="8"/>
    </row>
    <row r="113" ht="24.0" customHeight="1">
      <c r="A113" s="21" t="str">
        <f t="shared" si="1"/>
        <v/>
      </c>
      <c r="B113" s="21" t="str">
        <f t="shared" si="2"/>
        <v/>
      </c>
      <c r="C113" s="25" t="str">
        <f t="array" ref="C113">IF($H113="","",IFERROR(INDEX('Game Records'!$A:$A,$H113),""))</f>
        <v/>
      </c>
      <c r="D113" s="25" t="str">
        <f t="array" ref="D113">IF($H113="","",IFERROR(INDEX('Game Records'!$U:$U,$H113),""))</f>
        <v/>
      </c>
      <c r="E113" s="25" t="str">
        <f t="shared" si="3"/>
        <v/>
      </c>
      <c r="F113" s="25" t="str">
        <f t="array" ref="F113">IF($H113="","",IF(OR(NOT(_xlfn.ISFORMULA(INDEX('Game Records'!$N:$N,$H113))),NOT(_xlfn.ISFORMULA(INDEX('Game Records'!$O:$O,$H113))),NOT(_xlfn.ISFORMULA(INDEX('Game Records'!$P:$P,$H113))),NOT(_xlfn.ISFORMULA(INDEX('Game Records'!$Q:$Q,$H113))),NOT(_xlfn.ISFORMULA(INDEX('Game Records'!$R:$R,$H113))),NOT(_xlfn.ISFORMULA(INDEX('Game Records'!$S:$S,$H113))),NOT(_xlfn.ISFORMULA(INDEX('Game Records'!$T:$T,$H113))),NOT(_xlfn.ISFORMULA(INDEX('Game Records'!$U:$U,$H113))),NOT(_xlfn.ISFORMULA(INDEX('Game Records'!$V:$V,$H113))),NOT(_xlfn.ISFORMULA(INDEX('Game Records'!$W:$W,$H113))),NOT(_xlfn.ISFORMULA(INDEX('Game Records'!$X:$X,$H113))),NOT(_xlfn.ISFORMULA(INDEX('Game Records'!$Y:$Y,$H113))),NOT(_xlfn.ISFORMULA(INDEX('Game Records'!$Z:$Z,$H113)))),"","")&amp;IF(INDEX('Game Records'!$B:$B,$H113)="","Start Date; ","")&amp;IF(INDEX('Game Records'!$C:$C,$H113)="","End Date; ","")&amp;IF(AND(INDEX('Game Records'!$U:$U,$H113)&lt;&gt;"Subscription",INDEX('Game Records'!$U:$U,$H113)&lt;&gt;"Free Game",INDEX('Game Records'!$U:$U,$H113)&lt;&gt;"Disqualified — Free Game",OR(INDEX('Game Records'!$D:$D,$H113)="",LOWER(INDEX('Game Records'!$D:$D,$H113)&amp;"")="n/a")),"Entry Mode; ","")&amp;IF(AND(INDEX('Game Records'!$U:$U,$H113)&lt;&gt;"Subscription",INDEX('Game Records'!$U:$U,$H113)&lt;&gt;"Free Game",INDEX('Game Records'!$U:$U,$H113)&lt;&gt;"Disqualified — Free Game",OR(INDEX('Game Records'!$E:$E,$H113)="",LOWER(INDEX('Game Records'!$E:$E,$H113)&amp;"")="n/a")),"Game Type; ","")&amp;IF(INDEX('Game Records'!$F:$F,$H113)="","Payment Type; ","")&amp;IF(AND(INDEX('Game Records'!$U:$U,$H113)&lt;&gt;"Subscription",INDEX('Game Records'!$U:$U,$H113)&lt;&gt;"Free Game",INDEX('Game Records'!$U:$U,$H113)&lt;&gt;"Disqualified — Free Game",INDEX('Game Records'!$G:$G,$H113)=""),"Gross Pot; ","")&amp;IF(AND(INDEX('Game Records'!$U:$U,$H113)&lt;&gt;"Free Game",INDEX('Game Records'!$U:$U,$H113)&lt;&gt;"Disqualified — Free Game",INDEX('Game Records'!$H:$H,$H113)=""),"Entry Fee; ","")&amp;IF(AND(INDEX('Game Records'!$U:$U,$H113)&lt;&gt;"Subscription",INDEX('Game Records'!$U:$U,$H113)&lt;&gt;"Free Game",INDEX('Game Records'!$U:$U,$H113)&lt;&gt;"Disqualified — Free Game",INDEX('Game Records'!$I:$I,$H113)=""),"Eligible Players; ","")&amp;IF(AND(INDEX('Game Records'!$U:$U,$H113)&lt;&gt;"Subscription",INDEX('Game Records'!$U:$U,$H113)&lt;&gt;"Free Game",INDEX('Game Records'!$U:$U,$H113)&lt;&gt;"Disqualified — Free Game",INDEX('Game Records'!$J:$J,$H113)=""),"Total Players; ","")&amp;IF(AND(LOWER(INDEX('Game Records'!$D:$D,$H113)&amp;"")="finalized",LOWER(INDEX('Game Records'!$L:$L,$H113)&amp;"")&lt;&gt;"yes",INDEX('Game Records'!$U:$U,$H113)&lt;&gt;"Subscription",INDEX('Game Records'!$U:$U,$H113)&lt;&gt;"Free Game",INDEX('Game Records'!$U:$U,$H113)&lt;&gt;"Disqualified — Free Game",INDEX('Game Records'!$K:$K,$H113)=""),"Final Payout; ","")&amp;IF(AND(LOWER(INDEX('Game Records'!$D:$D,$H113)&amp;"")="finalized",INDEX('Game Records'!$U:$U,$H113)&lt;&gt;"Subscription",INDEX('Game Records'!$U:$U,$H113)&lt;&gt;"Free Game",INDEX('Game Records'!$U:$U,$H113)&lt;&gt;"Disqualified — Free Game",OR(INDEX('Game Records'!$L:$L,$H113)="",LOWER(INDEX('Game Records'!$L:$L,$H113)&amp;"")="n/a")),"Disqualified Status; ",""))</f>
        <v/>
      </c>
      <c r="G113" s="25" t="str">
        <f t="array" ref="G113">IF($H113="","",IFERROR(INDEX('Game Records'!$M:$M,$H113),""))</f>
        <v/>
      </c>
      <c r="H113" s="8"/>
      <c r="I113" s="8"/>
      <c r="J113" s="8"/>
    </row>
    <row r="114" ht="24.0" customHeight="1">
      <c r="A114" s="21" t="str">
        <f t="shared" si="1"/>
        <v/>
      </c>
      <c r="B114" s="21" t="str">
        <f t="shared" si="2"/>
        <v/>
      </c>
      <c r="C114" s="25" t="str">
        <f t="array" ref="C114">IF($H114="","",IFERROR(INDEX('Game Records'!$A:$A,$H114),""))</f>
        <v/>
      </c>
      <c r="D114" s="25" t="str">
        <f t="array" ref="D114">IF($H114="","",IFERROR(INDEX('Game Records'!$U:$U,$H114),""))</f>
        <v/>
      </c>
      <c r="E114" s="25" t="str">
        <f t="shared" si="3"/>
        <v/>
      </c>
      <c r="F114" s="25" t="str">
        <f t="array" ref="F114">IF($H114="","",IF(OR(NOT(_xlfn.ISFORMULA(INDEX('Game Records'!$N:$N,$H114))),NOT(_xlfn.ISFORMULA(INDEX('Game Records'!$O:$O,$H114))),NOT(_xlfn.ISFORMULA(INDEX('Game Records'!$P:$P,$H114))),NOT(_xlfn.ISFORMULA(INDEX('Game Records'!$Q:$Q,$H114))),NOT(_xlfn.ISFORMULA(INDEX('Game Records'!$R:$R,$H114))),NOT(_xlfn.ISFORMULA(INDEX('Game Records'!$S:$S,$H114))),NOT(_xlfn.ISFORMULA(INDEX('Game Records'!$T:$T,$H114))),NOT(_xlfn.ISFORMULA(INDEX('Game Records'!$U:$U,$H114))),NOT(_xlfn.ISFORMULA(INDEX('Game Records'!$V:$V,$H114))),NOT(_xlfn.ISFORMULA(INDEX('Game Records'!$W:$W,$H114))),NOT(_xlfn.ISFORMULA(INDEX('Game Records'!$X:$X,$H114))),NOT(_xlfn.ISFORMULA(INDEX('Game Records'!$Y:$Y,$H114))),NOT(_xlfn.ISFORMULA(INDEX('Game Records'!$Z:$Z,$H114)))),"","")&amp;IF(INDEX('Game Records'!$B:$B,$H114)="","Start Date; ","")&amp;IF(INDEX('Game Records'!$C:$C,$H114)="","End Date; ","")&amp;IF(AND(INDEX('Game Records'!$U:$U,$H114)&lt;&gt;"Subscription",INDEX('Game Records'!$U:$U,$H114)&lt;&gt;"Free Game",INDEX('Game Records'!$U:$U,$H114)&lt;&gt;"Disqualified — Free Game",OR(INDEX('Game Records'!$D:$D,$H114)="",LOWER(INDEX('Game Records'!$D:$D,$H114)&amp;"")="n/a")),"Entry Mode; ","")&amp;IF(AND(INDEX('Game Records'!$U:$U,$H114)&lt;&gt;"Subscription",INDEX('Game Records'!$U:$U,$H114)&lt;&gt;"Free Game",INDEX('Game Records'!$U:$U,$H114)&lt;&gt;"Disqualified — Free Game",OR(INDEX('Game Records'!$E:$E,$H114)="",LOWER(INDEX('Game Records'!$E:$E,$H114)&amp;"")="n/a")),"Game Type; ","")&amp;IF(INDEX('Game Records'!$F:$F,$H114)="","Payment Type; ","")&amp;IF(AND(INDEX('Game Records'!$U:$U,$H114)&lt;&gt;"Subscription",INDEX('Game Records'!$U:$U,$H114)&lt;&gt;"Free Game",INDEX('Game Records'!$U:$U,$H114)&lt;&gt;"Disqualified — Free Game",INDEX('Game Records'!$G:$G,$H114)=""),"Gross Pot; ","")&amp;IF(AND(INDEX('Game Records'!$U:$U,$H114)&lt;&gt;"Free Game",INDEX('Game Records'!$U:$U,$H114)&lt;&gt;"Disqualified — Free Game",INDEX('Game Records'!$H:$H,$H114)=""),"Entry Fee; ","")&amp;IF(AND(INDEX('Game Records'!$U:$U,$H114)&lt;&gt;"Subscription",INDEX('Game Records'!$U:$U,$H114)&lt;&gt;"Free Game",INDEX('Game Records'!$U:$U,$H114)&lt;&gt;"Disqualified — Free Game",INDEX('Game Records'!$I:$I,$H114)=""),"Eligible Players; ","")&amp;IF(AND(INDEX('Game Records'!$U:$U,$H114)&lt;&gt;"Subscription",INDEX('Game Records'!$U:$U,$H114)&lt;&gt;"Free Game",INDEX('Game Records'!$U:$U,$H114)&lt;&gt;"Disqualified — Free Game",INDEX('Game Records'!$J:$J,$H114)=""),"Total Players; ","")&amp;IF(AND(LOWER(INDEX('Game Records'!$D:$D,$H114)&amp;"")="finalized",LOWER(INDEX('Game Records'!$L:$L,$H114)&amp;"")&lt;&gt;"yes",INDEX('Game Records'!$U:$U,$H114)&lt;&gt;"Subscription",INDEX('Game Records'!$U:$U,$H114)&lt;&gt;"Free Game",INDEX('Game Records'!$U:$U,$H114)&lt;&gt;"Disqualified — Free Game",INDEX('Game Records'!$K:$K,$H114)=""),"Final Payout; ","")&amp;IF(AND(LOWER(INDEX('Game Records'!$D:$D,$H114)&amp;"")="finalized",INDEX('Game Records'!$U:$U,$H114)&lt;&gt;"Subscription",INDEX('Game Records'!$U:$U,$H114)&lt;&gt;"Free Game",INDEX('Game Records'!$U:$U,$H114)&lt;&gt;"Disqualified — Free Game",OR(INDEX('Game Records'!$L:$L,$H114)="",LOWER(INDEX('Game Records'!$L:$L,$H114)&amp;"")="n/a")),"Disqualified Status; ",""))</f>
        <v/>
      </c>
      <c r="G114" s="25" t="str">
        <f t="array" ref="G114">IF($H114="","",IFERROR(INDEX('Game Records'!$M:$M,$H114),""))</f>
        <v/>
      </c>
      <c r="H114" s="8"/>
      <c r="I114" s="8"/>
      <c r="J114" s="8"/>
    </row>
    <row r="115" ht="24.0" customHeight="1">
      <c r="A115" s="21" t="str">
        <f t="shared" si="1"/>
        <v/>
      </c>
      <c r="B115" s="21" t="str">
        <f t="shared" si="2"/>
        <v/>
      </c>
      <c r="C115" s="25" t="str">
        <f t="array" ref="C115">IF($H115="","",IFERROR(INDEX('Game Records'!$A:$A,$H115),""))</f>
        <v/>
      </c>
      <c r="D115" s="25" t="str">
        <f t="array" ref="D115">IF($H115="","",IFERROR(INDEX('Game Records'!$U:$U,$H115),""))</f>
        <v/>
      </c>
      <c r="E115" s="25" t="str">
        <f t="shared" si="3"/>
        <v/>
      </c>
      <c r="F115" s="25" t="str">
        <f t="array" ref="F115">IF($H115="","",IF(OR(NOT(_xlfn.ISFORMULA(INDEX('Game Records'!$N:$N,$H115))),NOT(_xlfn.ISFORMULA(INDEX('Game Records'!$O:$O,$H115))),NOT(_xlfn.ISFORMULA(INDEX('Game Records'!$P:$P,$H115))),NOT(_xlfn.ISFORMULA(INDEX('Game Records'!$Q:$Q,$H115))),NOT(_xlfn.ISFORMULA(INDEX('Game Records'!$R:$R,$H115))),NOT(_xlfn.ISFORMULA(INDEX('Game Records'!$S:$S,$H115))),NOT(_xlfn.ISFORMULA(INDEX('Game Records'!$T:$T,$H115))),NOT(_xlfn.ISFORMULA(INDEX('Game Records'!$U:$U,$H115))),NOT(_xlfn.ISFORMULA(INDEX('Game Records'!$V:$V,$H115))),NOT(_xlfn.ISFORMULA(INDEX('Game Records'!$W:$W,$H115))),NOT(_xlfn.ISFORMULA(INDEX('Game Records'!$X:$X,$H115))),NOT(_xlfn.ISFORMULA(INDEX('Game Records'!$Y:$Y,$H115))),NOT(_xlfn.ISFORMULA(INDEX('Game Records'!$Z:$Z,$H115)))),"","")&amp;IF(INDEX('Game Records'!$B:$B,$H115)="","Start Date; ","")&amp;IF(INDEX('Game Records'!$C:$C,$H115)="","End Date; ","")&amp;IF(AND(INDEX('Game Records'!$U:$U,$H115)&lt;&gt;"Subscription",INDEX('Game Records'!$U:$U,$H115)&lt;&gt;"Free Game",INDEX('Game Records'!$U:$U,$H115)&lt;&gt;"Disqualified — Free Game",OR(INDEX('Game Records'!$D:$D,$H115)="",LOWER(INDEX('Game Records'!$D:$D,$H115)&amp;"")="n/a")),"Entry Mode; ","")&amp;IF(AND(INDEX('Game Records'!$U:$U,$H115)&lt;&gt;"Subscription",INDEX('Game Records'!$U:$U,$H115)&lt;&gt;"Free Game",INDEX('Game Records'!$U:$U,$H115)&lt;&gt;"Disqualified — Free Game",OR(INDEX('Game Records'!$E:$E,$H115)="",LOWER(INDEX('Game Records'!$E:$E,$H115)&amp;"")="n/a")),"Game Type; ","")&amp;IF(INDEX('Game Records'!$F:$F,$H115)="","Payment Type; ","")&amp;IF(AND(INDEX('Game Records'!$U:$U,$H115)&lt;&gt;"Subscription",INDEX('Game Records'!$U:$U,$H115)&lt;&gt;"Free Game",INDEX('Game Records'!$U:$U,$H115)&lt;&gt;"Disqualified — Free Game",INDEX('Game Records'!$G:$G,$H115)=""),"Gross Pot; ","")&amp;IF(AND(INDEX('Game Records'!$U:$U,$H115)&lt;&gt;"Free Game",INDEX('Game Records'!$U:$U,$H115)&lt;&gt;"Disqualified — Free Game",INDEX('Game Records'!$H:$H,$H115)=""),"Entry Fee; ","")&amp;IF(AND(INDEX('Game Records'!$U:$U,$H115)&lt;&gt;"Subscription",INDEX('Game Records'!$U:$U,$H115)&lt;&gt;"Free Game",INDEX('Game Records'!$U:$U,$H115)&lt;&gt;"Disqualified — Free Game",INDEX('Game Records'!$I:$I,$H115)=""),"Eligible Players; ","")&amp;IF(AND(INDEX('Game Records'!$U:$U,$H115)&lt;&gt;"Subscription",INDEX('Game Records'!$U:$U,$H115)&lt;&gt;"Free Game",INDEX('Game Records'!$U:$U,$H115)&lt;&gt;"Disqualified — Free Game",INDEX('Game Records'!$J:$J,$H115)=""),"Total Players; ","")&amp;IF(AND(LOWER(INDEX('Game Records'!$D:$D,$H115)&amp;"")="finalized",LOWER(INDEX('Game Records'!$L:$L,$H115)&amp;"")&lt;&gt;"yes",INDEX('Game Records'!$U:$U,$H115)&lt;&gt;"Subscription",INDEX('Game Records'!$U:$U,$H115)&lt;&gt;"Free Game",INDEX('Game Records'!$U:$U,$H115)&lt;&gt;"Disqualified — Free Game",INDEX('Game Records'!$K:$K,$H115)=""),"Final Payout; ","")&amp;IF(AND(LOWER(INDEX('Game Records'!$D:$D,$H115)&amp;"")="finalized",INDEX('Game Records'!$U:$U,$H115)&lt;&gt;"Subscription",INDEX('Game Records'!$U:$U,$H115)&lt;&gt;"Free Game",INDEX('Game Records'!$U:$U,$H115)&lt;&gt;"Disqualified — Free Game",OR(INDEX('Game Records'!$L:$L,$H115)="",LOWER(INDEX('Game Records'!$L:$L,$H115)&amp;"")="n/a")),"Disqualified Status; ",""))</f>
        <v/>
      </c>
      <c r="G115" s="25" t="str">
        <f t="array" ref="G115">IF($H115="","",IFERROR(INDEX('Game Records'!$M:$M,$H115),""))</f>
        <v/>
      </c>
      <c r="H115" s="8"/>
      <c r="I115" s="8"/>
      <c r="J115" s="8"/>
    </row>
    <row r="116" ht="24.0" customHeight="1">
      <c r="A116" s="21" t="str">
        <f t="shared" si="1"/>
        <v/>
      </c>
      <c r="B116" s="21" t="str">
        <f t="shared" si="2"/>
        <v/>
      </c>
      <c r="C116" s="25" t="str">
        <f t="array" ref="C116">IF($H116="","",IFERROR(INDEX('Game Records'!$A:$A,$H116),""))</f>
        <v/>
      </c>
      <c r="D116" s="25" t="str">
        <f t="array" ref="D116">IF($H116="","",IFERROR(INDEX('Game Records'!$U:$U,$H116),""))</f>
        <v/>
      </c>
      <c r="E116" s="25" t="str">
        <f t="shared" si="3"/>
        <v/>
      </c>
      <c r="F116" s="25" t="str">
        <f t="array" ref="F116">IF($H116="","",IF(OR(NOT(_xlfn.ISFORMULA(INDEX('Game Records'!$N:$N,$H116))),NOT(_xlfn.ISFORMULA(INDEX('Game Records'!$O:$O,$H116))),NOT(_xlfn.ISFORMULA(INDEX('Game Records'!$P:$P,$H116))),NOT(_xlfn.ISFORMULA(INDEX('Game Records'!$Q:$Q,$H116))),NOT(_xlfn.ISFORMULA(INDEX('Game Records'!$R:$R,$H116))),NOT(_xlfn.ISFORMULA(INDEX('Game Records'!$S:$S,$H116))),NOT(_xlfn.ISFORMULA(INDEX('Game Records'!$T:$T,$H116))),NOT(_xlfn.ISFORMULA(INDEX('Game Records'!$U:$U,$H116))),NOT(_xlfn.ISFORMULA(INDEX('Game Records'!$V:$V,$H116))),NOT(_xlfn.ISFORMULA(INDEX('Game Records'!$W:$W,$H116))),NOT(_xlfn.ISFORMULA(INDEX('Game Records'!$X:$X,$H116))),NOT(_xlfn.ISFORMULA(INDEX('Game Records'!$Y:$Y,$H116))),NOT(_xlfn.ISFORMULA(INDEX('Game Records'!$Z:$Z,$H116)))),"","")&amp;IF(INDEX('Game Records'!$B:$B,$H116)="","Start Date; ","")&amp;IF(INDEX('Game Records'!$C:$C,$H116)="","End Date; ","")&amp;IF(AND(INDEX('Game Records'!$U:$U,$H116)&lt;&gt;"Subscription",INDEX('Game Records'!$U:$U,$H116)&lt;&gt;"Free Game",INDEX('Game Records'!$U:$U,$H116)&lt;&gt;"Disqualified — Free Game",OR(INDEX('Game Records'!$D:$D,$H116)="",LOWER(INDEX('Game Records'!$D:$D,$H116)&amp;"")="n/a")),"Entry Mode; ","")&amp;IF(AND(INDEX('Game Records'!$U:$U,$H116)&lt;&gt;"Subscription",INDEX('Game Records'!$U:$U,$H116)&lt;&gt;"Free Game",INDEX('Game Records'!$U:$U,$H116)&lt;&gt;"Disqualified — Free Game",OR(INDEX('Game Records'!$E:$E,$H116)="",LOWER(INDEX('Game Records'!$E:$E,$H116)&amp;"")="n/a")),"Game Type; ","")&amp;IF(INDEX('Game Records'!$F:$F,$H116)="","Payment Type; ","")&amp;IF(AND(INDEX('Game Records'!$U:$U,$H116)&lt;&gt;"Subscription",INDEX('Game Records'!$U:$U,$H116)&lt;&gt;"Free Game",INDEX('Game Records'!$U:$U,$H116)&lt;&gt;"Disqualified — Free Game",INDEX('Game Records'!$G:$G,$H116)=""),"Gross Pot; ","")&amp;IF(AND(INDEX('Game Records'!$U:$U,$H116)&lt;&gt;"Free Game",INDEX('Game Records'!$U:$U,$H116)&lt;&gt;"Disqualified — Free Game",INDEX('Game Records'!$H:$H,$H116)=""),"Entry Fee; ","")&amp;IF(AND(INDEX('Game Records'!$U:$U,$H116)&lt;&gt;"Subscription",INDEX('Game Records'!$U:$U,$H116)&lt;&gt;"Free Game",INDEX('Game Records'!$U:$U,$H116)&lt;&gt;"Disqualified — Free Game",INDEX('Game Records'!$I:$I,$H116)=""),"Eligible Players; ","")&amp;IF(AND(INDEX('Game Records'!$U:$U,$H116)&lt;&gt;"Subscription",INDEX('Game Records'!$U:$U,$H116)&lt;&gt;"Free Game",INDEX('Game Records'!$U:$U,$H116)&lt;&gt;"Disqualified — Free Game",INDEX('Game Records'!$J:$J,$H116)=""),"Total Players; ","")&amp;IF(AND(LOWER(INDEX('Game Records'!$D:$D,$H116)&amp;"")="finalized",LOWER(INDEX('Game Records'!$L:$L,$H116)&amp;"")&lt;&gt;"yes",INDEX('Game Records'!$U:$U,$H116)&lt;&gt;"Subscription",INDEX('Game Records'!$U:$U,$H116)&lt;&gt;"Free Game",INDEX('Game Records'!$U:$U,$H116)&lt;&gt;"Disqualified — Free Game",INDEX('Game Records'!$K:$K,$H116)=""),"Final Payout; ","")&amp;IF(AND(LOWER(INDEX('Game Records'!$D:$D,$H116)&amp;"")="finalized",INDEX('Game Records'!$U:$U,$H116)&lt;&gt;"Subscription",INDEX('Game Records'!$U:$U,$H116)&lt;&gt;"Free Game",INDEX('Game Records'!$U:$U,$H116)&lt;&gt;"Disqualified — Free Game",OR(INDEX('Game Records'!$L:$L,$H116)="",LOWER(INDEX('Game Records'!$L:$L,$H116)&amp;"")="n/a")),"Disqualified Status; ",""))</f>
        <v/>
      </c>
      <c r="G116" s="25" t="str">
        <f t="array" ref="G116">IF($H116="","",IFERROR(INDEX('Game Records'!$M:$M,$H116),""))</f>
        <v/>
      </c>
      <c r="H116" s="8"/>
      <c r="I116" s="8"/>
      <c r="J116" s="8"/>
    </row>
    <row r="117" ht="24.0" customHeight="1">
      <c r="A117" s="21" t="str">
        <f t="shared" si="1"/>
        <v/>
      </c>
      <c r="B117" s="21" t="str">
        <f t="shared" si="2"/>
        <v/>
      </c>
      <c r="C117" s="25" t="str">
        <f t="array" ref="C117">IF($H117="","",IFERROR(INDEX('Game Records'!$A:$A,$H117),""))</f>
        <v/>
      </c>
      <c r="D117" s="25" t="str">
        <f t="array" ref="D117">IF($H117="","",IFERROR(INDEX('Game Records'!$U:$U,$H117),""))</f>
        <v/>
      </c>
      <c r="E117" s="25" t="str">
        <f t="shared" si="3"/>
        <v/>
      </c>
      <c r="F117" s="25" t="str">
        <f t="array" ref="F117">IF($H117="","",IF(OR(NOT(_xlfn.ISFORMULA(INDEX('Game Records'!$N:$N,$H117))),NOT(_xlfn.ISFORMULA(INDEX('Game Records'!$O:$O,$H117))),NOT(_xlfn.ISFORMULA(INDEX('Game Records'!$P:$P,$H117))),NOT(_xlfn.ISFORMULA(INDEX('Game Records'!$Q:$Q,$H117))),NOT(_xlfn.ISFORMULA(INDEX('Game Records'!$R:$R,$H117))),NOT(_xlfn.ISFORMULA(INDEX('Game Records'!$S:$S,$H117))),NOT(_xlfn.ISFORMULA(INDEX('Game Records'!$T:$T,$H117))),NOT(_xlfn.ISFORMULA(INDEX('Game Records'!$U:$U,$H117))),NOT(_xlfn.ISFORMULA(INDEX('Game Records'!$V:$V,$H117))),NOT(_xlfn.ISFORMULA(INDEX('Game Records'!$W:$W,$H117))),NOT(_xlfn.ISFORMULA(INDEX('Game Records'!$X:$X,$H117))),NOT(_xlfn.ISFORMULA(INDEX('Game Records'!$Y:$Y,$H117))),NOT(_xlfn.ISFORMULA(INDEX('Game Records'!$Z:$Z,$H117)))),"","")&amp;IF(INDEX('Game Records'!$B:$B,$H117)="","Start Date; ","")&amp;IF(INDEX('Game Records'!$C:$C,$H117)="","End Date; ","")&amp;IF(AND(INDEX('Game Records'!$U:$U,$H117)&lt;&gt;"Subscription",INDEX('Game Records'!$U:$U,$H117)&lt;&gt;"Free Game",INDEX('Game Records'!$U:$U,$H117)&lt;&gt;"Disqualified — Free Game",OR(INDEX('Game Records'!$D:$D,$H117)="",LOWER(INDEX('Game Records'!$D:$D,$H117)&amp;"")="n/a")),"Entry Mode; ","")&amp;IF(AND(INDEX('Game Records'!$U:$U,$H117)&lt;&gt;"Subscription",INDEX('Game Records'!$U:$U,$H117)&lt;&gt;"Free Game",INDEX('Game Records'!$U:$U,$H117)&lt;&gt;"Disqualified — Free Game",OR(INDEX('Game Records'!$E:$E,$H117)="",LOWER(INDEX('Game Records'!$E:$E,$H117)&amp;"")="n/a")),"Game Type; ","")&amp;IF(INDEX('Game Records'!$F:$F,$H117)="","Payment Type; ","")&amp;IF(AND(INDEX('Game Records'!$U:$U,$H117)&lt;&gt;"Subscription",INDEX('Game Records'!$U:$U,$H117)&lt;&gt;"Free Game",INDEX('Game Records'!$U:$U,$H117)&lt;&gt;"Disqualified — Free Game",INDEX('Game Records'!$G:$G,$H117)=""),"Gross Pot; ","")&amp;IF(AND(INDEX('Game Records'!$U:$U,$H117)&lt;&gt;"Free Game",INDEX('Game Records'!$U:$U,$H117)&lt;&gt;"Disqualified — Free Game",INDEX('Game Records'!$H:$H,$H117)=""),"Entry Fee; ","")&amp;IF(AND(INDEX('Game Records'!$U:$U,$H117)&lt;&gt;"Subscription",INDEX('Game Records'!$U:$U,$H117)&lt;&gt;"Free Game",INDEX('Game Records'!$U:$U,$H117)&lt;&gt;"Disqualified — Free Game",INDEX('Game Records'!$I:$I,$H117)=""),"Eligible Players; ","")&amp;IF(AND(INDEX('Game Records'!$U:$U,$H117)&lt;&gt;"Subscription",INDEX('Game Records'!$U:$U,$H117)&lt;&gt;"Free Game",INDEX('Game Records'!$U:$U,$H117)&lt;&gt;"Disqualified — Free Game",INDEX('Game Records'!$J:$J,$H117)=""),"Total Players; ","")&amp;IF(AND(LOWER(INDEX('Game Records'!$D:$D,$H117)&amp;"")="finalized",LOWER(INDEX('Game Records'!$L:$L,$H117)&amp;"")&lt;&gt;"yes",INDEX('Game Records'!$U:$U,$H117)&lt;&gt;"Subscription",INDEX('Game Records'!$U:$U,$H117)&lt;&gt;"Free Game",INDEX('Game Records'!$U:$U,$H117)&lt;&gt;"Disqualified — Free Game",INDEX('Game Records'!$K:$K,$H117)=""),"Final Payout; ","")&amp;IF(AND(LOWER(INDEX('Game Records'!$D:$D,$H117)&amp;"")="finalized",INDEX('Game Records'!$U:$U,$H117)&lt;&gt;"Subscription",INDEX('Game Records'!$U:$U,$H117)&lt;&gt;"Free Game",INDEX('Game Records'!$U:$U,$H117)&lt;&gt;"Disqualified — Free Game",OR(INDEX('Game Records'!$L:$L,$H117)="",LOWER(INDEX('Game Records'!$L:$L,$H117)&amp;"")="n/a")),"Disqualified Status; ",""))</f>
        <v/>
      </c>
      <c r="G117" s="25" t="str">
        <f t="array" ref="G117">IF($H117="","",IFERROR(INDEX('Game Records'!$M:$M,$H117),""))</f>
        <v/>
      </c>
      <c r="H117" s="8"/>
      <c r="I117" s="8"/>
      <c r="J117" s="8"/>
    </row>
    <row r="118" ht="24.0" customHeight="1">
      <c r="A118" s="21" t="str">
        <f t="shared" si="1"/>
        <v/>
      </c>
      <c r="B118" s="21" t="str">
        <f t="shared" si="2"/>
        <v/>
      </c>
      <c r="C118" s="25" t="str">
        <f t="array" ref="C118">IF($H118="","",IFERROR(INDEX('Game Records'!$A:$A,$H118),""))</f>
        <v/>
      </c>
      <c r="D118" s="25" t="str">
        <f t="array" ref="D118">IF($H118="","",IFERROR(INDEX('Game Records'!$U:$U,$H118),""))</f>
        <v/>
      </c>
      <c r="E118" s="25" t="str">
        <f t="shared" si="3"/>
        <v/>
      </c>
      <c r="F118" s="25" t="str">
        <f t="array" ref="F118">IF($H118="","",IF(OR(NOT(_xlfn.ISFORMULA(INDEX('Game Records'!$N:$N,$H118))),NOT(_xlfn.ISFORMULA(INDEX('Game Records'!$O:$O,$H118))),NOT(_xlfn.ISFORMULA(INDEX('Game Records'!$P:$P,$H118))),NOT(_xlfn.ISFORMULA(INDEX('Game Records'!$Q:$Q,$H118))),NOT(_xlfn.ISFORMULA(INDEX('Game Records'!$R:$R,$H118))),NOT(_xlfn.ISFORMULA(INDEX('Game Records'!$S:$S,$H118))),NOT(_xlfn.ISFORMULA(INDEX('Game Records'!$T:$T,$H118))),NOT(_xlfn.ISFORMULA(INDEX('Game Records'!$U:$U,$H118))),NOT(_xlfn.ISFORMULA(INDEX('Game Records'!$V:$V,$H118))),NOT(_xlfn.ISFORMULA(INDEX('Game Records'!$W:$W,$H118))),NOT(_xlfn.ISFORMULA(INDEX('Game Records'!$X:$X,$H118))),NOT(_xlfn.ISFORMULA(INDEX('Game Records'!$Y:$Y,$H118))),NOT(_xlfn.ISFORMULA(INDEX('Game Records'!$Z:$Z,$H118)))),"","")&amp;IF(INDEX('Game Records'!$B:$B,$H118)="","Start Date; ","")&amp;IF(INDEX('Game Records'!$C:$C,$H118)="","End Date; ","")&amp;IF(AND(INDEX('Game Records'!$U:$U,$H118)&lt;&gt;"Subscription",INDEX('Game Records'!$U:$U,$H118)&lt;&gt;"Free Game",INDEX('Game Records'!$U:$U,$H118)&lt;&gt;"Disqualified — Free Game",OR(INDEX('Game Records'!$D:$D,$H118)="",LOWER(INDEX('Game Records'!$D:$D,$H118)&amp;"")="n/a")),"Entry Mode; ","")&amp;IF(AND(INDEX('Game Records'!$U:$U,$H118)&lt;&gt;"Subscription",INDEX('Game Records'!$U:$U,$H118)&lt;&gt;"Free Game",INDEX('Game Records'!$U:$U,$H118)&lt;&gt;"Disqualified — Free Game",OR(INDEX('Game Records'!$E:$E,$H118)="",LOWER(INDEX('Game Records'!$E:$E,$H118)&amp;"")="n/a")),"Game Type; ","")&amp;IF(INDEX('Game Records'!$F:$F,$H118)="","Payment Type; ","")&amp;IF(AND(INDEX('Game Records'!$U:$U,$H118)&lt;&gt;"Subscription",INDEX('Game Records'!$U:$U,$H118)&lt;&gt;"Free Game",INDEX('Game Records'!$U:$U,$H118)&lt;&gt;"Disqualified — Free Game",INDEX('Game Records'!$G:$G,$H118)=""),"Gross Pot; ","")&amp;IF(AND(INDEX('Game Records'!$U:$U,$H118)&lt;&gt;"Free Game",INDEX('Game Records'!$U:$U,$H118)&lt;&gt;"Disqualified — Free Game",INDEX('Game Records'!$H:$H,$H118)=""),"Entry Fee; ","")&amp;IF(AND(INDEX('Game Records'!$U:$U,$H118)&lt;&gt;"Subscription",INDEX('Game Records'!$U:$U,$H118)&lt;&gt;"Free Game",INDEX('Game Records'!$U:$U,$H118)&lt;&gt;"Disqualified — Free Game",INDEX('Game Records'!$I:$I,$H118)=""),"Eligible Players; ","")&amp;IF(AND(INDEX('Game Records'!$U:$U,$H118)&lt;&gt;"Subscription",INDEX('Game Records'!$U:$U,$H118)&lt;&gt;"Free Game",INDEX('Game Records'!$U:$U,$H118)&lt;&gt;"Disqualified — Free Game",INDEX('Game Records'!$J:$J,$H118)=""),"Total Players; ","")&amp;IF(AND(LOWER(INDEX('Game Records'!$D:$D,$H118)&amp;"")="finalized",LOWER(INDEX('Game Records'!$L:$L,$H118)&amp;"")&lt;&gt;"yes",INDEX('Game Records'!$U:$U,$H118)&lt;&gt;"Subscription",INDEX('Game Records'!$U:$U,$H118)&lt;&gt;"Free Game",INDEX('Game Records'!$U:$U,$H118)&lt;&gt;"Disqualified — Free Game",INDEX('Game Records'!$K:$K,$H118)=""),"Final Payout; ","")&amp;IF(AND(LOWER(INDEX('Game Records'!$D:$D,$H118)&amp;"")="finalized",INDEX('Game Records'!$U:$U,$H118)&lt;&gt;"Subscription",INDEX('Game Records'!$U:$U,$H118)&lt;&gt;"Free Game",INDEX('Game Records'!$U:$U,$H118)&lt;&gt;"Disqualified — Free Game",OR(INDEX('Game Records'!$L:$L,$H118)="",LOWER(INDEX('Game Records'!$L:$L,$H118)&amp;"")="n/a")),"Disqualified Status; ",""))</f>
        <v/>
      </c>
      <c r="G118" s="25" t="str">
        <f t="array" ref="G118">IF($H118="","",IFERROR(INDEX('Game Records'!$M:$M,$H118),""))</f>
        <v/>
      </c>
      <c r="H118" s="8"/>
      <c r="I118" s="8"/>
      <c r="J118" s="8"/>
    </row>
    <row r="119" ht="24.0" customHeight="1">
      <c r="A119" s="21" t="str">
        <f t="shared" si="1"/>
        <v/>
      </c>
      <c r="B119" s="21" t="str">
        <f t="shared" si="2"/>
        <v/>
      </c>
      <c r="C119" s="25" t="str">
        <f t="array" ref="C119">IF($H119="","",IFERROR(INDEX('Game Records'!$A:$A,$H119),""))</f>
        <v/>
      </c>
      <c r="D119" s="25" t="str">
        <f t="array" ref="D119">IF($H119="","",IFERROR(INDEX('Game Records'!$U:$U,$H119),""))</f>
        <v/>
      </c>
      <c r="E119" s="25" t="str">
        <f t="shared" si="3"/>
        <v/>
      </c>
      <c r="F119" s="25" t="str">
        <f t="array" ref="F119">IF($H119="","",IF(OR(NOT(_xlfn.ISFORMULA(INDEX('Game Records'!$N:$N,$H119))),NOT(_xlfn.ISFORMULA(INDEX('Game Records'!$O:$O,$H119))),NOT(_xlfn.ISFORMULA(INDEX('Game Records'!$P:$P,$H119))),NOT(_xlfn.ISFORMULA(INDEX('Game Records'!$Q:$Q,$H119))),NOT(_xlfn.ISFORMULA(INDEX('Game Records'!$R:$R,$H119))),NOT(_xlfn.ISFORMULA(INDEX('Game Records'!$S:$S,$H119))),NOT(_xlfn.ISFORMULA(INDEX('Game Records'!$T:$T,$H119))),NOT(_xlfn.ISFORMULA(INDEX('Game Records'!$U:$U,$H119))),NOT(_xlfn.ISFORMULA(INDEX('Game Records'!$V:$V,$H119))),NOT(_xlfn.ISFORMULA(INDEX('Game Records'!$W:$W,$H119))),NOT(_xlfn.ISFORMULA(INDEX('Game Records'!$X:$X,$H119))),NOT(_xlfn.ISFORMULA(INDEX('Game Records'!$Y:$Y,$H119))),NOT(_xlfn.ISFORMULA(INDEX('Game Records'!$Z:$Z,$H119)))),"","")&amp;IF(INDEX('Game Records'!$B:$B,$H119)="","Start Date; ","")&amp;IF(INDEX('Game Records'!$C:$C,$H119)="","End Date; ","")&amp;IF(AND(INDEX('Game Records'!$U:$U,$H119)&lt;&gt;"Subscription",INDEX('Game Records'!$U:$U,$H119)&lt;&gt;"Free Game",INDEX('Game Records'!$U:$U,$H119)&lt;&gt;"Disqualified — Free Game",OR(INDEX('Game Records'!$D:$D,$H119)="",LOWER(INDEX('Game Records'!$D:$D,$H119)&amp;"")="n/a")),"Entry Mode; ","")&amp;IF(AND(INDEX('Game Records'!$U:$U,$H119)&lt;&gt;"Subscription",INDEX('Game Records'!$U:$U,$H119)&lt;&gt;"Free Game",INDEX('Game Records'!$U:$U,$H119)&lt;&gt;"Disqualified — Free Game",OR(INDEX('Game Records'!$E:$E,$H119)="",LOWER(INDEX('Game Records'!$E:$E,$H119)&amp;"")="n/a")),"Game Type; ","")&amp;IF(INDEX('Game Records'!$F:$F,$H119)="","Payment Type; ","")&amp;IF(AND(INDEX('Game Records'!$U:$U,$H119)&lt;&gt;"Subscription",INDEX('Game Records'!$U:$U,$H119)&lt;&gt;"Free Game",INDEX('Game Records'!$U:$U,$H119)&lt;&gt;"Disqualified — Free Game",INDEX('Game Records'!$G:$G,$H119)=""),"Gross Pot; ","")&amp;IF(AND(INDEX('Game Records'!$U:$U,$H119)&lt;&gt;"Free Game",INDEX('Game Records'!$U:$U,$H119)&lt;&gt;"Disqualified — Free Game",INDEX('Game Records'!$H:$H,$H119)=""),"Entry Fee; ","")&amp;IF(AND(INDEX('Game Records'!$U:$U,$H119)&lt;&gt;"Subscription",INDEX('Game Records'!$U:$U,$H119)&lt;&gt;"Free Game",INDEX('Game Records'!$U:$U,$H119)&lt;&gt;"Disqualified — Free Game",INDEX('Game Records'!$I:$I,$H119)=""),"Eligible Players; ","")&amp;IF(AND(INDEX('Game Records'!$U:$U,$H119)&lt;&gt;"Subscription",INDEX('Game Records'!$U:$U,$H119)&lt;&gt;"Free Game",INDEX('Game Records'!$U:$U,$H119)&lt;&gt;"Disqualified — Free Game",INDEX('Game Records'!$J:$J,$H119)=""),"Total Players; ","")&amp;IF(AND(LOWER(INDEX('Game Records'!$D:$D,$H119)&amp;"")="finalized",LOWER(INDEX('Game Records'!$L:$L,$H119)&amp;"")&lt;&gt;"yes",INDEX('Game Records'!$U:$U,$H119)&lt;&gt;"Subscription",INDEX('Game Records'!$U:$U,$H119)&lt;&gt;"Free Game",INDEX('Game Records'!$U:$U,$H119)&lt;&gt;"Disqualified — Free Game",INDEX('Game Records'!$K:$K,$H119)=""),"Final Payout; ","")&amp;IF(AND(LOWER(INDEX('Game Records'!$D:$D,$H119)&amp;"")="finalized",INDEX('Game Records'!$U:$U,$H119)&lt;&gt;"Subscription",INDEX('Game Records'!$U:$U,$H119)&lt;&gt;"Free Game",INDEX('Game Records'!$U:$U,$H119)&lt;&gt;"Disqualified — Free Game",OR(INDEX('Game Records'!$L:$L,$H119)="",LOWER(INDEX('Game Records'!$L:$L,$H119)&amp;"")="n/a")),"Disqualified Status; ",""))</f>
        <v/>
      </c>
      <c r="G119" s="25" t="str">
        <f t="array" ref="G119">IF($H119="","",IFERROR(INDEX('Game Records'!$M:$M,$H119),""))</f>
        <v/>
      </c>
      <c r="H119" s="8"/>
      <c r="I119" s="8"/>
      <c r="J119" s="8"/>
    </row>
    <row r="120" ht="24.0" customHeight="1">
      <c r="A120" s="21" t="str">
        <f t="shared" si="1"/>
        <v/>
      </c>
      <c r="B120" s="21" t="str">
        <f t="shared" si="2"/>
        <v/>
      </c>
      <c r="C120" s="25" t="str">
        <f t="array" ref="C120">IF($H120="","",IFERROR(INDEX('Game Records'!$A:$A,$H120),""))</f>
        <v/>
      </c>
      <c r="D120" s="25" t="str">
        <f t="array" ref="D120">IF($H120="","",IFERROR(INDEX('Game Records'!$U:$U,$H120),""))</f>
        <v/>
      </c>
      <c r="E120" s="25" t="str">
        <f t="shared" si="3"/>
        <v/>
      </c>
      <c r="F120" s="25" t="str">
        <f t="array" ref="F120">IF($H120="","",IF(OR(NOT(_xlfn.ISFORMULA(INDEX('Game Records'!$N:$N,$H120))),NOT(_xlfn.ISFORMULA(INDEX('Game Records'!$O:$O,$H120))),NOT(_xlfn.ISFORMULA(INDEX('Game Records'!$P:$P,$H120))),NOT(_xlfn.ISFORMULA(INDEX('Game Records'!$Q:$Q,$H120))),NOT(_xlfn.ISFORMULA(INDEX('Game Records'!$R:$R,$H120))),NOT(_xlfn.ISFORMULA(INDEX('Game Records'!$S:$S,$H120))),NOT(_xlfn.ISFORMULA(INDEX('Game Records'!$T:$T,$H120))),NOT(_xlfn.ISFORMULA(INDEX('Game Records'!$U:$U,$H120))),NOT(_xlfn.ISFORMULA(INDEX('Game Records'!$V:$V,$H120))),NOT(_xlfn.ISFORMULA(INDEX('Game Records'!$W:$W,$H120))),NOT(_xlfn.ISFORMULA(INDEX('Game Records'!$X:$X,$H120))),NOT(_xlfn.ISFORMULA(INDEX('Game Records'!$Y:$Y,$H120))),NOT(_xlfn.ISFORMULA(INDEX('Game Records'!$Z:$Z,$H120)))),"","")&amp;IF(INDEX('Game Records'!$B:$B,$H120)="","Start Date; ","")&amp;IF(INDEX('Game Records'!$C:$C,$H120)="","End Date; ","")&amp;IF(AND(INDEX('Game Records'!$U:$U,$H120)&lt;&gt;"Subscription",INDEX('Game Records'!$U:$U,$H120)&lt;&gt;"Free Game",INDEX('Game Records'!$U:$U,$H120)&lt;&gt;"Disqualified — Free Game",OR(INDEX('Game Records'!$D:$D,$H120)="",LOWER(INDEX('Game Records'!$D:$D,$H120)&amp;"")="n/a")),"Entry Mode; ","")&amp;IF(AND(INDEX('Game Records'!$U:$U,$H120)&lt;&gt;"Subscription",INDEX('Game Records'!$U:$U,$H120)&lt;&gt;"Free Game",INDEX('Game Records'!$U:$U,$H120)&lt;&gt;"Disqualified — Free Game",OR(INDEX('Game Records'!$E:$E,$H120)="",LOWER(INDEX('Game Records'!$E:$E,$H120)&amp;"")="n/a")),"Game Type; ","")&amp;IF(INDEX('Game Records'!$F:$F,$H120)="","Payment Type; ","")&amp;IF(AND(INDEX('Game Records'!$U:$U,$H120)&lt;&gt;"Subscription",INDEX('Game Records'!$U:$U,$H120)&lt;&gt;"Free Game",INDEX('Game Records'!$U:$U,$H120)&lt;&gt;"Disqualified — Free Game",INDEX('Game Records'!$G:$G,$H120)=""),"Gross Pot; ","")&amp;IF(AND(INDEX('Game Records'!$U:$U,$H120)&lt;&gt;"Free Game",INDEX('Game Records'!$U:$U,$H120)&lt;&gt;"Disqualified — Free Game",INDEX('Game Records'!$H:$H,$H120)=""),"Entry Fee; ","")&amp;IF(AND(INDEX('Game Records'!$U:$U,$H120)&lt;&gt;"Subscription",INDEX('Game Records'!$U:$U,$H120)&lt;&gt;"Free Game",INDEX('Game Records'!$U:$U,$H120)&lt;&gt;"Disqualified — Free Game",INDEX('Game Records'!$I:$I,$H120)=""),"Eligible Players; ","")&amp;IF(AND(INDEX('Game Records'!$U:$U,$H120)&lt;&gt;"Subscription",INDEX('Game Records'!$U:$U,$H120)&lt;&gt;"Free Game",INDEX('Game Records'!$U:$U,$H120)&lt;&gt;"Disqualified — Free Game",INDEX('Game Records'!$J:$J,$H120)=""),"Total Players; ","")&amp;IF(AND(LOWER(INDEX('Game Records'!$D:$D,$H120)&amp;"")="finalized",LOWER(INDEX('Game Records'!$L:$L,$H120)&amp;"")&lt;&gt;"yes",INDEX('Game Records'!$U:$U,$H120)&lt;&gt;"Subscription",INDEX('Game Records'!$U:$U,$H120)&lt;&gt;"Free Game",INDEX('Game Records'!$U:$U,$H120)&lt;&gt;"Disqualified — Free Game",INDEX('Game Records'!$K:$K,$H120)=""),"Final Payout; ","")&amp;IF(AND(LOWER(INDEX('Game Records'!$D:$D,$H120)&amp;"")="finalized",INDEX('Game Records'!$U:$U,$H120)&lt;&gt;"Subscription",INDEX('Game Records'!$U:$U,$H120)&lt;&gt;"Free Game",INDEX('Game Records'!$U:$U,$H120)&lt;&gt;"Disqualified — Free Game",OR(INDEX('Game Records'!$L:$L,$H120)="",LOWER(INDEX('Game Records'!$L:$L,$H120)&amp;"")="n/a")),"Disqualified Status; ",""))</f>
        <v/>
      </c>
      <c r="G120" s="25" t="str">
        <f t="array" ref="G120">IF($H120="","",IFERROR(INDEX('Game Records'!$M:$M,$H120),""))</f>
        <v/>
      </c>
      <c r="H120" s="8"/>
      <c r="I120" s="8"/>
      <c r="J120" s="8"/>
    </row>
    <row r="121" ht="24.0" customHeight="1">
      <c r="A121" s="21" t="str">
        <f t="shared" si="1"/>
        <v/>
      </c>
      <c r="B121" s="21" t="str">
        <f t="shared" si="2"/>
        <v/>
      </c>
      <c r="C121" s="25" t="str">
        <f t="array" ref="C121">IF($H121="","",IFERROR(INDEX('Game Records'!$A:$A,$H121),""))</f>
        <v/>
      </c>
      <c r="D121" s="25" t="str">
        <f t="array" ref="D121">IF($H121="","",IFERROR(INDEX('Game Records'!$U:$U,$H121),""))</f>
        <v/>
      </c>
      <c r="E121" s="25" t="str">
        <f t="shared" si="3"/>
        <v/>
      </c>
      <c r="F121" s="25" t="str">
        <f t="array" ref="F121">IF($H121="","",IF(OR(NOT(_xlfn.ISFORMULA(INDEX('Game Records'!$N:$N,$H121))),NOT(_xlfn.ISFORMULA(INDEX('Game Records'!$O:$O,$H121))),NOT(_xlfn.ISFORMULA(INDEX('Game Records'!$P:$P,$H121))),NOT(_xlfn.ISFORMULA(INDEX('Game Records'!$Q:$Q,$H121))),NOT(_xlfn.ISFORMULA(INDEX('Game Records'!$R:$R,$H121))),NOT(_xlfn.ISFORMULA(INDEX('Game Records'!$S:$S,$H121))),NOT(_xlfn.ISFORMULA(INDEX('Game Records'!$T:$T,$H121))),NOT(_xlfn.ISFORMULA(INDEX('Game Records'!$U:$U,$H121))),NOT(_xlfn.ISFORMULA(INDEX('Game Records'!$V:$V,$H121))),NOT(_xlfn.ISFORMULA(INDEX('Game Records'!$W:$W,$H121))),NOT(_xlfn.ISFORMULA(INDEX('Game Records'!$X:$X,$H121))),NOT(_xlfn.ISFORMULA(INDEX('Game Records'!$Y:$Y,$H121))),NOT(_xlfn.ISFORMULA(INDEX('Game Records'!$Z:$Z,$H121)))),"","")&amp;IF(INDEX('Game Records'!$B:$B,$H121)="","Start Date; ","")&amp;IF(INDEX('Game Records'!$C:$C,$H121)="","End Date; ","")&amp;IF(AND(INDEX('Game Records'!$U:$U,$H121)&lt;&gt;"Subscription",INDEX('Game Records'!$U:$U,$H121)&lt;&gt;"Free Game",INDEX('Game Records'!$U:$U,$H121)&lt;&gt;"Disqualified — Free Game",OR(INDEX('Game Records'!$D:$D,$H121)="",LOWER(INDEX('Game Records'!$D:$D,$H121)&amp;"")="n/a")),"Entry Mode; ","")&amp;IF(AND(INDEX('Game Records'!$U:$U,$H121)&lt;&gt;"Subscription",INDEX('Game Records'!$U:$U,$H121)&lt;&gt;"Free Game",INDEX('Game Records'!$U:$U,$H121)&lt;&gt;"Disqualified — Free Game",OR(INDEX('Game Records'!$E:$E,$H121)="",LOWER(INDEX('Game Records'!$E:$E,$H121)&amp;"")="n/a")),"Game Type; ","")&amp;IF(INDEX('Game Records'!$F:$F,$H121)="","Payment Type; ","")&amp;IF(AND(INDEX('Game Records'!$U:$U,$H121)&lt;&gt;"Subscription",INDEX('Game Records'!$U:$U,$H121)&lt;&gt;"Free Game",INDEX('Game Records'!$U:$U,$H121)&lt;&gt;"Disqualified — Free Game",INDEX('Game Records'!$G:$G,$H121)=""),"Gross Pot; ","")&amp;IF(AND(INDEX('Game Records'!$U:$U,$H121)&lt;&gt;"Free Game",INDEX('Game Records'!$U:$U,$H121)&lt;&gt;"Disqualified — Free Game",INDEX('Game Records'!$H:$H,$H121)=""),"Entry Fee; ","")&amp;IF(AND(INDEX('Game Records'!$U:$U,$H121)&lt;&gt;"Subscription",INDEX('Game Records'!$U:$U,$H121)&lt;&gt;"Free Game",INDEX('Game Records'!$U:$U,$H121)&lt;&gt;"Disqualified — Free Game",INDEX('Game Records'!$I:$I,$H121)=""),"Eligible Players; ","")&amp;IF(AND(INDEX('Game Records'!$U:$U,$H121)&lt;&gt;"Subscription",INDEX('Game Records'!$U:$U,$H121)&lt;&gt;"Free Game",INDEX('Game Records'!$U:$U,$H121)&lt;&gt;"Disqualified — Free Game",INDEX('Game Records'!$J:$J,$H121)=""),"Total Players; ","")&amp;IF(AND(LOWER(INDEX('Game Records'!$D:$D,$H121)&amp;"")="finalized",LOWER(INDEX('Game Records'!$L:$L,$H121)&amp;"")&lt;&gt;"yes",INDEX('Game Records'!$U:$U,$H121)&lt;&gt;"Subscription",INDEX('Game Records'!$U:$U,$H121)&lt;&gt;"Free Game",INDEX('Game Records'!$U:$U,$H121)&lt;&gt;"Disqualified — Free Game",INDEX('Game Records'!$K:$K,$H121)=""),"Final Payout; ","")&amp;IF(AND(LOWER(INDEX('Game Records'!$D:$D,$H121)&amp;"")="finalized",INDEX('Game Records'!$U:$U,$H121)&lt;&gt;"Subscription",INDEX('Game Records'!$U:$U,$H121)&lt;&gt;"Free Game",INDEX('Game Records'!$U:$U,$H121)&lt;&gt;"Disqualified — Free Game",OR(INDEX('Game Records'!$L:$L,$H121)="",LOWER(INDEX('Game Records'!$L:$L,$H121)&amp;"")="n/a")),"Disqualified Status; ",""))</f>
        <v/>
      </c>
      <c r="G121" s="25" t="str">
        <f t="array" ref="G121">IF($H121="","",IFERROR(INDEX('Game Records'!$M:$M,$H121),""))</f>
        <v/>
      </c>
      <c r="H121" s="8"/>
      <c r="I121" s="8"/>
      <c r="J121" s="8"/>
    </row>
    <row r="122" ht="24.0" customHeight="1">
      <c r="A122" s="21" t="str">
        <f t="shared" si="1"/>
        <v/>
      </c>
      <c r="B122" s="21" t="str">
        <f t="shared" si="2"/>
        <v/>
      </c>
      <c r="C122" s="25" t="str">
        <f t="array" ref="C122">IF($H122="","",IFERROR(INDEX('Game Records'!$A:$A,$H122),""))</f>
        <v/>
      </c>
      <c r="D122" s="25" t="str">
        <f t="array" ref="D122">IF($H122="","",IFERROR(INDEX('Game Records'!$U:$U,$H122),""))</f>
        <v/>
      </c>
      <c r="E122" s="25" t="str">
        <f t="shared" si="3"/>
        <v/>
      </c>
      <c r="F122" s="25" t="str">
        <f t="array" ref="F122">IF($H122="","",IF(OR(NOT(_xlfn.ISFORMULA(INDEX('Game Records'!$N:$N,$H122))),NOT(_xlfn.ISFORMULA(INDEX('Game Records'!$O:$O,$H122))),NOT(_xlfn.ISFORMULA(INDEX('Game Records'!$P:$P,$H122))),NOT(_xlfn.ISFORMULA(INDEX('Game Records'!$Q:$Q,$H122))),NOT(_xlfn.ISFORMULA(INDEX('Game Records'!$R:$R,$H122))),NOT(_xlfn.ISFORMULA(INDEX('Game Records'!$S:$S,$H122))),NOT(_xlfn.ISFORMULA(INDEX('Game Records'!$T:$T,$H122))),NOT(_xlfn.ISFORMULA(INDEX('Game Records'!$U:$U,$H122))),NOT(_xlfn.ISFORMULA(INDEX('Game Records'!$V:$V,$H122))),NOT(_xlfn.ISFORMULA(INDEX('Game Records'!$W:$W,$H122))),NOT(_xlfn.ISFORMULA(INDEX('Game Records'!$X:$X,$H122))),NOT(_xlfn.ISFORMULA(INDEX('Game Records'!$Y:$Y,$H122))),NOT(_xlfn.ISFORMULA(INDEX('Game Records'!$Z:$Z,$H122)))),"","")&amp;IF(INDEX('Game Records'!$B:$B,$H122)="","Start Date; ","")&amp;IF(INDEX('Game Records'!$C:$C,$H122)="","End Date; ","")&amp;IF(AND(INDEX('Game Records'!$U:$U,$H122)&lt;&gt;"Subscription",INDEX('Game Records'!$U:$U,$H122)&lt;&gt;"Free Game",INDEX('Game Records'!$U:$U,$H122)&lt;&gt;"Disqualified — Free Game",OR(INDEX('Game Records'!$D:$D,$H122)="",LOWER(INDEX('Game Records'!$D:$D,$H122)&amp;"")="n/a")),"Entry Mode; ","")&amp;IF(AND(INDEX('Game Records'!$U:$U,$H122)&lt;&gt;"Subscription",INDEX('Game Records'!$U:$U,$H122)&lt;&gt;"Free Game",INDEX('Game Records'!$U:$U,$H122)&lt;&gt;"Disqualified — Free Game",OR(INDEX('Game Records'!$E:$E,$H122)="",LOWER(INDEX('Game Records'!$E:$E,$H122)&amp;"")="n/a")),"Game Type; ","")&amp;IF(INDEX('Game Records'!$F:$F,$H122)="","Payment Type; ","")&amp;IF(AND(INDEX('Game Records'!$U:$U,$H122)&lt;&gt;"Subscription",INDEX('Game Records'!$U:$U,$H122)&lt;&gt;"Free Game",INDEX('Game Records'!$U:$U,$H122)&lt;&gt;"Disqualified — Free Game",INDEX('Game Records'!$G:$G,$H122)=""),"Gross Pot; ","")&amp;IF(AND(INDEX('Game Records'!$U:$U,$H122)&lt;&gt;"Free Game",INDEX('Game Records'!$U:$U,$H122)&lt;&gt;"Disqualified — Free Game",INDEX('Game Records'!$H:$H,$H122)=""),"Entry Fee; ","")&amp;IF(AND(INDEX('Game Records'!$U:$U,$H122)&lt;&gt;"Subscription",INDEX('Game Records'!$U:$U,$H122)&lt;&gt;"Free Game",INDEX('Game Records'!$U:$U,$H122)&lt;&gt;"Disqualified — Free Game",INDEX('Game Records'!$I:$I,$H122)=""),"Eligible Players; ","")&amp;IF(AND(INDEX('Game Records'!$U:$U,$H122)&lt;&gt;"Subscription",INDEX('Game Records'!$U:$U,$H122)&lt;&gt;"Free Game",INDEX('Game Records'!$U:$U,$H122)&lt;&gt;"Disqualified — Free Game",INDEX('Game Records'!$J:$J,$H122)=""),"Total Players; ","")&amp;IF(AND(LOWER(INDEX('Game Records'!$D:$D,$H122)&amp;"")="finalized",LOWER(INDEX('Game Records'!$L:$L,$H122)&amp;"")&lt;&gt;"yes",INDEX('Game Records'!$U:$U,$H122)&lt;&gt;"Subscription",INDEX('Game Records'!$U:$U,$H122)&lt;&gt;"Free Game",INDEX('Game Records'!$U:$U,$H122)&lt;&gt;"Disqualified — Free Game",INDEX('Game Records'!$K:$K,$H122)=""),"Final Payout; ","")&amp;IF(AND(LOWER(INDEX('Game Records'!$D:$D,$H122)&amp;"")="finalized",INDEX('Game Records'!$U:$U,$H122)&lt;&gt;"Subscription",INDEX('Game Records'!$U:$U,$H122)&lt;&gt;"Free Game",INDEX('Game Records'!$U:$U,$H122)&lt;&gt;"Disqualified — Free Game",OR(INDEX('Game Records'!$L:$L,$H122)="",LOWER(INDEX('Game Records'!$L:$L,$H122)&amp;"")="n/a")),"Disqualified Status; ",""))</f>
        <v/>
      </c>
      <c r="G122" s="25" t="str">
        <f t="array" ref="G122">IF($H122="","",IFERROR(INDEX('Game Records'!$M:$M,$H122),""))</f>
        <v/>
      </c>
      <c r="H122" s="8"/>
      <c r="I122" s="8"/>
      <c r="J122" s="8"/>
    </row>
    <row r="123" ht="24.0" customHeight="1">
      <c r="A123" s="21" t="str">
        <f t="shared" si="1"/>
        <v/>
      </c>
      <c r="B123" s="21" t="str">
        <f t="shared" si="2"/>
        <v/>
      </c>
      <c r="C123" s="25" t="str">
        <f t="array" ref="C123">IF($H123="","",IFERROR(INDEX('Game Records'!$A:$A,$H123),""))</f>
        <v/>
      </c>
      <c r="D123" s="25" t="str">
        <f t="array" ref="D123">IF($H123="","",IFERROR(INDEX('Game Records'!$U:$U,$H123),""))</f>
        <v/>
      </c>
      <c r="E123" s="25" t="str">
        <f t="shared" si="3"/>
        <v/>
      </c>
      <c r="F123" s="25" t="str">
        <f t="array" ref="F123">IF($H123="","",IF(OR(NOT(_xlfn.ISFORMULA(INDEX('Game Records'!$N:$N,$H123))),NOT(_xlfn.ISFORMULA(INDEX('Game Records'!$O:$O,$H123))),NOT(_xlfn.ISFORMULA(INDEX('Game Records'!$P:$P,$H123))),NOT(_xlfn.ISFORMULA(INDEX('Game Records'!$Q:$Q,$H123))),NOT(_xlfn.ISFORMULA(INDEX('Game Records'!$R:$R,$H123))),NOT(_xlfn.ISFORMULA(INDEX('Game Records'!$S:$S,$H123))),NOT(_xlfn.ISFORMULA(INDEX('Game Records'!$T:$T,$H123))),NOT(_xlfn.ISFORMULA(INDEX('Game Records'!$U:$U,$H123))),NOT(_xlfn.ISFORMULA(INDEX('Game Records'!$V:$V,$H123))),NOT(_xlfn.ISFORMULA(INDEX('Game Records'!$W:$W,$H123))),NOT(_xlfn.ISFORMULA(INDEX('Game Records'!$X:$X,$H123))),NOT(_xlfn.ISFORMULA(INDEX('Game Records'!$Y:$Y,$H123))),NOT(_xlfn.ISFORMULA(INDEX('Game Records'!$Z:$Z,$H123)))),"","")&amp;IF(INDEX('Game Records'!$B:$B,$H123)="","Start Date; ","")&amp;IF(INDEX('Game Records'!$C:$C,$H123)="","End Date; ","")&amp;IF(AND(INDEX('Game Records'!$U:$U,$H123)&lt;&gt;"Subscription",INDEX('Game Records'!$U:$U,$H123)&lt;&gt;"Free Game",INDEX('Game Records'!$U:$U,$H123)&lt;&gt;"Disqualified — Free Game",OR(INDEX('Game Records'!$D:$D,$H123)="",LOWER(INDEX('Game Records'!$D:$D,$H123)&amp;"")="n/a")),"Entry Mode; ","")&amp;IF(AND(INDEX('Game Records'!$U:$U,$H123)&lt;&gt;"Subscription",INDEX('Game Records'!$U:$U,$H123)&lt;&gt;"Free Game",INDEX('Game Records'!$U:$U,$H123)&lt;&gt;"Disqualified — Free Game",OR(INDEX('Game Records'!$E:$E,$H123)="",LOWER(INDEX('Game Records'!$E:$E,$H123)&amp;"")="n/a")),"Game Type; ","")&amp;IF(INDEX('Game Records'!$F:$F,$H123)="","Payment Type; ","")&amp;IF(AND(INDEX('Game Records'!$U:$U,$H123)&lt;&gt;"Subscription",INDEX('Game Records'!$U:$U,$H123)&lt;&gt;"Free Game",INDEX('Game Records'!$U:$U,$H123)&lt;&gt;"Disqualified — Free Game",INDEX('Game Records'!$G:$G,$H123)=""),"Gross Pot; ","")&amp;IF(AND(INDEX('Game Records'!$U:$U,$H123)&lt;&gt;"Free Game",INDEX('Game Records'!$U:$U,$H123)&lt;&gt;"Disqualified — Free Game",INDEX('Game Records'!$H:$H,$H123)=""),"Entry Fee; ","")&amp;IF(AND(INDEX('Game Records'!$U:$U,$H123)&lt;&gt;"Subscription",INDEX('Game Records'!$U:$U,$H123)&lt;&gt;"Free Game",INDEX('Game Records'!$U:$U,$H123)&lt;&gt;"Disqualified — Free Game",INDEX('Game Records'!$I:$I,$H123)=""),"Eligible Players; ","")&amp;IF(AND(INDEX('Game Records'!$U:$U,$H123)&lt;&gt;"Subscription",INDEX('Game Records'!$U:$U,$H123)&lt;&gt;"Free Game",INDEX('Game Records'!$U:$U,$H123)&lt;&gt;"Disqualified — Free Game",INDEX('Game Records'!$J:$J,$H123)=""),"Total Players; ","")&amp;IF(AND(LOWER(INDEX('Game Records'!$D:$D,$H123)&amp;"")="finalized",LOWER(INDEX('Game Records'!$L:$L,$H123)&amp;"")&lt;&gt;"yes",INDEX('Game Records'!$U:$U,$H123)&lt;&gt;"Subscription",INDEX('Game Records'!$U:$U,$H123)&lt;&gt;"Free Game",INDEX('Game Records'!$U:$U,$H123)&lt;&gt;"Disqualified — Free Game",INDEX('Game Records'!$K:$K,$H123)=""),"Final Payout; ","")&amp;IF(AND(LOWER(INDEX('Game Records'!$D:$D,$H123)&amp;"")="finalized",INDEX('Game Records'!$U:$U,$H123)&lt;&gt;"Subscription",INDEX('Game Records'!$U:$U,$H123)&lt;&gt;"Free Game",INDEX('Game Records'!$U:$U,$H123)&lt;&gt;"Disqualified — Free Game",OR(INDEX('Game Records'!$L:$L,$H123)="",LOWER(INDEX('Game Records'!$L:$L,$H123)&amp;"")="n/a")),"Disqualified Status; ",""))</f>
        <v/>
      </c>
      <c r="G123" s="25" t="str">
        <f t="array" ref="G123">IF($H123="","",IFERROR(INDEX('Game Records'!$M:$M,$H123),""))</f>
        <v/>
      </c>
      <c r="H123" s="8"/>
      <c r="I123" s="8"/>
      <c r="J123" s="8"/>
    </row>
    <row r="124" ht="24.0" customHeight="1">
      <c r="A124" s="21" t="str">
        <f t="shared" si="1"/>
        <v/>
      </c>
      <c r="B124" s="21" t="str">
        <f t="shared" si="2"/>
        <v/>
      </c>
      <c r="C124" s="25" t="str">
        <f t="array" ref="C124">IF($H124="","",IFERROR(INDEX('Game Records'!$A:$A,$H124),""))</f>
        <v/>
      </c>
      <c r="D124" s="25" t="str">
        <f t="array" ref="D124">IF($H124="","",IFERROR(INDEX('Game Records'!$U:$U,$H124),""))</f>
        <v/>
      </c>
      <c r="E124" s="25" t="str">
        <f t="shared" si="3"/>
        <v/>
      </c>
      <c r="F124" s="25" t="str">
        <f t="array" ref="F124">IF($H124="","",IF(OR(NOT(_xlfn.ISFORMULA(INDEX('Game Records'!$N:$N,$H124))),NOT(_xlfn.ISFORMULA(INDEX('Game Records'!$O:$O,$H124))),NOT(_xlfn.ISFORMULA(INDEX('Game Records'!$P:$P,$H124))),NOT(_xlfn.ISFORMULA(INDEX('Game Records'!$Q:$Q,$H124))),NOT(_xlfn.ISFORMULA(INDEX('Game Records'!$R:$R,$H124))),NOT(_xlfn.ISFORMULA(INDEX('Game Records'!$S:$S,$H124))),NOT(_xlfn.ISFORMULA(INDEX('Game Records'!$T:$T,$H124))),NOT(_xlfn.ISFORMULA(INDEX('Game Records'!$U:$U,$H124))),NOT(_xlfn.ISFORMULA(INDEX('Game Records'!$V:$V,$H124))),NOT(_xlfn.ISFORMULA(INDEX('Game Records'!$W:$W,$H124))),NOT(_xlfn.ISFORMULA(INDEX('Game Records'!$X:$X,$H124))),NOT(_xlfn.ISFORMULA(INDEX('Game Records'!$Y:$Y,$H124))),NOT(_xlfn.ISFORMULA(INDEX('Game Records'!$Z:$Z,$H124)))),"","")&amp;IF(INDEX('Game Records'!$B:$B,$H124)="","Start Date; ","")&amp;IF(INDEX('Game Records'!$C:$C,$H124)="","End Date; ","")&amp;IF(AND(INDEX('Game Records'!$U:$U,$H124)&lt;&gt;"Subscription",INDEX('Game Records'!$U:$U,$H124)&lt;&gt;"Free Game",INDEX('Game Records'!$U:$U,$H124)&lt;&gt;"Disqualified — Free Game",OR(INDEX('Game Records'!$D:$D,$H124)="",LOWER(INDEX('Game Records'!$D:$D,$H124)&amp;"")="n/a")),"Entry Mode; ","")&amp;IF(AND(INDEX('Game Records'!$U:$U,$H124)&lt;&gt;"Subscription",INDEX('Game Records'!$U:$U,$H124)&lt;&gt;"Free Game",INDEX('Game Records'!$U:$U,$H124)&lt;&gt;"Disqualified — Free Game",OR(INDEX('Game Records'!$E:$E,$H124)="",LOWER(INDEX('Game Records'!$E:$E,$H124)&amp;"")="n/a")),"Game Type; ","")&amp;IF(INDEX('Game Records'!$F:$F,$H124)="","Payment Type; ","")&amp;IF(AND(INDEX('Game Records'!$U:$U,$H124)&lt;&gt;"Subscription",INDEX('Game Records'!$U:$U,$H124)&lt;&gt;"Free Game",INDEX('Game Records'!$U:$U,$H124)&lt;&gt;"Disqualified — Free Game",INDEX('Game Records'!$G:$G,$H124)=""),"Gross Pot; ","")&amp;IF(AND(INDEX('Game Records'!$U:$U,$H124)&lt;&gt;"Free Game",INDEX('Game Records'!$U:$U,$H124)&lt;&gt;"Disqualified — Free Game",INDEX('Game Records'!$H:$H,$H124)=""),"Entry Fee; ","")&amp;IF(AND(INDEX('Game Records'!$U:$U,$H124)&lt;&gt;"Subscription",INDEX('Game Records'!$U:$U,$H124)&lt;&gt;"Free Game",INDEX('Game Records'!$U:$U,$H124)&lt;&gt;"Disqualified — Free Game",INDEX('Game Records'!$I:$I,$H124)=""),"Eligible Players; ","")&amp;IF(AND(INDEX('Game Records'!$U:$U,$H124)&lt;&gt;"Subscription",INDEX('Game Records'!$U:$U,$H124)&lt;&gt;"Free Game",INDEX('Game Records'!$U:$U,$H124)&lt;&gt;"Disqualified — Free Game",INDEX('Game Records'!$J:$J,$H124)=""),"Total Players; ","")&amp;IF(AND(LOWER(INDEX('Game Records'!$D:$D,$H124)&amp;"")="finalized",LOWER(INDEX('Game Records'!$L:$L,$H124)&amp;"")&lt;&gt;"yes",INDEX('Game Records'!$U:$U,$H124)&lt;&gt;"Subscription",INDEX('Game Records'!$U:$U,$H124)&lt;&gt;"Free Game",INDEX('Game Records'!$U:$U,$H124)&lt;&gt;"Disqualified — Free Game",INDEX('Game Records'!$K:$K,$H124)=""),"Final Payout; ","")&amp;IF(AND(LOWER(INDEX('Game Records'!$D:$D,$H124)&amp;"")="finalized",INDEX('Game Records'!$U:$U,$H124)&lt;&gt;"Subscription",INDEX('Game Records'!$U:$U,$H124)&lt;&gt;"Free Game",INDEX('Game Records'!$U:$U,$H124)&lt;&gt;"Disqualified — Free Game",OR(INDEX('Game Records'!$L:$L,$H124)="",LOWER(INDEX('Game Records'!$L:$L,$H124)&amp;"")="n/a")),"Disqualified Status; ",""))</f>
        <v/>
      </c>
      <c r="G124" s="25" t="str">
        <f t="array" ref="G124">IF($H124="","",IFERROR(INDEX('Game Records'!$M:$M,$H124),""))</f>
        <v/>
      </c>
      <c r="H124" s="8"/>
      <c r="I124" s="8"/>
      <c r="J124" s="8"/>
    </row>
    <row r="125" ht="24.0" customHeight="1">
      <c r="A125" s="21" t="str">
        <f t="shared" si="1"/>
        <v/>
      </c>
      <c r="B125" s="21" t="str">
        <f t="shared" si="2"/>
        <v/>
      </c>
      <c r="C125" s="25" t="str">
        <f t="array" ref="C125">IF($H125="","",IFERROR(INDEX('Game Records'!$A:$A,$H125),""))</f>
        <v/>
      </c>
      <c r="D125" s="25" t="str">
        <f t="array" ref="D125">IF($H125="","",IFERROR(INDEX('Game Records'!$U:$U,$H125),""))</f>
        <v/>
      </c>
      <c r="E125" s="25" t="str">
        <f t="shared" si="3"/>
        <v/>
      </c>
      <c r="F125" s="25" t="str">
        <f t="array" ref="F125">IF($H125="","",IF(OR(NOT(_xlfn.ISFORMULA(INDEX('Game Records'!$N:$N,$H125))),NOT(_xlfn.ISFORMULA(INDEX('Game Records'!$O:$O,$H125))),NOT(_xlfn.ISFORMULA(INDEX('Game Records'!$P:$P,$H125))),NOT(_xlfn.ISFORMULA(INDEX('Game Records'!$Q:$Q,$H125))),NOT(_xlfn.ISFORMULA(INDEX('Game Records'!$R:$R,$H125))),NOT(_xlfn.ISFORMULA(INDEX('Game Records'!$S:$S,$H125))),NOT(_xlfn.ISFORMULA(INDEX('Game Records'!$T:$T,$H125))),NOT(_xlfn.ISFORMULA(INDEX('Game Records'!$U:$U,$H125))),NOT(_xlfn.ISFORMULA(INDEX('Game Records'!$V:$V,$H125))),NOT(_xlfn.ISFORMULA(INDEX('Game Records'!$W:$W,$H125))),NOT(_xlfn.ISFORMULA(INDEX('Game Records'!$X:$X,$H125))),NOT(_xlfn.ISFORMULA(INDEX('Game Records'!$Y:$Y,$H125))),NOT(_xlfn.ISFORMULA(INDEX('Game Records'!$Z:$Z,$H125)))),"","")&amp;IF(INDEX('Game Records'!$B:$B,$H125)="","Start Date; ","")&amp;IF(INDEX('Game Records'!$C:$C,$H125)="","End Date; ","")&amp;IF(AND(INDEX('Game Records'!$U:$U,$H125)&lt;&gt;"Subscription",INDEX('Game Records'!$U:$U,$H125)&lt;&gt;"Free Game",INDEX('Game Records'!$U:$U,$H125)&lt;&gt;"Disqualified — Free Game",OR(INDEX('Game Records'!$D:$D,$H125)="",LOWER(INDEX('Game Records'!$D:$D,$H125)&amp;"")="n/a")),"Entry Mode; ","")&amp;IF(AND(INDEX('Game Records'!$U:$U,$H125)&lt;&gt;"Subscription",INDEX('Game Records'!$U:$U,$H125)&lt;&gt;"Free Game",INDEX('Game Records'!$U:$U,$H125)&lt;&gt;"Disqualified — Free Game",OR(INDEX('Game Records'!$E:$E,$H125)="",LOWER(INDEX('Game Records'!$E:$E,$H125)&amp;"")="n/a")),"Game Type; ","")&amp;IF(INDEX('Game Records'!$F:$F,$H125)="","Payment Type; ","")&amp;IF(AND(INDEX('Game Records'!$U:$U,$H125)&lt;&gt;"Subscription",INDEX('Game Records'!$U:$U,$H125)&lt;&gt;"Free Game",INDEX('Game Records'!$U:$U,$H125)&lt;&gt;"Disqualified — Free Game",INDEX('Game Records'!$G:$G,$H125)=""),"Gross Pot; ","")&amp;IF(AND(INDEX('Game Records'!$U:$U,$H125)&lt;&gt;"Free Game",INDEX('Game Records'!$U:$U,$H125)&lt;&gt;"Disqualified — Free Game",INDEX('Game Records'!$H:$H,$H125)=""),"Entry Fee; ","")&amp;IF(AND(INDEX('Game Records'!$U:$U,$H125)&lt;&gt;"Subscription",INDEX('Game Records'!$U:$U,$H125)&lt;&gt;"Free Game",INDEX('Game Records'!$U:$U,$H125)&lt;&gt;"Disqualified — Free Game",INDEX('Game Records'!$I:$I,$H125)=""),"Eligible Players; ","")&amp;IF(AND(INDEX('Game Records'!$U:$U,$H125)&lt;&gt;"Subscription",INDEX('Game Records'!$U:$U,$H125)&lt;&gt;"Free Game",INDEX('Game Records'!$U:$U,$H125)&lt;&gt;"Disqualified — Free Game",INDEX('Game Records'!$J:$J,$H125)=""),"Total Players; ","")&amp;IF(AND(LOWER(INDEX('Game Records'!$D:$D,$H125)&amp;"")="finalized",LOWER(INDEX('Game Records'!$L:$L,$H125)&amp;"")&lt;&gt;"yes",INDEX('Game Records'!$U:$U,$H125)&lt;&gt;"Subscription",INDEX('Game Records'!$U:$U,$H125)&lt;&gt;"Free Game",INDEX('Game Records'!$U:$U,$H125)&lt;&gt;"Disqualified — Free Game",INDEX('Game Records'!$K:$K,$H125)=""),"Final Payout; ","")&amp;IF(AND(LOWER(INDEX('Game Records'!$D:$D,$H125)&amp;"")="finalized",INDEX('Game Records'!$U:$U,$H125)&lt;&gt;"Subscription",INDEX('Game Records'!$U:$U,$H125)&lt;&gt;"Free Game",INDEX('Game Records'!$U:$U,$H125)&lt;&gt;"Disqualified — Free Game",OR(INDEX('Game Records'!$L:$L,$H125)="",LOWER(INDEX('Game Records'!$L:$L,$H125)&amp;"")="n/a")),"Disqualified Status; ",""))</f>
        <v/>
      </c>
      <c r="G125" s="25" t="str">
        <f t="array" ref="G125">IF($H125="","",IFERROR(INDEX('Game Records'!$M:$M,$H125),""))</f>
        <v/>
      </c>
      <c r="H125" s="8"/>
      <c r="I125" s="8"/>
      <c r="J125" s="8"/>
    </row>
    <row r="126" ht="24.0" customHeight="1">
      <c r="A126" s="21" t="str">
        <f t="shared" si="1"/>
        <v/>
      </c>
      <c r="B126" s="21" t="str">
        <f t="shared" si="2"/>
        <v/>
      </c>
      <c r="C126" s="25" t="str">
        <f t="array" ref="C126">IF($H126="","",IFERROR(INDEX('Game Records'!$A:$A,$H126),""))</f>
        <v/>
      </c>
      <c r="D126" s="25" t="str">
        <f t="array" ref="D126">IF($H126="","",IFERROR(INDEX('Game Records'!$U:$U,$H126),""))</f>
        <v/>
      </c>
      <c r="E126" s="25" t="str">
        <f t="shared" si="3"/>
        <v/>
      </c>
      <c r="F126" s="25" t="str">
        <f t="array" ref="F126">IF($H126="","",IF(OR(NOT(_xlfn.ISFORMULA(INDEX('Game Records'!$N:$N,$H126))),NOT(_xlfn.ISFORMULA(INDEX('Game Records'!$O:$O,$H126))),NOT(_xlfn.ISFORMULA(INDEX('Game Records'!$P:$P,$H126))),NOT(_xlfn.ISFORMULA(INDEX('Game Records'!$Q:$Q,$H126))),NOT(_xlfn.ISFORMULA(INDEX('Game Records'!$R:$R,$H126))),NOT(_xlfn.ISFORMULA(INDEX('Game Records'!$S:$S,$H126))),NOT(_xlfn.ISFORMULA(INDEX('Game Records'!$T:$T,$H126))),NOT(_xlfn.ISFORMULA(INDEX('Game Records'!$U:$U,$H126))),NOT(_xlfn.ISFORMULA(INDEX('Game Records'!$V:$V,$H126))),NOT(_xlfn.ISFORMULA(INDEX('Game Records'!$W:$W,$H126))),NOT(_xlfn.ISFORMULA(INDEX('Game Records'!$X:$X,$H126))),NOT(_xlfn.ISFORMULA(INDEX('Game Records'!$Y:$Y,$H126))),NOT(_xlfn.ISFORMULA(INDEX('Game Records'!$Z:$Z,$H126)))),"","")&amp;IF(INDEX('Game Records'!$B:$B,$H126)="","Start Date; ","")&amp;IF(INDEX('Game Records'!$C:$C,$H126)="","End Date; ","")&amp;IF(AND(INDEX('Game Records'!$U:$U,$H126)&lt;&gt;"Subscription",INDEX('Game Records'!$U:$U,$H126)&lt;&gt;"Free Game",INDEX('Game Records'!$U:$U,$H126)&lt;&gt;"Disqualified — Free Game",OR(INDEX('Game Records'!$D:$D,$H126)="",LOWER(INDEX('Game Records'!$D:$D,$H126)&amp;"")="n/a")),"Entry Mode; ","")&amp;IF(AND(INDEX('Game Records'!$U:$U,$H126)&lt;&gt;"Subscription",INDEX('Game Records'!$U:$U,$H126)&lt;&gt;"Free Game",INDEX('Game Records'!$U:$U,$H126)&lt;&gt;"Disqualified — Free Game",OR(INDEX('Game Records'!$E:$E,$H126)="",LOWER(INDEX('Game Records'!$E:$E,$H126)&amp;"")="n/a")),"Game Type; ","")&amp;IF(INDEX('Game Records'!$F:$F,$H126)="","Payment Type; ","")&amp;IF(AND(INDEX('Game Records'!$U:$U,$H126)&lt;&gt;"Subscription",INDEX('Game Records'!$U:$U,$H126)&lt;&gt;"Free Game",INDEX('Game Records'!$U:$U,$H126)&lt;&gt;"Disqualified — Free Game",INDEX('Game Records'!$G:$G,$H126)=""),"Gross Pot; ","")&amp;IF(AND(INDEX('Game Records'!$U:$U,$H126)&lt;&gt;"Free Game",INDEX('Game Records'!$U:$U,$H126)&lt;&gt;"Disqualified — Free Game",INDEX('Game Records'!$H:$H,$H126)=""),"Entry Fee; ","")&amp;IF(AND(INDEX('Game Records'!$U:$U,$H126)&lt;&gt;"Subscription",INDEX('Game Records'!$U:$U,$H126)&lt;&gt;"Free Game",INDEX('Game Records'!$U:$U,$H126)&lt;&gt;"Disqualified — Free Game",INDEX('Game Records'!$I:$I,$H126)=""),"Eligible Players; ","")&amp;IF(AND(INDEX('Game Records'!$U:$U,$H126)&lt;&gt;"Subscription",INDEX('Game Records'!$U:$U,$H126)&lt;&gt;"Free Game",INDEX('Game Records'!$U:$U,$H126)&lt;&gt;"Disqualified — Free Game",INDEX('Game Records'!$J:$J,$H126)=""),"Total Players; ","")&amp;IF(AND(LOWER(INDEX('Game Records'!$D:$D,$H126)&amp;"")="finalized",LOWER(INDEX('Game Records'!$L:$L,$H126)&amp;"")&lt;&gt;"yes",INDEX('Game Records'!$U:$U,$H126)&lt;&gt;"Subscription",INDEX('Game Records'!$U:$U,$H126)&lt;&gt;"Free Game",INDEX('Game Records'!$U:$U,$H126)&lt;&gt;"Disqualified — Free Game",INDEX('Game Records'!$K:$K,$H126)=""),"Final Payout; ","")&amp;IF(AND(LOWER(INDEX('Game Records'!$D:$D,$H126)&amp;"")="finalized",INDEX('Game Records'!$U:$U,$H126)&lt;&gt;"Subscription",INDEX('Game Records'!$U:$U,$H126)&lt;&gt;"Free Game",INDEX('Game Records'!$U:$U,$H126)&lt;&gt;"Disqualified — Free Game",OR(INDEX('Game Records'!$L:$L,$H126)="",LOWER(INDEX('Game Records'!$L:$L,$H126)&amp;"")="n/a")),"Disqualified Status; ",""))</f>
        <v/>
      </c>
      <c r="G126" s="25" t="str">
        <f t="array" ref="G126">IF($H126="","",IFERROR(INDEX('Game Records'!$M:$M,$H126),""))</f>
        <v/>
      </c>
      <c r="H126" s="8"/>
      <c r="I126" s="8"/>
      <c r="J126" s="8"/>
    </row>
    <row r="127" ht="24.0" customHeight="1">
      <c r="A127" s="21" t="str">
        <f t="shared" si="1"/>
        <v/>
      </c>
      <c r="B127" s="21" t="str">
        <f t="shared" si="2"/>
        <v/>
      </c>
      <c r="C127" s="25" t="str">
        <f t="array" ref="C127">IF($H127="","",IFERROR(INDEX('Game Records'!$A:$A,$H127),""))</f>
        <v/>
      </c>
      <c r="D127" s="25" t="str">
        <f t="array" ref="D127">IF($H127="","",IFERROR(INDEX('Game Records'!$U:$U,$H127),""))</f>
        <v/>
      </c>
      <c r="E127" s="25" t="str">
        <f t="shared" si="3"/>
        <v/>
      </c>
      <c r="F127" s="25" t="str">
        <f t="array" ref="F127">IF($H127="","",IF(OR(NOT(_xlfn.ISFORMULA(INDEX('Game Records'!$N:$N,$H127))),NOT(_xlfn.ISFORMULA(INDEX('Game Records'!$O:$O,$H127))),NOT(_xlfn.ISFORMULA(INDEX('Game Records'!$P:$P,$H127))),NOT(_xlfn.ISFORMULA(INDEX('Game Records'!$Q:$Q,$H127))),NOT(_xlfn.ISFORMULA(INDEX('Game Records'!$R:$R,$H127))),NOT(_xlfn.ISFORMULA(INDEX('Game Records'!$S:$S,$H127))),NOT(_xlfn.ISFORMULA(INDEX('Game Records'!$T:$T,$H127))),NOT(_xlfn.ISFORMULA(INDEX('Game Records'!$U:$U,$H127))),NOT(_xlfn.ISFORMULA(INDEX('Game Records'!$V:$V,$H127))),NOT(_xlfn.ISFORMULA(INDEX('Game Records'!$W:$W,$H127))),NOT(_xlfn.ISFORMULA(INDEX('Game Records'!$X:$X,$H127))),NOT(_xlfn.ISFORMULA(INDEX('Game Records'!$Y:$Y,$H127))),NOT(_xlfn.ISFORMULA(INDEX('Game Records'!$Z:$Z,$H127)))),"","")&amp;IF(INDEX('Game Records'!$B:$B,$H127)="","Start Date; ","")&amp;IF(INDEX('Game Records'!$C:$C,$H127)="","End Date; ","")&amp;IF(AND(INDEX('Game Records'!$U:$U,$H127)&lt;&gt;"Subscription",INDEX('Game Records'!$U:$U,$H127)&lt;&gt;"Free Game",INDEX('Game Records'!$U:$U,$H127)&lt;&gt;"Disqualified — Free Game",OR(INDEX('Game Records'!$D:$D,$H127)="",LOWER(INDEX('Game Records'!$D:$D,$H127)&amp;"")="n/a")),"Entry Mode; ","")&amp;IF(AND(INDEX('Game Records'!$U:$U,$H127)&lt;&gt;"Subscription",INDEX('Game Records'!$U:$U,$H127)&lt;&gt;"Free Game",INDEX('Game Records'!$U:$U,$H127)&lt;&gt;"Disqualified — Free Game",OR(INDEX('Game Records'!$E:$E,$H127)="",LOWER(INDEX('Game Records'!$E:$E,$H127)&amp;"")="n/a")),"Game Type; ","")&amp;IF(INDEX('Game Records'!$F:$F,$H127)="","Payment Type; ","")&amp;IF(AND(INDEX('Game Records'!$U:$U,$H127)&lt;&gt;"Subscription",INDEX('Game Records'!$U:$U,$H127)&lt;&gt;"Free Game",INDEX('Game Records'!$U:$U,$H127)&lt;&gt;"Disqualified — Free Game",INDEX('Game Records'!$G:$G,$H127)=""),"Gross Pot; ","")&amp;IF(AND(INDEX('Game Records'!$U:$U,$H127)&lt;&gt;"Free Game",INDEX('Game Records'!$U:$U,$H127)&lt;&gt;"Disqualified — Free Game",INDEX('Game Records'!$H:$H,$H127)=""),"Entry Fee; ","")&amp;IF(AND(INDEX('Game Records'!$U:$U,$H127)&lt;&gt;"Subscription",INDEX('Game Records'!$U:$U,$H127)&lt;&gt;"Free Game",INDEX('Game Records'!$U:$U,$H127)&lt;&gt;"Disqualified — Free Game",INDEX('Game Records'!$I:$I,$H127)=""),"Eligible Players; ","")&amp;IF(AND(INDEX('Game Records'!$U:$U,$H127)&lt;&gt;"Subscription",INDEX('Game Records'!$U:$U,$H127)&lt;&gt;"Free Game",INDEX('Game Records'!$U:$U,$H127)&lt;&gt;"Disqualified — Free Game",INDEX('Game Records'!$J:$J,$H127)=""),"Total Players; ","")&amp;IF(AND(LOWER(INDEX('Game Records'!$D:$D,$H127)&amp;"")="finalized",LOWER(INDEX('Game Records'!$L:$L,$H127)&amp;"")&lt;&gt;"yes",INDEX('Game Records'!$U:$U,$H127)&lt;&gt;"Subscription",INDEX('Game Records'!$U:$U,$H127)&lt;&gt;"Free Game",INDEX('Game Records'!$U:$U,$H127)&lt;&gt;"Disqualified — Free Game",INDEX('Game Records'!$K:$K,$H127)=""),"Final Payout; ","")&amp;IF(AND(LOWER(INDEX('Game Records'!$D:$D,$H127)&amp;"")="finalized",INDEX('Game Records'!$U:$U,$H127)&lt;&gt;"Subscription",INDEX('Game Records'!$U:$U,$H127)&lt;&gt;"Free Game",INDEX('Game Records'!$U:$U,$H127)&lt;&gt;"Disqualified — Free Game",OR(INDEX('Game Records'!$L:$L,$H127)="",LOWER(INDEX('Game Records'!$L:$L,$H127)&amp;"")="n/a")),"Disqualified Status; ",""))</f>
        <v/>
      </c>
      <c r="G127" s="25" t="str">
        <f t="array" ref="G127">IF($H127="","",IFERROR(INDEX('Game Records'!$M:$M,$H127),""))</f>
        <v/>
      </c>
      <c r="H127" s="8"/>
      <c r="I127" s="8"/>
      <c r="J127" s="8"/>
    </row>
    <row r="128" ht="24.0" customHeight="1">
      <c r="A128" s="21" t="str">
        <f t="shared" si="1"/>
        <v/>
      </c>
      <c r="B128" s="21" t="str">
        <f t="shared" si="2"/>
        <v/>
      </c>
      <c r="C128" s="25" t="str">
        <f t="array" ref="C128">IF($H128="","",IFERROR(INDEX('Game Records'!$A:$A,$H128),""))</f>
        <v/>
      </c>
      <c r="D128" s="25" t="str">
        <f t="array" ref="D128">IF($H128="","",IFERROR(INDEX('Game Records'!$U:$U,$H128),""))</f>
        <v/>
      </c>
      <c r="E128" s="25" t="str">
        <f t="shared" si="3"/>
        <v/>
      </c>
      <c r="F128" s="25" t="str">
        <f t="array" ref="F128">IF($H128="","",IF(OR(NOT(_xlfn.ISFORMULA(INDEX('Game Records'!$N:$N,$H128))),NOT(_xlfn.ISFORMULA(INDEX('Game Records'!$O:$O,$H128))),NOT(_xlfn.ISFORMULA(INDEX('Game Records'!$P:$P,$H128))),NOT(_xlfn.ISFORMULA(INDEX('Game Records'!$Q:$Q,$H128))),NOT(_xlfn.ISFORMULA(INDEX('Game Records'!$R:$R,$H128))),NOT(_xlfn.ISFORMULA(INDEX('Game Records'!$S:$S,$H128))),NOT(_xlfn.ISFORMULA(INDEX('Game Records'!$T:$T,$H128))),NOT(_xlfn.ISFORMULA(INDEX('Game Records'!$U:$U,$H128))),NOT(_xlfn.ISFORMULA(INDEX('Game Records'!$V:$V,$H128))),NOT(_xlfn.ISFORMULA(INDEX('Game Records'!$W:$W,$H128))),NOT(_xlfn.ISFORMULA(INDEX('Game Records'!$X:$X,$H128))),NOT(_xlfn.ISFORMULA(INDEX('Game Records'!$Y:$Y,$H128))),NOT(_xlfn.ISFORMULA(INDEX('Game Records'!$Z:$Z,$H128)))),"","")&amp;IF(INDEX('Game Records'!$B:$B,$H128)="","Start Date; ","")&amp;IF(INDEX('Game Records'!$C:$C,$H128)="","End Date; ","")&amp;IF(AND(INDEX('Game Records'!$U:$U,$H128)&lt;&gt;"Subscription",INDEX('Game Records'!$U:$U,$H128)&lt;&gt;"Free Game",INDEX('Game Records'!$U:$U,$H128)&lt;&gt;"Disqualified — Free Game",OR(INDEX('Game Records'!$D:$D,$H128)="",LOWER(INDEX('Game Records'!$D:$D,$H128)&amp;"")="n/a")),"Entry Mode; ","")&amp;IF(AND(INDEX('Game Records'!$U:$U,$H128)&lt;&gt;"Subscription",INDEX('Game Records'!$U:$U,$H128)&lt;&gt;"Free Game",INDEX('Game Records'!$U:$U,$H128)&lt;&gt;"Disqualified — Free Game",OR(INDEX('Game Records'!$E:$E,$H128)="",LOWER(INDEX('Game Records'!$E:$E,$H128)&amp;"")="n/a")),"Game Type; ","")&amp;IF(INDEX('Game Records'!$F:$F,$H128)="","Payment Type; ","")&amp;IF(AND(INDEX('Game Records'!$U:$U,$H128)&lt;&gt;"Subscription",INDEX('Game Records'!$U:$U,$H128)&lt;&gt;"Free Game",INDEX('Game Records'!$U:$U,$H128)&lt;&gt;"Disqualified — Free Game",INDEX('Game Records'!$G:$G,$H128)=""),"Gross Pot; ","")&amp;IF(AND(INDEX('Game Records'!$U:$U,$H128)&lt;&gt;"Free Game",INDEX('Game Records'!$U:$U,$H128)&lt;&gt;"Disqualified — Free Game",INDEX('Game Records'!$H:$H,$H128)=""),"Entry Fee; ","")&amp;IF(AND(INDEX('Game Records'!$U:$U,$H128)&lt;&gt;"Subscription",INDEX('Game Records'!$U:$U,$H128)&lt;&gt;"Free Game",INDEX('Game Records'!$U:$U,$H128)&lt;&gt;"Disqualified — Free Game",INDEX('Game Records'!$I:$I,$H128)=""),"Eligible Players; ","")&amp;IF(AND(INDEX('Game Records'!$U:$U,$H128)&lt;&gt;"Subscription",INDEX('Game Records'!$U:$U,$H128)&lt;&gt;"Free Game",INDEX('Game Records'!$U:$U,$H128)&lt;&gt;"Disqualified — Free Game",INDEX('Game Records'!$J:$J,$H128)=""),"Total Players; ","")&amp;IF(AND(LOWER(INDEX('Game Records'!$D:$D,$H128)&amp;"")="finalized",LOWER(INDEX('Game Records'!$L:$L,$H128)&amp;"")&lt;&gt;"yes",INDEX('Game Records'!$U:$U,$H128)&lt;&gt;"Subscription",INDEX('Game Records'!$U:$U,$H128)&lt;&gt;"Free Game",INDEX('Game Records'!$U:$U,$H128)&lt;&gt;"Disqualified — Free Game",INDEX('Game Records'!$K:$K,$H128)=""),"Final Payout; ","")&amp;IF(AND(LOWER(INDEX('Game Records'!$D:$D,$H128)&amp;"")="finalized",INDEX('Game Records'!$U:$U,$H128)&lt;&gt;"Subscription",INDEX('Game Records'!$U:$U,$H128)&lt;&gt;"Free Game",INDEX('Game Records'!$U:$U,$H128)&lt;&gt;"Disqualified — Free Game",OR(INDEX('Game Records'!$L:$L,$H128)="",LOWER(INDEX('Game Records'!$L:$L,$H128)&amp;"")="n/a")),"Disqualified Status; ",""))</f>
        <v/>
      </c>
      <c r="G128" s="25" t="str">
        <f t="array" ref="G128">IF($H128="","",IFERROR(INDEX('Game Records'!$M:$M,$H128),""))</f>
        <v/>
      </c>
      <c r="H128" s="8"/>
      <c r="I128" s="8"/>
      <c r="J128" s="8"/>
    </row>
    <row r="129" ht="24.0" customHeight="1">
      <c r="A129" s="21" t="str">
        <f t="shared" si="1"/>
        <v/>
      </c>
      <c r="B129" s="21" t="str">
        <f t="shared" si="2"/>
        <v/>
      </c>
      <c r="C129" s="25" t="str">
        <f t="array" ref="C129">IF($H129="","",IFERROR(INDEX('Game Records'!$A:$A,$H129),""))</f>
        <v/>
      </c>
      <c r="D129" s="25" t="str">
        <f t="array" ref="D129">IF($H129="","",IFERROR(INDEX('Game Records'!$U:$U,$H129),""))</f>
        <v/>
      </c>
      <c r="E129" s="25" t="str">
        <f t="shared" si="3"/>
        <v/>
      </c>
      <c r="F129" s="25" t="str">
        <f t="array" ref="F129">IF($H129="","",IF(OR(NOT(_xlfn.ISFORMULA(INDEX('Game Records'!$N:$N,$H129))),NOT(_xlfn.ISFORMULA(INDEX('Game Records'!$O:$O,$H129))),NOT(_xlfn.ISFORMULA(INDEX('Game Records'!$P:$P,$H129))),NOT(_xlfn.ISFORMULA(INDEX('Game Records'!$Q:$Q,$H129))),NOT(_xlfn.ISFORMULA(INDEX('Game Records'!$R:$R,$H129))),NOT(_xlfn.ISFORMULA(INDEX('Game Records'!$S:$S,$H129))),NOT(_xlfn.ISFORMULA(INDEX('Game Records'!$T:$T,$H129))),NOT(_xlfn.ISFORMULA(INDEX('Game Records'!$U:$U,$H129))),NOT(_xlfn.ISFORMULA(INDEX('Game Records'!$V:$V,$H129))),NOT(_xlfn.ISFORMULA(INDEX('Game Records'!$W:$W,$H129))),NOT(_xlfn.ISFORMULA(INDEX('Game Records'!$X:$X,$H129))),NOT(_xlfn.ISFORMULA(INDEX('Game Records'!$Y:$Y,$H129))),NOT(_xlfn.ISFORMULA(INDEX('Game Records'!$Z:$Z,$H129)))),"","")&amp;IF(INDEX('Game Records'!$B:$B,$H129)="","Start Date; ","")&amp;IF(INDEX('Game Records'!$C:$C,$H129)="","End Date; ","")&amp;IF(AND(INDEX('Game Records'!$U:$U,$H129)&lt;&gt;"Subscription",INDEX('Game Records'!$U:$U,$H129)&lt;&gt;"Free Game",INDEX('Game Records'!$U:$U,$H129)&lt;&gt;"Disqualified — Free Game",OR(INDEX('Game Records'!$D:$D,$H129)="",LOWER(INDEX('Game Records'!$D:$D,$H129)&amp;"")="n/a")),"Entry Mode; ","")&amp;IF(AND(INDEX('Game Records'!$U:$U,$H129)&lt;&gt;"Subscription",INDEX('Game Records'!$U:$U,$H129)&lt;&gt;"Free Game",INDEX('Game Records'!$U:$U,$H129)&lt;&gt;"Disqualified — Free Game",OR(INDEX('Game Records'!$E:$E,$H129)="",LOWER(INDEX('Game Records'!$E:$E,$H129)&amp;"")="n/a")),"Game Type; ","")&amp;IF(INDEX('Game Records'!$F:$F,$H129)="","Payment Type; ","")&amp;IF(AND(INDEX('Game Records'!$U:$U,$H129)&lt;&gt;"Subscription",INDEX('Game Records'!$U:$U,$H129)&lt;&gt;"Free Game",INDEX('Game Records'!$U:$U,$H129)&lt;&gt;"Disqualified — Free Game",INDEX('Game Records'!$G:$G,$H129)=""),"Gross Pot; ","")&amp;IF(AND(INDEX('Game Records'!$U:$U,$H129)&lt;&gt;"Free Game",INDEX('Game Records'!$U:$U,$H129)&lt;&gt;"Disqualified — Free Game",INDEX('Game Records'!$H:$H,$H129)=""),"Entry Fee; ","")&amp;IF(AND(INDEX('Game Records'!$U:$U,$H129)&lt;&gt;"Subscription",INDEX('Game Records'!$U:$U,$H129)&lt;&gt;"Free Game",INDEX('Game Records'!$U:$U,$H129)&lt;&gt;"Disqualified — Free Game",INDEX('Game Records'!$I:$I,$H129)=""),"Eligible Players; ","")&amp;IF(AND(INDEX('Game Records'!$U:$U,$H129)&lt;&gt;"Subscription",INDEX('Game Records'!$U:$U,$H129)&lt;&gt;"Free Game",INDEX('Game Records'!$U:$U,$H129)&lt;&gt;"Disqualified — Free Game",INDEX('Game Records'!$J:$J,$H129)=""),"Total Players; ","")&amp;IF(AND(LOWER(INDEX('Game Records'!$D:$D,$H129)&amp;"")="finalized",LOWER(INDEX('Game Records'!$L:$L,$H129)&amp;"")&lt;&gt;"yes",INDEX('Game Records'!$U:$U,$H129)&lt;&gt;"Subscription",INDEX('Game Records'!$U:$U,$H129)&lt;&gt;"Free Game",INDEX('Game Records'!$U:$U,$H129)&lt;&gt;"Disqualified — Free Game",INDEX('Game Records'!$K:$K,$H129)=""),"Final Payout; ","")&amp;IF(AND(LOWER(INDEX('Game Records'!$D:$D,$H129)&amp;"")="finalized",INDEX('Game Records'!$U:$U,$H129)&lt;&gt;"Subscription",INDEX('Game Records'!$U:$U,$H129)&lt;&gt;"Free Game",INDEX('Game Records'!$U:$U,$H129)&lt;&gt;"Disqualified — Free Game",OR(INDEX('Game Records'!$L:$L,$H129)="",LOWER(INDEX('Game Records'!$L:$L,$H129)&amp;"")="n/a")),"Disqualified Status; ",""))</f>
        <v/>
      </c>
      <c r="G129" s="25" t="str">
        <f t="array" ref="G129">IF($H129="","",IFERROR(INDEX('Game Records'!$M:$M,$H129),""))</f>
        <v/>
      </c>
      <c r="H129" s="8"/>
      <c r="I129" s="8"/>
      <c r="J129" s="8"/>
    </row>
    <row r="130" ht="24.0" customHeight="1">
      <c r="A130" s="21" t="str">
        <f t="shared" si="1"/>
        <v/>
      </c>
      <c r="B130" s="21" t="str">
        <f t="shared" si="2"/>
        <v/>
      </c>
      <c r="C130" s="25" t="str">
        <f t="array" ref="C130">IF($H130="","",IFERROR(INDEX('Game Records'!$A:$A,$H130),""))</f>
        <v/>
      </c>
      <c r="D130" s="25" t="str">
        <f t="array" ref="D130">IF($H130="","",IFERROR(INDEX('Game Records'!$U:$U,$H130),""))</f>
        <v/>
      </c>
      <c r="E130" s="25" t="str">
        <f t="shared" si="3"/>
        <v/>
      </c>
      <c r="F130" s="25" t="str">
        <f t="array" ref="F130">IF($H130="","",IF(OR(NOT(_xlfn.ISFORMULA(INDEX('Game Records'!$N:$N,$H130))),NOT(_xlfn.ISFORMULA(INDEX('Game Records'!$O:$O,$H130))),NOT(_xlfn.ISFORMULA(INDEX('Game Records'!$P:$P,$H130))),NOT(_xlfn.ISFORMULA(INDEX('Game Records'!$Q:$Q,$H130))),NOT(_xlfn.ISFORMULA(INDEX('Game Records'!$R:$R,$H130))),NOT(_xlfn.ISFORMULA(INDEX('Game Records'!$S:$S,$H130))),NOT(_xlfn.ISFORMULA(INDEX('Game Records'!$T:$T,$H130))),NOT(_xlfn.ISFORMULA(INDEX('Game Records'!$U:$U,$H130))),NOT(_xlfn.ISFORMULA(INDEX('Game Records'!$V:$V,$H130))),NOT(_xlfn.ISFORMULA(INDEX('Game Records'!$W:$W,$H130))),NOT(_xlfn.ISFORMULA(INDEX('Game Records'!$X:$X,$H130))),NOT(_xlfn.ISFORMULA(INDEX('Game Records'!$Y:$Y,$H130))),NOT(_xlfn.ISFORMULA(INDEX('Game Records'!$Z:$Z,$H130)))),"","")&amp;IF(INDEX('Game Records'!$B:$B,$H130)="","Start Date; ","")&amp;IF(INDEX('Game Records'!$C:$C,$H130)="","End Date; ","")&amp;IF(AND(INDEX('Game Records'!$U:$U,$H130)&lt;&gt;"Subscription",INDEX('Game Records'!$U:$U,$H130)&lt;&gt;"Free Game",INDEX('Game Records'!$U:$U,$H130)&lt;&gt;"Disqualified — Free Game",OR(INDEX('Game Records'!$D:$D,$H130)="",LOWER(INDEX('Game Records'!$D:$D,$H130)&amp;"")="n/a")),"Entry Mode; ","")&amp;IF(AND(INDEX('Game Records'!$U:$U,$H130)&lt;&gt;"Subscription",INDEX('Game Records'!$U:$U,$H130)&lt;&gt;"Free Game",INDEX('Game Records'!$U:$U,$H130)&lt;&gt;"Disqualified — Free Game",OR(INDEX('Game Records'!$E:$E,$H130)="",LOWER(INDEX('Game Records'!$E:$E,$H130)&amp;"")="n/a")),"Game Type; ","")&amp;IF(INDEX('Game Records'!$F:$F,$H130)="","Payment Type; ","")&amp;IF(AND(INDEX('Game Records'!$U:$U,$H130)&lt;&gt;"Subscription",INDEX('Game Records'!$U:$U,$H130)&lt;&gt;"Free Game",INDEX('Game Records'!$U:$U,$H130)&lt;&gt;"Disqualified — Free Game",INDEX('Game Records'!$G:$G,$H130)=""),"Gross Pot; ","")&amp;IF(AND(INDEX('Game Records'!$U:$U,$H130)&lt;&gt;"Free Game",INDEX('Game Records'!$U:$U,$H130)&lt;&gt;"Disqualified — Free Game",INDEX('Game Records'!$H:$H,$H130)=""),"Entry Fee; ","")&amp;IF(AND(INDEX('Game Records'!$U:$U,$H130)&lt;&gt;"Subscription",INDEX('Game Records'!$U:$U,$H130)&lt;&gt;"Free Game",INDEX('Game Records'!$U:$U,$H130)&lt;&gt;"Disqualified — Free Game",INDEX('Game Records'!$I:$I,$H130)=""),"Eligible Players; ","")&amp;IF(AND(INDEX('Game Records'!$U:$U,$H130)&lt;&gt;"Subscription",INDEX('Game Records'!$U:$U,$H130)&lt;&gt;"Free Game",INDEX('Game Records'!$U:$U,$H130)&lt;&gt;"Disqualified — Free Game",INDEX('Game Records'!$J:$J,$H130)=""),"Total Players; ","")&amp;IF(AND(LOWER(INDEX('Game Records'!$D:$D,$H130)&amp;"")="finalized",LOWER(INDEX('Game Records'!$L:$L,$H130)&amp;"")&lt;&gt;"yes",INDEX('Game Records'!$U:$U,$H130)&lt;&gt;"Subscription",INDEX('Game Records'!$U:$U,$H130)&lt;&gt;"Free Game",INDEX('Game Records'!$U:$U,$H130)&lt;&gt;"Disqualified — Free Game",INDEX('Game Records'!$K:$K,$H130)=""),"Final Payout; ","")&amp;IF(AND(LOWER(INDEX('Game Records'!$D:$D,$H130)&amp;"")="finalized",INDEX('Game Records'!$U:$U,$H130)&lt;&gt;"Subscription",INDEX('Game Records'!$U:$U,$H130)&lt;&gt;"Free Game",INDEX('Game Records'!$U:$U,$H130)&lt;&gt;"Disqualified — Free Game",OR(INDEX('Game Records'!$L:$L,$H130)="",LOWER(INDEX('Game Records'!$L:$L,$H130)&amp;"")="n/a")),"Disqualified Status; ",""))</f>
        <v/>
      </c>
      <c r="G130" s="25" t="str">
        <f t="array" ref="G130">IF($H130="","",IFERROR(INDEX('Game Records'!$M:$M,$H130),""))</f>
        <v/>
      </c>
      <c r="H130" s="8"/>
      <c r="I130" s="8"/>
      <c r="J130" s="8"/>
    </row>
    <row r="131" ht="24.0" customHeight="1">
      <c r="A131" s="21" t="str">
        <f t="shared" si="1"/>
        <v/>
      </c>
      <c r="B131" s="21" t="str">
        <f t="shared" si="2"/>
        <v/>
      </c>
      <c r="C131" s="25" t="str">
        <f t="array" ref="C131">IF($H131="","",IFERROR(INDEX('Game Records'!$A:$A,$H131),""))</f>
        <v/>
      </c>
      <c r="D131" s="25" t="str">
        <f t="array" ref="D131">IF($H131="","",IFERROR(INDEX('Game Records'!$U:$U,$H131),""))</f>
        <v/>
      </c>
      <c r="E131" s="25" t="str">
        <f t="shared" si="3"/>
        <v/>
      </c>
      <c r="F131" s="25" t="str">
        <f t="array" ref="F131">IF($H131="","",IF(OR(NOT(_xlfn.ISFORMULA(INDEX('Game Records'!$N:$N,$H131))),NOT(_xlfn.ISFORMULA(INDEX('Game Records'!$O:$O,$H131))),NOT(_xlfn.ISFORMULA(INDEX('Game Records'!$P:$P,$H131))),NOT(_xlfn.ISFORMULA(INDEX('Game Records'!$Q:$Q,$H131))),NOT(_xlfn.ISFORMULA(INDEX('Game Records'!$R:$R,$H131))),NOT(_xlfn.ISFORMULA(INDEX('Game Records'!$S:$S,$H131))),NOT(_xlfn.ISFORMULA(INDEX('Game Records'!$T:$T,$H131))),NOT(_xlfn.ISFORMULA(INDEX('Game Records'!$U:$U,$H131))),NOT(_xlfn.ISFORMULA(INDEX('Game Records'!$V:$V,$H131))),NOT(_xlfn.ISFORMULA(INDEX('Game Records'!$W:$W,$H131))),NOT(_xlfn.ISFORMULA(INDEX('Game Records'!$X:$X,$H131))),NOT(_xlfn.ISFORMULA(INDEX('Game Records'!$Y:$Y,$H131))),NOT(_xlfn.ISFORMULA(INDEX('Game Records'!$Z:$Z,$H131)))),"","")&amp;IF(INDEX('Game Records'!$B:$B,$H131)="","Start Date; ","")&amp;IF(INDEX('Game Records'!$C:$C,$H131)="","End Date; ","")&amp;IF(AND(INDEX('Game Records'!$U:$U,$H131)&lt;&gt;"Subscription",INDEX('Game Records'!$U:$U,$H131)&lt;&gt;"Free Game",INDEX('Game Records'!$U:$U,$H131)&lt;&gt;"Disqualified — Free Game",OR(INDEX('Game Records'!$D:$D,$H131)="",LOWER(INDEX('Game Records'!$D:$D,$H131)&amp;"")="n/a")),"Entry Mode; ","")&amp;IF(AND(INDEX('Game Records'!$U:$U,$H131)&lt;&gt;"Subscription",INDEX('Game Records'!$U:$U,$H131)&lt;&gt;"Free Game",INDEX('Game Records'!$U:$U,$H131)&lt;&gt;"Disqualified — Free Game",OR(INDEX('Game Records'!$E:$E,$H131)="",LOWER(INDEX('Game Records'!$E:$E,$H131)&amp;"")="n/a")),"Game Type; ","")&amp;IF(INDEX('Game Records'!$F:$F,$H131)="","Payment Type; ","")&amp;IF(AND(INDEX('Game Records'!$U:$U,$H131)&lt;&gt;"Subscription",INDEX('Game Records'!$U:$U,$H131)&lt;&gt;"Free Game",INDEX('Game Records'!$U:$U,$H131)&lt;&gt;"Disqualified — Free Game",INDEX('Game Records'!$G:$G,$H131)=""),"Gross Pot; ","")&amp;IF(AND(INDEX('Game Records'!$U:$U,$H131)&lt;&gt;"Free Game",INDEX('Game Records'!$U:$U,$H131)&lt;&gt;"Disqualified — Free Game",INDEX('Game Records'!$H:$H,$H131)=""),"Entry Fee; ","")&amp;IF(AND(INDEX('Game Records'!$U:$U,$H131)&lt;&gt;"Subscription",INDEX('Game Records'!$U:$U,$H131)&lt;&gt;"Free Game",INDEX('Game Records'!$U:$U,$H131)&lt;&gt;"Disqualified — Free Game",INDEX('Game Records'!$I:$I,$H131)=""),"Eligible Players; ","")&amp;IF(AND(INDEX('Game Records'!$U:$U,$H131)&lt;&gt;"Subscription",INDEX('Game Records'!$U:$U,$H131)&lt;&gt;"Free Game",INDEX('Game Records'!$U:$U,$H131)&lt;&gt;"Disqualified — Free Game",INDEX('Game Records'!$J:$J,$H131)=""),"Total Players; ","")&amp;IF(AND(LOWER(INDEX('Game Records'!$D:$D,$H131)&amp;"")="finalized",LOWER(INDEX('Game Records'!$L:$L,$H131)&amp;"")&lt;&gt;"yes",INDEX('Game Records'!$U:$U,$H131)&lt;&gt;"Subscription",INDEX('Game Records'!$U:$U,$H131)&lt;&gt;"Free Game",INDEX('Game Records'!$U:$U,$H131)&lt;&gt;"Disqualified — Free Game",INDEX('Game Records'!$K:$K,$H131)=""),"Final Payout; ","")&amp;IF(AND(LOWER(INDEX('Game Records'!$D:$D,$H131)&amp;"")="finalized",INDEX('Game Records'!$U:$U,$H131)&lt;&gt;"Subscription",INDEX('Game Records'!$U:$U,$H131)&lt;&gt;"Free Game",INDEX('Game Records'!$U:$U,$H131)&lt;&gt;"Disqualified — Free Game",OR(INDEX('Game Records'!$L:$L,$H131)="",LOWER(INDEX('Game Records'!$L:$L,$H131)&amp;"")="n/a")),"Disqualified Status; ",""))</f>
        <v/>
      </c>
      <c r="G131" s="25" t="str">
        <f t="array" ref="G131">IF($H131="","",IFERROR(INDEX('Game Records'!$M:$M,$H131),""))</f>
        <v/>
      </c>
      <c r="H131" s="8"/>
      <c r="I131" s="8"/>
      <c r="J131" s="8"/>
    </row>
    <row r="132" ht="24.0" customHeight="1">
      <c r="A132" s="21" t="str">
        <f t="shared" si="1"/>
        <v/>
      </c>
      <c r="B132" s="21" t="str">
        <f t="shared" si="2"/>
        <v/>
      </c>
      <c r="C132" s="25" t="str">
        <f t="array" ref="C132">IF($H132="","",IFERROR(INDEX('Game Records'!$A:$A,$H132),""))</f>
        <v/>
      </c>
      <c r="D132" s="25" t="str">
        <f t="array" ref="D132">IF($H132="","",IFERROR(INDEX('Game Records'!$U:$U,$H132),""))</f>
        <v/>
      </c>
      <c r="E132" s="25" t="str">
        <f t="shared" si="3"/>
        <v/>
      </c>
      <c r="F132" s="25" t="str">
        <f t="array" ref="F132">IF($H132="","",IF(OR(NOT(_xlfn.ISFORMULA(INDEX('Game Records'!$N:$N,$H132))),NOT(_xlfn.ISFORMULA(INDEX('Game Records'!$O:$O,$H132))),NOT(_xlfn.ISFORMULA(INDEX('Game Records'!$P:$P,$H132))),NOT(_xlfn.ISFORMULA(INDEX('Game Records'!$Q:$Q,$H132))),NOT(_xlfn.ISFORMULA(INDEX('Game Records'!$R:$R,$H132))),NOT(_xlfn.ISFORMULA(INDEX('Game Records'!$S:$S,$H132))),NOT(_xlfn.ISFORMULA(INDEX('Game Records'!$T:$T,$H132))),NOT(_xlfn.ISFORMULA(INDEX('Game Records'!$U:$U,$H132))),NOT(_xlfn.ISFORMULA(INDEX('Game Records'!$V:$V,$H132))),NOT(_xlfn.ISFORMULA(INDEX('Game Records'!$W:$W,$H132))),NOT(_xlfn.ISFORMULA(INDEX('Game Records'!$X:$X,$H132))),NOT(_xlfn.ISFORMULA(INDEX('Game Records'!$Y:$Y,$H132))),NOT(_xlfn.ISFORMULA(INDEX('Game Records'!$Z:$Z,$H132)))),"","")&amp;IF(INDEX('Game Records'!$B:$B,$H132)="","Start Date; ","")&amp;IF(INDEX('Game Records'!$C:$C,$H132)="","End Date; ","")&amp;IF(AND(INDEX('Game Records'!$U:$U,$H132)&lt;&gt;"Subscription",INDEX('Game Records'!$U:$U,$H132)&lt;&gt;"Free Game",INDEX('Game Records'!$U:$U,$H132)&lt;&gt;"Disqualified — Free Game",OR(INDEX('Game Records'!$D:$D,$H132)="",LOWER(INDEX('Game Records'!$D:$D,$H132)&amp;"")="n/a")),"Entry Mode; ","")&amp;IF(AND(INDEX('Game Records'!$U:$U,$H132)&lt;&gt;"Subscription",INDEX('Game Records'!$U:$U,$H132)&lt;&gt;"Free Game",INDEX('Game Records'!$U:$U,$H132)&lt;&gt;"Disqualified — Free Game",OR(INDEX('Game Records'!$E:$E,$H132)="",LOWER(INDEX('Game Records'!$E:$E,$H132)&amp;"")="n/a")),"Game Type; ","")&amp;IF(INDEX('Game Records'!$F:$F,$H132)="","Payment Type; ","")&amp;IF(AND(INDEX('Game Records'!$U:$U,$H132)&lt;&gt;"Subscription",INDEX('Game Records'!$U:$U,$H132)&lt;&gt;"Free Game",INDEX('Game Records'!$U:$U,$H132)&lt;&gt;"Disqualified — Free Game",INDEX('Game Records'!$G:$G,$H132)=""),"Gross Pot; ","")&amp;IF(AND(INDEX('Game Records'!$U:$U,$H132)&lt;&gt;"Free Game",INDEX('Game Records'!$U:$U,$H132)&lt;&gt;"Disqualified — Free Game",INDEX('Game Records'!$H:$H,$H132)=""),"Entry Fee; ","")&amp;IF(AND(INDEX('Game Records'!$U:$U,$H132)&lt;&gt;"Subscription",INDEX('Game Records'!$U:$U,$H132)&lt;&gt;"Free Game",INDEX('Game Records'!$U:$U,$H132)&lt;&gt;"Disqualified — Free Game",INDEX('Game Records'!$I:$I,$H132)=""),"Eligible Players; ","")&amp;IF(AND(INDEX('Game Records'!$U:$U,$H132)&lt;&gt;"Subscription",INDEX('Game Records'!$U:$U,$H132)&lt;&gt;"Free Game",INDEX('Game Records'!$U:$U,$H132)&lt;&gt;"Disqualified — Free Game",INDEX('Game Records'!$J:$J,$H132)=""),"Total Players; ","")&amp;IF(AND(LOWER(INDEX('Game Records'!$D:$D,$H132)&amp;"")="finalized",LOWER(INDEX('Game Records'!$L:$L,$H132)&amp;"")&lt;&gt;"yes",INDEX('Game Records'!$U:$U,$H132)&lt;&gt;"Subscription",INDEX('Game Records'!$U:$U,$H132)&lt;&gt;"Free Game",INDEX('Game Records'!$U:$U,$H132)&lt;&gt;"Disqualified — Free Game",INDEX('Game Records'!$K:$K,$H132)=""),"Final Payout; ","")&amp;IF(AND(LOWER(INDEX('Game Records'!$D:$D,$H132)&amp;"")="finalized",INDEX('Game Records'!$U:$U,$H132)&lt;&gt;"Subscription",INDEX('Game Records'!$U:$U,$H132)&lt;&gt;"Free Game",INDEX('Game Records'!$U:$U,$H132)&lt;&gt;"Disqualified — Free Game",OR(INDEX('Game Records'!$L:$L,$H132)="",LOWER(INDEX('Game Records'!$L:$L,$H132)&amp;"")="n/a")),"Disqualified Status; ",""))</f>
        <v/>
      </c>
      <c r="G132" s="25" t="str">
        <f t="array" ref="G132">IF($H132="","",IFERROR(INDEX('Game Records'!$M:$M,$H132),""))</f>
        <v/>
      </c>
      <c r="H132" s="8"/>
      <c r="I132" s="8"/>
      <c r="J132" s="8"/>
    </row>
    <row r="133" ht="24.0" customHeight="1">
      <c r="A133" s="21" t="str">
        <f t="shared" si="1"/>
        <v/>
      </c>
      <c r="B133" s="21" t="str">
        <f t="shared" si="2"/>
        <v/>
      </c>
      <c r="C133" s="25" t="str">
        <f t="array" ref="C133">IF($H133="","",IFERROR(INDEX('Game Records'!$A:$A,$H133),""))</f>
        <v/>
      </c>
      <c r="D133" s="25" t="str">
        <f t="array" ref="D133">IF($H133="","",IFERROR(INDEX('Game Records'!$U:$U,$H133),""))</f>
        <v/>
      </c>
      <c r="E133" s="25" t="str">
        <f t="shared" si="3"/>
        <v/>
      </c>
      <c r="F133" s="25" t="str">
        <f t="array" ref="F133">IF($H133="","",IF(OR(NOT(_xlfn.ISFORMULA(INDEX('Game Records'!$N:$N,$H133))),NOT(_xlfn.ISFORMULA(INDEX('Game Records'!$O:$O,$H133))),NOT(_xlfn.ISFORMULA(INDEX('Game Records'!$P:$P,$H133))),NOT(_xlfn.ISFORMULA(INDEX('Game Records'!$Q:$Q,$H133))),NOT(_xlfn.ISFORMULA(INDEX('Game Records'!$R:$R,$H133))),NOT(_xlfn.ISFORMULA(INDEX('Game Records'!$S:$S,$H133))),NOT(_xlfn.ISFORMULA(INDEX('Game Records'!$T:$T,$H133))),NOT(_xlfn.ISFORMULA(INDEX('Game Records'!$U:$U,$H133))),NOT(_xlfn.ISFORMULA(INDEX('Game Records'!$V:$V,$H133))),NOT(_xlfn.ISFORMULA(INDEX('Game Records'!$W:$W,$H133))),NOT(_xlfn.ISFORMULA(INDEX('Game Records'!$X:$X,$H133))),NOT(_xlfn.ISFORMULA(INDEX('Game Records'!$Y:$Y,$H133))),NOT(_xlfn.ISFORMULA(INDEX('Game Records'!$Z:$Z,$H133)))),"","")&amp;IF(INDEX('Game Records'!$B:$B,$H133)="","Start Date; ","")&amp;IF(INDEX('Game Records'!$C:$C,$H133)="","End Date; ","")&amp;IF(AND(INDEX('Game Records'!$U:$U,$H133)&lt;&gt;"Subscription",INDEX('Game Records'!$U:$U,$H133)&lt;&gt;"Free Game",INDEX('Game Records'!$U:$U,$H133)&lt;&gt;"Disqualified — Free Game",OR(INDEX('Game Records'!$D:$D,$H133)="",LOWER(INDEX('Game Records'!$D:$D,$H133)&amp;"")="n/a")),"Entry Mode; ","")&amp;IF(AND(INDEX('Game Records'!$U:$U,$H133)&lt;&gt;"Subscription",INDEX('Game Records'!$U:$U,$H133)&lt;&gt;"Free Game",INDEX('Game Records'!$U:$U,$H133)&lt;&gt;"Disqualified — Free Game",OR(INDEX('Game Records'!$E:$E,$H133)="",LOWER(INDEX('Game Records'!$E:$E,$H133)&amp;"")="n/a")),"Game Type; ","")&amp;IF(INDEX('Game Records'!$F:$F,$H133)="","Payment Type; ","")&amp;IF(AND(INDEX('Game Records'!$U:$U,$H133)&lt;&gt;"Subscription",INDEX('Game Records'!$U:$U,$H133)&lt;&gt;"Free Game",INDEX('Game Records'!$U:$U,$H133)&lt;&gt;"Disqualified — Free Game",INDEX('Game Records'!$G:$G,$H133)=""),"Gross Pot; ","")&amp;IF(AND(INDEX('Game Records'!$U:$U,$H133)&lt;&gt;"Free Game",INDEX('Game Records'!$U:$U,$H133)&lt;&gt;"Disqualified — Free Game",INDEX('Game Records'!$H:$H,$H133)=""),"Entry Fee; ","")&amp;IF(AND(INDEX('Game Records'!$U:$U,$H133)&lt;&gt;"Subscription",INDEX('Game Records'!$U:$U,$H133)&lt;&gt;"Free Game",INDEX('Game Records'!$U:$U,$H133)&lt;&gt;"Disqualified — Free Game",INDEX('Game Records'!$I:$I,$H133)=""),"Eligible Players; ","")&amp;IF(AND(INDEX('Game Records'!$U:$U,$H133)&lt;&gt;"Subscription",INDEX('Game Records'!$U:$U,$H133)&lt;&gt;"Free Game",INDEX('Game Records'!$U:$U,$H133)&lt;&gt;"Disqualified — Free Game",INDEX('Game Records'!$J:$J,$H133)=""),"Total Players; ","")&amp;IF(AND(LOWER(INDEX('Game Records'!$D:$D,$H133)&amp;"")="finalized",LOWER(INDEX('Game Records'!$L:$L,$H133)&amp;"")&lt;&gt;"yes",INDEX('Game Records'!$U:$U,$H133)&lt;&gt;"Subscription",INDEX('Game Records'!$U:$U,$H133)&lt;&gt;"Free Game",INDEX('Game Records'!$U:$U,$H133)&lt;&gt;"Disqualified — Free Game",INDEX('Game Records'!$K:$K,$H133)=""),"Final Payout; ","")&amp;IF(AND(LOWER(INDEX('Game Records'!$D:$D,$H133)&amp;"")="finalized",INDEX('Game Records'!$U:$U,$H133)&lt;&gt;"Subscription",INDEX('Game Records'!$U:$U,$H133)&lt;&gt;"Free Game",INDEX('Game Records'!$U:$U,$H133)&lt;&gt;"Disqualified — Free Game",OR(INDEX('Game Records'!$L:$L,$H133)="",LOWER(INDEX('Game Records'!$L:$L,$H133)&amp;"")="n/a")),"Disqualified Status; ",""))</f>
        <v/>
      </c>
      <c r="G133" s="25" t="str">
        <f t="array" ref="G133">IF($H133="","",IFERROR(INDEX('Game Records'!$M:$M,$H133),""))</f>
        <v/>
      </c>
      <c r="H133" s="8"/>
      <c r="I133" s="8"/>
      <c r="J133" s="8"/>
    </row>
    <row r="134" ht="24.0" customHeight="1">
      <c r="A134" s="21" t="str">
        <f t="shared" si="1"/>
        <v/>
      </c>
      <c r="B134" s="21" t="str">
        <f t="shared" si="2"/>
        <v/>
      </c>
      <c r="C134" s="25" t="str">
        <f t="array" ref="C134">IF($H134="","",IFERROR(INDEX('Game Records'!$A:$A,$H134),""))</f>
        <v/>
      </c>
      <c r="D134" s="25" t="str">
        <f t="array" ref="D134">IF($H134="","",IFERROR(INDEX('Game Records'!$U:$U,$H134),""))</f>
        <v/>
      </c>
      <c r="E134" s="25" t="str">
        <f t="shared" si="3"/>
        <v/>
      </c>
      <c r="F134" s="25" t="str">
        <f t="array" ref="F134">IF($H134="","",IF(OR(NOT(_xlfn.ISFORMULA(INDEX('Game Records'!$N:$N,$H134))),NOT(_xlfn.ISFORMULA(INDEX('Game Records'!$O:$O,$H134))),NOT(_xlfn.ISFORMULA(INDEX('Game Records'!$P:$P,$H134))),NOT(_xlfn.ISFORMULA(INDEX('Game Records'!$Q:$Q,$H134))),NOT(_xlfn.ISFORMULA(INDEX('Game Records'!$R:$R,$H134))),NOT(_xlfn.ISFORMULA(INDEX('Game Records'!$S:$S,$H134))),NOT(_xlfn.ISFORMULA(INDEX('Game Records'!$T:$T,$H134))),NOT(_xlfn.ISFORMULA(INDEX('Game Records'!$U:$U,$H134))),NOT(_xlfn.ISFORMULA(INDEX('Game Records'!$V:$V,$H134))),NOT(_xlfn.ISFORMULA(INDEX('Game Records'!$W:$W,$H134))),NOT(_xlfn.ISFORMULA(INDEX('Game Records'!$X:$X,$H134))),NOT(_xlfn.ISFORMULA(INDEX('Game Records'!$Y:$Y,$H134))),NOT(_xlfn.ISFORMULA(INDEX('Game Records'!$Z:$Z,$H134)))),"","")&amp;IF(INDEX('Game Records'!$B:$B,$H134)="","Start Date; ","")&amp;IF(INDEX('Game Records'!$C:$C,$H134)="","End Date; ","")&amp;IF(AND(INDEX('Game Records'!$U:$U,$H134)&lt;&gt;"Subscription",INDEX('Game Records'!$U:$U,$H134)&lt;&gt;"Free Game",INDEX('Game Records'!$U:$U,$H134)&lt;&gt;"Disqualified — Free Game",OR(INDEX('Game Records'!$D:$D,$H134)="",LOWER(INDEX('Game Records'!$D:$D,$H134)&amp;"")="n/a")),"Entry Mode; ","")&amp;IF(AND(INDEX('Game Records'!$U:$U,$H134)&lt;&gt;"Subscription",INDEX('Game Records'!$U:$U,$H134)&lt;&gt;"Free Game",INDEX('Game Records'!$U:$U,$H134)&lt;&gt;"Disqualified — Free Game",OR(INDEX('Game Records'!$E:$E,$H134)="",LOWER(INDEX('Game Records'!$E:$E,$H134)&amp;"")="n/a")),"Game Type; ","")&amp;IF(INDEX('Game Records'!$F:$F,$H134)="","Payment Type; ","")&amp;IF(AND(INDEX('Game Records'!$U:$U,$H134)&lt;&gt;"Subscription",INDEX('Game Records'!$U:$U,$H134)&lt;&gt;"Free Game",INDEX('Game Records'!$U:$U,$H134)&lt;&gt;"Disqualified — Free Game",INDEX('Game Records'!$G:$G,$H134)=""),"Gross Pot; ","")&amp;IF(AND(INDEX('Game Records'!$U:$U,$H134)&lt;&gt;"Free Game",INDEX('Game Records'!$U:$U,$H134)&lt;&gt;"Disqualified — Free Game",INDEX('Game Records'!$H:$H,$H134)=""),"Entry Fee; ","")&amp;IF(AND(INDEX('Game Records'!$U:$U,$H134)&lt;&gt;"Subscription",INDEX('Game Records'!$U:$U,$H134)&lt;&gt;"Free Game",INDEX('Game Records'!$U:$U,$H134)&lt;&gt;"Disqualified — Free Game",INDEX('Game Records'!$I:$I,$H134)=""),"Eligible Players; ","")&amp;IF(AND(INDEX('Game Records'!$U:$U,$H134)&lt;&gt;"Subscription",INDEX('Game Records'!$U:$U,$H134)&lt;&gt;"Free Game",INDEX('Game Records'!$U:$U,$H134)&lt;&gt;"Disqualified — Free Game",INDEX('Game Records'!$J:$J,$H134)=""),"Total Players; ","")&amp;IF(AND(LOWER(INDEX('Game Records'!$D:$D,$H134)&amp;"")="finalized",LOWER(INDEX('Game Records'!$L:$L,$H134)&amp;"")&lt;&gt;"yes",INDEX('Game Records'!$U:$U,$H134)&lt;&gt;"Subscription",INDEX('Game Records'!$U:$U,$H134)&lt;&gt;"Free Game",INDEX('Game Records'!$U:$U,$H134)&lt;&gt;"Disqualified — Free Game",INDEX('Game Records'!$K:$K,$H134)=""),"Final Payout; ","")&amp;IF(AND(LOWER(INDEX('Game Records'!$D:$D,$H134)&amp;"")="finalized",INDEX('Game Records'!$U:$U,$H134)&lt;&gt;"Subscription",INDEX('Game Records'!$U:$U,$H134)&lt;&gt;"Free Game",INDEX('Game Records'!$U:$U,$H134)&lt;&gt;"Disqualified — Free Game",OR(INDEX('Game Records'!$L:$L,$H134)="",LOWER(INDEX('Game Records'!$L:$L,$H134)&amp;"")="n/a")),"Disqualified Status; ",""))</f>
        <v/>
      </c>
      <c r="G134" s="25" t="str">
        <f t="array" ref="G134">IF($H134="","",IFERROR(INDEX('Game Records'!$M:$M,$H134),""))</f>
        <v/>
      </c>
      <c r="H134" s="8"/>
      <c r="I134" s="8"/>
      <c r="J134" s="8"/>
    </row>
    <row r="135" ht="24.0" customHeight="1">
      <c r="A135" s="21" t="str">
        <f t="shared" si="1"/>
        <v/>
      </c>
      <c r="B135" s="21" t="str">
        <f t="shared" si="2"/>
        <v/>
      </c>
      <c r="C135" s="25" t="str">
        <f t="array" ref="C135">IF($H135="","",IFERROR(INDEX('Game Records'!$A:$A,$H135),""))</f>
        <v/>
      </c>
      <c r="D135" s="25" t="str">
        <f t="array" ref="D135">IF($H135="","",IFERROR(INDEX('Game Records'!$U:$U,$H135),""))</f>
        <v/>
      </c>
      <c r="E135" s="25" t="str">
        <f t="shared" si="3"/>
        <v/>
      </c>
      <c r="F135" s="25" t="str">
        <f t="array" ref="F135">IF($H135="","",IF(OR(NOT(_xlfn.ISFORMULA(INDEX('Game Records'!$N:$N,$H135))),NOT(_xlfn.ISFORMULA(INDEX('Game Records'!$O:$O,$H135))),NOT(_xlfn.ISFORMULA(INDEX('Game Records'!$P:$P,$H135))),NOT(_xlfn.ISFORMULA(INDEX('Game Records'!$Q:$Q,$H135))),NOT(_xlfn.ISFORMULA(INDEX('Game Records'!$R:$R,$H135))),NOT(_xlfn.ISFORMULA(INDEX('Game Records'!$S:$S,$H135))),NOT(_xlfn.ISFORMULA(INDEX('Game Records'!$T:$T,$H135))),NOT(_xlfn.ISFORMULA(INDEX('Game Records'!$U:$U,$H135))),NOT(_xlfn.ISFORMULA(INDEX('Game Records'!$V:$V,$H135))),NOT(_xlfn.ISFORMULA(INDEX('Game Records'!$W:$W,$H135))),NOT(_xlfn.ISFORMULA(INDEX('Game Records'!$X:$X,$H135))),NOT(_xlfn.ISFORMULA(INDEX('Game Records'!$Y:$Y,$H135))),NOT(_xlfn.ISFORMULA(INDEX('Game Records'!$Z:$Z,$H135)))),"","")&amp;IF(INDEX('Game Records'!$B:$B,$H135)="","Start Date; ","")&amp;IF(INDEX('Game Records'!$C:$C,$H135)="","End Date; ","")&amp;IF(AND(INDEX('Game Records'!$U:$U,$H135)&lt;&gt;"Subscription",INDEX('Game Records'!$U:$U,$H135)&lt;&gt;"Free Game",INDEX('Game Records'!$U:$U,$H135)&lt;&gt;"Disqualified — Free Game",OR(INDEX('Game Records'!$D:$D,$H135)="",LOWER(INDEX('Game Records'!$D:$D,$H135)&amp;"")="n/a")),"Entry Mode; ","")&amp;IF(AND(INDEX('Game Records'!$U:$U,$H135)&lt;&gt;"Subscription",INDEX('Game Records'!$U:$U,$H135)&lt;&gt;"Free Game",INDEX('Game Records'!$U:$U,$H135)&lt;&gt;"Disqualified — Free Game",OR(INDEX('Game Records'!$E:$E,$H135)="",LOWER(INDEX('Game Records'!$E:$E,$H135)&amp;"")="n/a")),"Game Type; ","")&amp;IF(INDEX('Game Records'!$F:$F,$H135)="","Payment Type; ","")&amp;IF(AND(INDEX('Game Records'!$U:$U,$H135)&lt;&gt;"Subscription",INDEX('Game Records'!$U:$U,$H135)&lt;&gt;"Free Game",INDEX('Game Records'!$U:$U,$H135)&lt;&gt;"Disqualified — Free Game",INDEX('Game Records'!$G:$G,$H135)=""),"Gross Pot; ","")&amp;IF(AND(INDEX('Game Records'!$U:$U,$H135)&lt;&gt;"Free Game",INDEX('Game Records'!$U:$U,$H135)&lt;&gt;"Disqualified — Free Game",INDEX('Game Records'!$H:$H,$H135)=""),"Entry Fee; ","")&amp;IF(AND(INDEX('Game Records'!$U:$U,$H135)&lt;&gt;"Subscription",INDEX('Game Records'!$U:$U,$H135)&lt;&gt;"Free Game",INDEX('Game Records'!$U:$U,$H135)&lt;&gt;"Disqualified — Free Game",INDEX('Game Records'!$I:$I,$H135)=""),"Eligible Players; ","")&amp;IF(AND(INDEX('Game Records'!$U:$U,$H135)&lt;&gt;"Subscription",INDEX('Game Records'!$U:$U,$H135)&lt;&gt;"Free Game",INDEX('Game Records'!$U:$U,$H135)&lt;&gt;"Disqualified — Free Game",INDEX('Game Records'!$J:$J,$H135)=""),"Total Players; ","")&amp;IF(AND(LOWER(INDEX('Game Records'!$D:$D,$H135)&amp;"")="finalized",LOWER(INDEX('Game Records'!$L:$L,$H135)&amp;"")&lt;&gt;"yes",INDEX('Game Records'!$U:$U,$H135)&lt;&gt;"Subscription",INDEX('Game Records'!$U:$U,$H135)&lt;&gt;"Free Game",INDEX('Game Records'!$U:$U,$H135)&lt;&gt;"Disqualified — Free Game",INDEX('Game Records'!$K:$K,$H135)=""),"Final Payout; ","")&amp;IF(AND(LOWER(INDEX('Game Records'!$D:$D,$H135)&amp;"")="finalized",INDEX('Game Records'!$U:$U,$H135)&lt;&gt;"Subscription",INDEX('Game Records'!$U:$U,$H135)&lt;&gt;"Free Game",INDEX('Game Records'!$U:$U,$H135)&lt;&gt;"Disqualified — Free Game",OR(INDEX('Game Records'!$L:$L,$H135)="",LOWER(INDEX('Game Records'!$L:$L,$H135)&amp;"")="n/a")),"Disqualified Status; ",""))</f>
        <v/>
      </c>
      <c r="G135" s="25" t="str">
        <f t="array" ref="G135">IF($H135="","",IFERROR(INDEX('Game Records'!$M:$M,$H135),""))</f>
        <v/>
      </c>
      <c r="H135" s="8"/>
      <c r="I135" s="8"/>
      <c r="J135" s="8"/>
    </row>
    <row r="136" ht="24.0" customHeight="1">
      <c r="A136" s="21" t="str">
        <f t="shared" si="1"/>
        <v/>
      </c>
      <c r="B136" s="21" t="str">
        <f t="shared" si="2"/>
        <v/>
      </c>
      <c r="C136" s="25" t="str">
        <f t="array" ref="C136">IF($H136="","",IFERROR(INDEX('Game Records'!$A:$A,$H136),""))</f>
        <v/>
      </c>
      <c r="D136" s="25" t="str">
        <f t="array" ref="D136">IF($H136="","",IFERROR(INDEX('Game Records'!$U:$U,$H136),""))</f>
        <v/>
      </c>
      <c r="E136" s="25" t="str">
        <f t="shared" si="3"/>
        <v/>
      </c>
      <c r="F136" s="25" t="str">
        <f t="array" ref="F136">IF($H136="","",IF(OR(NOT(_xlfn.ISFORMULA(INDEX('Game Records'!$N:$N,$H136))),NOT(_xlfn.ISFORMULA(INDEX('Game Records'!$O:$O,$H136))),NOT(_xlfn.ISFORMULA(INDEX('Game Records'!$P:$P,$H136))),NOT(_xlfn.ISFORMULA(INDEX('Game Records'!$Q:$Q,$H136))),NOT(_xlfn.ISFORMULA(INDEX('Game Records'!$R:$R,$H136))),NOT(_xlfn.ISFORMULA(INDEX('Game Records'!$S:$S,$H136))),NOT(_xlfn.ISFORMULA(INDEX('Game Records'!$T:$T,$H136))),NOT(_xlfn.ISFORMULA(INDEX('Game Records'!$U:$U,$H136))),NOT(_xlfn.ISFORMULA(INDEX('Game Records'!$V:$V,$H136))),NOT(_xlfn.ISFORMULA(INDEX('Game Records'!$W:$W,$H136))),NOT(_xlfn.ISFORMULA(INDEX('Game Records'!$X:$X,$H136))),NOT(_xlfn.ISFORMULA(INDEX('Game Records'!$Y:$Y,$H136))),NOT(_xlfn.ISFORMULA(INDEX('Game Records'!$Z:$Z,$H136)))),"","")&amp;IF(INDEX('Game Records'!$B:$B,$H136)="","Start Date; ","")&amp;IF(INDEX('Game Records'!$C:$C,$H136)="","End Date; ","")&amp;IF(AND(INDEX('Game Records'!$U:$U,$H136)&lt;&gt;"Subscription",INDEX('Game Records'!$U:$U,$H136)&lt;&gt;"Free Game",INDEX('Game Records'!$U:$U,$H136)&lt;&gt;"Disqualified — Free Game",OR(INDEX('Game Records'!$D:$D,$H136)="",LOWER(INDEX('Game Records'!$D:$D,$H136)&amp;"")="n/a")),"Entry Mode; ","")&amp;IF(AND(INDEX('Game Records'!$U:$U,$H136)&lt;&gt;"Subscription",INDEX('Game Records'!$U:$U,$H136)&lt;&gt;"Free Game",INDEX('Game Records'!$U:$U,$H136)&lt;&gt;"Disqualified — Free Game",OR(INDEX('Game Records'!$E:$E,$H136)="",LOWER(INDEX('Game Records'!$E:$E,$H136)&amp;"")="n/a")),"Game Type; ","")&amp;IF(INDEX('Game Records'!$F:$F,$H136)="","Payment Type; ","")&amp;IF(AND(INDEX('Game Records'!$U:$U,$H136)&lt;&gt;"Subscription",INDEX('Game Records'!$U:$U,$H136)&lt;&gt;"Free Game",INDEX('Game Records'!$U:$U,$H136)&lt;&gt;"Disqualified — Free Game",INDEX('Game Records'!$G:$G,$H136)=""),"Gross Pot; ","")&amp;IF(AND(INDEX('Game Records'!$U:$U,$H136)&lt;&gt;"Free Game",INDEX('Game Records'!$U:$U,$H136)&lt;&gt;"Disqualified — Free Game",INDEX('Game Records'!$H:$H,$H136)=""),"Entry Fee; ","")&amp;IF(AND(INDEX('Game Records'!$U:$U,$H136)&lt;&gt;"Subscription",INDEX('Game Records'!$U:$U,$H136)&lt;&gt;"Free Game",INDEX('Game Records'!$U:$U,$H136)&lt;&gt;"Disqualified — Free Game",INDEX('Game Records'!$I:$I,$H136)=""),"Eligible Players; ","")&amp;IF(AND(INDEX('Game Records'!$U:$U,$H136)&lt;&gt;"Subscription",INDEX('Game Records'!$U:$U,$H136)&lt;&gt;"Free Game",INDEX('Game Records'!$U:$U,$H136)&lt;&gt;"Disqualified — Free Game",INDEX('Game Records'!$J:$J,$H136)=""),"Total Players; ","")&amp;IF(AND(LOWER(INDEX('Game Records'!$D:$D,$H136)&amp;"")="finalized",LOWER(INDEX('Game Records'!$L:$L,$H136)&amp;"")&lt;&gt;"yes",INDEX('Game Records'!$U:$U,$H136)&lt;&gt;"Subscription",INDEX('Game Records'!$U:$U,$H136)&lt;&gt;"Free Game",INDEX('Game Records'!$U:$U,$H136)&lt;&gt;"Disqualified — Free Game",INDEX('Game Records'!$K:$K,$H136)=""),"Final Payout; ","")&amp;IF(AND(LOWER(INDEX('Game Records'!$D:$D,$H136)&amp;"")="finalized",INDEX('Game Records'!$U:$U,$H136)&lt;&gt;"Subscription",INDEX('Game Records'!$U:$U,$H136)&lt;&gt;"Free Game",INDEX('Game Records'!$U:$U,$H136)&lt;&gt;"Disqualified — Free Game",OR(INDEX('Game Records'!$L:$L,$H136)="",LOWER(INDEX('Game Records'!$L:$L,$H136)&amp;"")="n/a")),"Disqualified Status; ",""))</f>
        <v/>
      </c>
      <c r="G136" s="25" t="str">
        <f t="array" ref="G136">IF($H136="","",IFERROR(INDEX('Game Records'!$M:$M,$H136),""))</f>
        <v/>
      </c>
      <c r="H136" s="8"/>
      <c r="I136" s="8"/>
      <c r="J136" s="8"/>
    </row>
    <row r="137" ht="24.0" customHeight="1">
      <c r="A137" s="21" t="str">
        <f t="shared" si="1"/>
        <v/>
      </c>
      <c r="B137" s="21" t="str">
        <f t="shared" si="2"/>
        <v/>
      </c>
      <c r="C137" s="25" t="str">
        <f t="array" ref="C137">IF($H137="","",IFERROR(INDEX('Game Records'!$A:$A,$H137),""))</f>
        <v/>
      </c>
      <c r="D137" s="25" t="str">
        <f t="array" ref="D137">IF($H137="","",IFERROR(INDEX('Game Records'!$U:$U,$H137),""))</f>
        <v/>
      </c>
      <c r="E137" s="25" t="str">
        <f t="shared" si="3"/>
        <v/>
      </c>
      <c r="F137" s="25" t="str">
        <f t="array" ref="F137">IF($H137="","",IF(OR(NOT(_xlfn.ISFORMULA(INDEX('Game Records'!$N:$N,$H137))),NOT(_xlfn.ISFORMULA(INDEX('Game Records'!$O:$O,$H137))),NOT(_xlfn.ISFORMULA(INDEX('Game Records'!$P:$P,$H137))),NOT(_xlfn.ISFORMULA(INDEX('Game Records'!$Q:$Q,$H137))),NOT(_xlfn.ISFORMULA(INDEX('Game Records'!$R:$R,$H137))),NOT(_xlfn.ISFORMULA(INDEX('Game Records'!$S:$S,$H137))),NOT(_xlfn.ISFORMULA(INDEX('Game Records'!$T:$T,$H137))),NOT(_xlfn.ISFORMULA(INDEX('Game Records'!$U:$U,$H137))),NOT(_xlfn.ISFORMULA(INDEX('Game Records'!$V:$V,$H137))),NOT(_xlfn.ISFORMULA(INDEX('Game Records'!$W:$W,$H137))),NOT(_xlfn.ISFORMULA(INDEX('Game Records'!$X:$X,$H137))),NOT(_xlfn.ISFORMULA(INDEX('Game Records'!$Y:$Y,$H137))),NOT(_xlfn.ISFORMULA(INDEX('Game Records'!$Z:$Z,$H137)))),"","")&amp;IF(INDEX('Game Records'!$B:$B,$H137)="","Start Date; ","")&amp;IF(INDEX('Game Records'!$C:$C,$H137)="","End Date; ","")&amp;IF(AND(INDEX('Game Records'!$U:$U,$H137)&lt;&gt;"Subscription",INDEX('Game Records'!$U:$U,$H137)&lt;&gt;"Free Game",INDEX('Game Records'!$U:$U,$H137)&lt;&gt;"Disqualified — Free Game",OR(INDEX('Game Records'!$D:$D,$H137)="",LOWER(INDEX('Game Records'!$D:$D,$H137)&amp;"")="n/a")),"Entry Mode; ","")&amp;IF(AND(INDEX('Game Records'!$U:$U,$H137)&lt;&gt;"Subscription",INDEX('Game Records'!$U:$U,$H137)&lt;&gt;"Free Game",INDEX('Game Records'!$U:$U,$H137)&lt;&gt;"Disqualified — Free Game",OR(INDEX('Game Records'!$E:$E,$H137)="",LOWER(INDEX('Game Records'!$E:$E,$H137)&amp;"")="n/a")),"Game Type; ","")&amp;IF(INDEX('Game Records'!$F:$F,$H137)="","Payment Type; ","")&amp;IF(AND(INDEX('Game Records'!$U:$U,$H137)&lt;&gt;"Subscription",INDEX('Game Records'!$U:$U,$H137)&lt;&gt;"Free Game",INDEX('Game Records'!$U:$U,$H137)&lt;&gt;"Disqualified — Free Game",INDEX('Game Records'!$G:$G,$H137)=""),"Gross Pot; ","")&amp;IF(AND(INDEX('Game Records'!$U:$U,$H137)&lt;&gt;"Free Game",INDEX('Game Records'!$U:$U,$H137)&lt;&gt;"Disqualified — Free Game",INDEX('Game Records'!$H:$H,$H137)=""),"Entry Fee; ","")&amp;IF(AND(INDEX('Game Records'!$U:$U,$H137)&lt;&gt;"Subscription",INDEX('Game Records'!$U:$U,$H137)&lt;&gt;"Free Game",INDEX('Game Records'!$U:$U,$H137)&lt;&gt;"Disqualified — Free Game",INDEX('Game Records'!$I:$I,$H137)=""),"Eligible Players; ","")&amp;IF(AND(INDEX('Game Records'!$U:$U,$H137)&lt;&gt;"Subscription",INDEX('Game Records'!$U:$U,$H137)&lt;&gt;"Free Game",INDEX('Game Records'!$U:$U,$H137)&lt;&gt;"Disqualified — Free Game",INDEX('Game Records'!$J:$J,$H137)=""),"Total Players; ","")&amp;IF(AND(LOWER(INDEX('Game Records'!$D:$D,$H137)&amp;"")="finalized",LOWER(INDEX('Game Records'!$L:$L,$H137)&amp;"")&lt;&gt;"yes",INDEX('Game Records'!$U:$U,$H137)&lt;&gt;"Subscription",INDEX('Game Records'!$U:$U,$H137)&lt;&gt;"Free Game",INDEX('Game Records'!$U:$U,$H137)&lt;&gt;"Disqualified — Free Game",INDEX('Game Records'!$K:$K,$H137)=""),"Final Payout; ","")&amp;IF(AND(LOWER(INDEX('Game Records'!$D:$D,$H137)&amp;"")="finalized",INDEX('Game Records'!$U:$U,$H137)&lt;&gt;"Subscription",INDEX('Game Records'!$U:$U,$H137)&lt;&gt;"Free Game",INDEX('Game Records'!$U:$U,$H137)&lt;&gt;"Disqualified — Free Game",OR(INDEX('Game Records'!$L:$L,$H137)="",LOWER(INDEX('Game Records'!$L:$L,$H137)&amp;"")="n/a")),"Disqualified Status; ",""))</f>
        <v/>
      </c>
      <c r="G137" s="25" t="str">
        <f t="array" ref="G137">IF($H137="","",IFERROR(INDEX('Game Records'!$M:$M,$H137),""))</f>
        <v/>
      </c>
      <c r="H137" s="8"/>
      <c r="I137" s="8"/>
      <c r="J137" s="8"/>
    </row>
    <row r="138" ht="24.0" customHeight="1">
      <c r="A138" s="21" t="str">
        <f t="shared" si="1"/>
        <v/>
      </c>
      <c r="B138" s="21" t="str">
        <f t="shared" si="2"/>
        <v/>
      </c>
      <c r="C138" s="25" t="str">
        <f t="array" ref="C138">IF($H138="","",IFERROR(INDEX('Game Records'!$A:$A,$H138),""))</f>
        <v/>
      </c>
      <c r="D138" s="25" t="str">
        <f t="array" ref="D138">IF($H138="","",IFERROR(INDEX('Game Records'!$U:$U,$H138),""))</f>
        <v/>
      </c>
      <c r="E138" s="25" t="str">
        <f t="shared" si="3"/>
        <v/>
      </c>
      <c r="F138" s="25" t="str">
        <f t="array" ref="F138">IF($H138="","",IF(OR(NOT(_xlfn.ISFORMULA(INDEX('Game Records'!$N:$N,$H138))),NOT(_xlfn.ISFORMULA(INDEX('Game Records'!$O:$O,$H138))),NOT(_xlfn.ISFORMULA(INDEX('Game Records'!$P:$P,$H138))),NOT(_xlfn.ISFORMULA(INDEX('Game Records'!$Q:$Q,$H138))),NOT(_xlfn.ISFORMULA(INDEX('Game Records'!$R:$R,$H138))),NOT(_xlfn.ISFORMULA(INDEX('Game Records'!$S:$S,$H138))),NOT(_xlfn.ISFORMULA(INDEX('Game Records'!$T:$T,$H138))),NOT(_xlfn.ISFORMULA(INDEX('Game Records'!$U:$U,$H138))),NOT(_xlfn.ISFORMULA(INDEX('Game Records'!$V:$V,$H138))),NOT(_xlfn.ISFORMULA(INDEX('Game Records'!$W:$W,$H138))),NOT(_xlfn.ISFORMULA(INDEX('Game Records'!$X:$X,$H138))),NOT(_xlfn.ISFORMULA(INDEX('Game Records'!$Y:$Y,$H138))),NOT(_xlfn.ISFORMULA(INDEX('Game Records'!$Z:$Z,$H138)))),"","")&amp;IF(INDEX('Game Records'!$B:$B,$H138)="","Start Date; ","")&amp;IF(INDEX('Game Records'!$C:$C,$H138)="","End Date; ","")&amp;IF(AND(INDEX('Game Records'!$U:$U,$H138)&lt;&gt;"Subscription",INDEX('Game Records'!$U:$U,$H138)&lt;&gt;"Free Game",INDEX('Game Records'!$U:$U,$H138)&lt;&gt;"Disqualified — Free Game",OR(INDEX('Game Records'!$D:$D,$H138)="",LOWER(INDEX('Game Records'!$D:$D,$H138)&amp;"")="n/a")),"Entry Mode; ","")&amp;IF(AND(INDEX('Game Records'!$U:$U,$H138)&lt;&gt;"Subscription",INDEX('Game Records'!$U:$U,$H138)&lt;&gt;"Free Game",INDEX('Game Records'!$U:$U,$H138)&lt;&gt;"Disqualified — Free Game",OR(INDEX('Game Records'!$E:$E,$H138)="",LOWER(INDEX('Game Records'!$E:$E,$H138)&amp;"")="n/a")),"Game Type; ","")&amp;IF(INDEX('Game Records'!$F:$F,$H138)="","Payment Type; ","")&amp;IF(AND(INDEX('Game Records'!$U:$U,$H138)&lt;&gt;"Subscription",INDEX('Game Records'!$U:$U,$H138)&lt;&gt;"Free Game",INDEX('Game Records'!$U:$U,$H138)&lt;&gt;"Disqualified — Free Game",INDEX('Game Records'!$G:$G,$H138)=""),"Gross Pot; ","")&amp;IF(AND(INDEX('Game Records'!$U:$U,$H138)&lt;&gt;"Free Game",INDEX('Game Records'!$U:$U,$H138)&lt;&gt;"Disqualified — Free Game",INDEX('Game Records'!$H:$H,$H138)=""),"Entry Fee; ","")&amp;IF(AND(INDEX('Game Records'!$U:$U,$H138)&lt;&gt;"Subscription",INDEX('Game Records'!$U:$U,$H138)&lt;&gt;"Free Game",INDEX('Game Records'!$U:$U,$H138)&lt;&gt;"Disqualified — Free Game",INDEX('Game Records'!$I:$I,$H138)=""),"Eligible Players; ","")&amp;IF(AND(INDEX('Game Records'!$U:$U,$H138)&lt;&gt;"Subscription",INDEX('Game Records'!$U:$U,$H138)&lt;&gt;"Free Game",INDEX('Game Records'!$U:$U,$H138)&lt;&gt;"Disqualified — Free Game",INDEX('Game Records'!$J:$J,$H138)=""),"Total Players; ","")&amp;IF(AND(LOWER(INDEX('Game Records'!$D:$D,$H138)&amp;"")="finalized",LOWER(INDEX('Game Records'!$L:$L,$H138)&amp;"")&lt;&gt;"yes",INDEX('Game Records'!$U:$U,$H138)&lt;&gt;"Subscription",INDEX('Game Records'!$U:$U,$H138)&lt;&gt;"Free Game",INDEX('Game Records'!$U:$U,$H138)&lt;&gt;"Disqualified — Free Game",INDEX('Game Records'!$K:$K,$H138)=""),"Final Payout; ","")&amp;IF(AND(LOWER(INDEX('Game Records'!$D:$D,$H138)&amp;"")="finalized",INDEX('Game Records'!$U:$U,$H138)&lt;&gt;"Subscription",INDEX('Game Records'!$U:$U,$H138)&lt;&gt;"Free Game",INDEX('Game Records'!$U:$U,$H138)&lt;&gt;"Disqualified — Free Game",OR(INDEX('Game Records'!$L:$L,$H138)="",LOWER(INDEX('Game Records'!$L:$L,$H138)&amp;"")="n/a")),"Disqualified Status; ",""))</f>
        <v/>
      </c>
      <c r="G138" s="25" t="str">
        <f t="array" ref="G138">IF($H138="","",IFERROR(INDEX('Game Records'!$M:$M,$H138),""))</f>
        <v/>
      </c>
      <c r="H138" s="8"/>
      <c r="I138" s="8"/>
      <c r="J138" s="8"/>
    </row>
    <row r="139" ht="24.0" customHeight="1">
      <c r="A139" s="21" t="str">
        <f t="shared" si="1"/>
        <v/>
      </c>
      <c r="B139" s="21" t="str">
        <f t="shared" si="2"/>
        <v/>
      </c>
      <c r="C139" s="25" t="str">
        <f t="array" ref="C139">IF($H139="","",IFERROR(INDEX('Game Records'!$A:$A,$H139),""))</f>
        <v/>
      </c>
      <c r="D139" s="25" t="str">
        <f t="array" ref="D139">IF($H139="","",IFERROR(INDEX('Game Records'!$U:$U,$H139),""))</f>
        <v/>
      </c>
      <c r="E139" s="25" t="str">
        <f t="shared" si="3"/>
        <v/>
      </c>
      <c r="F139" s="25" t="str">
        <f t="array" ref="F139">IF($H139="","",IF(OR(NOT(_xlfn.ISFORMULA(INDEX('Game Records'!$N:$N,$H139))),NOT(_xlfn.ISFORMULA(INDEX('Game Records'!$O:$O,$H139))),NOT(_xlfn.ISFORMULA(INDEX('Game Records'!$P:$P,$H139))),NOT(_xlfn.ISFORMULA(INDEX('Game Records'!$Q:$Q,$H139))),NOT(_xlfn.ISFORMULA(INDEX('Game Records'!$R:$R,$H139))),NOT(_xlfn.ISFORMULA(INDEX('Game Records'!$S:$S,$H139))),NOT(_xlfn.ISFORMULA(INDEX('Game Records'!$T:$T,$H139))),NOT(_xlfn.ISFORMULA(INDEX('Game Records'!$U:$U,$H139))),NOT(_xlfn.ISFORMULA(INDEX('Game Records'!$V:$V,$H139))),NOT(_xlfn.ISFORMULA(INDEX('Game Records'!$W:$W,$H139))),NOT(_xlfn.ISFORMULA(INDEX('Game Records'!$X:$X,$H139))),NOT(_xlfn.ISFORMULA(INDEX('Game Records'!$Y:$Y,$H139))),NOT(_xlfn.ISFORMULA(INDEX('Game Records'!$Z:$Z,$H139)))),"","")&amp;IF(INDEX('Game Records'!$B:$B,$H139)="","Start Date; ","")&amp;IF(INDEX('Game Records'!$C:$C,$H139)="","End Date; ","")&amp;IF(AND(INDEX('Game Records'!$U:$U,$H139)&lt;&gt;"Subscription",INDEX('Game Records'!$U:$U,$H139)&lt;&gt;"Free Game",INDEX('Game Records'!$U:$U,$H139)&lt;&gt;"Disqualified — Free Game",OR(INDEX('Game Records'!$D:$D,$H139)="",LOWER(INDEX('Game Records'!$D:$D,$H139)&amp;"")="n/a")),"Entry Mode; ","")&amp;IF(AND(INDEX('Game Records'!$U:$U,$H139)&lt;&gt;"Subscription",INDEX('Game Records'!$U:$U,$H139)&lt;&gt;"Free Game",INDEX('Game Records'!$U:$U,$H139)&lt;&gt;"Disqualified — Free Game",OR(INDEX('Game Records'!$E:$E,$H139)="",LOWER(INDEX('Game Records'!$E:$E,$H139)&amp;"")="n/a")),"Game Type; ","")&amp;IF(INDEX('Game Records'!$F:$F,$H139)="","Payment Type; ","")&amp;IF(AND(INDEX('Game Records'!$U:$U,$H139)&lt;&gt;"Subscription",INDEX('Game Records'!$U:$U,$H139)&lt;&gt;"Free Game",INDEX('Game Records'!$U:$U,$H139)&lt;&gt;"Disqualified — Free Game",INDEX('Game Records'!$G:$G,$H139)=""),"Gross Pot; ","")&amp;IF(AND(INDEX('Game Records'!$U:$U,$H139)&lt;&gt;"Free Game",INDEX('Game Records'!$U:$U,$H139)&lt;&gt;"Disqualified — Free Game",INDEX('Game Records'!$H:$H,$H139)=""),"Entry Fee; ","")&amp;IF(AND(INDEX('Game Records'!$U:$U,$H139)&lt;&gt;"Subscription",INDEX('Game Records'!$U:$U,$H139)&lt;&gt;"Free Game",INDEX('Game Records'!$U:$U,$H139)&lt;&gt;"Disqualified — Free Game",INDEX('Game Records'!$I:$I,$H139)=""),"Eligible Players; ","")&amp;IF(AND(INDEX('Game Records'!$U:$U,$H139)&lt;&gt;"Subscription",INDEX('Game Records'!$U:$U,$H139)&lt;&gt;"Free Game",INDEX('Game Records'!$U:$U,$H139)&lt;&gt;"Disqualified — Free Game",INDEX('Game Records'!$J:$J,$H139)=""),"Total Players; ","")&amp;IF(AND(LOWER(INDEX('Game Records'!$D:$D,$H139)&amp;"")="finalized",LOWER(INDEX('Game Records'!$L:$L,$H139)&amp;"")&lt;&gt;"yes",INDEX('Game Records'!$U:$U,$H139)&lt;&gt;"Subscription",INDEX('Game Records'!$U:$U,$H139)&lt;&gt;"Free Game",INDEX('Game Records'!$U:$U,$H139)&lt;&gt;"Disqualified — Free Game",INDEX('Game Records'!$K:$K,$H139)=""),"Final Payout; ","")&amp;IF(AND(LOWER(INDEX('Game Records'!$D:$D,$H139)&amp;"")="finalized",INDEX('Game Records'!$U:$U,$H139)&lt;&gt;"Subscription",INDEX('Game Records'!$U:$U,$H139)&lt;&gt;"Free Game",INDEX('Game Records'!$U:$U,$H139)&lt;&gt;"Disqualified — Free Game",OR(INDEX('Game Records'!$L:$L,$H139)="",LOWER(INDEX('Game Records'!$L:$L,$H139)&amp;"")="n/a")),"Disqualified Status; ",""))</f>
        <v/>
      </c>
      <c r="G139" s="25" t="str">
        <f t="array" ref="G139">IF($H139="","",IFERROR(INDEX('Game Records'!$M:$M,$H139),""))</f>
        <v/>
      </c>
      <c r="H139" s="8"/>
      <c r="I139" s="8"/>
      <c r="J139" s="8"/>
    </row>
    <row r="140" ht="24.0" customHeight="1">
      <c r="A140" s="21" t="str">
        <f t="shared" si="1"/>
        <v/>
      </c>
      <c r="B140" s="21" t="str">
        <f t="shared" si="2"/>
        <v/>
      </c>
      <c r="C140" s="25" t="str">
        <f t="array" ref="C140">IF($H140="","",IFERROR(INDEX('Game Records'!$A:$A,$H140),""))</f>
        <v/>
      </c>
      <c r="D140" s="25" t="str">
        <f t="array" ref="D140">IF($H140="","",IFERROR(INDEX('Game Records'!$U:$U,$H140),""))</f>
        <v/>
      </c>
      <c r="E140" s="25" t="str">
        <f t="shared" si="3"/>
        <v/>
      </c>
      <c r="F140" s="25" t="str">
        <f t="array" ref="F140">IF($H140="","",IF(OR(NOT(_xlfn.ISFORMULA(INDEX('Game Records'!$N:$N,$H140))),NOT(_xlfn.ISFORMULA(INDEX('Game Records'!$O:$O,$H140))),NOT(_xlfn.ISFORMULA(INDEX('Game Records'!$P:$P,$H140))),NOT(_xlfn.ISFORMULA(INDEX('Game Records'!$Q:$Q,$H140))),NOT(_xlfn.ISFORMULA(INDEX('Game Records'!$R:$R,$H140))),NOT(_xlfn.ISFORMULA(INDEX('Game Records'!$S:$S,$H140))),NOT(_xlfn.ISFORMULA(INDEX('Game Records'!$T:$T,$H140))),NOT(_xlfn.ISFORMULA(INDEX('Game Records'!$U:$U,$H140))),NOT(_xlfn.ISFORMULA(INDEX('Game Records'!$V:$V,$H140))),NOT(_xlfn.ISFORMULA(INDEX('Game Records'!$W:$W,$H140))),NOT(_xlfn.ISFORMULA(INDEX('Game Records'!$X:$X,$H140))),NOT(_xlfn.ISFORMULA(INDEX('Game Records'!$Y:$Y,$H140))),NOT(_xlfn.ISFORMULA(INDEX('Game Records'!$Z:$Z,$H140)))),"","")&amp;IF(INDEX('Game Records'!$B:$B,$H140)="","Start Date; ","")&amp;IF(INDEX('Game Records'!$C:$C,$H140)="","End Date; ","")&amp;IF(AND(INDEX('Game Records'!$U:$U,$H140)&lt;&gt;"Subscription",INDEX('Game Records'!$U:$U,$H140)&lt;&gt;"Free Game",INDEX('Game Records'!$U:$U,$H140)&lt;&gt;"Disqualified — Free Game",OR(INDEX('Game Records'!$D:$D,$H140)="",LOWER(INDEX('Game Records'!$D:$D,$H140)&amp;"")="n/a")),"Entry Mode; ","")&amp;IF(AND(INDEX('Game Records'!$U:$U,$H140)&lt;&gt;"Subscription",INDEX('Game Records'!$U:$U,$H140)&lt;&gt;"Free Game",INDEX('Game Records'!$U:$U,$H140)&lt;&gt;"Disqualified — Free Game",OR(INDEX('Game Records'!$E:$E,$H140)="",LOWER(INDEX('Game Records'!$E:$E,$H140)&amp;"")="n/a")),"Game Type; ","")&amp;IF(INDEX('Game Records'!$F:$F,$H140)="","Payment Type; ","")&amp;IF(AND(INDEX('Game Records'!$U:$U,$H140)&lt;&gt;"Subscription",INDEX('Game Records'!$U:$U,$H140)&lt;&gt;"Free Game",INDEX('Game Records'!$U:$U,$H140)&lt;&gt;"Disqualified — Free Game",INDEX('Game Records'!$G:$G,$H140)=""),"Gross Pot; ","")&amp;IF(AND(INDEX('Game Records'!$U:$U,$H140)&lt;&gt;"Free Game",INDEX('Game Records'!$U:$U,$H140)&lt;&gt;"Disqualified — Free Game",INDEX('Game Records'!$H:$H,$H140)=""),"Entry Fee; ","")&amp;IF(AND(INDEX('Game Records'!$U:$U,$H140)&lt;&gt;"Subscription",INDEX('Game Records'!$U:$U,$H140)&lt;&gt;"Free Game",INDEX('Game Records'!$U:$U,$H140)&lt;&gt;"Disqualified — Free Game",INDEX('Game Records'!$I:$I,$H140)=""),"Eligible Players; ","")&amp;IF(AND(INDEX('Game Records'!$U:$U,$H140)&lt;&gt;"Subscription",INDEX('Game Records'!$U:$U,$H140)&lt;&gt;"Free Game",INDEX('Game Records'!$U:$U,$H140)&lt;&gt;"Disqualified — Free Game",INDEX('Game Records'!$J:$J,$H140)=""),"Total Players; ","")&amp;IF(AND(LOWER(INDEX('Game Records'!$D:$D,$H140)&amp;"")="finalized",LOWER(INDEX('Game Records'!$L:$L,$H140)&amp;"")&lt;&gt;"yes",INDEX('Game Records'!$U:$U,$H140)&lt;&gt;"Subscription",INDEX('Game Records'!$U:$U,$H140)&lt;&gt;"Free Game",INDEX('Game Records'!$U:$U,$H140)&lt;&gt;"Disqualified — Free Game",INDEX('Game Records'!$K:$K,$H140)=""),"Final Payout; ","")&amp;IF(AND(LOWER(INDEX('Game Records'!$D:$D,$H140)&amp;"")="finalized",INDEX('Game Records'!$U:$U,$H140)&lt;&gt;"Subscription",INDEX('Game Records'!$U:$U,$H140)&lt;&gt;"Free Game",INDEX('Game Records'!$U:$U,$H140)&lt;&gt;"Disqualified — Free Game",OR(INDEX('Game Records'!$L:$L,$H140)="",LOWER(INDEX('Game Records'!$L:$L,$H140)&amp;"")="n/a")),"Disqualified Status; ",""))</f>
        <v/>
      </c>
      <c r="G140" s="25" t="str">
        <f t="array" ref="G140">IF($H140="","",IFERROR(INDEX('Game Records'!$M:$M,$H140),""))</f>
        <v/>
      </c>
      <c r="H140" s="8"/>
      <c r="I140" s="8"/>
      <c r="J140" s="8"/>
    </row>
    <row r="141" ht="24.0" customHeight="1">
      <c r="A141" s="21" t="str">
        <f t="shared" si="1"/>
        <v/>
      </c>
      <c r="B141" s="21" t="str">
        <f t="shared" si="2"/>
        <v/>
      </c>
      <c r="C141" s="25" t="str">
        <f t="array" ref="C141">IF($H141="","",IFERROR(INDEX('Game Records'!$A:$A,$H141),""))</f>
        <v/>
      </c>
      <c r="D141" s="25" t="str">
        <f t="array" ref="D141">IF($H141="","",IFERROR(INDEX('Game Records'!$U:$U,$H141),""))</f>
        <v/>
      </c>
      <c r="E141" s="25" t="str">
        <f t="shared" si="3"/>
        <v/>
      </c>
      <c r="F141" s="25" t="str">
        <f t="array" ref="F141">IF($H141="","",IF(OR(NOT(_xlfn.ISFORMULA(INDEX('Game Records'!$N:$N,$H141))),NOT(_xlfn.ISFORMULA(INDEX('Game Records'!$O:$O,$H141))),NOT(_xlfn.ISFORMULA(INDEX('Game Records'!$P:$P,$H141))),NOT(_xlfn.ISFORMULA(INDEX('Game Records'!$Q:$Q,$H141))),NOT(_xlfn.ISFORMULA(INDEX('Game Records'!$R:$R,$H141))),NOT(_xlfn.ISFORMULA(INDEX('Game Records'!$S:$S,$H141))),NOT(_xlfn.ISFORMULA(INDEX('Game Records'!$T:$T,$H141))),NOT(_xlfn.ISFORMULA(INDEX('Game Records'!$U:$U,$H141))),NOT(_xlfn.ISFORMULA(INDEX('Game Records'!$V:$V,$H141))),NOT(_xlfn.ISFORMULA(INDEX('Game Records'!$W:$W,$H141))),NOT(_xlfn.ISFORMULA(INDEX('Game Records'!$X:$X,$H141))),NOT(_xlfn.ISFORMULA(INDEX('Game Records'!$Y:$Y,$H141))),NOT(_xlfn.ISFORMULA(INDEX('Game Records'!$Z:$Z,$H141)))),"","")&amp;IF(INDEX('Game Records'!$B:$B,$H141)="","Start Date; ","")&amp;IF(INDEX('Game Records'!$C:$C,$H141)="","End Date; ","")&amp;IF(AND(INDEX('Game Records'!$U:$U,$H141)&lt;&gt;"Subscription",INDEX('Game Records'!$U:$U,$H141)&lt;&gt;"Free Game",INDEX('Game Records'!$U:$U,$H141)&lt;&gt;"Disqualified — Free Game",OR(INDEX('Game Records'!$D:$D,$H141)="",LOWER(INDEX('Game Records'!$D:$D,$H141)&amp;"")="n/a")),"Entry Mode; ","")&amp;IF(AND(INDEX('Game Records'!$U:$U,$H141)&lt;&gt;"Subscription",INDEX('Game Records'!$U:$U,$H141)&lt;&gt;"Free Game",INDEX('Game Records'!$U:$U,$H141)&lt;&gt;"Disqualified — Free Game",OR(INDEX('Game Records'!$E:$E,$H141)="",LOWER(INDEX('Game Records'!$E:$E,$H141)&amp;"")="n/a")),"Game Type; ","")&amp;IF(INDEX('Game Records'!$F:$F,$H141)="","Payment Type; ","")&amp;IF(AND(INDEX('Game Records'!$U:$U,$H141)&lt;&gt;"Subscription",INDEX('Game Records'!$U:$U,$H141)&lt;&gt;"Free Game",INDEX('Game Records'!$U:$U,$H141)&lt;&gt;"Disqualified — Free Game",INDEX('Game Records'!$G:$G,$H141)=""),"Gross Pot; ","")&amp;IF(AND(INDEX('Game Records'!$U:$U,$H141)&lt;&gt;"Free Game",INDEX('Game Records'!$U:$U,$H141)&lt;&gt;"Disqualified — Free Game",INDEX('Game Records'!$H:$H,$H141)=""),"Entry Fee; ","")&amp;IF(AND(INDEX('Game Records'!$U:$U,$H141)&lt;&gt;"Subscription",INDEX('Game Records'!$U:$U,$H141)&lt;&gt;"Free Game",INDEX('Game Records'!$U:$U,$H141)&lt;&gt;"Disqualified — Free Game",INDEX('Game Records'!$I:$I,$H141)=""),"Eligible Players; ","")&amp;IF(AND(INDEX('Game Records'!$U:$U,$H141)&lt;&gt;"Subscription",INDEX('Game Records'!$U:$U,$H141)&lt;&gt;"Free Game",INDEX('Game Records'!$U:$U,$H141)&lt;&gt;"Disqualified — Free Game",INDEX('Game Records'!$J:$J,$H141)=""),"Total Players; ","")&amp;IF(AND(LOWER(INDEX('Game Records'!$D:$D,$H141)&amp;"")="finalized",LOWER(INDEX('Game Records'!$L:$L,$H141)&amp;"")&lt;&gt;"yes",INDEX('Game Records'!$U:$U,$H141)&lt;&gt;"Subscription",INDEX('Game Records'!$U:$U,$H141)&lt;&gt;"Free Game",INDEX('Game Records'!$U:$U,$H141)&lt;&gt;"Disqualified — Free Game",INDEX('Game Records'!$K:$K,$H141)=""),"Final Payout; ","")&amp;IF(AND(LOWER(INDEX('Game Records'!$D:$D,$H141)&amp;"")="finalized",INDEX('Game Records'!$U:$U,$H141)&lt;&gt;"Subscription",INDEX('Game Records'!$U:$U,$H141)&lt;&gt;"Free Game",INDEX('Game Records'!$U:$U,$H141)&lt;&gt;"Disqualified — Free Game",OR(INDEX('Game Records'!$L:$L,$H141)="",LOWER(INDEX('Game Records'!$L:$L,$H141)&amp;"")="n/a")),"Disqualified Status; ",""))</f>
        <v/>
      </c>
      <c r="G141" s="25" t="str">
        <f t="array" ref="G141">IF($H141="","",IFERROR(INDEX('Game Records'!$M:$M,$H141),""))</f>
        <v/>
      </c>
      <c r="H141" s="8"/>
      <c r="I141" s="8"/>
      <c r="J141" s="8"/>
    </row>
    <row r="142" ht="24.0" customHeight="1">
      <c r="A142" s="21" t="str">
        <f t="shared" si="1"/>
        <v/>
      </c>
      <c r="B142" s="21" t="str">
        <f t="shared" si="2"/>
        <v/>
      </c>
      <c r="C142" s="25" t="str">
        <f t="array" ref="C142">IF($H142="","",IFERROR(INDEX('Game Records'!$A:$A,$H142),""))</f>
        <v/>
      </c>
      <c r="D142" s="25" t="str">
        <f t="array" ref="D142">IF($H142="","",IFERROR(INDEX('Game Records'!$U:$U,$H142),""))</f>
        <v/>
      </c>
      <c r="E142" s="25" t="str">
        <f t="shared" si="3"/>
        <v/>
      </c>
      <c r="F142" s="25" t="str">
        <f t="array" ref="F142">IF($H142="","",IF(OR(NOT(_xlfn.ISFORMULA(INDEX('Game Records'!$N:$N,$H142))),NOT(_xlfn.ISFORMULA(INDEX('Game Records'!$O:$O,$H142))),NOT(_xlfn.ISFORMULA(INDEX('Game Records'!$P:$P,$H142))),NOT(_xlfn.ISFORMULA(INDEX('Game Records'!$Q:$Q,$H142))),NOT(_xlfn.ISFORMULA(INDEX('Game Records'!$R:$R,$H142))),NOT(_xlfn.ISFORMULA(INDEX('Game Records'!$S:$S,$H142))),NOT(_xlfn.ISFORMULA(INDEX('Game Records'!$T:$T,$H142))),NOT(_xlfn.ISFORMULA(INDEX('Game Records'!$U:$U,$H142))),NOT(_xlfn.ISFORMULA(INDEX('Game Records'!$V:$V,$H142))),NOT(_xlfn.ISFORMULA(INDEX('Game Records'!$W:$W,$H142))),NOT(_xlfn.ISFORMULA(INDEX('Game Records'!$X:$X,$H142))),NOT(_xlfn.ISFORMULA(INDEX('Game Records'!$Y:$Y,$H142))),NOT(_xlfn.ISFORMULA(INDEX('Game Records'!$Z:$Z,$H142)))),"","")&amp;IF(INDEX('Game Records'!$B:$B,$H142)="","Start Date; ","")&amp;IF(INDEX('Game Records'!$C:$C,$H142)="","End Date; ","")&amp;IF(AND(INDEX('Game Records'!$U:$U,$H142)&lt;&gt;"Subscription",INDEX('Game Records'!$U:$U,$H142)&lt;&gt;"Free Game",INDEX('Game Records'!$U:$U,$H142)&lt;&gt;"Disqualified — Free Game",OR(INDEX('Game Records'!$D:$D,$H142)="",LOWER(INDEX('Game Records'!$D:$D,$H142)&amp;"")="n/a")),"Entry Mode; ","")&amp;IF(AND(INDEX('Game Records'!$U:$U,$H142)&lt;&gt;"Subscription",INDEX('Game Records'!$U:$U,$H142)&lt;&gt;"Free Game",INDEX('Game Records'!$U:$U,$H142)&lt;&gt;"Disqualified — Free Game",OR(INDEX('Game Records'!$E:$E,$H142)="",LOWER(INDEX('Game Records'!$E:$E,$H142)&amp;"")="n/a")),"Game Type; ","")&amp;IF(INDEX('Game Records'!$F:$F,$H142)="","Payment Type; ","")&amp;IF(AND(INDEX('Game Records'!$U:$U,$H142)&lt;&gt;"Subscription",INDEX('Game Records'!$U:$U,$H142)&lt;&gt;"Free Game",INDEX('Game Records'!$U:$U,$H142)&lt;&gt;"Disqualified — Free Game",INDEX('Game Records'!$G:$G,$H142)=""),"Gross Pot; ","")&amp;IF(AND(INDEX('Game Records'!$U:$U,$H142)&lt;&gt;"Free Game",INDEX('Game Records'!$U:$U,$H142)&lt;&gt;"Disqualified — Free Game",INDEX('Game Records'!$H:$H,$H142)=""),"Entry Fee; ","")&amp;IF(AND(INDEX('Game Records'!$U:$U,$H142)&lt;&gt;"Subscription",INDEX('Game Records'!$U:$U,$H142)&lt;&gt;"Free Game",INDEX('Game Records'!$U:$U,$H142)&lt;&gt;"Disqualified — Free Game",INDEX('Game Records'!$I:$I,$H142)=""),"Eligible Players; ","")&amp;IF(AND(INDEX('Game Records'!$U:$U,$H142)&lt;&gt;"Subscription",INDEX('Game Records'!$U:$U,$H142)&lt;&gt;"Free Game",INDEX('Game Records'!$U:$U,$H142)&lt;&gt;"Disqualified — Free Game",INDEX('Game Records'!$J:$J,$H142)=""),"Total Players; ","")&amp;IF(AND(LOWER(INDEX('Game Records'!$D:$D,$H142)&amp;"")="finalized",LOWER(INDEX('Game Records'!$L:$L,$H142)&amp;"")&lt;&gt;"yes",INDEX('Game Records'!$U:$U,$H142)&lt;&gt;"Subscription",INDEX('Game Records'!$U:$U,$H142)&lt;&gt;"Free Game",INDEX('Game Records'!$U:$U,$H142)&lt;&gt;"Disqualified — Free Game",INDEX('Game Records'!$K:$K,$H142)=""),"Final Payout; ","")&amp;IF(AND(LOWER(INDEX('Game Records'!$D:$D,$H142)&amp;"")="finalized",INDEX('Game Records'!$U:$U,$H142)&lt;&gt;"Subscription",INDEX('Game Records'!$U:$U,$H142)&lt;&gt;"Free Game",INDEX('Game Records'!$U:$U,$H142)&lt;&gt;"Disqualified — Free Game",OR(INDEX('Game Records'!$L:$L,$H142)="",LOWER(INDEX('Game Records'!$L:$L,$H142)&amp;"")="n/a")),"Disqualified Status; ",""))</f>
        <v/>
      </c>
      <c r="G142" s="25" t="str">
        <f t="array" ref="G142">IF($H142="","",IFERROR(INDEX('Game Records'!$M:$M,$H142),""))</f>
        <v/>
      </c>
      <c r="H142" s="8"/>
      <c r="I142" s="8"/>
      <c r="J142" s="8"/>
    </row>
    <row r="143" ht="24.0" customHeight="1">
      <c r="A143" s="21" t="str">
        <f t="shared" si="1"/>
        <v/>
      </c>
      <c r="B143" s="21" t="str">
        <f t="shared" si="2"/>
        <v/>
      </c>
      <c r="C143" s="25" t="str">
        <f t="array" ref="C143">IF($H143="","",IFERROR(INDEX('Game Records'!$A:$A,$H143),""))</f>
        <v/>
      </c>
      <c r="D143" s="25" t="str">
        <f t="array" ref="D143">IF($H143="","",IFERROR(INDEX('Game Records'!$U:$U,$H143),""))</f>
        <v/>
      </c>
      <c r="E143" s="25" t="str">
        <f t="shared" si="3"/>
        <v/>
      </c>
      <c r="F143" s="25" t="str">
        <f t="array" ref="F143">IF($H143="","",IF(OR(NOT(_xlfn.ISFORMULA(INDEX('Game Records'!$N:$N,$H143))),NOT(_xlfn.ISFORMULA(INDEX('Game Records'!$O:$O,$H143))),NOT(_xlfn.ISFORMULA(INDEX('Game Records'!$P:$P,$H143))),NOT(_xlfn.ISFORMULA(INDEX('Game Records'!$Q:$Q,$H143))),NOT(_xlfn.ISFORMULA(INDEX('Game Records'!$R:$R,$H143))),NOT(_xlfn.ISFORMULA(INDEX('Game Records'!$S:$S,$H143))),NOT(_xlfn.ISFORMULA(INDEX('Game Records'!$T:$T,$H143))),NOT(_xlfn.ISFORMULA(INDEX('Game Records'!$U:$U,$H143))),NOT(_xlfn.ISFORMULA(INDEX('Game Records'!$V:$V,$H143))),NOT(_xlfn.ISFORMULA(INDEX('Game Records'!$W:$W,$H143))),NOT(_xlfn.ISFORMULA(INDEX('Game Records'!$X:$X,$H143))),NOT(_xlfn.ISFORMULA(INDEX('Game Records'!$Y:$Y,$H143))),NOT(_xlfn.ISFORMULA(INDEX('Game Records'!$Z:$Z,$H143)))),"","")&amp;IF(INDEX('Game Records'!$B:$B,$H143)="","Start Date; ","")&amp;IF(INDEX('Game Records'!$C:$C,$H143)="","End Date; ","")&amp;IF(AND(INDEX('Game Records'!$U:$U,$H143)&lt;&gt;"Subscription",INDEX('Game Records'!$U:$U,$H143)&lt;&gt;"Free Game",INDEX('Game Records'!$U:$U,$H143)&lt;&gt;"Disqualified — Free Game",OR(INDEX('Game Records'!$D:$D,$H143)="",LOWER(INDEX('Game Records'!$D:$D,$H143)&amp;"")="n/a")),"Entry Mode; ","")&amp;IF(AND(INDEX('Game Records'!$U:$U,$H143)&lt;&gt;"Subscription",INDEX('Game Records'!$U:$U,$H143)&lt;&gt;"Free Game",INDEX('Game Records'!$U:$U,$H143)&lt;&gt;"Disqualified — Free Game",OR(INDEX('Game Records'!$E:$E,$H143)="",LOWER(INDEX('Game Records'!$E:$E,$H143)&amp;"")="n/a")),"Game Type; ","")&amp;IF(INDEX('Game Records'!$F:$F,$H143)="","Payment Type; ","")&amp;IF(AND(INDEX('Game Records'!$U:$U,$H143)&lt;&gt;"Subscription",INDEX('Game Records'!$U:$U,$H143)&lt;&gt;"Free Game",INDEX('Game Records'!$U:$U,$H143)&lt;&gt;"Disqualified — Free Game",INDEX('Game Records'!$G:$G,$H143)=""),"Gross Pot; ","")&amp;IF(AND(INDEX('Game Records'!$U:$U,$H143)&lt;&gt;"Free Game",INDEX('Game Records'!$U:$U,$H143)&lt;&gt;"Disqualified — Free Game",INDEX('Game Records'!$H:$H,$H143)=""),"Entry Fee; ","")&amp;IF(AND(INDEX('Game Records'!$U:$U,$H143)&lt;&gt;"Subscription",INDEX('Game Records'!$U:$U,$H143)&lt;&gt;"Free Game",INDEX('Game Records'!$U:$U,$H143)&lt;&gt;"Disqualified — Free Game",INDEX('Game Records'!$I:$I,$H143)=""),"Eligible Players; ","")&amp;IF(AND(INDEX('Game Records'!$U:$U,$H143)&lt;&gt;"Subscription",INDEX('Game Records'!$U:$U,$H143)&lt;&gt;"Free Game",INDEX('Game Records'!$U:$U,$H143)&lt;&gt;"Disqualified — Free Game",INDEX('Game Records'!$J:$J,$H143)=""),"Total Players; ","")&amp;IF(AND(LOWER(INDEX('Game Records'!$D:$D,$H143)&amp;"")="finalized",LOWER(INDEX('Game Records'!$L:$L,$H143)&amp;"")&lt;&gt;"yes",INDEX('Game Records'!$U:$U,$H143)&lt;&gt;"Subscription",INDEX('Game Records'!$U:$U,$H143)&lt;&gt;"Free Game",INDEX('Game Records'!$U:$U,$H143)&lt;&gt;"Disqualified — Free Game",INDEX('Game Records'!$K:$K,$H143)=""),"Final Payout; ","")&amp;IF(AND(LOWER(INDEX('Game Records'!$D:$D,$H143)&amp;"")="finalized",INDEX('Game Records'!$U:$U,$H143)&lt;&gt;"Subscription",INDEX('Game Records'!$U:$U,$H143)&lt;&gt;"Free Game",INDEX('Game Records'!$U:$U,$H143)&lt;&gt;"Disqualified — Free Game",OR(INDEX('Game Records'!$L:$L,$H143)="",LOWER(INDEX('Game Records'!$L:$L,$H143)&amp;"")="n/a")),"Disqualified Status; ",""))</f>
        <v/>
      </c>
      <c r="G143" s="25" t="str">
        <f t="array" ref="G143">IF($H143="","",IFERROR(INDEX('Game Records'!$M:$M,$H143),""))</f>
        <v/>
      </c>
      <c r="H143" s="8"/>
      <c r="I143" s="8"/>
      <c r="J143" s="8"/>
    </row>
    <row r="144" ht="24.0" customHeight="1">
      <c r="A144" s="21" t="str">
        <f t="shared" si="1"/>
        <v/>
      </c>
      <c r="B144" s="21" t="str">
        <f t="shared" si="2"/>
        <v/>
      </c>
      <c r="C144" s="25" t="str">
        <f t="array" ref="C144">IF($H144="","",IFERROR(INDEX('Game Records'!$A:$A,$H144),""))</f>
        <v/>
      </c>
      <c r="D144" s="25" t="str">
        <f t="array" ref="D144">IF($H144="","",IFERROR(INDEX('Game Records'!$U:$U,$H144),""))</f>
        <v/>
      </c>
      <c r="E144" s="25" t="str">
        <f t="shared" si="3"/>
        <v/>
      </c>
      <c r="F144" s="25" t="str">
        <f t="array" ref="F144">IF($H144="","",IF(OR(NOT(_xlfn.ISFORMULA(INDEX('Game Records'!$N:$N,$H144))),NOT(_xlfn.ISFORMULA(INDEX('Game Records'!$O:$O,$H144))),NOT(_xlfn.ISFORMULA(INDEX('Game Records'!$P:$P,$H144))),NOT(_xlfn.ISFORMULA(INDEX('Game Records'!$Q:$Q,$H144))),NOT(_xlfn.ISFORMULA(INDEX('Game Records'!$R:$R,$H144))),NOT(_xlfn.ISFORMULA(INDEX('Game Records'!$S:$S,$H144))),NOT(_xlfn.ISFORMULA(INDEX('Game Records'!$T:$T,$H144))),NOT(_xlfn.ISFORMULA(INDEX('Game Records'!$U:$U,$H144))),NOT(_xlfn.ISFORMULA(INDEX('Game Records'!$V:$V,$H144))),NOT(_xlfn.ISFORMULA(INDEX('Game Records'!$W:$W,$H144))),NOT(_xlfn.ISFORMULA(INDEX('Game Records'!$X:$X,$H144))),NOT(_xlfn.ISFORMULA(INDEX('Game Records'!$Y:$Y,$H144))),NOT(_xlfn.ISFORMULA(INDEX('Game Records'!$Z:$Z,$H144)))),"","")&amp;IF(INDEX('Game Records'!$B:$B,$H144)="","Start Date; ","")&amp;IF(INDEX('Game Records'!$C:$C,$H144)="","End Date; ","")&amp;IF(AND(INDEX('Game Records'!$U:$U,$H144)&lt;&gt;"Subscription",INDEX('Game Records'!$U:$U,$H144)&lt;&gt;"Free Game",INDEX('Game Records'!$U:$U,$H144)&lt;&gt;"Disqualified — Free Game",OR(INDEX('Game Records'!$D:$D,$H144)="",LOWER(INDEX('Game Records'!$D:$D,$H144)&amp;"")="n/a")),"Entry Mode; ","")&amp;IF(AND(INDEX('Game Records'!$U:$U,$H144)&lt;&gt;"Subscription",INDEX('Game Records'!$U:$U,$H144)&lt;&gt;"Free Game",INDEX('Game Records'!$U:$U,$H144)&lt;&gt;"Disqualified — Free Game",OR(INDEX('Game Records'!$E:$E,$H144)="",LOWER(INDEX('Game Records'!$E:$E,$H144)&amp;"")="n/a")),"Game Type; ","")&amp;IF(INDEX('Game Records'!$F:$F,$H144)="","Payment Type; ","")&amp;IF(AND(INDEX('Game Records'!$U:$U,$H144)&lt;&gt;"Subscription",INDEX('Game Records'!$U:$U,$H144)&lt;&gt;"Free Game",INDEX('Game Records'!$U:$U,$H144)&lt;&gt;"Disqualified — Free Game",INDEX('Game Records'!$G:$G,$H144)=""),"Gross Pot; ","")&amp;IF(AND(INDEX('Game Records'!$U:$U,$H144)&lt;&gt;"Free Game",INDEX('Game Records'!$U:$U,$H144)&lt;&gt;"Disqualified — Free Game",INDEX('Game Records'!$H:$H,$H144)=""),"Entry Fee; ","")&amp;IF(AND(INDEX('Game Records'!$U:$U,$H144)&lt;&gt;"Subscription",INDEX('Game Records'!$U:$U,$H144)&lt;&gt;"Free Game",INDEX('Game Records'!$U:$U,$H144)&lt;&gt;"Disqualified — Free Game",INDEX('Game Records'!$I:$I,$H144)=""),"Eligible Players; ","")&amp;IF(AND(INDEX('Game Records'!$U:$U,$H144)&lt;&gt;"Subscription",INDEX('Game Records'!$U:$U,$H144)&lt;&gt;"Free Game",INDEX('Game Records'!$U:$U,$H144)&lt;&gt;"Disqualified — Free Game",INDEX('Game Records'!$J:$J,$H144)=""),"Total Players; ","")&amp;IF(AND(LOWER(INDEX('Game Records'!$D:$D,$H144)&amp;"")="finalized",LOWER(INDEX('Game Records'!$L:$L,$H144)&amp;"")&lt;&gt;"yes",INDEX('Game Records'!$U:$U,$H144)&lt;&gt;"Subscription",INDEX('Game Records'!$U:$U,$H144)&lt;&gt;"Free Game",INDEX('Game Records'!$U:$U,$H144)&lt;&gt;"Disqualified — Free Game",INDEX('Game Records'!$K:$K,$H144)=""),"Final Payout; ","")&amp;IF(AND(LOWER(INDEX('Game Records'!$D:$D,$H144)&amp;"")="finalized",INDEX('Game Records'!$U:$U,$H144)&lt;&gt;"Subscription",INDEX('Game Records'!$U:$U,$H144)&lt;&gt;"Free Game",INDEX('Game Records'!$U:$U,$H144)&lt;&gt;"Disqualified — Free Game",OR(INDEX('Game Records'!$L:$L,$H144)="",LOWER(INDEX('Game Records'!$L:$L,$H144)&amp;"")="n/a")),"Disqualified Status; ",""))</f>
        <v/>
      </c>
      <c r="G144" s="25" t="str">
        <f t="array" ref="G144">IF($H144="","",IFERROR(INDEX('Game Records'!$M:$M,$H144),""))</f>
        <v/>
      </c>
      <c r="H144" s="8"/>
      <c r="I144" s="8"/>
      <c r="J144" s="8"/>
    </row>
    <row r="145" ht="24.0" customHeight="1">
      <c r="A145" s="21" t="str">
        <f t="shared" si="1"/>
        <v/>
      </c>
      <c r="B145" s="21" t="str">
        <f t="shared" si="2"/>
        <v/>
      </c>
      <c r="C145" s="25" t="str">
        <f t="array" ref="C145">IF($H145="","",IFERROR(INDEX('Game Records'!$A:$A,$H145),""))</f>
        <v/>
      </c>
      <c r="D145" s="25" t="str">
        <f t="array" ref="D145">IF($H145="","",IFERROR(INDEX('Game Records'!$U:$U,$H145),""))</f>
        <v/>
      </c>
      <c r="E145" s="25" t="str">
        <f t="shared" si="3"/>
        <v/>
      </c>
      <c r="F145" s="25" t="str">
        <f t="array" ref="F145">IF($H145="","",IF(OR(NOT(_xlfn.ISFORMULA(INDEX('Game Records'!$N:$N,$H145))),NOT(_xlfn.ISFORMULA(INDEX('Game Records'!$O:$O,$H145))),NOT(_xlfn.ISFORMULA(INDEX('Game Records'!$P:$P,$H145))),NOT(_xlfn.ISFORMULA(INDEX('Game Records'!$Q:$Q,$H145))),NOT(_xlfn.ISFORMULA(INDEX('Game Records'!$R:$R,$H145))),NOT(_xlfn.ISFORMULA(INDEX('Game Records'!$S:$S,$H145))),NOT(_xlfn.ISFORMULA(INDEX('Game Records'!$T:$T,$H145))),NOT(_xlfn.ISFORMULA(INDEX('Game Records'!$U:$U,$H145))),NOT(_xlfn.ISFORMULA(INDEX('Game Records'!$V:$V,$H145))),NOT(_xlfn.ISFORMULA(INDEX('Game Records'!$W:$W,$H145))),NOT(_xlfn.ISFORMULA(INDEX('Game Records'!$X:$X,$H145))),NOT(_xlfn.ISFORMULA(INDEX('Game Records'!$Y:$Y,$H145))),NOT(_xlfn.ISFORMULA(INDEX('Game Records'!$Z:$Z,$H145)))),"","")&amp;IF(INDEX('Game Records'!$B:$B,$H145)="","Start Date; ","")&amp;IF(INDEX('Game Records'!$C:$C,$H145)="","End Date; ","")&amp;IF(AND(INDEX('Game Records'!$U:$U,$H145)&lt;&gt;"Subscription",INDEX('Game Records'!$U:$U,$H145)&lt;&gt;"Free Game",INDEX('Game Records'!$U:$U,$H145)&lt;&gt;"Disqualified — Free Game",OR(INDEX('Game Records'!$D:$D,$H145)="",LOWER(INDEX('Game Records'!$D:$D,$H145)&amp;"")="n/a")),"Entry Mode; ","")&amp;IF(AND(INDEX('Game Records'!$U:$U,$H145)&lt;&gt;"Subscription",INDEX('Game Records'!$U:$U,$H145)&lt;&gt;"Free Game",INDEX('Game Records'!$U:$U,$H145)&lt;&gt;"Disqualified — Free Game",OR(INDEX('Game Records'!$E:$E,$H145)="",LOWER(INDEX('Game Records'!$E:$E,$H145)&amp;"")="n/a")),"Game Type; ","")&amp;IF(INDEX('Game Records'!$F:$F,$H145)="","Payment Type; ","")&amp;IF(AND(INDEX('Game Records'!$U:$U,$H145)&lt;&gt;"Subscription",INDEX('Game Records'!$U:$U,$H145)&lt;&gt;"Free Game",INDEX('Game Records'!$U:$U,$H145)&lt;&gt;"Disqualified — Free Game",INDEX('Game Records'!$G:$G,$H145)=""),"Gross Pot; ","")&amp;IF(AND(INDEX('Game Records'!$U:$U,$H145)&lt;&gt;"Free Game",INDEX('Game Records'!$U:$U,$H145)&lt;&gt;"Disqualified — Free Game",INDEX('Game Records'!$H:$H,$H145)=""),"Entry Fee; ","")&amp;IF(AND(INDEX('Game Records'!$U:$U,$H145)&lt;&gt;"Subscription",INDEX('Game Records'!$U:$U,$H145)&lt;&gt;"Free Game",INDEX('Game Records'!$U:$U,$H145)&lt;&gt;"Disqualified — Free Game",INDEX('Game Records'!$I:$I,$H145)=""),"Eligible Players; ","")&amp;IF(AND(INDEX('Game Records'!$U:$U,$H145)&lt;&gt;"Subscription",INDEX('Game Records'!$U:$U,$H145)&lt;&gt;"Free Game",INDEX('Game Records'!$U:$U,$H145)&lt;&gt;"Disqualified — Free Game",INDEX('Game Records'!$J:$J,$H145)=""),"Total Players; ","")&amp;IF(AND(LOWER(INDEX('Game Records'!$D:$D,$H145)&amp;"")="finalized",LOWER(INDEX('Game Records'!$L:$L,$H145)&amp;"")&lt;&gt;"yes",INDEX('Game Records'!$U:$U,$H145)&lt;&gt;"Subscription",INDEX('Game Records'!$U:$U,$H145)&lt;&gt;"Free Game",INDEX('Game Records'!$U:$U,$H145)&lt;&gt;"Disqualified — Free Game",INDEX('Game Records'!$K:$K,$H145)=""),"Final Payout; ","")&amp;IF(AND(LOWER(INDEX('Game Records'!$D:$D,$H145)&amp;"")="finalized",INDEX('Game Records'!$U:$U,$H145)&lt;&gt;"Subscription",INDEX('Game Records'!$U:$U,$H145)&lt;&gt;"Free Game",INDEX('Game Records'!$U:$U,$H145)&lt;&gt;"Disqualified — Free Game",OR(INDEX('Game Records'!$L:$L,$H145)="",LOWER(INDEX('Game Records'!$L:$L,$H145)&amp;"")="n/a")),"Disqualified Status; ",""))</f>
        <v/>
      </c>
      <c r="G145" s="25" t="str">
        <f t="array" ref="G145">IF($H145="","",IFERROR(INDEX('Game Records'!$M:$M,$H145),""))</f>
        <v/>
      </c>
      <c r="H145" s="8"/>
      <c r="I145" s="8"/>
      <c r="J145" s="8"/>
    </row>
    <row r="146" ht="24.0" customHeight="1">
      <c r="A146" s="21" t="str">
        <f t="shared" si="1"/>
        <v/>
      </c>
      <c r="B146" s="21" t="str">
        <f t="shared" si="2"/>
        <v/>
      </c>
      <c r="C146" s="25" t="str">
        <f t="array" ref="C146">IF($H146="","",IFERROR(INDEX('Game Records'!$A:$A,$H146),""))</f>
        <v/>
      </c>
      <c r="D146" s="25" t="str">
        <f t="array" ref="D146">IF($H146="","",IFERROR(INDEX('Game Records'!$U:$U,$H146),""))</f>
        <v/>
      </c>
      <c r="E146" s="25" t="str">
        <f t="shared" si="3"/>
        <v/>
      </c>
      <c r="F146" s="25" t="str">
        <f t="array" ref="F146">IF($H146="","",IF(OR(NOT(_xlfn.ISFORMULA(INDEX('Game Records'!$N:$N,$H146))),NOT(_xlfn.ISFORMULA(INDEX('Game Records'!$O:$O,$H146))),NOT(_xlfn.ISFORMULA(INDEX('Game Records'!$P:$P,$H146))),NOT(_xlfn.ISFORMULA(INDEX('Game Records'!$Q:$Q,$H146))),NOT(_xlfn.ISFORMULA(INDEX('Game Records'!$R:$R,$H146))),NOT(_xlfn.ISFORMULA(INDEX('Game Records'!$S:$S,$H146))),NOT(_xlfn.ISFORMULA(INDEX('Game Records'!$T:$T,$H146))),NOT(_xlfn.ISFORMULA(INDEX('Game Records'!$U:$U,$H146))),NOT(_xlfn.ISFORMULA(INDEX('Game Records'!$V:$V,$H146))),NOT(_xlfn.ISFORMULA(INDEX('Game Records'!$W:$W,$H146))),NOT(_xlfn.ISFORMULA(INDEX('Game Records'!$X:$X,$H146))),NOT(_xlfn.ISFORMULA(INDEX('Game Records'!$Y:$Y,$H146))),NOT(_xlfn.ISFORMULA(INDEX('Game Records'!$Z:$Z,$H146)))),"","")&amp;IF(INDEX('Game Records'!$B:$B,$H146)="","Start Date; ","")&amp;IF(INDEX('Game Records'!$C:$C,$H146)="","End Date; ","")&amp;IF(AND(INDEX('Game Records'!$U:$U,$H146)&lt;&gt;"Subscription",INDEX('Game Records'!$U:$U,$H146)&lt;&gt;"Free Game",INDEX('Game Records'!$U:$U,$H146)&lt;&gt;"Disqualified — Free Game",OR(INDEX('Game Records'!$D:$D,$H146)="",LOWER(INDEX('Game Records'!$D:$D,$H146)&amp;"")="n/a")),"Entry Mode; ","")&amp;IF(AND(INDEX('Game Records'!$U:$U,$H146)&lt;&gt;"Subscription",INDEX('Game Records'!$U:$U,$H146)&lt;&gt;"Free Game",INDEX('Game Records'!$U:$U,$H146)&lt;&gt;"Disqualified — Free Game",OR(INDEX('Game Records'!$E:$E,$H146)="",LOWER(INDEX('Game Records'!$E:$E,$H146)&amp;"")="n/a")),"Game Type; ","")&amp;IF(INDEX('Game Records'!$F:$F,$H146)="","Payment Type; ","")&amp;IF(AND(INDEX('Game Records'!$U:$U,$H146)&lt;&gt;"Subscription",INDEX('Game Records'!$U:$U,$H146)&lt;&gt;"Free Game",INDEX('Game Records'!$U:$U,$H146)&lt;&gt;"Disqualified — Free Game",INDEX('Game Records'!$G:$G,$H146)=""),"Gross Pot; ","")&amp;IF(AND(INDEX('Game Records'!$U:$U,$H146)&lt;&gt;"Free Game",INDEX('Game Records'!$U:$U,$H146)&lt;&gt;"Disqualified — Free Game",INDEX('Game Records'!$H:$H,$H146)=""),"Entry Fee; ","")&amp;IF(AND(INDEX('Game Records'!$U:$U,$H146)&lt;&gt;"Subscription",INDEX('Game Records'!$U:$U,$H146)&lt;&gt;"Free Game",INDEX('Game Records'!$U:$U,$H146)&lt;&gt;"Disqualified — Free Game",INDEX('Game Records'!$I:$I,$H146)=""),"Eligible Players; ","")&amp;IF(AND(INDEX('Game Records'!$U:$U,$H146)&lt;&gt;"Subscription",INDEX('Game Records'!$U:$U,$H146)&lt;&gt;"Free Game",INDEX('Game Records'!$U:$U,$H146)&lt;&gt;"Disqualified — Free Game",INDEX('Game Records'!$J:$J,$H146)=""),"Total Players; ","")&amp;IF(AND(LOWER(INDEX('Game Records'!$D:$D,$H146)&amp;"")="finalized",LOWER(INDEX('Game Records'!$L:$L,$H146)&amp;"")&lt;&gt;"yes",INDEX('Game Records'!$U:$U,$H146)&lt;&gt;"Subscription",INDEX('Game Records'!$U:$U,$H146)&lt;&gt;"Free Game",INDEX('Game Records'!$U:$U,$H146)&lt;&gt;"Disqualified — Free Game",INDEX('Game Records'!$K:$K,$H146)=""),"Final Payout; ","")&amp;IF(AND(LOWER(INDEX('Game Records'!$D:$D,$H146)&amp;"")="finalized",INDEX('Game Records'!$U:$U,$H146)&lt;&gt;"Subscription",INDEX('Game Records'!$U:$U,$H146)&lt;&gt;"Free Game",INDEX('Game Records'!$U:$U,$H146)&lt;&gt;"Disqualified — Free Game",OR(INDEX('Game Records'!$L:$L,$H146)="",LOWER(INDEX('Game Records'!$L:$L,$H146)&amp;"")="n/a")),"Disqualified Status; ",""))</f>
        <v/>
      </c>
      <c r="G146" s="25" t="str">
        <f t="array" ref="G146">IF($H146="","",IFERROR(INDEX('Game Records'!$M:$M,$H146),""))</f>
        <v/>
      </c>
      <c r="H146" s="8"/>
      <c r="I146" s="8"/>
      <c r="J146" s="8"/>
    </row>
    <row r="147" ht="24.0" customHeight="1">
      <c r="A147" s="21" t="str">
        <f t="shared" si="1"/>
        <v/>
      </c>
      <c r="B147" s="21" t="str">
        <f t="shared" si="2"/>
        <v/>
      </c>
      <c r="C147" s="25" t="str">
        <f t="array" ref="C147">IF($H147="","",IFERROR(INDEX('Game Records'!$A:$A,$H147),""))</f>
        <v/>
      </c>
      <c r="D147" s="25" t="str">
        <f t="array" ref="D147">IF($H147="","",IFERROR(INDEX('Game Records'!$U:$U,$H147),""))</f>
        <v/>
      </c>
      <c r="E147" s="25" t="str">
        <f t="shared" si="3"/>
        <v/>
      </c>
      <c r="F147" s="25" t="str">
        <f t="array" ref="F147">IF($H147="","",IF(OR(NOT(_xlfn.ISFORMULA(INDEX('Game Records'!$N:$N,$H147))),NOT(_xlfn.ISFORMULA(INDEX('Game Records'!$O:$O,$H147))),NOT(_xlfn.ISFORMULA(INDEX('Game Records'!$P:$P,$H147))),NOT(_xlfn.ISFORMULA(INDEX('Game Records'!$Q:$Q,$H147))),NOT(_xlfn.ISFORMULA(INDEX('Game Records'!$R:$R,$H147))),NOT(_xlfn.ISFORMULA(INDEX('Game Records'!$S:$S,$H147))),NOT(_xlfn.ISFORMULA(INDEX('Game Records'!$T:$T,$H147))),NOT(_xlfn.ISFORMULA(INDEX('Game Records'!$U:$U,$H147))),NOT(_xlfn.ISFORMULA(INDEX('Game Records'!$V:$V,$H147))),NOT(_xlfn.ISFORMULA(INDEX('Game Records'!$W:$W,$H147))),NOT(_xlfn.ISFORMULA(INDEX('Game Records'!$X:$X,$H147))),NOT(_xlfn.ISFORMULA(INDEX('Game Records'!$Y:$Y,$H147))),NOT(_xlfn.ISFORMULA(INDEX('Game Records'!$Z:$Z,$H147)))),"","")&amp;IF(INDEX('Game Records'!$B:$B,$H147)="","Start Date; ","")&amp;IF(INDEX('Game Records'!$C:$C,$H147)="","End Date; ","")&amp;IF(AND(INDEX('Game Records'!$U:$U,$H147)&lt;&gt;"Subscription",INDEX('Game Records'!$U:$U,$H147)&lt;&gt;"Free Game",INDEX('Game Records'!$U:$U,$H147)&lt;&gt;"Disqualified — Free Game",OR(INDEX('Game Records'!$D:$D,$H147)="",LOWER(INDEX('Game Records'!$D:$D,$H147)&amp;"")="n/a")),"Entry Mode; ","")&amp;IF(AND(INDEX('Game Records'!$U:$U,$H147)&lt;&gt;"Subscription",INDEX('Game Records'!$U:$U,$H147)&lt;&gt;"Free Game",INDEX('Game Records'!$U:$U,$H147)&lt;&gt;"Disqualified — Free Game",OR(INDEX('Game Records'!$E:$E,$H147)="",LOWER(INDEX('Game Records'!$E:$E,$H147)&amp;"")="n/a")),"Game Type; ","")&amp;IF(INDEX('Game Records'!$F:$F,$H147)="","Payment Type; ","")&amp;IF(AND(INDEX('Game Records'!$U:$U,$H147)&lt;&gt;"Subscription",INDEX('Game Records'!$U:$U,$H147)&lt;&gt;"Free Game",INDEX('Game Records'!$U:$U,$H147)&lt;&gt;"Disqualified — Free Game",INDEX('Game Records'!$G:$G,$H147)=""),"Gross Pot; ","")&amp;IF(AND(INDEX('Game Records'!$U:$U,$H147)&lt;&gt;"Free Game",INDEX('Game Records'!$U:$U,$H147)&lt;&gt;"Disqualified — Free Game",INDEX('Game Records'!$H:$H,$H147)=""),"Entry Fee; ","")&amp;IF(AND(INDEX('Game Records'!$U:$U,$H147)&lt;&gt;"Subscription",INDEX('Game Records'!$U:$U,$H147)&lt;&gt;"Free Game",INDEX('Game Records'!$U:$U,$H147)&lt;&gt;"Disqualified — Free Game",INDEX('Game Records'!$I:$I,$H147)=""),"Eligible Players; ","")&amp;IF(AND(INDEX('Game Records'!$U:$U,$H147)&lt;&gt;"Subscription",INDEX('Game Records'!$U:$U,$H147)&lt;&gt;"Free Game",INDEX('Game Records'!$U:$U,$H147)&lt;&gt;"Disqualified — Free Game",INDEX('Game Records'!$J:$J,$H147)=""),"Total Players; ","")&amp;IF(AND(LOWER(INDEX('Game Records'!$D:$D,$H147)&amp;"")="finalized",LOWER(INDEX('Game Records'!$L:$L,$H147)&amp;"")&lt;&gt;"yes",INDEX('Game Records'!$U:$U,$H147)&lt;&gt;"Subscription",INDEX('Game Records'!$U:$U,$H147)&lt;&gt;"Free Game",INDEX('Game Records'!$U:$U,$H147)&lt;&gt;"Disqualified — Free Game",INDEX('Game Records'!$K:$K,$H147)=""),"Final Payout; ","")&amp;IF(AND(LOWER(INDEX('Game Records'!$D:$D,$H147)&amp;"")="finalized",INDEX('Game Records'!$U:$U,$H147)&lt;&gt;"Subscription",INDEX('Game Records'!$U:$U,$H147)&lt;&gt;"Free Game",INDEX('Game Records'!$U:$U,$H147)&lt;&gt;"Disqualified — Free Game",OR(INDEX('Game Records'!$L:$L,$H147)="",LOWER(INDEX('Game Records'!$L:$L,$H147)&amp;"")="n/a")),"Disqualified Status; ",""))</f>
        <v/>
      </c>
      <c r="G147" s="25" t="str">
        <f t="array" ref="G147">IF($H147="","",IFERROR(INDEX('Game Records'!$M:$M,$H147),""))</f>
        <v/>
      </c>
      <c r="H147" s="8"/>
      <c r="I147" s="8"/>
      <c r="J147" s="8"/>
    </row>
    <row r="148" ht="24.0" customHeight="1">
      <c r="A148" s="21" t="str">
        <f t="shared" si="1"/>
        <v/>
      </c>
      <c r="B148" s="21" t="str">
        <f t="shared" si="2"/>
        <v/>
      </c>
      <c r="C148" s="25" t="str">
        <f t="array" ref="C148">IF($H148="","",IFERROR(INDEX('Game Records'!$A:$A,$H148),""))</f>
        <v/>
      </c>
      <c r="D148" s="25" t="str">
        <f t="array" ref="D148">IF($H148="","",IFERROR(INDEX('Game Records'!$U:$U,$H148),""))</f>
        <v/>
      </c>
      <c r="E148" s="25" t="str">
        <f t="shared" si="3"/>
        <v/>
      </c>
      <c r="F148" s="25" t="str">
        <f t="array" ref="F148">IF($H148="","",IF(OR(NOT(_xlfn.ISFORMULA(INDEX('Game Records'!$N:$N,$H148))),NOT(_xlfn.ISFORMULA(INDEX('Game Records'!$O:$O,$H148))),NOT(_xlfn.ISFORMULA(INDEX('Game Records'!$P:$P,$H148))),NOT(_xlfn.ISFORMULA(INDEX('Game Records'!$Q:$Q,$H148))),NOT(_xlfn.ISFORMULA(INDEX('Game Records'!$R:$R,$H148))),NOT(_xlfn.ISFORMULA(INDEX('Game Records'!$S:$S,$H148))),NOT(_xlfn.ISFORMULA(INDEX('Game Records'!$T:$T,$H148))),NOT(_xlfn.ISFORMULA(INDEX('Game Records'!$U:$U,$H148))),NOT(_xlfn.ISFORMULA(INDEX('Game Records'!$V:$V,$H148))),NOT(_xlfn.ISFORMULA(INDEX('Game Records'!$W:$W,$H148))),NOT(_xlfn.ISFORMULA(INDEX('Game Records'!$X:$X,$H148))),NOT(_xlfn.ISFORMULA(INDEX('Game Records'!$Y:$Y,$H148))),NOT(_xlfn.ISFORMULA(INDEX('Game Records'!$Z:$Z,$H148)))),"","")&amp;IF(INDEX('Game Records'!$B:$B,$H148)="","Start Date; ","")&amp;IF(INDEX('Game Records'!$C:$C,$H148)="","End Date; ","")&amp;IF(AND(INDEX('Game Records'!$U:$U,$H148)&lt;&gt;"Subscription",INDEX('Game Records'!$U:$U,$H148)&lt;&gt;"Free Game",INDEX('Game Records'!$U:$U,$H148)&lt;&gt;"Disqualified — Free Game",OR(INDEX('Game Records'!$D:$D,$H148)="",LOWER(INDEX('Game Records'!$D:$D,$H148)&amp;"")="n/a")),"Entry Mode; ","")&amp;IF(AND(INDEX('Game Records'!$U:$U,$H148)&lt;&gt;"Subscription",INDEX('Game Records'!$U:$U,$H148)&lt;&gt;"Free Game",INDEX('Game Records'!$U:$U,$H148)&lt;&gt;"Disqualified — Free Game",OR(INDEX('Game Records'!$E:$E,$H148)="",LOWER(INDEX('Game Records'!$E:$E,$H148)&amp;"")="n/a")),"Game Type; ","")&amp;IF(INDEX('Game Records'!$F:$F,$H148)="","Payment Type; ","")&amp;IF(AND(INDEX('Game Records'!$U:$U,$H148)&lt;&gt;"Subscription",INDEX('Game Records'!$U:$U,$H148)&lt;&gt;"Free Game",INDEX('Game Records'!$U:$U,$H148)&lt;&gt;"Disqualified — Free Game",INDEX('Game Records'!$G:$G,$H148)=""),"Gross Pot; ","")&amp;IF(AND(INDEX('Game Records'!$U:$U,$H148)&lt;&gt;"Free Game",INDEX('Game Records'!$U:$U,$H148)&lt;&gt;"Disqualified — Free Game",INDEX('Game Records'!$H:$H,$H148)=""),"Entry Fee; ","")&amp;IF(AND(INDEX('Game Records'!$U:$U,$H148)&lt;&gt;"Subscription",INDEX('Game Records'!$U:$U,$H148)&lt;&gt;"Free Game",INDEX('Game Records'!$U:$U,$H148)&lt;&gt;"Disqualified — Free Game",INDEX('Game Records'!$I:$I,$H148)=""),"Eligible Players; ","")&amp;IF(AND(INDEX('Game Records'!$U:$U,$H148)&lt;&gt;"Subscription",INDEX('Game Records'!$U:$U,$H148)&lt;&gt;"Free Game",INDEX('Game Records'!$U:$U,$H148)&lt;&gt;"Disqualified — Free Game",INDEX('Game Records'!$J:$J,$H148)=""),"Total Players; ","")&amp;IF(AND(LOWER(INDEX('Game Records'!$D:$D,$H148)&amp;"")="finalized",LOWER(INDEX('Game Records'!$L:$L,$H148)&amp;"")&lt;&gt;"yes",INDEX('Game Records'!$U:$U,$H148)&lt;&gt;"Subscription",INDEX('Game Records'!$U:$U,$H148)&lt;&gt;"Free Game",INDEX('Game Records'!$U:$U,$H148)&lt;&gt;"Disqualified — Free Game",INDEX('Game Records'!$K:$K,$H148)=""),"Final Payout; ","")&amp;IF(AND(LOWER(INDEX('Game Records'!$D:$D,$H148)&amp;"")="finalized",INDEX('Game Records'!$U:$U,$H148)&lt;&gt;"Subscription",INDEX('Game Records'!$U:$U,$H148)&lt;&gt;"Free Game",INDEX('Game Records'!$U:$U,$H148)&lt;&gt;"Disqualified — Free Game",OR(INDEX('Game Records'!$L:$L,$H148)="",LOWER(INDEX('Game Records'!$L:$L,$H148)&amp;"")="n/a")),"Disqualified Status; ",""))</f>
        <v/>
      </c>
      <c r="G148" s="25" t="str">
        <f t="array" ref="G148">IF($H148="","",IFERROR(INDEX('Game Records'!$M:$M,$H148),""))</f>
        <v/>
      </c>
      <c r="H148" s="8"/>
      <c r="I148" s="8"/>
      <c r="J148" s="8"/>
    </row>
    <row r="149" ht="24.0" customHeight="1">
      <c r="A149" s="21" t="str">
        <f t="shared" si="1"/>
        <v/>
      </c>
      <c r="B149" s="21" t="str">
        <f t="shared" si="2"/>
        <v/>
      </c>
      <c r="C149" s="25" t="str">
        <f t="array" ref="C149">IF($H149="","",IFERROR(INDEX('Game Records'!$A:$A,$H149),""))</f>
        <v/>
      </c>
      <c r="D149" s="25" t="str">
        <f t="array" ref="D149">IF($H149="","",IFERROR(INDEX('Game Records'!$U:$U,$H149),""))</f>
        <v/>
      </c>
      <c r="E149" s="25" t="str">
        <f t="shared" si="3"/>
        <v/>
      </c>
      <c r="F149" s="25" t="str">
        <f t="array" ref="F149">IF($H149="","",IF(OR(NOT(_xlfn.ISFORMULA(INDEX('Game Records'!$N:$N,$H149))),NOT(_xlfn.ISFORMULA(INDEX('Game Records'!$O:$O,$H149))),NOT(_xlfn.ISFORMULA(INDEX('Game Records'!$P:$P,$H149))),NOT(_xlfn.ISFORMULA(INDEX('Game Records'!$Q:$Q,$H149))),NOT(_xlfn.ISFORMULA(INDEX('Game Records'!$R:$R,$H149))),NOT(_xlfn.ISFORMULA(INDEX('Game Records'!$S:$S,$H149))),NOT(_xlfn.ISFORMULA(INDEX('Game Records'!$T:$T,$H149))),NOT(_xlfn.ISFORMULA(INDEX('Game Records'!$U:$U,$H149))),NOT(_xlfn.ISFORMULA(INDEX('Game Records'!$V:$V,$H149))),NOT(_xlfn.ISFORMULA(INDEX('Game Records'!$W:$W,$H149))),NOT(_xlfn.ISFORMULA(INDEX('Game Records'!$X:$X,$H149))),NOT(_xlfn.ISFORMULA(INDEX('Game Records'!$Y:$Y,$H149))),NOT(_xlfn.ISFORMULA(INDEX('Game Records'!$Z:$Z,$H149)))),"","")&amp;IF(INDEX('Game Records'!$B:$B,$H149)="","Start Date; ","")&amp;IF(INDEX('Game Records'!$C:$C,$H149)="","End Date; ","")&amp;IF(AND(INDEX('Game Records'!$U:$U,$H149)&lt;&gt;"Subscription",INDEX('Game Records'!$U:$U,$H149)&lt;&gt;"Free Game",INDEX('Game Records'!$U:$U,$H149)&lt;&gt;"Disqualified — Free Game",OR(INDEX('Game Records'!$D:$D,$H149)="",LOWER(INDEX('Game Records'!$D:$D,$H149)&amp;"")="n/a")),"Entry Mode; ","")&amp;IF(AND(INDEX('Game Records'!$U:$U,$H149)&lt;&gt;"Subscription",INDEX('Game Records'!$U:$U,$H149)&lt;&gt;"Free Game",INDEX('Game Records'!$U:$U,$H149)&lt;&gt;"Disqualified — Free Game",OR(INDEX('Game Records'!$E:$E,$H149)="",LOWER(INDEX('Game Records'!$E:$E,$H149)&amp;"")="n/a")),"Game Type; ","")&amp;IF(INDEX('Game Records'!$F:$F,$H149)="","Payment Type; ","")&amp;IF(AND(INDEX('Game Records'!$U:$U,$H149)&lt;&gt;"Subscription",INDEX('Game Records'!$U:$U,$H149)&lt;&gt;"Free Game",INDEX('Game Records'!$U:$U,$H149)&lt;&gt;"Disqualified — Free Game",INDEX('Game Records'!$G:$G,$H149)=""),"Gross Pot; ","")&amp;IF(AND(INDEX('Game Records'!$U:$U,$H149)&lt;&gt;"Free Game",INDEX('Game Records'!$U:$U,$H149)&lt;&gt;"Disqualified — Free Game",INDEX('Game Records'!$H:$H,$H149)=""),"Entry Fee; ","")&amp;IF(AND(INDEX('Game Records'!$U:$U,$H149)&lt;&gt;"Subscription",INDEX('Game Records'!$U:$U,$H149)&lt;&gt;"Free Game",INDEX('Game Records'!$U:$U,$H149)&lt;&gt;"Disqualified — Free Game",INDEX('Game Records'!$I:$I,$H149)=""),"Eligible Players; ","")&amp;IF(AND(INDEX('Game Records'!$U:$U,$H149)&lt;&gt;"Subscription",INDEX('Game Records'!$U:$U,$H149)&lt;&gt;"Free Game",INDEX('Game Records'!$U:$U,$H149)&lt;&gt;"Disqualified — Free Game",INDEX('Game Records'!$J:$J,$H149)=""),"Total Players; ","")&amp;IF(AND(LOWER(INDEX('Game Records'!$D:$D,$H149)&amp;"")="finalized",LOWER(INDEX('Game Records'!$L:$L,$H149)&amp;"")&lt;&gt;"yes",INDEX('Game Records'!$U:$U,$H149)&lt;&gt;"Subscription",INDEX('Game Records'!$U:$U,$H149)&lt;&gt;"Free Game",INDEX('Game Records'!$U:$U,$H149)&lt;&gt;"Disqualified — Free Game",INDEX('Game Records'!$K:$K,$H149)=""),"Final Payout; ","")&amp;IF(AND(LOWER(INDEX('Game Records'!$D:$D,$H149)&amp;"")="finalized",INDEX('Game Records'!$U:$U,$H149)&lt;&gt;"Subscription",INDEX('Game Records'!$U:$U,$H149)&lt;&gt;"Free Game",INDEX('Game Records'!$U:$U,$H149)&lt;&gt;"Disqualified — Free Game",OR(INDEX('Game Records'!$L:$L,$H149)="",LOWER(INDEX('Game Records'!$L:$L,$H149)&amp;"")="n/a")),"Disqualified Status; ",""))</f>
        <v/>
      </c>
      <c r="G149" s="25" t="str">
        <f t="array" ref="G149">IF($H149="","",IFERROR(INDEX('Game Records'!$M:$M,$H149),""))</f>
        <v/>
      </c>
      <c r="H149" s="8"/>
      <c r="I149" s="8"/>
      <c r="J149" s="8"/>
    </row>
    <row r="150" ht="24.0" customHeight="1">
      <c r="A150" s="21" t="str">
        <f t="shared" si="1"/>
        <v/>
      </c>
      <c r="B150" s="21" t="str">
        <f t="shared" si="2"/>
        <v/>
      </c>
      <c r="C150" s="25" t="str">
        <f t="array" ref="C150">IF($H150="","",IFERROR(INDEX('Game Records'!$A:$A,$H150),""))</f>
        <v/>
      </c>
      <c r="D150" s="25" t="str">
        <f t="array" ref="D150">IF($H150="","",IFERROR(INDEX('Game Records'!$U:$U,$H150),""))</f>
        <v/>
      </c>
      <c r="E150" s="25" t="str">
        <f t="shared" si="3"/>
        <v/>
      </c>
      <c r="F150" s="25" t="str">
        <f t="array" ref="F150">IF($H150="","",IF(OR(NOT(_xlfn.ISFORMULA(INDEX('Game Records'!$N:$N,$H150))),NOT(_xlfn.ISFORMULA(INDEX('Game Records'!$O:$O,$H150))),NOT(_xlfn.ISFORMULA(INDEX('Game Records'!$P:$P,$H150))),NOT(_xlfn.ISFORMULA(INDEX('Game Records'!$Q:$Q,$H150))),NOT(_xlfn.ISFORMULA(INDEX('Game Records'!$R:$R,$H150))),NOT(_xlfn.ISFORMULA(INDEX('Game Records'!$S:$S,$H150))),NOT(_xlfn.ISFORMULA(INDEX('Game Records'!$T:$T,$H150))),NOT(_xlfn.ISFORMULA(INDEX('Game Records'!$U:$U,$H150))),NOT(_xlfn.ISFORMULA(INDEX('Game Records'!$V:$V,$H150))),NOT(_xlfn.ISFORMULA(INDEX('Game Records'!$W:$W,$H150))),NOT(_xlfn.ISFORMULA(INDEX('Game Records'!$X:$X,$H150))),NOT(_xlfn.ISFORMULA(INDEX('Game Records'!$Y:$Y,$H150))),NOT(_xlfn.ISFORMULA(INDEX('Game Records'!$Z:$Z,$H150)))),"","")&amp;IF(INDEX('Game Records'!$B:$B,$H150)="","Start Date; ","")&amp;IF(INDEX('Game Records'!$C:$C,$H150)="","End Date; ","")&amp;IF(AND(INDEX('Game Records'!$U:$U,$H150)&lt;&gt;"Subscription",INDEX('Game Records'!$U:$U,$H150)&lt;&gt;"Free Game",INDEX('Game Records'!$U:$U,$H150)&lt;&gt;"Disqualified — Free Game",OR(INDEX('Game Records'!$D:$D,$H150)="",LOWER(INDEX('Game Records'!$D:$D,$H150)&amp;"")="n/a")),"Entry Mode; ","")&amp;IF(AND(INDEX('Game Records'!$U:$U,$H150)&lt;&gt;"Subscription",INDEX('Game Records'!$U:$U,$H150)&lt;&gt;"Free Game",INDEX('Game Records'!$U:$U,$H150)&lt;&gt;"Disqualified — Free Game",OR(INDEX('Game Records'!$E:$E,$H150)="",LOWER(INDEX('Game Records'!$E:$E,$H150)&amp;"")="n/a")),"Game Type; ","")&amp;IF(INDEX('Game Records'!$F:$F,$H150)="","Payment Type; ","")&amp;IF(AND(INDEX('Game Records'!$U:$U,$H150)&lt;&gt;"Subscription",INDEX('Game Records'!$U:$U,$H150)&lt;&gt;"Free Game",INDEX('Game Records'!$U:$U,$H150)&lt;&gt;"Disqualified — Free Game",INDEX('Game Records'!$G:$G,$H150)=""),"Gross Pot; ","")&amp;IF(AND(INDEX('Game Records'!$U:$U,$H150)&lt;&gt;"Free Game",INDEX('Game Records'!$U:$U,$H150)&lt;&gt;"Disqualified — Free Game",INDEX('Game Records'!$H:$H,$H150)=""),"Entry Fee; ","")&amp;IF(AND(INDEX('Game Records'!$U:$U,$H150)&lt;&gt;"Subscription",INDEX('Game Records'!$U:$U,$H150)&lt;&gt;"Free Game",INDEX('Game Records'!$U:$U,$H150)&lt;&gt;"Disqualified — Free Game",INDEX('Game Records'!$I:$I,$H150)=""),"Eligible Players; ","")&amp;IF(AND(INDEX('Game Records'!$U:$U,$H150)&lt;&gt;"Subscription",INDEX('Game Records'!$U:$U,$H150)&lt;&gt;"Free Game",INDEX('Game Records'!$U:$U,$H150)&lt;&gt;"Disqualified — Free Game",INDEX('Game Records'!$J:$J,$H150)=""),"Total Players; ","")&amp;IF(AND(LOWER(INDEX('Game Records'!$D:$D,$H150)&amp;"")="finalized",LOWER(INDEX('Game Records'!$L:$L,$H150)&amp;"")&lt;&gt;"yes",INDEX('Game Records'!$U:$U,$H150)&lt;&gt;"Subscription",INDEX('Game Records'!$U:$U,$H150)&lt;&gt;"Free Game",INDEX('Game Records'!$U:$U,$H150)&lt;&gt;"Disqualified — Free Game",INDEX('Game Records'!$K:$K,$H150)=""),"Final Payout; ","")&amp;IF(AND(LOWER(INDEX('Game Records'!$D:$D,$H150)&amp;"")="finalized",INDEX('Game Records'!$U:$U,$H150)&lt;&gt;"Subscription",INDEX('Game Records'!$U:$U,$H150)&lt;&gt;"Free Game",INDEX('Game Records'!$U:$U,$H150)&lt;&gt;"Disqualified — Free Game",OR(INDEX('Game Records'!$L:$L,$H150)="",LOWER(INDEX('Game Records'!$L:$L,$H150)&amp;"")="n/a")),"Disqualified Status; ",""))</f>
        <v/>
      </c>
      <c r="G150" s="25" t="str">
        <f t="array" ref="G150">IF($H150="","",IFERROR(INDEX('Game Records'!$M:$M,$H150),""))</f>
        <v/>
      </c>
      <c r="H150" s="8"/>
      <c r="I150" s="8"/>
      <c r="J150" s="8"/>
    </row>
    <row r="151" ht="24.0" customHeight="1">
      <c r="A151" s="21" t="str">
        <f t="shared" si="1"/>
        <v/>
      </c>
      <c r="B151" s="21" t="str">
        <f t="shared" si="2"/>
        <v/>
      </c>
      <c r="C151" s="25" t="str">
        <f t="array" ref="C151">IF($H151="","",IFERROR(INDEX('Game Records'!$A:$A,$H151),""))</f>
        <v/>
      </c>
      <c r="D151" s="25" t="str">
        <f t="array" ref="D151">IF($H151="","",IFERROR(INDEX('Game Records'!$U:$U,$H151),""))</f>
        <v/>
      </c>
      <c r="E151" s="25" t="str">
        <f t="shared" si="3"/>
        <v/>
      </c>
      <c r="F151" s="25" t="str">
        <f t="array" ref="F151">IF($H151="","",IF(OR(NOT(_xlfn.ISFORMULA(INDEX('Game Records'!$N:$N,$H151))),NOT(_xlfn.ISFORMULA(INDEX('Game Records'!$O:$O,$H151))),NOT(_xlfn.ISFORMULA(INDEX('Game Records'!$P:$P,$H151))),NOT(_xlfn.ISFORMULA(INDEX('Game Records'!$Q:$Q,$H151))),NOT(_xlfn.ISFORMULA(INDEX('Game Records'!$R:$R,$H151))),NOT(_xlfn.ISFORMULA(INDEX('Game Records'!$S:$S,$H151))),NOT(_xlfn.ISFORMULA(INDEX('Game Records'!$T:$T,$H151))),NOT(_xlfn.ISFORMULA(INDEX('Game Records'!$U:$U,$H151))),NOT(_xlfn.ISFORMULA(INDEX('Game Records'!$V:$V,$H151))),NOT(_xlfn.ISFORMULA(INDEX('Game Records'!$W:$W,$H151))),NOT(_xlfn.ISFORMULA(INDEX('Game Records'!$X:$X,$H151))),NOT(_xlfn.ISFORMULA(INDEX('Game Records'!$Y:$Y,$H151))),NOT(_xlfn.ISFORMULA(INDEX('Game Records'!$Z:$Z,$H151)))),"","")&amp;IF(INDEX('Game Records'!$B:$B,$H151)="","Start Date; ","")&amp;IF(INDEX('Game Records'!$C:$C,$H151)="","End Date; ","")&amp;IF(AND(INDEX('Game Records'!$U:$U,$H151)&lt;&gt;"Subscription",INDEX('Game Records'!$U:$U,$H151)&lt;&gt;"Free Game",INDEX('Game Records'!$U:$U,$H151)&lt;&gt;"Disqualified — Free Game",OR(INDEX('Game Records'!$D:$D,$H151)="",LOWER(INDEX('Game Records'!$D:$D,$H151)&amp;"")="n/a")),"Entry Mode; ","")&amp;IF(AND(INDEX('Game Records'!$U:$U,$H151)&lt;&gt;"Subscription",INDEX('Game Records'!$U:$U,$H151)&lt;&gt;"Free Game",INDEX('Game Records'!$U:$U,$H151)&lt;&gt;"Disqualified — Free Game",OR(INDEX('Game Records'!$E:$E,$H151)="",LOWER(INDEX('Game Records'!$E:$E,$H151)&amp;"")="n/a")),"Game Type; ","")&amp;IF(INDEX('Game Records'!$F:$F,$H151)="","Payment Type; ","")&amp;IF(AND(INDEX('Game Records'!$U:$U,$H151)&lt;&gt;"Subscription",INDEX('Game Records'!$U:$U,$H151)&lt;&gt;"Free Game",INDEX('Game Records'!$U:$U,$H151)&lt;&gt;"Disqualified — Free Game",INDEX('Game Records'!$G:$G,$H151)=""),"Gross Pot; ","")&amp;IF(AND(INDEX('Game Records'!$U:$U,$H151)&lt;&gt;"Free Game",INDEX('Game Records'!$U:$U,$H151)&lt;&gt;"Disqualified — Free Game",INDEX('Game Records'!$H:$H,$H151)=""),"Entry Fee; ","")&amp;IF(AND(INDEX('Game Records'!$U:$U,$H151)&lt;&gt;"Subscription",INDEX('Game Records'!$U:$U,$H151)&lt;&gt;"Free Game",INDEX('Game Records'!$U:$U,$H151)&lt;&gt;"Disqualified — Free Game",INDEX('Game Records'!$I:$I,$H151)=""),"Eligible Players; ","")&amp;IF(AND(INDEX('Game Records'!$U:$U,$H151)&lt;&gt;"Subscription",INDEX('Game Records'!$U:$U,$H151)&lt;&gt;"Free Game",INDEX('Game Records'!$U:$U,$H151)&lt;&gt;"Disqualified — Free Game",INDEX('Game Records'!$J:$J,$H151)=""),"Total Players; ","")&amp;IF(AND(LOWER(INDEX('Game Records'!$D:$D,$H151)&amp;"")="finalized",LOWER(INDEX('Game Records'!$L:$L,$H151)&amp;"")&lt;&gt;"yes",INDEX('Game Records'!$U:$U,$H151)&lt;&gt;"Subscription",INDEX('Game Records'!$U:$U,$H151)&lt;&gt;"Free Game",INDEX('Game Records'!$U:$U,$H151)&lt;&gt;"Disqualified — Free Game",INDEX('Game Records'!$K:$K,$H151)=""),"Final Payout; ","")&amp;IF(AND(LOWER(INDEX('Game Records'!$D:$D,$H151)&amp;"")="finalized",INDEX('Game Records'!$U:$U,$H151)&lt;&gt;"Subscription",INDEX('Game Records'!$U:$U,$H151)&lt;&gt;"Free Game",INDEX('Game Records'!$U:$U,$H151)&lt;&gt;"Disqualified — Free Game",OR(INDEX('Game Records'!$L:$L,$H151)="",LOWER(INDEX('Game Records'!$L:$L,$H151)&amp;"")="n/a")),"Disqualified Status; ",""))</f>
        <v/>
      </c>
      <c r="G151" s="25" t="str">
        <f t="array" ref="G151">IF($H151="","",IFERROR(INDEX('Game Records'!$M:$M,$H151),""))</f>
        <v/>
      </c>
      <c r="H151" s="8"/>
      <c r="I151" s="8"/>
      <c r="J151" s="8"/>
    </row>
    <row r="152" ht="24.0" customHeight="1">
      <c r="A152" s="21" t="str">
        <f t="shared" si="1"/>
        <v/>
      </c>
      <c r="B152" s="21" t="str">
        <f t="shared" si="2"/>
        <v/>
      </c>
      <c r="C152" s="25" t="str">
        <f t="array" ref="C152">IF($H152="","",IFERROR(INDEX('Game Records'!$A:$A,$H152),""))</f>
        <v/>
      </c>
      <c r="D152" s="25" t="str">
        <f t="array" ref="D152">IF($H152="","",IFERROR(INDEX('Game Records'!$U:$U,$H152),""))</f>
        <v/>
      </c>
      <c r="E152" s="25" t="str">
        <f t="shared" si="3"/>
        <v/>
      </c>
      <c r="F152" s="25" t="str">
        <f t="array" ref="F152">IF($H152="","",IF(OR(NOT(_xlfn.ISFORMULA(INDEX('Game Records'!$N:$N,$H152))),NOT(_xlfn.ISFORMULA(INDEX('Game Records'!$O:$O,$H152))),NOT(_xlfn.ISFORMULA(INDEX('Game Records'!$P:$P,$H152))),NOT(_xlfn.ISFORMULA(INDEX('Game Records'!$Q:$Q,$H152))),NOT(_xlfn.ISFORMULA(INDEX('Game Records'!$R:$R,$H152))),NOT(_xlfn.ISFORMULA(INDEX('Game Records'!$S:$S,$H152))),NOT(_xlfn.ISFORMULA(INDEX('Game Records'!$T:$T,$H152))),NOT(_xlfn.ISFORMULA(INDEX('Game Records'!$U:$U,$H152))),NOT(_xlfn.ISFORMULA(INDEX('Game Records'!$V:$V,$H152))),NOT(_xlfn.ISFORMULA(INDEX('Game Records'!$W:$W,$H152))),NOT(_xlfn.ISFORMULA(INDEX('Game Records'!$X:$X,$H152))),NOT(_xlfn.ISFORMULA(INDEX('Game Records'!$Y:$Y,$H152))),NOT(_xlfn.ISFORMULA(INDEX('Game Records'!$Z:$Z,$H152)))),"","")&amp;IF(INDEX('Game Records'!$B:$B,$H152)="","Start Date; ","")&amp;IF(INDEX('Game Records'!$C:$C,$H152)="","End Date; ","")&amp;IF(AND(INDEX('Game Records'!$U:$U,$H152)&lt;&gt;"Subscription",INDEX('Game Records'!$U:$U,$H152)&lt;&gt;"Free Game",INDEX('Game Records'!$U:$U,$H152)&lt;&gt;"Disqualified — Free Game",OR(INDEX('Game Records'!$D:$D,$H152)="",LOWER(INDEX('Game Records'!$D:$D,$H152)&amp;"")="n/a")),"Entry Mode; ","")&amp;IF(AND(INDEX('Game Records'!$U:$U,$H152)&lt;&gt;"Subscription",INDEX('Game Records'!$U:$U,$H152)&lt;&gt;"Free Game",INDEX('Game Records'!$U:$U,$H152)&lt;&gt;"Disqualified — Free Game",OR(INDEX('Game Records'!$E:$E,$H152)="",LOWER(INDEX('Game Records'!$E:$E,$H152)&amp;"")="n/a")),"Game Type; ","")&amp;IF(INDEX('Game Records'!$F:$F,$H152)="","Payment Type; ","")&amp;IF(AND(INDEX('Game Records'!$U:$U,$H152)&lt;&gt;"Subscription",INDEX('Game Records'!$U:$U,$H152)&lt;&gt;"Free Game",INDEX('Game Records'!$U:$U,$H152)&lt;&gt;"Disqualified — Free Game",INDEX('Game Records'!$G:$G,$H152)=""),"Gross Pot; ","")&amp;IF(AND(INDEX('Game Records'!$U:$U,$H152)&lt;&gt;"Free Game",INDEX('Game Records'!$U:$U,$H152)&lt;&gt;"Disqualified — Free Game",INDEX('Game Records'!$H:$H,$H152)=""),"Entry Fee; ","")&amp;IF(AND(INDEX('Game Records'!$U:$U,$H152)&lt;&gt;"Subscription",INDEX('Game Records'!$U:$U,$H152)&lt;&gt;"Free Game",INDEX('Game Records'!$U:$U,$H152)&lt;&gt;"Disqualified — Free Game",INDEX('Game Records'!$I:$I,$H152)=""),"Eligible Players; ","")&amp;IF(AND(INDEX('Game Records'!$U:$U,$H152)&lt;&gt;"Subscription",INDEX('Game Records'!$U:$U,$H152)&lt;&gt;"Free Game",INDEX('Game Records'!$U:$U,$H152)&lt;&gt;"Disqualified — Free Game",INDEX('Game Records'!$J:$J,$H152)=""),"Total Players; ","")&amp;IF(AND(LOWER(INDEX('Game Records'!$D:$D,$H152)&amp;"")="finalized",LOWER(INDEX('Game Records'!$L:$L,$H152)&amp;"")&lt;&gt;"yes",INDEX('Game Records'!$U:$U,$H152)&lt;&gt;"Subscription",INDEX('Game Records'!$U:$U,$H152)&lt;&gt;"Free Game",INDEX('Game Records'!$U:$U,$H152)&lt;&gt;"Disqualified — Free Game",INDEX('Game Records'!$K:$K,$H152)=""),"Final Payout; ","")&amp;IF(AND(LOWER(INDEX('Game Records'!$D:$D,$H152)&amp;"")="finalized",INDEX('Game Records'!$U:$U,$H152)&lt;&gt;"Subscription",INDEX('Game Records'!$U:$U,$H152)&lt;&gt;"Free Game",INDEX('Game Records'!$U:$U,$H152)&lt;&gt;"Disqualified — Free Game",OR(INDEX('Game Records'!$L:$L,$H152)="",LOWER(INDEX('Game Records'!$L:$L,$H152)&amp;"")="n/a")),"Disqualified Status; ",""))</f>
        <v/>
      </c>
      <c r="G152" s="25" t="str">
        <f t="array" ref="G152">IF($H152="","",IFERROR(INDEX('Game Records'!$M:$M,$H152),""))</f>
        <v/>
      </c>
      <c r="H152" s="8"/>
      <c r="I152" s="8"/>
      <c r="J152" s="8"/>
    </row>
    <row r="153" ht="24.0" customHeight="1">
      <c r="A153" s="21" t="str">
        <f t="shared" si="1"/>
        <v/>
      </c>
      <c r="B153" s="21" t="str">
        <f t="shared" si="2"/>
        <v/>
      </c>
      <c r="C153" s="25" t="str">
        <f t="array" ref="C153">IF($H153="","",IFERROR(INDEX('Game Records'!$A:$A,$H153),""))</f>
        <v/>
      </c>
      <c r="D153" s="25" t="str">
        <f t="array" ref="D153">IF($H153="","",IFERROR(INDEX('Game Records'!$U:$U,$H153),""))</f>
        <v/>
      </c>
      <c r="E153" s="25" t="str">
        <f t="shared" si="3"/>
        <v/>
      </c>
      <c r="F153" s="25" t="str">
        <f t="array" ref="F153">IF($H153="","",IF(OR(NOT(_xlfn.ISFORMULA(INDEX('Game Records'!$N:$N,$H153))),NOT(_xlfn.ISFORMULA(INDEX('Game Records'!$O:$O,$H153))),NOT(_xlfn.ISFORMULA(INDEX('Game Records'!$P:$P,$H153))),NOT(_xlfn.ISFORMULA(INDEX('Game Records'!$Q:$Q,$H153))),NOT(_xlfn.ISFORMULA(INDEX('Game Records'!$R:$R,$H153))),NOT(_xlfn.ISFORMULA(INDEX('Game Records'!$S:$S,$H153))),NOT(_xlfn.ISFORMULA(INDEX('Game Records'!$T:$T,$H153))),NOT(_xlfn.ISFORMULA(INDEX('Game Records'!$U:$U,$H153))),NOT(_xlfn.ISFORMULA(INDEX('Game Records'!$V:$V,$H153))),NOT(_xlfn.ISFORMULA(INDEX('Game Records'!$W:$W,$H153))),NOT(_xlfn.ISFORMULA(INDEX('Game Records'!$X:$X,$H153))),NOT(_xlfn.ISFORMULA(INDEX('Game Records'!$Y:$Y,$H153))),NOT(_xlfn.ISFORMULA(INDEX('Game Records'!$Z:$Z,$H153)))),"","")&amp;IF(INDEX('Game Records'!$B:$B,$H153)="","Start Date; ","")&amp;IF(INDEX('Game Records'!$C:$C,$H153)="","End Date; ","")&amp;IF(AND(INDEX('Game Records'!$U:$U,$H153)&lt;&gt;"Subscription",INDEX('Game Records'!$U:$U,$H153)&lt;&gt;"Free Game",INDEX('Game Records'!$U:$U,$H153)&lt;&gt;"Disqualified — Free Game",OR(INDEX('Game Records'!$D:$D,$H153)="",LOWER(INDEX('Game Records'!$D:$D,$H153)&amp;"")="n/a")),"Entry Mode; ","")&amp;IF(AND(INDEX('Game Records'!$U:$U,$H153)&lt;&gt;"Subscription",INDEX('Game Records'!$U:$U,$H153)&lt;&gt;"Free Game",INDEX('Game Records'!$U:$U,$H153)&lt;&gt;"Disqualified — Free Game",OR(INDEX('Game Records'!$E:$E,$H153)="",LOWER(INDEX('Game Records'!$E:$E,$H153)&amp;"")="n/a")),"Game Type; ","")&amp;IF(INDEX('Game Records'!$F:$F,$H153)="","Payment Type; ","")&amp;IF(AND(INDEX('Game Records'!$U:$U,$H153)&lt;&gt;"Subscription",INDEX('Game Records'!$U:$U,$H153)&lt;&gt;"Free Game",INDEX('Game Records'!$U:$U,$H153)&lt;&gt;"Disqualified — Free Game",INDEX('Game Records'!$G:$G,$H153)=""),"Gross Pot; ","")&amp;IF(AND(INDEX('Game Records'!$U:$U,$H153)&lt;&gt;"Free Game",INDEX('Game Records'!$U:$U,$H153)&lt;&gt;"Disqualified — Free Game",INDEX('Game Records'!$H:$H,$H153)=""),"Entry Fee; ","")&amp;IF(AND(INDEX('Game Records'!$U:$U,$H153)&lt;&gt;"Subscription",INDEX('Game Records'!$U:$U,$H153)&lt;&gt;"Free Game",INDEX('Game Records'!$U:$U,$H153)&lt;&gt;"Disqualified — Free Game",INDEX('Game Records'!$I:$I,$H153)=""),"Eligible Players; ","")&amp;IF(AND(INDEX('Game Records'!$U:$U,$H153)&lt;&gt;"Subscription",INDEX('Game Records'!$U:$U,$H153)&lt;&gt;"Free Game",INDEX('Game Records'!$U:$U,$H153)&lt;&gt;"Disqualified — Free Game",INDEX('Game Records'!$J:$J,$H153)=""),"Total Players; ","")&amp;IF(AND(LOWER(INDEX('Game Records'!$D:$D,$H153)&amp;"")="finalized",LOWER(INDEX('Game Records'!$L:$L,$H153)&amp;"")&lt;&gt;"yes",INDEX('Game Records'!$U:$U,$H153)&lt;&gt;"Subscription",INDEX('Game Records'!$U:$U,$H153)&lt;&gt;"Free Game",INDEX('Game Records'!$U:$U,$H153)&lt;&gt;"Disqualified — Free Game",INDEX('Game Records'!$K:$K,$H153)=""),"Final Payout; ","")&amp;IF(AND(LOWER(INDEX('Game Records'!$D:$D,$H153)&amp;"")="finalized",INDEX('Game Records'!$U:$U,$H153)&lt;&gt;"Subscription",INDEX('Game Records'!$U:$U,$H153)&lt;&gt;"Free Game",INDEX('Game Records'!$U:$U,$H153)&lt;&gt;"Disqualified — Free Game",OR(INDEX('Game Records'!$L:$L,$H153)="",LOWER(INDEX('Game Records'!$L:$L,$H153)&amp;"")="n/a")),"Disqualified Status; ",""))</f>
        <v/>
      </c>
      <c r="G153" s="25" t="str">
        <f t="array" ref="G153">IF($H153="","",IFERROR(INDEX('Game Records'!$M:$M,$H153),""))</f>
        <v/>
      </c>
      <c r="H153" s="8"/>
      <c r="I153" s="8"/>
      <c r="J153" s="8"/>
    </row>
    <row r="154" ht="24.0" customHeight="1">
      <c r="A154" s="21" t="str">
        <f t="shared" si="1"/>
        <v/>
      </c>
      <c r="B154" s="21" t="str">
        <f t="shared" si="2"/>
        <v/>
      </c>
      <c r="C154" s="25" t="str">
        <f t="array" ref="C154">IF($H154="","",IFERROR(INDEX('Game Records'!$A:$A,$H154),""))</f>
        <v/>
      </c>
      <c r="D154" s="25" t="str">
        <f t="array" ref="D154">IF($H154="","",IFERROR(INDEX('Game Records'!$U:$U,$H154),""))</f>
        <v/>
      </c>
      <c r="E154" s="25" t="str">
        <f t="shared" si="3"/>
        <v/>
      </c>
      <c r="F154" s="25" t="str">
        <f t="array" ref="F154">IF($H154="","",IF(OR(NOT(_xlfn.ISFORMULA(INDEX('Game Records'!$N:$N,$H154))),NOT(_xlfn.ISFORMULA(INDEX('Game Records'!$O:$O,$H154))),NOT(_xlfn.ISFORMULA(INDEX('Game Records'!$P:$P,$H154))),NOT(_xlfn.ISFORMULA(INDEX('Game Records'!$Q:$Q,$H154))),NOT(_xlfn.ISFORMULA(INDEX('Game Records'!$R:$R,$H154))),NOT(_xlfn.ISFORMULA(INDEX('Game Records'!$S:$S,$H154))),NOT(_xlfn.ISFORMULA(INDEX('Game Records'!$T:$T,$H154))),NOT(_xlfn.ISFORMULA(INDEX('Game Records'!$U:$U,$H154))),NOT(_xlfn.ISFORMULA(INDEX('Game Records'!$V:$V,$H154))),NOT(_xlfn.ISFORMULA(INDEX('Game Records'!$W:$W,$H154))),NOT(_xlfn.ISFORMULA(INDEX('Game Records'!$X:$X,$H154))),NOT(_xlfn.ISFORMULA(INDEX('Game Records'!$Y:$Y,$H154))),NOT(_xlfn.ISFORMULA(INDEX('Game Records'!$Z:$Z,$H154)))),"","")&amp;IF(INDEX('Game Records'!$B:$B,$H154)="","Start Date; ","")&amp;IF(INDEX('Game Records'!$C:$C,$H154)="","End Date; ","")&amp;IF(AND(INDEX('Game Records'!$U:$U,$H154)&lt;&gt;"Subscription",INDEX('Game Records'!$U:$U,$H154)&lt;&gt;"Free Game",INDEX('Game Records'!$U:$U,$H154)&lt;&gt;"Disqualified — Free Game",OR(INDEX('Game Records'!$D:$D,$H154)="",LOWER(INDEX('Game Records'!$D:$D,$H154)&amp;"")="n/a")),"Entry Mode; ","")&amp;IF(AND(INDEX('Game Records'!$U:$U,$H154)&lt;&gt;"Subscription",INDEX('Game Records'!$U:$U,$H154)&lt;&gt;"Free Game",INDEX('Game Records'!$U:$U,$H154)&lt;&gt;"Disqualified — Free Game",OR(INDEX('Game Records'!$E:$E,$H154)="",LOWER(INDEX('Game Records'!$E:$E,$H154)&amp;"")="n/a")),"Game Type; ","")&amp;IF(INDEX('Game Records'!$F:$F,$H154)="","Payment Type; ","")&amp;IF(AND(INDEX('Game Records'!$U:$U,$H154)&lt;&gt;"Subscription",INDEX('Game Records'!$U:$U,$H154)&lt;&gt;"Free Game",INDEX('Game Records'!$U:$U,$H154)&lt;&gt;"Disqualified — Free Game",INDEX('Game Records'!$G:$G,$H154)=""),"Gross Pot; ","")&amp;IF(AND(INDEX('Game Records'!$U:$U,$H154)&lt;&gt;"Free Game",INDEX('Game Records'!$U:$U,$H154)&lt;&gt;"Disqualified — Free Game",INDEX('Game Records'!$H:$H,$H154)=""),"Entry Fee; ","")&amp;IF(AND(INDEX('Game Records'!$U:$U,$H154)&lt;&gt;"Subscription",INDEX('Game Records'!$U:$U,$H154)&lt;&gt;"Free Game",INDEX('Game Records'!$U:$U,$H154)&lt;&gt;"Disqualified — Free Game",INDEX('Game Records'!$I:$I,$H154)=""),"Eligible Players; ","")&amp;IF(AND(INDEX('Game Records'!$U:$U,$H154)&lt;&gt;"Subscription",INDEX('Game Records'!$U:$U,$H154)&lt;&gt;"Free Game",INDEX('Game Records'!$U:$U,$H154)&lt;&gt;"Disqualified — Free Game",INDEX('Game Records'!$J:$J,$H154)=""),"Total Players; ","")&amp;IF(AND(LOWER(INDEX('Game Records'!$D:$D,$H154)&amp;"")="finalized",LOWER(INDEX('Game Records'!$L:$L,$H154)&amp;"")&lt;&gt;"yes",INDEX('Game Records'!$U:$U,$H154)&lt;&gt;"Subscription",INDEX('Game Records'!$U:$U,$H154)&lt;&gt;"Free Game",INDEX('Game Records'!$U:$U,$H154)&lt;&gt;"Disqualified — Free Game",INDEX('Game Records'!$K:$K,$H154)=""),"Final Payout; ","")&amp;IF(AND(LOWER(INDEX('Game Records'!$D:$D,$H154)&amp;"")="finalized",INDEX('Game Records'!$U:$U,$H154)&lt;&gt;"Subscription",INDEX('Game Records'!$U:$U,$H154)&lt;&gt;"Free Game",INDEX('Game Records'!$U:$U,$H154)&lt;&gt;"Disqualified — Free Game",OR(INDEX('Game Records'!$L:$L,$H154)="",LOWER(INDEX('Game Records'!$L:$L,$H154)&amp;"")="n/a")),"Disqualified Status; ",""))</f>
        <v/>
      </c>
      <c r="G154" s="25" t="str">
        <f t="array" ref="G154">IF($H154="","",IFERROR(INDEX('Game Records'!$M:$M,$H154),""))</f>
        <v/>
      </c>
      <c r="H154" s="8"/>
      <c r="I154" s="8"/>
      <c r="J154" s="8"/>
    </row>
    <row r="155" ht="24.0" customHeight="1">
      <c r="A155" s="21" t="str">
        <f t="shared" si="1"/>
        <v/>
      </c>
      <c r="B155" s="21" t="str">
        <f t="shared" si="2"/>
        <v/>
      </c>
      <c r="C155" s="25" t="str">
        <f t="array" ref="C155">IF($H155="","",IFERROR(INDEX('Game Records'!$A:$A,$H155),""))</f>
        <v/>
      </c>
      <c r="D155" s="25" t="str">
        <f t="array" ref="D155">IF($H155="","",IFERROR(INDEX('Game Records'!$U:$U,$H155),""))</f>
        <v/>
      </c>
      <c r="E155" s="25" t="str">
        <f t="shared" si="3"/>
        <v/>
      </c>
      <c r="F155" s="25" t="str">
        <f t="array" ref="F155">IF($H155="","",IF(OR(NOT(_xlfn.ISFORMULA(INDEX('Game Records'!$N:$N,$H155))),NOT(_xlfn.ISFORMULA(INDEX('Game Records'!$O:$O,$H155))),NOT(_xlfn.ISFORMULA(INDEX('Game Records'!$P:$P,$H155))),NOT(_xlfn.ISFORMULA(INDEX('Game Records'!$Q:$Q,$H155))),NOT(_xlfn.ISFORMULA(INDEX('Game Records'!$R:$R,$H155))),NOT(_xlfn.ISFORMULA(INDEX('Game Records'!$S:$S,$H155))),NOT(_xlfn.ISFORMULA(INDEX('Game Records'!$T:$T,$H155))),NOT(_xlfn.ISFORMULA(INDEX('Game Records'!$U:$U,$H155))),NOT(_xlfn.ISFORMULA(INDEX('Game Records'!$V:$V,$H155))),NOT(_xlfn.ISFORMULA(INDEX('Game Records'!$W:$W,$H155))),NOT(_xlfn.ISFORMULA(INDEX('Game Records'!$X:$X,$H155))),NOT(_xlfn.ISFORMULA(INDEX('Game Records'!$Y:$Y,$H155))),NOT(_xlfn.ISFORMULA(INDEX('Game Records'!$Z:$Z,$H155)))),"","")&amp;IF(INDEX('Game Records'!$B:$B,$H155)="","Start Date; ","")&amp;IF(INDEX('Game Records'!$C:$C,$H155)="","End Date; ","")&amp;IF(AND(INDEX('Game Records'!$U:$U,$H155)&lt;&gt;"Subscription",INDEX('Game Records'!$U:$U,$H155)&lt;&gt;"Free Game",INDEX('Game Records'!$U:$U,$H155)&lt;&gt;"Disqualified — Free Game",OR(INDEX('Game Records'!$D:$D,$H155)="",LOWER(INDEX('Game Records'!$D:$D,$H155)&amp;"")="n/a")),"Entry Mode; ","")&amp;IF(AND(INDEX('Game Records'!$U:$U,$H155)&lt;&gt;"Subscription",INDEX('Game Records'!$U:$U,$H155)&lt;&gt;"Free Game",INDEX('Game Records'!$U:$U,$H155)&lt;&gt;"Disqualified — Free Game",OR(INDEX('Game Records'!$E:$E,$H155)="",LOWER(INDEX('Game Records'!$E:$E,$H155)&amp;"")="n/a")),"Game Type; ","")&amp;IF(INDEX('Game Records'!$F:$F,$H155)="","Payment Type; ","")&amp;IF(AND(INDEX('Game Records'!$U:$U,$H155)&lt;&gt;"Subscription",INDEX('Game Records'!$U:$U,$H155)&lt;&gt;"Free Game",INDEX('Game Records'!$U:$U,$H155)&lt;&gt;"Disqualified — Free Game",INDEX('Game Records'!$G:$G,$H155)=""),"Gross Pot; ","")&amp;IF(AND(INDEX('Game Records'!$U:$U,$H155)&lt;&gt;"Free Game",INDEX('Game Records'!$U:$U,$H155)&lt;&gt;"Disqualified — Free Game",INDEX('Game Records'!$H:$H,$H155)=""),"Entry Fee; ","")&amp;IF(AND(INDEX('Game Records'!$U:$U,$H155)&lt;&gt;"Subscription",INDEX('Game Records'!$U:$U,$H155)&lt;&gt;"Free Game",INDEX('Game Records'!$U:$U,$H155)&lt;&gt;"Disqualified — Free Game",INDEX('Game Records'!$I:$I,$H155)=""),"Eligible Players; ","")&amp;IF(AND(INDEX('Game Records'!$U:$U,$H155)&lt;&gt;"Subscription",INDEX('Game Records'!$U:$U,$H155)&lt;&gt;"Free Game",INDEX('Game Records'!$U:$U,$H155)&lt;&gt;"Disqualified — Free Game",INDEX('Game Records'!$J:$J,$H155)=""),"Total Players; ","")&amp;IF(AND(LOWER(INDEX('Game Records'!$D:$D,$H155)&amp;"")="finalized",LOWER(INDEX('Game Records'!$L:$L,$H155)&amp;"")&lt;&gt;"yes",INDEX('Game Records'!$U:$U,$H155)&lt;&gt;"Subscription",INDEX('Game Records'!$U:$U,$H155)&lt;&gt;"Free Game",INDEX('Game Records'!$U:$U,$H155)&lt;&gt;"Disqualified — Free Game",INDEX('Game Records'!$K:$K,$H155)=""),"Final Payout; ","")&amp;IF(AND(LOWER(INDEX('Game Records'!$D:$D,$H155)&amp;"")="finalized",INDEX('Game Records'!$U:$U,$H155)&lt;&gt;"Subscription",INDEX('Game Records'!$U:$U,$H155)&lt;&gt;"Free Game",INDEX('Game Records'!$U:$U,$H155)&lt;&gt;"Disqualified — Free Game",OR(INDEX('Game Records'!$L:$L,$H155)="",LOWER(INDEX('Game Records'!$L:$L,$H155)&amp;"")="n/a")),"Disqualified Status; ",""))</f>
        <v/>
      </c>
      <c r="G155" s="25" t="str">
        <f t="array" ref="G155">IF($H155="","",IFERROR(INDEX('Game Records'!$M:$M,$H155),""))</f>
        <v/>
      </c>
      <c r="H155" s="8"/>
      <c r="I155" s="8"/>
      <c r="J155" s="8"/>
    </row>
    <row r="156" ht="24.0" customHeight="1">
      <c r="A156" s="21" t="str">
        <f t="shared" si="1"/>
        <v/>
      </c>
      <c r="B156" s="21" t="str">
        <f t="shared" si="2"/>
        <v/>
      </c>
      <c r="C156" s="25" t="str">
        <f t="array" ref="C156">IF($H156="","",IFERROR(INDEX('Game Records'!$A:$A,$H156),""))</f>
        <v/>
      </c>
      <c r="D156" s="25" t="str">
        <f t="array" ref="D156">IF($H156="","",IFERROR(INDEX('Game Records'!$U:$U,$H156),""))</f>
        <v/>
      </c>
      <c r="E156" s="25" t="str">
        <f t="shared" si="3"/>
        <v/>
      </c>
      <c r="F156" s="25" t="str">
        <f t="array" ref="F156">IF($H156="","",IF(OR(NOT(_xlfn.ISFORMULA(INDEX('Game Records'!$N:$N,$H156))),NOT(_xlfn.ISFORMULA(INDEX('Game Records'!$O:$O,$H156))),NOT(_xlfn.ISFORMULA(INDEX('Game Records'!$P:$P,$H156))),NOT(_xlfn.ISFORMULA(INDEX('Game Records'!$Q:$Q,$H156))),NOT(_xlfn.ISFORMULA(INDEX('Game Records'!$R:$R,$H156))),NOT(_xlfn.ISFORMULA(INDEX('Game Records'!$S:$S,$H156))),NOT(_xlfn.ISFORMULA(INDEX('Game Records'!$T:$T,$H156))),NOT(_xlfn.ISFORMULA(INDEX('Game Records'!$U:$U,$H156))),NOT(_xlfn.ISFORMULA(INDEX('Game Records'!$V:$V,$H156))),NOT(_xlfn.ISFORMULA(INDEX('Game Records'!$W:$W,$H156))),NOT(_xlfn.ISFORMULA(INDEX('Game Records'!$X:$X,$H156))),NOT(_xlfn.ISFORMULA(INDEX('Game Records'!$Y:$Y,$H156))),NOT(_xlfn.ISFORMULA(INDEX('Game Records'!$Z:$Z,$H156)))),"","")&amp;IF(INDEX('Game Records'!$B:$B,$H156)="","Start Date; ","")&amp;IF(INDEX('Game Records'!$C:$C,$H156)="","End Date; ","")&amp;IF(AND(INDEX('Game Records'!$U:$U,$H156)&lt;&gt;"Subscription",INDEX('Game Records'!$U:$U,$H156)&lt;&gt;"Free Game",INDEX('Game Records'!$U:$U,$H156)&lt;&gt;"Disqualified — Free Game",OR(INDEX('Game Records'!$D:$D,$H156)="",LOWER(INDEX('Game Records'!$D:$D,$H156)&amp;"")="n/a")),"Entry Mode; ","")&amp;IF(AND(INDEX('Game Records'!$U:$U,$H156)&lt;&gt;"Subscription",INDEX('Game Records'!$U:$U,$H156)&lt;&gt;"Free Game",INDEX('Game Records'!$U:$U,$H156)&lt;&gt;"Disqualified — Free Game",OR(INDEX('Game Records'!$E:$E,$H156)="",LOWER(INDEX('Game Records'!$E:$E,$H156)&amp;"")="n/a")),"Game Type; ","")&amp;IF(INDEX('Game Records'!$F:$F,$H156)="","Payment Type; ","")&amp;IF(AND(INDEX('Game Records'!$U:$U,$H156)&lt;&gt;"Subscription",INDEX('Game Records'!$U:$U,$H156)&lt;&gt;"Free Game",INDEX('Game Records'!$U:$U,$H156)&lt;&gt;"Disqualified — Free Game",INDEX('Game Records'!$G:$G,$H156)=""),"Gross Pot; ","")&amp;IF(AND(INDEX('Game Records'!$U:$U,$H156)&lt;&gt;"Free Game",INDEX('Game Records'!$U:$U,$H156)&lt;&gt;"Disqualified — Free Game",INDEX('Game Records'!$H:$H,$H156)=""),"Entry Fee; ","")&amp;IF(AND(INDEX('Game Records'!$U:$U,$H156)&lt;&gt;"Subscription",INDEX('Game Records'!$U:$U,$H156)&lt;&gt;"Free Game",INDEX('Game Records'!$U:$U,$H156)&lt;&gt;"Disqualified — Free Game",INDEX('Game Records'!$I:$I,$H156)=""),"Eligible Players; ","")&amp;IF(AND(INDEX('Game Records'!$U:$U,$H156)&lt;&gt;"Subscription",INDEX('Game Records'!$U:$U,$H156)&lt;&gt;"Free Game",INDEX('Game Records'!$U:$U,$H156)&lt;&gt;"Disqualified — Free Game",INDEX('Game Records'!$J:$J,$H156)=""),"Total Players; ","")&amp;IF(AND(LOWER(INDEX('Game Records'!$D:$D,$H156)&amp;"")="finalized",LOWER(INDEX('Game Records'!$L:$L,$H156)&amp;"")&lt;&gt;"yes",INDEX('Game Records'!$U:$U,$H156)&lt;&gt;"Subscription",INDEX('Game Records'!$U:$U,$H156)&lt;&gt;"Free Game",INDEX('Game Records'!$U:$U,$H156)&lt;&gt;"Disqualified — Free Game",INDEX('Game Records'!$K:$K,$H156)=""),"Final Payout; ","")&amp;IF(AND(LOWER(INDEX('Game Records'!$D:$D,$H156)&amp;"")="finalized",INDEX('Game Records'!$U:$U,$H156)&lt;&gt;"Subscription",INDEX('Game Records'!$U:$U,$H156)&lt;&gt;"Free Game",INDEX('Game Records'!$U:$U,$H156)&lt;&gt;"Disqualified — Free Game",OR(INDEX('Game Records'!$L:$L,$H156)="",LOWER(INDEX('Game Records'!$L:$L,$H156)&amp;"")="n/a")),"Disqualified Status; ",""))</f>
        <v/>
      </c>
      <c r="G156" s="25" t="str">
        <f t="array" ref="G156">IF($H156="","",IFERROR(INDEX('Game Records'!$M:$M,$H156),""))</f>
        <v/>
      </c>
      <c r="H156" s="8"/>
      <c r="I156" s="8"/>
      <c r="J156" s="8"/>
    </row>
    <row r="157" ht="24.0" customHeight="1">
      <c r="A157" s="21" t="str">
        <f t="shared" si="1"/>
        <v/>
      </c>
      <c r="B157" s="21" t="str">
        <f t="shared" si="2"/>
        <v/>
      </c>
      <c r="C157" s="25" t="str">
        <f t="array" ref="C157">IF($H157="","",IFERROR(INDEX('Game Records'!$A:$A,$H157),""))</f>
        <v/>
      </c>
      <c r="D157" s="25" t="str">
        <f t="array" ref="D157">IF($H157="","",IFERROR(INDEX('Game Records'!$U:$U,$H157),""))</f>
        <v/>
      </c>
      <c r="E157" s="25" t="str">
        <f t="shared" si="3"/>
        <v/>
      </c>
      <c r="F157" s="25" t="str">
        <f t="array" ref="F157">IF($H157="","",IF(OR(NOT(_xlfn.ISFORMULA(INDEX('Game Records'!$N:$N,$H157))),NOT(_xlfn.ISFORMULA(INDEX('Game Records'!$O:$O,$H157))),NOT(_xlfn.ISFORMULA(INDEX('Game Records'!$P:$P,$H157))),NOT(_xlfn.ISFORMULA(INDEX('Game Records'!$Q:$Q,$H157))),NOT(_xlfn.ISFORMULA(INDEX('Game Records'!$R:$R,$H157))),NOT(_xlfn.ISFORMULA(INDEX('Game Records'!$S:$S,$H157))),NOT(_xlfn.ISFORMULA(INDEX('Game Records'!$T:$T,$H157))),NOT(_xlfn.ISFORMULA(INDEX('Game Records'!$U:$U,$H157))),NOT(_xlfn.ISFORMULA(INDEX('Game Records'!$V:$V,$H157))),NOT(_xlfn.ISFORMULA(INDEX('Game Records'!$W:$W,$H157))),NOT(_xlfn.ISFORMULA(INDEX('Game Records'!$X:$X,$H157))),NOT(_xlfn.ISFORMULA(INDEX('Game Records'!$Y:$Y,$H157))),NOT(_xlfn.ISFORMULA(INDEX('Game Records'!$Z:$Z,$H157)))),"","")&amp;IF(INDEX('Game Records'!$B:$B,$H157)="","Start Date; ","")&amp;IF(INDEX('Game Records'!$C:$C,$H157)="","End Date; ","")&amp;IF(AND(INDEX('Game Records'!$U:$U,$H157)&lt;&gt;"Subscription",INDEX('Game Records'!$U:$U,$H157)&lt;&gt;"Free Game",INDEX('Game Records'!$U:$U,$H157)&lt;&gt;"Disqualified — Free Game",OR(INDEX('Game Records'!$D:$D,$H157)="",LOWER(INDEX('Game Records'!$D:$D,$H157)&amp;"")="n/a")),"Entry Mode; ","")&amp;IF(AND(INDEX('Game Records'!$U:$U,$H157)&lt;&gt;"Subscription",INDEX('Game Records'!$U:$U,$H157)&lt;&gt;"Free Game",INDEX('Game Records'!$U:$U,$H157)&lt;&gt;"Disqualified — Free Game",OR(INDEX('Game Records'!$E:$E,$H157)="",LOWER(INDEX('Game Records'!$E:$E,$H157)&amp;"")="n/a")),"Game Type; ","")&amp;IF(INDEX('Game Records'!$F:$F,$H157)="","Payment Type; ","")&amp;IF(AND(INDEX('Game Records'!$U:$U,$H157)&lt;&gt;"Subscription",INDEX('Game Records'!$U:$U,$H157)&lt;&gt;"Free Game",INDEX('Game Records'!$U:$U,$H157)&lt;&gt;"Disqualified — Free Game",INDEX('Game Records'!$G:$G,$H157)=""),"Gross Pot; ","")&amp;IF(AND(INDEX('Game Records'!$U:$U,$H157)&lt;&gt;"Free Game",INDEX('Game Records'!$U:$U,$H157)&lt;&gt;"Disqualified — Free Game",INDEX('Game Records'!$H:$H,$H157)=""),"Entry Fee; ","")&amp;IF(AND(INDEX('Game Records'!$U:$U,$H157)&lt;&gt;"Subscription",INDEX('Game Records'!$U:$U,$H157)&lt;&gt;"Free Game",INDEX('Game Records'!$U:$U,$H157)&lt;&gt;"Disqualified — Free Game",INDEX('Game Records'!$I:$I,$H157)=""),"Eligible Players; ","")&amp;IF(AND(INDEX('Game Records'!$U:$U,$H157)&lt;&gt;"Subscription",INDEX('Game Records'!$U:$U,$H157)&lt;&gt;"Free Game",INDEX('Game Records'!$U:$U,$H157)&lt;&gt;"Disqualified — Free Game",INDEX('Game Records'!$J:$J,$H157)=""),"Total Players; ","")&amp;IF(AND(LOWER(INDEX('Game Records'!$D:$D,$H157)&amp;"")="finalized",LOWER(INDEX('Game Records'!$L:$L,$H157)&amp;"")&lt;&gt;"yes",INDEX('Game Records'!$U:$U,$H157)&lt;&gt;"Subscription",INDEX('Game Records'!$U:$U,$H157)&lt;&gt;"Free Game",INDEX('Game Records'!$U:$U,$H157)&lt;&gt;"Disqualified — Free Game",INDEX('Game Records'!$K:$K,$H157)=""),"Final Payout; ","")&amp;IF(AND(LOWER(INDEX('Game Records'!$D:$D,$H157)&amp;"")="finalized",INDEX('Game Records'!$U:$U,$H157)&lt;&gt;"Subscription",INDEX('Game Records'!$U:$U,$H157)&lt;&gt;"Free Game",INDEX('Game Records'!$U:$U,$H157)&lt;&gt;"Disqualified — Free Game",OR(INDEX('Game Records'!$L:$L,$H157)="",LOWER(INDEX('Game Records'!$L:$L,$H157)&amp;"")="n/a")),"Disqualified Status; ",""))</f>
        <v/>
      </c>
      <c r="G157" s="25" t="str">
        <f t="array" ref="G157">IF($H157="","",IFERROR(INDEX('Game Records'!$M:$M,$H157),""))</f>
        <v/>
      </c>
      <c r="H157" s="8"/>
      <c r="I157" s="8"/>
      <c r="J157" s="8"/>
    </row>
    <row r="158" ht="24.0" customHeight="1">
      <c r="A158" s="21" t="str">
        <f t="shared" si="1"/>
        <v/>
      </c>
      <c r="B158" s="21" t="str">
        <f t="shared" si="2"/>
        <v/>
      </c>
      <c r="C158" s="25" t="str">
        <f t="array" ref="C158">IF($H158="","",IFERROR(INDEX('Game Records'!$A:$A,$H158),""))</f>
        <v/>
      </c>
      <c r="D158" s="25" t="str">
        <f t="array" ref="D158">IF($H158="","",IFERROR(INDEX('Game Records'!$U:$U,$H158),""))</f>
        <v/>
      </c>
      <c r="E158" s="25" t="str">
        <f t="shared" si="3"/>
        <v/>
      </c>
      <c r="F158" s="25" t="str">
        <f t="array" ref="F158">IF($H158="","",IF(OR(NOT(_xlfn.ISFORMULA(INDEX('Game Records'!$N:$N,$H158))),NOT(_xlfn.ISFORMULA(INDEX('Game Records'!$O:$O,$H158))),NOT(_xlfn.ISFORMULA(INDEX('Game Records'!$P:$P,$H158))),NOT(_xlfn.ISFORMULA(INDEX('Game Records'!$Q:$Q,$H158))),NOT(_xlfn.ISFORMULA(INDEX('Game Records'!$R:$R,$H158))),NOT(_xlfn.ISFORMULA(INDEX('Game Records'!$S:$S,$H158))),NOT(_xlfn.ISFORMULA(INDEX('Game Records'!$T:$T,$H158))),NOT(_xlfn.ISFORMULA(INDEX('Game Records'!$U:$U,$H158))),NOT(_xlfn.ISFORMULA(INDEX('Game Records'!$V:$V,$H158))),NOT(_xlfn.ISFORMULA(INDEX('Game Records'!$W:$W,$H158))),NOT(_xlfn.ISFORMULA(INDEX('Game Records'!$X:$X,$H158))),NOT(_xlfn.ISFORMULA(INDEX('Game Records'!$Y:$Y,$H158))),NOT(_xlfn.ISFORMULA(INDEX('Game Records'!$Z:$Z,$H158)))),"","")&amp;IF(INDEX('Game Records'!$B:$B,$H158)="","Start Date; ","")&amp;IF(INDEX('Game Records'!$C:$C,$H158)="","End Date; ","")&amp;IF(AND(INDEX('Game Records'!$U:$U,$H158)&lt;&gt;"Subscription",INDEX('Game Records'!$U:$U,$H158)&lt;&gt;"Free Game",INDEX('Game Records'!$U:$U,$H158)&lt;&gt;"Disqualified — Free Game",OR(INDEX('Game Records'!$D:$D,$H158)="",LOWER(INDEX('Game Records'!$D:$D,$H158)&amp;"")="n/a")),"Entry Mode; ","")&amp;IF(AND(INDEX('Game Records'!$U:$U,$H158)&lt;&gt;"Subscription",INDEX('Game Records'!$U:$U,$H158)&lt;&gt;"Free Game",INDEX('Game Records'!$U:$U,$H158)&lt;&gt;"Disqualified — Free Game",OR(INDEX('Game Records'!$E:$E,$H158)="",LOWER(INDEX('Game Records'!$E:$E,$H158)&amp;"")="n/a")),"Game Type; ","")&amp;IF(INDEX('Game Records'!$F:$F,$H158)="","Payment Type; ","")&amp;IF(AND(INDEX('Game Records'!$U:$U,$H158)&lt;&gt;"Subscription",INDEX('Game Records'!$U:$U,$H158)&lt;&gt;"Free Game",INDEX('Game Records'!$U:$U,$H158)&lt;&gt;"Disqualified — Free Game",INDEX('Game Records'!$G:$G,$H158)=""),"Gross Pot; ","")&amp;IF(AND(INDEX('Game Records'!$U:$U,$H158)&lt;&gt;"Free Game",INDEX('Game Records'!$U:$U,$H158)&lt;&gt;"Disqualified — Free Game",INDEX('Game Records'!$H:$H,$H158)=""),"Entry Fee; ","")&amp;IF(AND(INDEX('Game Records'!$U:$U,$H158)&lt;&gt;"Subscription",INDEX('Game Records'!$U:$U,$H158)&lt;&gt;"Free Game",INDEX('Game Records'!$U:$U,$H158)&lt;&gt;"Disqualified — Free Game",INDEX('Game Records'!$I:$I,$H158)=""),"Eligible Players; ","")&amp;IF(AND(INDEX('Game Records'!$U:$U,$H158)&lt;&gt;"Subscription",INDEX('Game Records'!$U:$U,$H158)&lt;&gt;"Free Game",INDEX('Game Records'!$U:$U,$H158)&lt;&gt;"Disqualified — Free Game",INDEX('Game Records'!$J:$J,$H158)=""),"Total Players; ","")&amp;IF(AND(LOWER(INDEX('Game Records'!$D:$D,$H158)&amp;"")="finalized",LOWER(INDEX('Game Records'!$L:$L,$H158)&amp;"")&lt;&gt;"yes",INDEX('Game Records'!$U:$U,$H158)&lt;&gt;"Subscription",INDEX('Game Records'!$U:$U,$H158)&lt;&gt;"Free Game",INDEX('Game Records'!$U:$U,$H158)&lt;&gt;"Disqualified — Free Game",INDEX('Game Records'!$K:$K,$H158)=""),"Final Payout; ","")&amp;IF(AND(LOWER(INDEX('Game Records'!$D:$D,$H158)&amp;"")="finalized",INDEX('Game Records'!$U:$U,$H158)&lt;&gt;"Subscription",INDEX('Game Records'!$U:$U,$H158)&lt;&gt;"Free Game",INDEX('Game Records'!$U:$U,$H158)&lt;&gt;"Disqualified — Free Game",OR(INDEX('Game Records'!$L:$L,$H158)="",LOWER(INDEX('Game Records'!$L:$L,$H158)&amp;"")="n/a")),"Disqualified Status; ",""))</f>
        <v/>
      </c>
      <c r="G158" s="25" t="str">
        <f t="array" ref="G158">IF($H158="","",IFERROR(INDEX('Game Records'!$M:$M,$H158),""))</f>
        <v/>
      </c>
      <c r="H158" s="8"/>
      <c r="I158" s="8"/>
      <c r="J158" s="8"/>
    </row>
    <row r="159" ht="24.0" customHeight="1">
      <c r="A159" s="21" t="str">
        <f t="shared" si="1"/>
        <v/>
      </c>
      <c r="B159" s="21" t="str">
        <f t="shared" si="2"/>
        <v/>
      </c>
      <c r="C159" s="25" t="str">
        <f t="array" ref="C159">IF($H159="","",IFERROR(INDEX('Game Records'!$A:$A,$H159),""))</f>
        <v/>
      </c>
      <c r="D159" s="25" t="str">
        <f t="array" ref="D159">IF($H159="","",IFERROR(INDEX('Game Records'!$U:$U,$H159),""))</f>
        <v/>
      </c>
      <c r="E159" s="25" t="str">
        <f t="shared" si="3"/>
        <v/>
      </c>
      <c r="F159" s="25" t="str">
        <f t="array" ref="F159">IF($H159="","",IF(OR(NOT(_xlfn.ISFORMULA(INDEX('Game Records'!$N:$N,$H159))),NOT(_xlfn.ISFORMULA(INDEX('Game Records'!$O:$O,$H159))),NOT(_xlfn.ISFORMULA(INDEX('Game Records'!$P:$P,$H159))),NOT(_xlfn.ISFORMULA(INDEX('Game Records'!$Q:$Q,$H159))),NOT(_xlfn.ISFORMULA(INDEX('Game Records'!$R:$R,$H159))),NOT(_xlfn.ISFORMULA(INDEX('Game Records'!$S:$S,$H159))),NOT(_xlfn.ISFORMULA(INDEX('Game Records'!$T:$T,$H159))),NOT(_xlfn.ISFORMULA(INDEX('Game Records'!$U:$U,$H159))),NOT(_xlfn.ISFORMULA(INDEX('Game Records'!$V:$V,$H159))),NOT(_xlfn.ISFORMULA(INDEX('Game Records'!$W:$W,$H159))),NOT(_xlfn.ISFORMULA(INDEX('Game Records'!$X:$X,$H159))),NOT(_xlfn.ISFORMULA(INDEX('Game Records'!$Y:$Y,$H159))),NOT(_xlfn.ISFORMULA(INDEX('Game Records'!$Z:$Z,$H159)))),"","")&amp;IF(INDEX('Game Records'!$B:$B,$H159)="","Start Date; ","")&amp;IF(INDEX('Game Records'!$C:$C,$H159)="","End Date; ","")&amp;IF(AND(INDEX('Game Records'!$U:$U,$H159)&lt;&gt;"Subscription",INDEX('Game Records'!$U:$U,$H159)&lt;&gt;"Free Game",INDEX('Game Records'!$U:$U,$H159)&lt;&gt;"Disqualified — Free Game",OR(INDEX('Game Records'!$D:$D,$H159)="",LOWER(INDEX('Game Records'!$D:$D,$H159)&amp;"")="n/a")),"Entry Mode; ","")&amp;IF(AND(INDEX('Game Records'!$U:$U,$H159)&lt;&gt;"Subscription",INDEX('Game Records'!$U:$U,$H159)&lt;&gt;"Free Game",INDEX('Game Records'!$U:$U,$H159)&lt;&gt;"Disqualified — Free Game",OR(INDEX('Game Records'!$E:$E,$H159)="",LOWER(INDEX('Game Records'!$E:$E,$H159)&amp;"")="n/a")),"Game Type; ","")&amp;IF(INDEX('Game Records'!$F:$F,$H159)="","Payment Type; ","")&amp;IF(AND(INDEX('Game Records'!$U:$U,$H159)&lt;&gt;"Subscription",INDEX('Game Records'!$U:$U,$H159)&lt;&gt;"Free Game",INDEX('Game Records'!$U:$U,$H159)&lt;&gt;"Disqualified — Free Game",INDEX('Game Records'!$G:$G,$H159)=""),"Gross Pot; ","")&amp;IF(AND(INDEX('Game Records'!$U:$U,$H159)&lt;&gt;"Free Game",INDEX('Game Records'!$U:$U,$H159)&lt;&gt;"Disqualified — Free Game",INDEX('Game Records'!$H:$H,$H159)=""),"Entry Fee; ","")&amp;IF(AND(INDEX('Game Records'!$U:$U,$H159)&lt;&gt;"Subscription",INDEX('Game Records'!$U:$U,$H159)&lt;&gt;"Free Game",INDEX('Game Records'!$U:$U,$H159)&lt;&gt;"Disqualified — Free Game",INDEX('Game Records'!$I:$I,$H159)=""),"Eligible Players; ","")&amp;IF(AND(INDEX('Game Records'!$U:$U,$H159)&lt;&gt;"Subscription",INDEX('Game Records'!$U:$U,$H159)&lt;&gt;"Free Game",INDEX('Game Records'!$U:$U,$H159)&lt;&gt;"Disqualified — Free Game",INDEX('Game Records'!$J:$J,$H159)=""),"Total Players; ","")&amp;IF(AND(LOWER(INDEX('Game Records'!$D:$D,$H159)&amp;"")="finalized",LOWER(INDEX('Game Records'!$L:$L,$H159)&amp;"")&lt;&gt;"yes",INDEX('Game Records'!$U:$U,$H159)&lt;&gt;"Subscription",INDEX('Game Records'!$U:$U,$H159)&lt;&gt;"Free Game",INDEX('Game Records'!$U:$U,$H159)&lt;&gt;"Disqualified — Free Game",INDEX('Game Records'!$K:$K,$H159)=""),"Final Payout; ","")&amp;IF(AND(LOWER(INDEX('Game Records'!$D:$D,$H159)&amp;"")="finalized",INDEX('Game Records'!$U:$U,$H159)&lt;&gt;"Subscription",INDEX('Game Records'!$U:$U,$H159)&lt;&gt;"Free Game",INDEX('Game Records'!$U:$U,$H159)&lt;&gt;"Disqualified — Free Game",OR(INDEX('Game Records'!$L:$L,$H159)="",LOWER(INDEX('Game Records'!$L:$L,$H159)&amp;"")="n/a")),"Disqualified Status; ",""))</f>
        <v/>
      </c>
      <c r="G159" s="25" t="str">
        <f t="array" ref="G159">IF($H159="","",IFERROR(INDEX('Game Records'!$M:$M,$H159),""))</f>
        <v/>
      </c>
      <c r="H159" s="8"/>
      <c r="I159" s="8"/>
      <c r="J159" s="8"/>
    </row>
    <row r="160" ht="24.0" customHeight="1">
      <c r="A160" s="21" t="str">
        <f t="shared" si="1"/>
        <v/>
      </c>
      <c r="B160" s="21" t="str">
        <f t="shared" si="2"/>
        <v/>
      </c>
      <c r="C160" s="25" t="str">
        <f t="array" ref="C160">IF($H160="","",IFERROR(INDEX('Game Records'!$A:$A,$H160),""))</f>
        <v/>
      </c>
      <c r="D160" s="25" t="str">
        <f t="array" ref="D160">IF($H160="","",IFERROR(INDEX('Game Records'!$U:$U,$H160),""))</f>
        <v/>
      </c>
      <c r="E160" s="25" t="str">
        <f t="shared" si="3"/>
        <v/>
      </c>
      <c r="F160" s="25" t="str">
        <f t="array" ref="F160">IF($H160="","",IF(OR(NOT(_xlfn.ISFORMULA(INDEX('Game Records'!$N:$N,$H160))),NOT(_xlfn.ISFORMULA(INDEX('Game Records'!$O:$O,$H160))),NOT(_xlfn.ISFORMULA(INDEX('Game Records'!$P:$P,$H160))),NOT(_xlfn.ISFORMULA(INDEX('Game Records'!$Q:$Q,$H160))),NOT(_xlfn.ISFORMULA(INDEX('Game Records'!$R:$R,$H160))),NOT(_xlfn.ISFORMULA(INDEX('Game Records'!$S:$S,$H160))),NOT(_xlfn.ISFORMULA(INDEX('Game Records'!$T:$T,$H160))),NOT(_xlfn.ISFORMULA(INDEX('Game Records'!$U:$U,$H160))),NOT(_xlfn.ISFORMULA(INDEX('Game Records'!$V:$V,$H160))),NOT(_xlfn.ISFORMULA(INDEX('Game Records'!$W:$W,$H160))),NOT(_xlfn.ISFORMULA(INDEX('Game Records'!$X:$X,$H160))),NOT(_xlfn.ISFORMULA(INDEX('Game Records'!$Y:$Y,$H160))),NOT(_xlfn.ISFORMULA(INDEX('Game Records'!$Z:$Z,$H160)))),"","")&amp;IF(INDEX('Game Records'!$B:$B,$H160)="","Start Date; ","")&amp;IF(INDEX('Game Records'!$C:$C,$H160)="","End Date; ","")&amp;IF(AND(INDEX('Game Records'!$U:$U,$H160)&lt;&gt;"Subscription",INDEX('Game Records'!$U:$U,$H160)&lt;&gt;"Free Game",INDEX('Game Records'!$U:$U,$H160)&lt;&gt;"Disqualified — Free Game",OR(INDEX('Game Records'!$D:$D,$H160)="",LOWER(INDEX('Game Records'!$D:$D,$H160)&amp;"")="n/a")),"Entry Mode; ","")&amp;IF(AND(INDEX('Game Records'!$U:$U,$H160)&lt;&gt;"Subscription",INDEX('Game Records'!$U:$U,$H160)&lt;&gt;"Free Game",INDEX('Game Records'!$U:$U,$H160)&lt;&gt;"Disqualified — Free Game",OR(INDEX('Game Records'!$E:$E,$H160)="",LOWER(INDEX('Game Records'!$E:$E,$H160)&amp;"")="n/a")),"Game Type; ","")&amp;IF(INDEX('Game Records'!$F:$F,$H160)="","Payment Type; ","")&amp;IF(AND(INDEX('Game Records'!$U:$U,$H160)&lt;&gt;"Subscription",INDEX('Game Records'!$U:$U,$H160)&lt;&gt;"Free Game",INDEX('Game Records'!$U:$U,$H160)&lt;&gt;"Disqualified — Free Game",INDEX('Game Records'!$G:$G,$H160)=""),"Gross Pot; ","")&amp;IF(AND(INDEX('Game Records'!$U:$U,$H160)&lt;&gt;"Free Game",INDEX('Game Records'!$U:$U,$H160)&lt;&gt;"Disqualified — Free Game",INDEX('Game Records'!$H:$H,$H160)=""),"Entry Fee; ","")&amp;IF(AND(INDEX('Game Records'!$U:$U,$H160)&lt;&gt;"Subscription",INDEX('Game Records'!$U:$U,$H160)&lt;&gt;"Free Game",INDEX('Game Records'!$U:$U,$H160)&lt;&gt;"Disqualified — Free Game",INDEX('Game Records'!$I:$I,$H160)=""),"Eligible Players; ","")&amp;IF(AND(INDEX('Game Records'!$U:$U,$H160)&lt;&gt;"Subscription",INDEX('Game Records'!$U:$U,$H160)&lt;&gt;"Free Game",INDEX('Game Records'!$U:$U,$H160)&lt;&gt;"Disqualified — Free Game",INDEX('Game Records'!$J:$J,$H160)=""),"Total Players; ","")&amp;IF(AND(LOWER(INDEX('Game Records'!$D:$D,$H160)&amp;"")="finalized",LOWER(INDEX('Game Records'!$L:$L,$H160)&amp;"")&lt;&gt;"yes",INDEX('Game Records'!$U:$U,$H160)&lt;&gt;"Subscription",INDEX('Game Records'!$U:$U,$H160)&lt;&gt;"Free Game",INDEX('Game Records'!$U:$U,$H160)&lt;&gt;"Disqualified — Free Game",INDEX('Game Records'!$K:$K,$H160)=""),"Final Payout; ","")&amp;IF(AND(LOWER(INDEX('Game Records'!$D:$D,$H160)&amp;"")="finalized",INDEX('Game Records'!$U:$U,$H160)&lt;&gt;"Subscription",INDEX('Game Records'!$U:$U,$H160)&lt;&gt;"Free Game",INDEX('Game Records'!$U:$U,$H160)&lt;&gt;"Disqualified — Free Game",OR(INDEX('Game Records'!$L:$L,$H160)="",LOWER(INDEX('Game Records'!$L:$L,$H160)&amp;"")="n/a")),"Disqualified Status; ",""))</f>
        <v/>
      </c>
      <c r="G160" s="25" t="str">
        <f t="array" ref="G160">IF($H160="","",IFERROR(INDEX('Game Records'!$M:$M,$H160),""))</f>
        <v/>
      </c>
      <c r="H160" s="8"/>
      <c r="I160" s="8"/>
      <c r="J160" s="8"/>
    </row>
    <row r="161" ht="24.0" customHeight="1">
      <c r="A161" s="21" t="str">
        <f t="shared" si="1"/>
        <v/>
      </c>
      <c r="B161" s="21" t="str">
        <f t="shared" si="2"/>
        <v/>
      </c>
      <c r="C161" s="25" t="str">
        <f t="array" ref="C161">IF($H161="","",IFERROR(INDEX('Game Records'!$A:$A,$H161),""))</f>
        <v/>
      </c>
      <c r="D161" s="25" t="str">
        <f t="array" ref="D161">IF($H161="","",IFERROR(INDEX('Game Records'!$U:$U,$H161),""))</f>
        <v/>
      </c>
      <c r="E161" s="25" t="str">
        <f t="shared" si="3"/>
        <v/>
      </c>
      <c r="F161" s="25" t="str">
        <f t="array" ref="F161">IF($H161="","",IF(OR(NOT(_xlfn.ISFORMULA(INDEX('Game Records'!$N:$N,$H161))),NOT(_xlfn.ISFORMULA(INDEX('Game Records'!$O:$O,$H161))),NOT(_xlfn.ISFORMULA(INDEX('Game Records'!$P:$P,$H161))),NOT(_xlfn.ISFORMULA(INDEX('Game Records'!$Q:$Q,$H161))),NOT(_xlfn.ISFORMULA(INDEX('Game Records'!$R:$R,$H161))),NOT(_xlfn.ISFORMULA(INDEX('Game Records'!$S:$S,$H161))),NOT(_xlfn.ISFORMULA(INDEX('Game Records'!$T:$T,$H161))),NOT(_xlfn.ISFORMULA(INDEX('Game Records'!$U:$U,$H161))),NOT(_xlfn.ISFORMULA(INDEX('Game Records'!$V:$V,$H161))),NOT(_xlfn.ISFORMULA(INDEX('Game Records'!$W:$W,$H161))),NOT(_xlfn.ISFORMULA(INDEX('Game Records'!$X:$X,$H161))),NOT(_xlfn.ISFORMULA(INDEX('Game Records'!$Y:$Y,$H161))),NOT(_xlfn.ISFORMULA(INDEX('Game Records'!$Z:$Z,$H161)))),"","")&amp;IF(INDEX('Game Records'!$B:$B,$H161)="","Start Date; ","")&amp;IF(INDEX('Game Records'!$C:$C,$H161)="","End Date; ","")&amp;IF(AND(INDEX('Game Records'!$U:$U,$H161)&lt;&gt;"Subscription",INDEX('Game Records'!$U:$U,$H161)&lt;&gt;"Free Game",INDEX('Game Records'!$U:$U,$H161)&lt;&gt;"Disqualified — Free Game",OR(INDEX('Game Records'!$D:$D,$H161)="",LOWER(INDEX('Game Records'!$D:$D,$H161)&amp;"")="n/a")),"Entry Mode; ","")&amp;IF(AND(INDEX('Game Records'!$U:$U,$H161)&lt;&gt;"Subscription",INDEX('Game Records'!$U:$U,$H161)&lt;&gt;"Free Game",INDEX('Game Records'!$U:$U,$H161)&lt;&gt;"Disqualified — Free Game",OR(INDEX('Game Records'!$E:$E,$H161)="",LOWER(INDEX('Game Records'!$E:$E,$H161)&amp;"")="n/a")),"Game Type; ","")&amp;IF(INDEX('Game Records'!$F:$F,$H161)="","Payment Type; ","")&amp;IF(AND(INDEX('Game Records'!$U:$U,$H161)&lt;&gt;"Subscription",INDEX('Game Records'!$U:$U,$H161)&lt;&gt;"Free Game",INDEX('Game Records'!$U:$U,$H161)&lt;&gt;"Disqualified — Free Game",INDEX('Game Records'!$G:$G,$H161)=""),"Gross Pot; ","")&amp;IF(AND(INDEX('Game Records'!$U:$U,$H161)&lt;&gt;"Free Game",INDEX('Game Records'!$U:$U,$H161)&lt;&gt;"Disqualified — Free Game",INDEX('Game Records'!$H:$H,$H161)=""),"Entry Fee; ","")&amp;IF(AND(INDEX('Game Records'!$U:$U,$H161)&lt;&gt;"Subscription",INDEX('Game Records'!$U:$U,$H161)&lt;&gt;"Free Game",INDEX('Game Records'!$U:$U,$H161)&lt;&gt;"Disqualified — Free Game",INDEX('Game Records'!$I:$I,$H161)=""),"Eligible Players; ","")&amp;IF(AND(INDEX('Game Records'!$U:$U,$H161)&lt;&gt;"Subscription",INDEX('Game Records'!$U:$U,$H161)&lt;&gt;"Free Game",INDEX('Game Records'!$U:$U,$H161)&lt;&gt;"Disqualified — Free Game",INDEX('Game Records'!$J:$J,$H161)=""),"Total Players; ","")&amp;IF(AND(LOWER(INDEX('Game Records'!$D:$D,$H161)&amp;"")="finalized",LOWER(INDEX('Game Records'!$L:$L,$H161)&amp;"")&lt;&gt;"yes",INDEX('Game Records'!$U:$U,$H161)&lt;&gt;"Subscription",INDEX('Game Records'!$U:$U,$H161)&lt;&gt;"Free Game",INDEX('Game Records'!$U:$U,$H161)&lt;&gt;"Disqualified — Free Game",INDEX('Game Records'!$K:$K,$H161)=""),"Final Payout; ","")&amp;IF(AND(LOWER(INDEX('Game Records'!$D:$D,$H161)&amp;"")="finalized",INDEX('Game Records'!$U:$U,$H161)&lt;&gt;"Subscription",INDEX('Game Records'!$U:$U,$H161)&lt;&gt;"Free Game",INDEX('Game Records'!$U:$U,$H161)&lt;&gt;"Disqualified — Free Game",OR(INDEX('Game Records'!$L:$L,$H161)="",LOWER(INDEX('Game Records'!$L:$L,$H161)&amp;"")="n/a")),"Disqualified Status; ",""))</f>
        <v/>
      </c>
      <c r="G161" s="25" t="str">
        <f t="array" ref="G161">IF($H161="","",IFERROR(INDEX('Game Records'!$M:$M,$H161),""))</f>
        <v/>
      </c>
      <c r="H161" s="8"/>
      <c r="I161" s="8"/>
      <c r="J161" s="8"/>
    </row>
    <row r="162" ht="24.0" customHeight="1">
      <c r="A162" s="21" t="str">
        <f t="shared" si="1"/>
        <v/>
      </c>
      <c r="B162" s="21" t="str">
        <f t="shared" si="2"/>
        <v/>
      </c>
      <c r="C162" s="25" t="str">
        <f t="array" ref="C162">IF($H162="","",IFERROR(INDEX('Game Records'!$A:$A,$H162),""))</f>
        <v/>
      </c>
      <c r="D162" s="25" t="str">
        <f t="array" ref="D162">IF($H162="","",IFERROR(INDEX('Game Records'!$U:$U,$H162),""))</f>
        <v/>
      </c>
      <c r="E162" s="25" t="str">
        <f t="shared" si="3"/>
        <v/>
      </c>
      <c r="F162" s="25" t="str">
        <f t="array" ref="F162">IF($H162="","",IF(OR(NOT(_xlfn.ISFORMULA(INDEX('Game Records'!$N:$N,$H162))),NOT(_xlfn.ISFORMULA(INDEX('Game Records'!$O:$O,$H162))),NOT(_xlfn.ISFORMULA(INDEX('Game Records'!$P:$P,$H162))),NOT(_xlfn.ISFORMULA(INDEX('Game Records'!$Q:$Q,$H162))),NOT(_xlfn.ISFORMULA(INDEX('Game Records'!$R:$R,$H162))),NOT(_xlfn.ISFORMULA(INDEX('Game Records'!$S:$S,$H162))),NOT(_xlfn.ISFORMULA(INDEX('Game Records'!$T:$T,$H162))),NOT(_xlfn.ISFORMULA(INDEX('Game Records'!$U:$U,$H162))),NOT(_xlfn.ISFORMULA(INDEX('Game Records'!$V:$V,$H162))),NOT(_xlfn.ISFORMULA(INDEX('Game Records'!$W:$W,$H162))),NOT(_xlfn.ISFORMULA(INDEX('Game Records'!$X:$X,$H162))),NOT(_xlfn.ISFORMULA(INDEX('Game Records'!$Y:$Y,$H162))),NOT(_xlfn.ISFORMULA(INDEX('Game Records'!$Z:$Z,$H162)))),"","")&amp;IF(INDEX('Game Records'!$B:$B,$H162)="","Start Date; ","")&amp;IF(INDEX('Game Records'!$C:$C,$H162)="","End Date; ","")&amp;IF(AND(INDEX('Game Records'!$U:$U,$H162)&lt;&gt;"Subscription",INDEX('Game Records'!$U:$U,$H162)&lt;&gt;"Free Game",INDEX('Game Records'!$U:$U,$H162)&lt;&gt;"Disqualified — Free Game",OR(INDEX('Game Records'!$D:$D,$H162)="",LOWER(INDEX('Game Records'!$D:$D,$H162)&amp;"")="n/a")),"Entry Mode; ","")&amp;IF(AND(INDEX('Game Records'!$U:$U,$H162)&lt;&gt;"Subscription",INDEX('Game Records'!$U:$U,$H162)&lt;&gt;"Free Game",INDEX('Game Records'!$U:$U,$H162)&lt;&gt;"Disqualified — Free Game",OR(INDEX('Game Records'!$E:$E,$H162)="",LOWER(INDEX('Game Records'!$E:$E,$H162)&amp;"")="n/a")),"Game Type; ","")&amp;IF(INDEX('Game Records'!$F:$F,$H162)="","Payment Type; ","")&amp;IF(AND(INDEX('Game Records'!$U:$U,$H162)&lt;&gt;"Subscription",INDEX('Game Records'!$U:$U,$H162)&lt;&gt;"Free Game",INDEX('Game Records'!$U:$U,$H162)&lt;&gt;"Disqualified — Free Game",INDEX('Game Records'!$G:$G,$H162)=""),"Gross Pot; ","")&amp;IF(AND(INDEX('Game Records'!$U:$U,$H162)&lt;&gt;"Free Game",INDEX('Game Records'!$U:$U,$H162)&lt;&gt;"Disqualified — Free Game",INDEX('Game Records'!$H:$H,$H162)=""),"Entry Fee; ","")&amp;IF(AND(INDEX('Game Records'!$U:$U,$H162)&lt;&gt;"Subscription",INDEX('Game Records'!$U:$U,$H162)&lt;&gt;"Free Game",INDEX('Game Records'!$U:$U,$H162)&lt;&gt;"Disqualified — Free Game",INDEX('Game Records'!$I:$I,$H162)=""),"Eligible Players; ","")&amp;IF(AND(INDEX('Game Records'!$U:$U,$H162)&lt;&gt;"Subscription",INDEX('Game Records'!$U:$U,$H162)&lt;&gt;"Free Game",INDEX('Game Records'!$U:$U,$H162)&lt;&gt;"Disqualified — Free Game",INDEX('Game Records'!$J:$J,$H162)=""),"Total Players; ","")&amp;IF(AND(LOWER(INDEX('Game Records'!$D:$D,$H162)&amp;"")="finalized",LOWER(INDEX('Game Records'!$L:$L,$H162)&amp;"")&lt;&gt;"yes",INDEX('Game Records'!$U:$U,$H162)&lt;&gt;"Subscription",INDEX('Game Records'!$U:$U,$H162)&lt;&gt;"Free Game",INDEX('Game Records'!$U:$U,$H162)&lt;&gt;"Disqualified — Free Game",INDEX('Game Records'!$K:$K,$H162)=""),"Final Payout; ","")&amp;IF(AND(LOWER(INDEX('Game Records'!$D:$D,$H162)&amp;"")="finalized",INDEX('Game Records'!$U:$U,$H162)&lt;&gt;"Subscription",INDEX('Game Records'!$U:$U,$H162)&lt;&gt;"Free Game",INDEX('Game Records'!$U:$U,$H162)&lt;&gt;"Disqualified — Free Game",OR(INDEX('Game Records'!$L:$L,$H162)="",LOWER(INDEX('Game Records'!$L:$L,$H162)&amp;"")="n/a")),"Disqualified Status; ",""))</f>
        <v/>
      </c>
      <c r="G162" s="25" t="str">
        <f t="array" ref="G162">IF($H162="","",IFERROR(INDEX('Game Records'!$M:$M,$H162),""))</f>
        <v/>
      </c>
      <c r="H162" s="8"/>
      <c r="I162" s="8"/>
      <c r="J162" s="8"/>
    </row>
    <row r="163" ht="24.0" customHeight="1">
      <c r="A163" s="21" t="str">
        <f t="shared" si="1"/>
        <v/>
      </c>
      <c r="B163" s="21" t="str">
        <f t="shared" si="2"/>
        <v/>
      </c>
      <c r="C163" s="25" t="str">
        <f t="array" ref="C163">IF($H163="","",IFERROR(INDEX('Game Records'!$A:$A,$H163),""))</f>
        <v/>
      </c>
      <c r="D163" s="25" t="str">
        <f t="array" ref="D163">IF($H163="","",IFERROR(INDEX('Game Records'!$U:$U,$H163),""))</f>
        <v/>
      </c>
      <c r="E163" s="25" t="str">
        <f t="shared" si="3"/>
        <v/>
      </c>
      <c r="F163" s="25" t="str">
        <f t="array" ref="F163">IF($H163="","",IF(OR(NOT(_xlfn.ISFORMULA(INDEX('Game Records'!$N:$N,$H163))),NOT(_xlfn.ISFORMULA(INDEX('Game Records'!$O:$O,$H163))),NOT(_xlfn.ISFORMULA(INDEX('Game Records'!$P:$P,$H163))),NOT(_xlfn.ISFORMULA(INDEX('Game Records'!$Q:$Q,$H163))),NOT(_xlfn.ISFORMULA(INDEX('Game Records'!$R:$R,$H163))),NOT(_xlfn.ISFORMULA(INDEX('Game Records'!$S:$S,$H163))),NOT(_xlfn.ISFORMULA(INDEX('Game Records'!$T:$T,$H163))),NOT(_xlfn.ISFORMULA(INDEX('Game Records'!$U:$U,$H163))),NOT(_xlfn.ISFORMULA(INDEX('Game Records'!$V:$V,$H163))),NOT(_xlfn.ISFORMULA(INDEX('Game Records'!$W:$W,$H163))),NOT(_xlfn.ISFORMULA(INDEX('Game Records'!$X:$X,$H163))),NOT(_xlfn.ISFORMULA(INDEX('Game Records'!$Y:$Y,$H163))),NOT(_xlfn.ISFORMULA(INDEX('Game Records'!$Z:$Z,$H163)))),"","")&amp;IF(INDEX('Game Records'!$B:$B,$H163)="","Start Date; ","")&amp;IF(INDEX('Game Records'!$C:$C,$H163)="","End Date; ","")&amp;IF(AND(INDEX('Game Records'!$U:$U,$H163)&lt;&gt;"Subscription",INDEX('Game Records'!$U:$U,$H163)&lt;&gt;"Free Game",INDEX('Game Records'!$U:$U,$H163)&lt;&gt;"Disqualified — Free Game",OR(INDEX('Game Records'!$D:$D,$H163)="",LOWER(INDEX('Game Records'!$D:$D,$H163)&amp;"")="n/a")),"Entry Mode; ","")&amp;IF(AND(INDEX('Game Records'!$U:$U,$H163)&lt;&gt;"Subscription",INDEX('Game Records'!$U:$U,$H163)&lt;&gt;"Free Game",INDEX('Game Records'!$U:$U,$H163)&lt;&gt;"Disqualified — Free Game",OR(INDEX('Game Records'!$E:$E,$H163)="",LOWER(INDEX('Game Records'!$E:$E,$H163)&amp;"")="n/a")),"Game Type; ","")&amp;IF(INDEX('Game Records'!$F:$F,$H163)="","Payment Type; ","")&amp;IF(AND(INDEX('Game Records'!$U:$U,$H163)&lt;&gt;"Subscription",INDEX('Game Records'!$U:$U,$H163)&lt;&gt;"Free Game",INDEX('Game Records'!$U:$U,$H163)&lt;&gt;"Disqualified — Free Game",INDEX('Game Records'!$G:$G,$H163)=""),"Gross Pot; ","")&amp;IF(AND(INDEX('Game Records'!$U:$U,$H163)&lt;&gt;"Free Game",INDEX('Game Records'!$U:$U,$H163)&lt;&gt;"Disqualified — Free Game",INDEX('Game Records'!$H:$H,$H163)=""),"Entry Fee; ","")&amp;IF(AND(INDEX('Game Records'!$U:$U,$H163)&lt;&gt;"Subscription",INDEX('Game Records'!$U:$U,$H163)&lt;&gt;"Free Game",INDEX('Game Records'!$U:$U,$H163)&lt;&gt;"Disqualified — Free Game",INDEX('Game Records'!$I:$I,$H163)=""),"Eligible Players; ","")&amp;IF(AND(INDEX('Game Records'!$U:$U,$H163)&lt;&gt;"Subscription",INDEX('Game Records'!$U:$U,$H163)&lt;&gt;"Free Game",INDEX('Game Records'!$U:$U,$H163)&lt;&gt;"Disqualified — Free Game",INDEX('Game Records'!$J:$J,$H163)=""),"Total Players; ","")&amp;IF(AND(LOWER(INDEX('Game Records'!$D:$D,$H163)&amp;"")="finalized",LOWER(INDEX('Game Records'!$L:$L,$H163)&amp;"")&lt;&gt;"yes",INDEX('Game Records'!$U:$U,$H163)&lt;&gt;"Subscription",INDEX('Game Records'!$U:$U,$H163)&lt;&gt;"Free Game",INDEX('Game Records'!$U:$U,$H163)&lt;&gt;"Disqualified — Free Game",INDEX('Game Records'!$K:$K,$H163)=""),"Final Payout; ","")&amp;IF(AND(LOWER(INDEX('Game Records'!$D:$D,$H163)&amp;"")="finalized",INDEX('Game Records'!$U:$U,$H163)&lt;&gt;"Subscription",INDEX('Game Records'!$U:$U,$H163)&lt;&gt;"Free Game",INDEX('Game Records'!$U:$U,$H163)&lt;&gt;"Disqualified — Free Game",OR(INDEX('Game Records'!$L:$L,$H163)="",LOWER(INDEX('Game Records'!$L:$L,$H163)&amp;"")="n/a")),"Disqualified Status; ",""))</f>
        <v/>
      </c>
      <c r="G163" s="25" t="str">
        <f t="array" ref="G163">IF($H163="","",IFERROR(INDEX('Game Records'!$M:$M,$H163),""))</f>
        <v/>
      </c>
      <c r="H163" s="8"/>
      <c r="I163" s="8"/>
      <c r="J163" s="8"/>
    </row>
    <row r="164" ht="24.0" customHeight="1">
      <c r="A164" s="21" t="str">
        <f t="shared" si="1"/>
        <v/>
      </c>
      <c r="B164" s="21" t="str">
        <f t="shared" si="2"/>
        <v/>
      </c>
      <c r="C164" s="25" t="str">
        <f t="array" ref="C164">IF($H164="","",IFERROR(INDEX('Game Records'!$A:$A,$H164),""))</f>
        <v/>
      </c>
      <c r="D164" s="25" t="str">
        <f t="array" ref="D164">IF($H164="","",IFERROR(INDEX('Game Records'!$U:$U,$H164),""))</f>
        <v/>
      </c>
      <c r="E164" s="25" t="str">
        <f t="shared" si="3"/>
        <v/>
      </c>
      <c r="F164" s="25" t="str">
        <f t="array" ref="F164">IF($H164="","",IF(OR(NOT(_xlfn.ISFORMULA(INDEX('Game Records'!$N:$N,$H164))),NOT(_xlfn.ISFORMULA(INDEX('Game Records'!$O:$O,$H164))),NOT(_xlfn.ISFORMULA(INDEX('Game Records'!$P:$P,$H164))),NOT(_xlfn.ISFORMULA(INDEX('Game Records'!$Q:$Q,$H164))),NOT(_xlfn.ISFORMULA(INDEX('Game Records'!$R:$R,$H164))),NOT(_xlfn.ISFORMULA(INDEX('Game Records'!$S:$S,$H164))),NOT(_xlfn.ISFORMULA(INDEX('Game Records'!$T:$T,$H164))),NOT(_xlfn.ISFORMULA(INDEX('Game Records'!$U:$U,$H164))),NOT(_xlfn.ISFORMULA(INDEX('Game Records'!$V:$V,$H164))),NOT(_xlfn.ISFORMULA(INDEX('Game Records'!$W:$W,$H164))),NOT(_xlfn.ISFORMULA(INDEX('Game Records'!$X:$X,$H164))),NOT(_xlfn.ISFORMULA(INDEX('Game Records'!$Y:$Y,$H164))),NOT(_xlfn.ISFORMULA(INDEX('Game Records'!$Z:$Z,$H164)))),"","")&amp;IF(INDEX('Game Records'!$B:$B,$H164)="","Start Date; ","")&amp;IF(INDEX('Game Records'!$C:$C,$H164)="","End Date; ","")&amp;IF(AND(INDEX('Game Records'!$U:$U,$H164)&lt;&gt;"Subscription",INDEX('Game Records'!$U:$U,$H164)&lt;&gt;"Free Game",INDEX('Game Records'!$U:$U,$H164)&lt;&gt;"Disqualified — Free Game",OR(INDEX('Game Records'!$D:$D,$H164)="",LOWER(INDEX('Game Records'!$D:$D,$H164)&amp;"")="n/a")),"Entry Mode; ","")&amp;IF(AND(INDEX('Game Records'!$U:$U,$H164)&lt;&gt;"Subscription",INDEX('Game Records'!$U:$U,$H164)&lt;&gt;"Free Game",INDEX('Game Records'!$U:$U,$H164)&lt;&gt;"Disqualified — Free Game",OR(INDEX('Game Records'!$E:$E,$H164)="",LOWER(INDEX('Game Records'!$E:$E,$H164)&amp;"")="n/a")),"Game Type; ","")&amp;IF(INDEX('Game Records'!$F:$F,$H164)="","Payment Type; ","")&amp;IF(AND(INDEX('Game Records'!$U:$U,$H164)&lt;&gt;"Subscription",INDEX('Game Records'!$U:$U,$H164)&lt;&gt;"Free Game",INDEX('Game Records'!$U:$U,$H164)&lt;&gt;"Disqualified — Free Game",INDEX('Game Records'!$G:$G,$H164)=""),"Gross Pot; ","")&amp;IF(AND(INDEX('Game Records'!$U:$U,$H164)&lt;&gt;"Free Game",INDEX('Game Records'!$U:$U,$H164)&lt;&gt;"Disqualified — Free Game",INDEX('Game Records'!$H:$H,$H164)=""),"Entry Fee; ","")&amp;IF(AND(INDEX('Game Records'!$U:$U,$H164)&lt;&gt;"Subscription",INDEX('Game Records'!$U:$U,$H164)&lt;&gt;"Free Game",INDEX('Game Records'!$U:$U,$H164)&lt;&gt;"Disqualified — Free Game",INDEX('Game Records'!$I:$I,$H164)=""),"Eligible Players; ","")&amp;IF(AND(INDEX('Game Records'!$U:$U,$H164)&lt;&gt;"Subscription",INDEX('Game Records'!$U:$U,$H164)&lt;&gt;"Free Game",INDEX('Game Records'!$U:$U,$H164)&lt;&gt;"Disqualified — Free Game",INDEX('Game Records'!$J:$J,$H164)=""),"Total Players; ","")&amp;IF(AND(LOWER(INDEX('Game Records'!$D:$D,$H164)&amp;"")="finalized",LOWER(INDEX('Game Records'!$L:$L,$H164)&amp;"")&lt;&gt;"yes",INDEX('Game Records'!$U:$U,$H164)&lt;&gt;"Subscription",INDEX('Game Records'!$U:$U,$H164)&lt;&gt;"Free Game",INDEX('Game Records'!$U:$U,$H164)&lt;&gt;"Disqualified — Free Game",INDEX('Game Records'!$K:$K,$H164)=""),"Final Payout; ","")&amp;IF(AND(LOWER(INDEX('Game Records'!$D:$D,$H164)&amp;"")="finalized",INDEX('Game Records'!$U:$U,$H164)&lt;&gt;"Subscription",INDEX('Game Records'!$U:$U,$H164)&lt;&gt;"Free Game",INDEX('Game Records'!$U:$U,$H164)&lt;&gt;"Disqualified — Free Game",OR(INDEX('Game Records'!$L:$L,$H164)="",LOWER(INDEX('Game Records'!$L:$L,$H164)&amp;"")="n/a")),"Disqualified Status; ",""))</f>
        <v/>
      </c>
      <c r="G164" s="25" t="str">
        <f t="array" ref="G164">IF($H164="","",IFERROR(INDEX('Game Records'!$M:$M,$H164),""))</f>
        <v/>
      </c>
      <c r="H164" s="8"/>
      <c r="I164" s="8"/>
      <c r="J164" s="8"/>
    </row>
    <row r="165" ht="24.0" customHeight="1">
      <c r="A165" s="21" t="str">
        <f t="shared" si="1"/>
        <v/>
      </c>
      <c r="B165" s="21" t="str">
        <f t="shared" si="2"/>
        <v/>
      </c>
      <c r="C165" s="25" t="str">
        <f t="array" ref="C165">IF($H165="","",IFERROR(INDEX('Game Records'!$A:$A,$H165),""))</f>
        <v/>
      </c>
      <c r="D165" s="25" t="str">
        <f t="array" ref="D165">IF($H165="","",IFERROR(INDEX('Game Records'!$U:$U,$H165),""))</f>
        <v/>
      </c>
      <c r="E165" s="25" t="str">
        <f t="shared" si="3"/>
        <v/>
      </c>
      <c r="F165" s="25" t="str">
        <f t="array" ref="F165">IF($H165="","",IF(OR(NOT(_xlfn.ISFORMULA(INDEX('Game Records'!$N:$N,$H165))),NOT(_xlfn.ISFORMULA(INDEX('Game Records'!$O:$O,$H165))),NOT(_xlfn.ISFORMULA(INDEX('Game Records'!$P:$P,$H165))),NOT(_xlfn.ISFORMULA(INDEX('Game Records'!$Q:$Q,$H165))),NOT(_xlfn.ISFORMULA(INDEX('Game Records'!$R:$R,$H165))),NOT(_xlfn.ISFORMULA(INDEX('Game Records'!$S:$S,$H165))),NOT(_xlfn.ISFORMULA(INDEX('Game Records'!$T:$T,$H165))),NOT(_xlfn.ISFORMULA(INDEX('Game Records'!$U:$U,$H165))),NOT(_xlfn.ISFORMULA(INDEX('Game Records'!$V:$V,$H165))),NOT(_xlfn.ISFORMULA(INDEX('Game Records'!$W:$W,$H165))),NOT(_xlfn.ISFORMULA(INDEX('Game Records'!$X:$X,$H165))),NOT(_xlfn.ISFORMULA(INDEX('Game Records'!$Y:$Y,$H165))),NOT(_xlfn.ISFORMULA(INDEX('Game Records'!$Z:$Z,$H165)))),"","")&amp;IF(INDEX('Game Records'!$B:$B,$H165)="","Start Date; ","")&amp;IF(INDEX('Game Records'!$C:$C,$H165)="","End Date; ","")&amp;IF(AND(INDEX('Game Records'!$U:$U,$H165)&lt;&gt;"Subscription",INDEX('Game Records'!$U:$U,$H165)&lt;&gt;"Free Game",INDEX('Game Records'!$U:$U,$H165)&lt;&gt;"Disqualified — Free Game",OR(INDEX('Game Records'!$D:$D,$H165)="",LOWER(INDEX('Game Records'!$D:$D,$H165)&amp;"")="n/a")),"Entry Mode; ","")&amp;IF(AND(INDEX('Game Records'!$U:$U,$H165)&lt;&gt;"Subscription",INDEX('Game Records'!$U:$U,$H165)&lt;&gt;"Free Game",INDEX('Game Records'!$U:$U,$H165)&lt;&gt;"Disqualified — Free Game",OR(INDEX('Game Records'!$E:$E,$H165)="",LOWER(INDEX('Game Records'!$E:$E,$H165)&amp;"")="n/a")),"Game Type; ","")&amp;IF(INDEX('Game Records'!$F:$F,$H165)="","Payment Type; ","")&amp;IF(AND(INDEX('Game Records'!$U:$U,$H165)&lt;&gt;"Subscription",INDEX('Game Records'!$U:$U,$H165)&lt;&gt;"Free Game",INDEX('Game Records'!$U:$U,$H165)&lt;&gt;"Disqualified — Free Game",INDEX('Game Records'!$G:$G,$H165)=""),"Gross Pot; ","")&amp;IF(AND(INDEX('Game Records'!$U:$U,$H165)&lt;&gt;"Free Game",INDEX('Game Records'!$U:$U,$H165)&lt;&gt;"Disqualified — Free Game",INDEX('Game Records'!$H:$H,$H165)=""),"Entry Fee; ","")&amp;IF(AND(INDEX('Game Records'!$U:$U,$H165)&lt;&gt;"Subscription",INDEX('Game Records'!$U:$U,$H165)&lt;&gt;"Free Game",INDEX('Game Records'!$U:$U,$H165)&lt;&gt;"Disqualified — Free Game",INDEX('Game Records'!$I:$I,$H165)=""),"Eligible Players; ","")&amp;IF(AND(INDEX('Game Records'!$U:$U,$H165)&lt;&gt;"Subscription",INDEX('Game Records'!$U:$U,$H165)&lt;&gt;"Free Game",INDEX('Game Records'!$U:$U,$H165)&lt;&gt;"Disqualified — Free Game",INDEX('Game Records'!$J:$J,$H165)=""),"Total Players; ","")&amp;IF(AND(LOWER(INDEX('Game Records'!$D:$D,$H165)&amp;"")="finalized",LOWER(INDEX('Game Records'!$L:$L,$H165)&amp;"")&lt;&gt;"yes",INDEX('Game Records'!$U:$U,$H165)&lt;&gt;"Subscription",INDEX('Game Records'!$U:$U,$H165)&lt;&gt;"Free Game",INDEX('Game Records'!$U:$U,$H165)&lt;&gt;"Disqualified — Free Game",INDEX('Game Records'!$K:$K,$H165)=""),"Final Payout; ","")&amp;IF(AND(LOWER(INDEX('Game Records'!$D:$D,$H165)&amp;"")="finalized",INDEX('Game Records'!$U:$U,$H165)&lt;&gt;"Subscription",INDEX('Game Records'!$U:$U,$H165)&lt;&gt;"Free Game",INDEX('Game Records'!$U:$U,$H165)&lt;&gt;"Disqualified — Free Game",OR(INDEX('Game Records'!$L:$L,$H165)="",LOWER(INDEX('Game Records'!$L:$L,$H165)&amp;"")="n/a")),"Disqualified Status; ",""))</f>
        <v/>
      </c>
      <c r="G165" s="25" t="str">
        <f t="array" ref="G165">IF($H165="","",IFERROR(INDEX('Game Records'!$M:$M,$H165),""))</f>
        <v/>
      </c>
      <c r="H165" s="8"/>
      <c r="I165" s="8"/>
      <c r="J165" s="8"/>
    </row>
    <row r="166" ht="24.0" customHeight="1">
      <c r="A166" s="21" t="str">
        <f t="shared" si="1"/>
        <v/>
      </c>
      <c r="B166" s="21" t="str">
        <f t="shared" si="2"/>
        <v/>
      </c>
      <c r="C166" s="25" t="str">
        <f t="array" ref="C166">IF($H166="","",IFERROR(INDEX('Game Records'!$A:$A,$H166),""))</f>
        <v/>
      </c>
      <c r="D166" s="25" t="str">
        <f t="array" ref="D166">IF($H166="","",IFERROR(INDEX('Game Records'!$U:$U,$H166),""))</f>
        <v/>
      </c>
      <c r="E166" s="25" t="str">
        <f t="shared" si="3"/>
        <v/>
      </c>
      <c r="F166" s="25" t="str">
        <f t="array" ref="F166">IF($H166="","",IF(OR(NOT(_xlfn.ISFORMULA(INDEX('Game Records'!$N:$N,$H166))),NOT(_xlfn.ISFORMULA(INDEX('Game Records'!$O:$O,$H166))),NOT(_xlfn.ISFORMULA(INDEX('Game Records'!$P:$P,$H166))),NOT(_xlfn.ISFORMULA(INDEX('Game Records'!$Q:$Q,$H166))),NOT(_xlfn.ISFORMULA(INDEX('Game Records'!$R:$R,$H166))),NOT(_xlfn.ISFORMULA(INDEX('Game Records'!$S:$S,$H166))),NOT(_xlfn.ISFORMULA(INDEX('Game Records'!$T:$T,$H166))),NOT(_xlfn.ISFORMULA(INDEX('Game Records'!$U:$U,$H166))),NOT(_xlfn.ISFORMULA(INDEX('Game Records'!$V:$V,$H166))),NOT(_xlfn.ISFORMULA(INDEX('Game Records'!$W:$W,$H166))),NOT(_xlfn.ISFORMULA(INDEX('Game Records'!$X:$X,$H166))),NOT(_xlfn.ISFORMULA(INDEX('Game Records'!$Y:$Y,$H166))),NOT(_xlfn.ISFORMULA(INDEX('Game Records'!$Z:$Z,$H166)))),"","")&amp;IF(INDEX('Game Records'!$B:$B,$H166)="","Start Date; ","")&amp;IF(INDEX('Game Records'!$C:$C,$H166)="","End Date; ","")&amp;IF(AND(INDEX('Game Records'!$U:$U,$H166)&lt;&gt;"Subscription",INDEX('Game Records'!$U:$U,$H166)&lt;&gt;"Free Game",INDEX('Game Records'!$U:$U,$H166)&lt;&gt;"Disqualified — Free Game",OR(INDEX('Game Records'!$D:$D,$H166)="",LOWER(INDEX('Game Records'!$D:$D,$H166)&amp;"")="n/a")),"Entry Mode; ","")&amp;IF(AND(INDEX('Game Records'!$U:$U,$H166)&lt;&gt;"Subscription",INDEX('Game Records'!$U:$U,$H166)&lt;&gt;"Free Game",INDEX('Game Records'!$U:$U,$H166)&lt;&gt;"Disqualified — Free Game",OR(INDEX('Game Records'!$E:$E,$H166)="",LOWER(INDEX('Game Records'!$E:$E,$H166)&amp;"")="n/a")),"Game Type; ","")&amp;IF(INDEX('Game Records'!$F:$F,$H166)="","Payment Type; ","")&amp;IF(AND(INDEX('Game Records'!$U:$U,$H166)&lt;&gt;"Subscription",INDEX('Game Records'!$U:$U,$H166)&lt;&gt;"Free Game",INDEX('Game Records'!$U:$U,$H166)&lt;&gt;"Disqualified — Free Game",INDEX('Game Records'!$G:$G,$H166)=""),"Gross Pot; ","")&amp;IF(AND(INDEX('Game Records'!$U:$U,$H166)&lt;&gt;"Free Game",INDEX('Game Records'!$U:$U,$H166)&lt;&gt;"Disqualified — Free Game",INDEX('Game Records'!$H:$H,$H166)=""),"Entry Fee; ","")&amp;IF(AND(INDEX('Game Records'!$U:$U,$H166)&lt;&gt;"Subscription",INDEX('Game Records'!$U:$U,$H166)&lt;&gt;"Free Game",INDEX('Game Records'!$U:$U,$H166)&lt;&gt;"Disqualified — Free Game",INDEX('Game Records'!$I:$I,$H166)=""),"Eligible Players; ","")&amp;IF(AND(INDEX('Game Records'!$U:$U,$H166)&lt;&gt;"Subscription",INDEX('Game Records'!$U:$U,$H166)&lt;&gt;"Free Game",INDEX('Game Records'!$U:$U,$H166)&lt;&gt;"Disqualified — Free Game",INDEX('Game Records'!$J:$J,$H166)=""),"Total Players; ","")&amp;IF(AND(LOWER(INDEX('Game Records'!$D:$D,$H166)&amp;"")="finalized",LOWER(INDEX('Game Records'!$L:$L,$H166)&amp;"")&lt;&gt;"yes",INDEX('Game Records'!$U:$U,$H166)&lt;&gt;"Subscription",INDEX('Game Records'!$U:$U,$H166)&lt;&gt;"Free Game",INDEX('Game Records'!$U:$U,$H166)&lt;&gt;"Disqualified — Free Game",INDEX('Game Records'!$K:$K,$H166)=""),"Final Payout; ","")&amp;IF(AND(LOWER(INDEX('Game Records'!$D:$D,$H166)&amp;"")="finalized",INDEX('Game Records'!$U:$U,$H166)&lt;&gt;"Subscription",INDEX('Game Records'!$U:$U,$H166)&lt;&gt;"Free Game",INDEX('Game Records'!$U:$U,$H166)&lt;&gt;"Disqualified — Free Game",OR(INDEX('Game Records'!$L:$L,$H166)="",LOWER(INDEX('Game Records'!$L:$L,$H166)&amp;"")="n/a")),"Disqualified Status; ",""))</f>
        <v/>
      </c>
      <c r="G166" s="25" t="str">
        <f t="array" ref="G166">IF($H166="","",IFERROR(INDEX('Game Records'!$M:$M,$H166),""))</f>
        <v/>
      </c>
      <c r="H166" s="8"/>
      <c r="I166" s="8"/>
      <c r="J166" s="8"/>
    </row>
    <row r="167" ht="24.0" customHeight="1">
      <c r="A167" s="21" t="str">
        <f t="shared" si="1"/>
        <v/>
      </c>
      <c r="B167" s="21" t="str">
        <f t="shared" si="2"/>
        <v/>
      </c>
      <c r="C167" s="25" t="str">
        <f t="array" ref="C167">IF($H167="","",IFERROR(INDEX('Game Records'!$A:$A,$H167),""))</f>
        <v/>
      </c>
      <c r="D167" s="25" t="str">
        <f t="array" ref="D167">IF($H167="","",IFERROR(INDEX('Game Records'!$U:$U,$H167),""))</f>
        <v/>
      </c>
      <c r="E167" s="25" t="str">
        <f t="shared" si="3"/>
        <v/>
      </c>
      <c r="F167" s="25" t="str">
        <f t="array" ref="F167">IF($H167="","",IF(OR(NOT(_xlfn.ISFORMULA(INDEX('Game Records'!$N:$N,$H167))),NOT(_xlfn.ISFORMULA(INDEX('Game Records'!$O:$O,$H167))),NOT(_xlfn.ISFORMULA(INDEX('Game Records'!$P:$P,$H167))),NOT(_xlfn.ISFORMULA(INDEX('Game Records'!$Q:$Q,$H167))),NOT(_xlfn.ISFORMULA(INDEX('Game Records'!$R:$R,$H167))),NOT(_xlfn.ISFORMULA(INDEX('Game Records'!$S:$S,$H167))),NOT(_xlfn.ISFORMULA(INDEX('Game Records'!$T:$T,$H167))),NOT(_xlfn.ISFORMULA(INDEX('Game Records'!$U:$U,$H167))),NOT(_xlfn.ISFORMULA(INDEX('Game Records'!$V:$V,$H167))),NOT(_xlfn.ISFORMULA(INDEX('Game Records'!$W:$W,$H167))),NOT(_xlfn.ISFORMULA(INDEX('Game Records'!$X:$X,$H167))),NOT(_xlfn.ISFORMULA(INDEX('Game Records'!$Y:$Y,$H167))),NOT(_xlfn.ISFORMULA(INDEX('Game Records'!$Z:$Z,$H167)))),"","")&amp;IF(INDEX('Game Records'!$B:$B,$H167)="","Start Date; ","")&amp;IF(INDEX('Game Records'!$C:$C,$H167)="","End Date; ","")&amp;IF(AND(INDEX('Game Records'!$U:$U,$H167)&lt;&gt;"Subscription",INDEX('Game Records'!$U:$U,$H167)&lt;&gt;"Free Game",INDEX('Game Records'!$U:$U,$H167)&lt;&gt;"Disqualified — Free Game",OR(INDEX('Game Records'!$D:$D,$H167)="",LOWER(INDEX('Game Records'!$D:$D,$H167)&amp;"")="n/a")),"Entry Mode; ","")&amp;IF(AND(INDEX('Game Records'!$U:$U,$H167)&lt;&gt;"Subscription",INDEX('Game Records'!$U:$U,$H167)&lt;&gt;"Free Game",INDEX('Game Records'!$U:$U,$H167)&lt;&gt;"Disqualified — Free Game",OR(INDEX('Game Records'!$E:$E,$H167)="",LOWER(INDEX('Game Records'!$E:$E,$H167)&amp;"")="n/a")),"Game Type; ","")&amp;IF(INDEX('Game Records'!$F:$F,$H167)="","Payment Type; ","")&amp;IF(AND(INDEX('Game Records'!$U:$U,$H167)&lt;&gt;"Subscription",INDEX('Game Records'!$U:$U,$H167)&lt;&gt;"Free Game",INDEX('Game Records'!$U:$U,$H167)&lt;&gt;"Disqualified — Free Game",INDEX('Game Records'!$G:$G,$H167)=""),"Gross Pot; ","")&amp;IF(AND(INDEX('Game Records'!$U:$U,$H167)&lt;&gt;"Free Game",INDEX('Game Records'!$U:$U,$H167)&lt;&gt;"Disqualified — Free Game",INDEX('Game Records'!$H:$H,$H167)=""),"Entry Fee; ","")&amp;IF(AND(INDEX('Game Records'!$U:$U,$H167)&lt;&gt;"Subscription",INDEX('Game Records'!$U:$U,$H167)&lt;&gt;"Free Game",INDEX('Game Records'!$U:$U,$H167)&lt;&gt;"Disqualified — Free Game",INDEX('Game Records'!$I:$I,$H167)=""),"Eligible Players; ","")&amp;IF(AND(INDEX('Game Records'!$U:$U,$H167)&lt;&gt;"Subscription",INDEX('Game Records'!$U:$U,$H167)&lt;&gt;"Free Game",INDEX('Game Records'!$U:$U,$H167)&lt;&gt;"Disqualified — Free Game",INDEX('Game Records'!$J:$J,$H167)=""),"Total Players; ","")&amp;IF(AND(LOWER(INDEX('Game Records'!$D:$D,$H167)&amp;"")="finalized",LOWER(INDEX('Game Records'!$L:$L,$H167)&amp;"")&lt;&gt;"yes",INDEX('Game Records'!$U:$U,$H167)&lt;&gt;"Subscription",INDEX('Game Records'!$U:$U,$H167)&lt;&gt;"Free Game",INDEX('Game Records'!$U:$U,$H167)&lt;&gt;"Disqualified — Free Game",INDEX('Game Records'!$K:$K,$H167)=""),"Final Payout; ","")&amp;IF(AND(LOWER(INDEX('Game Records'!$D:$D,$H167)&amp;"")="finalized",INDEX('Game Records'!$U:$U,$H167)&lt;&gt;"Subscription",INDEX('Game Records'!$U:$U,$H167)&lt;&gt;"Free Game",INDEX('Game Records'!$U:$U,$H167)&lt;&gt;"Disqualified — Free Game",OR(INDEX('Game Records'!$L:$L,$H167)="",LOWER(INDEX('Game Records'!$L:$L,$H167)&amp;"")="n/a")),"Disqualified Status; ",""))</f>
        <v/>
      </c>
      <c r="G167" s="25" t="str">
        <f t="array" ref="G167">IF($H167="","",IFERROR(INDEX('Game Records'!$M:$M,$H167),""))</f>
        <v/>
      </c>
      <c r="H167" s="8"/>
      <c r="I167" s="8"/>
      <c r="J167" s="8"/>
    </row>
    <row r="168" ht="24.0" customHeight="1">
      <c r="A168" s="21" t="str">
        <f t="shared" si="1"/>
        <v/>
      </c>
      <c r="B168" s="21" t="str">
        <f t="shared" si="2"/>
        <v/>
      </c>
      <c r="C168" s="25" t="str">
        <f t="array" ref="C168">IF($H168="","",IFERROR(INDEX('Game Records'!$A:$A,$H168),""))</f>
        <v/>
      </c>
      <c r="D168" s="25" t="str">
        <f t="array" ref="D168">IF($H168="","",IFERROR(INDEX('Game Records'!$U:$U,$H168),""))</f>
        <v/>
      </c>
      <c r="E168" s="25" t="str">
        <f t="shared" si="3"/>
        <v/>
      </c>
      <c r="F168" s="25" t="str">
        <f t="array" ref="F168">IF($H168="","",IF(OR(NOT(_xlfn.ISFORMULA(INDEX('Game Records'!$N:$N,$H168))),NOT(_xlfn.ISFORMULA(INDEX('Game Records'!$O:$O,$H168))),NOT(_xlfn.ISFORMULA(INDEX('Game Records'!$P:$P,$H168))),NOT(_xlfn.ISFORMULA(INDEX('Game Records'!$Q:$Q,$H168))),NOT(_xlfn.ISFORMULA(INDEX('Game Records'!$R:$R,$H168))),NOT(_xlfn.ISFORMULA(INDEX('Game Records'!$S:$S,$H168))),NOT(_xlfn.ISFORMULA(INDEX('Game Records'!$T:$T,$H168))),NOT(_xlfn.ISFORMULA(INDEX('Game Records'!$U:$U,$H168))),NOT(_xlfn.ISFORMULA(INDEX('Game Records'!$V:$V,$H168))),NOT(_xlfn.ISFORMULA(INDEX('Game Records'!$W:$W,$H168))),NOT(_xlfn.ISFORMULA(INDEX('Game Records'!$X:$X,$H168))),NOT(_xlfn.ISFORMULA(INDEX('Game Records'!$Y:$Y,$H168))),NOT(_xlfn.ISFORMULA(INDEX('Game Records'!$Z:$Z,$H168)))),"","")&amp;IF(INDEX('Game Records'!$B:$B,$H168)="","Start Date; ","")&amp;IF(INDEX('Game Records'!$C:$C,$H168)="","End Date; ","")&amp;IF(AND(INDEX('Game Records'!$U:$U,$H168)&lt;&gt;"Subscription",INDEX('Game Records'!$U:$U,$H168)&lt;&gt;"Free Game",INDEX('Game Records'!$U:$U,$H168)&lt;&gt;"Disqualified — Free Game",OR(INDEX('Game Records'!$D:$D,$H168)="",LOWER(INDEX('Game Records'!$D:$D,$H168)&amp;"")="n/a")),"Entry Mode; ","")&amp;IF(AND(INDEX('Game Records'!$U:$U,$H168)&lt;&gt;"Subscription",INDEX('Game Records'!$U:$U,$H168)&lt;&gt;"Free Game",INDEX('Game Records'!$U:$U,$H168)&lt;&gt;"Disqualified — Free Game",OR(INDEX('Game Records'!$E:$E,$H168)="",LOWER(INDEX('Game Records'!$E:$E,$H168)&amp;"")="n/a")),"Game Type; ","")&amp;IF(INDEX('Game Records'!$F:$F,$H168)="","Payment Type; ","")&amp;IF(AND(INDEX('Game Records'!$U:$U,$H168)&lt;&gt;"Subscription",INDEX('Game Records'!$U:$U,$H168)&lt;&gt;"Free Game",INDEX('Game Records'!$U:$U,$H168)&lt;&gt;"Disqualified — Free Game",INDEX('Game Records'!$G:$G,$H168)=""),"Gross Pot; ","")&amp;IF(AND(INDEX('Game Records'!$U:$U,$H168)&lt;&gt;"Free Game",INDEX('Game Records'!$U:$U,$H168)&lt;&gt;"Disqualified — Free Game",INDEX('Game Records'!$H:$H,$H168)=""),"Entry Fee; ","")&amp;IF(AND(INDEX('Game Records'!$U:$U,$H168)&lt;&gt;"Subscription",INDEX('Game Records'!$U:$U,$H168)&lt;&gt;"Free Game",INDEX('Game Records'!$U:$U,$H168)&lt;&gt;"Disqualified — Free Game",INDEX('Game Records'!$I:$I,$H168)=""),"Eligible Players; ","")&amp;IF(AND(INDEX('Game Records'!$U:$U,$H168)&lt;&gt;"Subscription",INDEX('Game Records'!$U:$U,$H168)&lt;&gt;"Free Game",INDEX('Game Records'!$U:$U,$H168)&lt;&gt;"Disqualified — Free Game",INDEX('Game Records'!$J:$J,$H168)=""),"Total Players; ","")&amp;IF(AND(LOWER(INDEX('Game Records'!$D:$D,$H168)&amp;"")="finalized",LOWER(INDEX('Game Records'!$L:$L,$H168)&amp;"")&lt;&gt;"yes",INDEX('Game Records'!$U:$U,$H168)&lt;&gt;"Subscription",INDEX('Game Records'!$U:$U,$H168)&lt;&gt;"Free Game",INDEX('Game Records'!$U:$U,$H168)&lt;&gt;"Disqualified — Free Game",INDEX('Game Records'!$K:$K,$H168)=""),"Final Payout; ","")&amp;IF(AND(LOWER(INDEX('Game Records'!$D:$D,$H168)&amp;"")="finalized",INDEX('Game Records'!$U:$U,$H168)&lt;&gt;"Subscription",INDEX('Game Records'!$U:$U,$H168)&lt;&gt;"Free Game",INDEX('Game Records'!$U:$U,$H168)&lt;&gt;"Disqualified — Free Game",OR(INDEX('Game Records'!$L:$L,$H168)="",LOWER(INDEX('Game Records'!$L:$L,$H168)&amp;"")="n/a")),"Disqualified Status; ",""))</f>
        <v/>
      </c>
      <c r="G168" s="25" t="str">
        <f t="array" ref="G168">IF($H168="","",IFERROR(INDEX('Game Records'!$M:$M,$H168),""))</f>
        <v/>
      </c>
      <c r="H168" s="8"/>
      <c r="I168" s="8"/>
      <c r="J168" s="8"/>
    </row>
    <row r="169" ht="24.0" customHeight="1">
      <c r="A169" s="21" t="str">
        <f t="shared" si="1"/>
        <v/>
      </c>
      <c r="B169" s="21" t="str">
        <f t="shared" si="2"/>
        <v/>
      </c>
      <c r="C169" s="25" t="str">
        <f t="array" ref="C169">IF($H169="","",IFERROR(INDEX('Game Records'!$A:$A,$H169),""))</f>
        <v/>
      </c>
      <c r="D169" s="25" t="str">
        <f t="array" ref="D169">IF($H169="","",IFERROR(INDEX('Game Records'!$U:$U,$H169),""))</f>
        <v/>
      </c>
      <c r="E169" s="25" t="str">
        <f t="shared" si="3"/>
        <v/>
      </c>
      <c r="F169" s="25" t="str">
        <f t="array" ref="F169">IF($H169="","",IF(OR(NOT(_xlfn.ISFORMULA(INDEX('Game Records'!$N:$N,$H169))),NOT(_xlfn.ISFORMULA(INDEX('Game Records'!$O:$O,$H169))),NOT(_xlfn.ISFORMULA(INDEX('Game Records'!$P:$P,$H169))),NOT(_xlfn.ISFORMULA(INDEX('Game Records'!$Q:$Q,$H169))),NOT(_xlfn.ISFORMULA(INDEX('Game Records'!$R:$R,$H169))),NOT(_xlfn.ISFORMULA(INDEX('Game Records'!$S:$S,$H169))),NOT(_xlfn.ISFORMULA(INDEX('Game Records'!$T:$T,$H169))),NOT(_xlfn.ISFORMULA(INDEX('Game Records'!$U:$U,$H169))),NOT(_xlfn.ISFORMULA(INDEX('Game Records'!$V:$V,$H169))),NOT(_xlfn.ISFORMULA(INDEX('Game Records'!$W:$W,$H169))),NOT(_xlfn.ISFORMULA(INDEX('Game Records'!$X:$X,$H169))),NOT(_xlfn.ISFORMULA(INDEX('Game Records'!$Y:$Y,$H169))),NOT(_xlfn.ISFORMULA(INDEX('Game Records'!$Z:$Z,$H169)))),"","")&amp;IF(INDEX('Game Records'!$B:$B,$H169)="","Start Date; ","")&amp;IF(INDEX('Game Records'!$C:$C,$H169)="","End Date; ","")&amp;IF(AND(INDEX('Game Records'!$U:$U,$H169)&lt;&gt;"Subscription",INDEX('Game Records'!$U:$U,$H169)&lt;&gt;"Free Game",INDEX('Game Records'!$U:$U,$H169)&lt;&gt;"Disqualified — Free Game",OR(INDEX('Game Records'!$D:$D,$H169)="",LOWER(INDEX('Game Records'!$D:$D,$H169)&amp;"")="n/a")),"Entry Mode; ","")&amp;IF(AND(INDEX('Game Records'!$U:$U,$H169)&lt;&gt;"Subscription",INDEX('Game Records'!$U:$U,$H169)&lt;&gt;"Free Game",INDEX('Game Records'!$U:$U,$H169)&lt;&gt;"Disqualified — Free Game",OR(INDEX('Game Records'!$E:$E,$H169)="",LOWER(INDEX('Game Records'!$E:$E,$H169)&amp;"")="n/a")),"Game Type; ","")&amp;IF(INDEX('Game Records'!$F:$F,$H169)="","Payment Type; ","")&amp;IF(AND(INDEX('Game Records'!$U:$U,$H169)&lt;&gt;"Subscription",INDEX('Game Records'!$U:$U,$H169)&lt;&gt;"Free Game",INDEX('Game Records'!$U:$U,$H169)&lt;&gt;"Disqualified — Free Game",INDEX('Game Records'!$G:$G,$H169)=""),"Gross Pot; ","")&amp;IF(AND(INDEX('Game Records'!$U:$U,$H169)&lt;&gt;"Free Game",INDEX('Game Records'!$U:$U,$H169)&lt;&gt;"Disqualified — Free Game",INDEX('Game Records'!$H:$H,$H169)=""),"Entry Fee; ","")&amp;IF(AND(INDEX('Game Records'!$U:$U,$H169)&lt;&gt;"Subscription",INDEX('Game Records'!$U:$U,$H169)&lt;&gt;"Free Game",INDEX('Game Records'!$U:$U,$H169)&lt;&gt;"Disqualified — Free Game",INDEX('Game Records'!$I:$I,$H169)=""),"Eligible Players; ","")&amp;IF(AND(INDEX('Game Records'!$U:$U,$H169)&lt;&gt;"Subscription",INDEX('Game Records'!$U:$U,$H169)&lt;&gt;"Free Game",INDEX('Game Records'!$U:$U,$H169)&lt;&gt;"Disqualified — Free Game",INDEX('Game Records'!$J:$J,$H169)=""),"Total Players; ","")&amp;IF(AND(LOWER(INDEX('Game Records'!$D:$D,$H169)&amp;"")="finalized",LOWER(INDEX('Game Records'!$L:$L,$H169)&amp;"")&lt;&gt;"yes",INDEX('Game Records'!$U:$U,$H169)&lt;&gt;"Subscription",INDEX('Game Records'!$U:$U,$H169)&lt;&gt;"Free Game",INDEX('Game Records'!$U:$U,$H169)&lt;&gt;"Disqualified — Free Game",INDEX('Game Records'!$K:$K,$H169)=""),"Final Payout; ","")&amp;IF(AND(LOWER(INDEX('Game Records'!$D:$D,$H169)&amp;"")="finalized",INDEX('Game Records'!$U:$U,$H169)&lt;&gt;"Subscription",INDEX('Game Records'!$U:$U,$H169)&lt;&gt;"Free Game",INDEX('Game Records'!$U:$U,$H169)&lt;&gt;"Disqualified — Free Game",OR(INDEX('Game Records'!$L:$L,$H169)="",LOWER(INDEX('Game Records'!$L:$L,$H169)&amp;"")="n/a")),"Disqualified Status; ",""))</f>
        <v/>
      </c>
      <c r="G169" s="25" t="str">
        <f t="array" ref="G169">IF($H169="","",IFERROR(INDEX('Game Records'!$M:$M,$H169),""))</f>
        <v/>
      </c>
      <c r="H169" s="8"/>
      <c r="I169" s="8"/>
      <c r="J169" s="8"/>
    </row>
    <row r="170" ht="24.0" customHeight="1">
      <c r="A170" s="21" t="str">
        <f t="shared" si="1"/>
        <v/>
      </c>
      <c r="B170" s="21" t="str">
        <f t="shared" si="2"/>
        <v/>
      </c>
      <c r="C170" s="25" t="str">
        <f t="array" ref="C170">IF($H170="","",IFERROR(INDEX('Game Records'!$A:$A,$H170),""))</f>
        <v/>
      </c>
      <c r="D170" s="25" t="str">
        <f t="array" ref="D170">IF($H170="","",IFERROR(INDEX('Game Records'!$U:$U,$H170),""))</f>
        <v/>
      </c>
      <c r="E170" s="25" t="str">
        <f t="shared" si="3"/>
        <v/>
      </c>
      <c r="F170" s="25" t="str">
        <f t="array" ref="F170">IF($H170="","",IF(OR(NOT(_xlfn.ISFORMULA(INDEX('Game Records'!$N:$N,$H170))),NOT(_xlfn.ISFORMULA(INDEX('Game Records'!$O:$O,$H170))),NOT(_xlfn.ISFORMULA(INDEX('Game Records'!$P:$P,$H170))),NOT(_xlfn.ISFORMULA(INDEX('Game Records'!$Q:$Q,$H170))),NOT(_xlfn.ISFORMULA(INDEX('Game Records'!$R:$R,$H170))),NOT(_xlfn.ISFORMULA(INDEX('Game Records'!$S:$S,$H170))),NOT(_xlfn.ISFORMULA(INDEX('Game Records'!$T:$T,$H170))),NOT(_xlfn.ISFORMULA(INDEX('Game Records'!$U:$U,$H170))),NOT(_xlfn.ISFORMULA(INDEX('Game Records'!$V:$V,$H170))),NOT(_xlfn.ISFORMULA(INDEX('Game Records'!$W:$W,$H170))),NOT(_xlfn.ISFORMULA(INDEX('Game Records'!$X:$X,$H170))),NOT(_xlfn.ISFORMULA(INDEX('Game Records'!$Y:$Y,$H170))),NOT(_xlfn.ISFORMULA(INDEX('Game Records'!$Z:$Z,$H170)))),"","")&amp;IF(INDEX('Game Records'!$B:$B,$H170)="","Start Date; ","")&amp;IF(INDEX('Game Records'!$C:$C,$H170)="","End Date; ","")&amp;IF(AND(INDEX('Game Records'!$U:$U,$H170)&lt;&gt;"Subscription",INDEX('Game Records'!$U:$U,$H170)&lt;&gt;"Free Game",INDEX('Game Records'!$U:$U,$H170)&lt;&gt;"Disqualified — Free Game",OR(INDEX('Game Records'!$D:$D,$H170)="",LOWER(INDEX('Game Records'!$D:$D,$H170)&amp;"")="n/a")),"Entry Mode; ","")&amp;IF(AND(INDEX('Game Records'!$U:$U,$H170)&lt;&gt;"Subscription",INDEX('Game Records'!$U:$U,$H170)&lt;&gt;"Free Game",INDEX('Game Records'!$U:$U,$H170)&lt;&gt;"Disqualified — Free Game",OR(INDEX('Game Records'!$E:$E,$H170)="",LOWER(INDEX('Game Records'!$E:$E,$H170)&amp;"")="n/a")),"Game Type; ","")&amp;IF(INDEX('Game Records'!$F:$F,$H170)="","Payment Type; ","")&amp;IF(AND(INDEX('Game Records'!$U:$U,$H170)&lt;&gt;"Subscription",INDEX('Game Records'!$U:$U,$H170)&lt;&gt;"Free Game",INDEX('Game Records'!$U:$U,$H170)&lt;&gt;"Disqualified — Free Game",INDEX('Game Records'!$G:$G,$H170)=""),"Gross Pot; ","")&amp;IF(AND(INDEX('Game Records'!$U:$U,$H170)&lt;&gt;"Free Game",INDEX('Game Records'!$U:$U,$H170)&lt;&gt;"Disqualified — Free Game",INDEX('Game Records'!$H:$H,$H170)=""),"Entry Fee; ","")&amp;IF(AND(INDEX('Game Records'!$U:$U,$H170)&lt;&gt;"Subscription",INDEX('Game Records'!$U:$U,$H170)&lt;&gt;"Free Game",INDEX('Game Records'!$U:$U,$H170)&lt;&gt;"Disqualified — Free Game",INDEX('Game Records'!$I:$I,$H170)=""),"Eligible Players; ","")&amp;IF(AND(INDEX('Game Records'!$U:$U,$H170)&lt;&gt;"Subscription",INDEX('Game Records'!$U:$U,$H170)&lt;&gt;"Free Game",INDEX('Game Records'!$U:$U,$H170)&lt;&gt;"Disqualified — Free Game",INDEX('Game Records'!$J:$J,$H170)=""),"Total Players; ","")&amp;IF(AND(LOWER(INDEX('Game Records'!$D:$D,$H170)&amp;"")="finalized",LOWER(INDEX('Game Records'!$L:$L,$H170)&amp;"")&lt;&gt;"yes",INDEX('Game Records'!$U:$U,$H170)&lt;&gt;"Subscription",INDEX('Game Records'!$U:$U,$H170)&lt;&gt;"Free Game",INDEX('Game Records'!$U:$U,$H170)&lt;&gt;"Disqualified — Free Game",INDEX('Game Records'!$K:$K,$H170)=""),"Final Payout; ","")&amp;IF(AND(LOWER(INDEX('Game Records'!$D:$D,$H170)&amp;"")="finalized",INDEX('Game Records'!$U:$U,$H170)&lt;&gt;"Subscription",INDEX('Game Records'!$U:$U,$H170)&lt;&gt;"Free Game",INDEX('Game Records'!$U:$U,$H170)&lt;&gt;"Disqualified — Free Game",OR(INDEX('Game Records'!$L:$L,$H170)="",LOWER(INDEX('Game Records'!$L:$L,$H170)&amp;"")="n/a")),"Disqualified Status; ",""))</f>
        <v/>
      </c>
      <c r="G170" s="25" t="str">
        <f t="array" ref="G170">IF($H170="","",IFERROR(INDEX('Game Records'!$M:$M,$H170),""))</f>
        <v/>
      </c>
      <c r="H170" s="8"/>
      <c r="I170" s="8"/>
      <c r="J170" s="8"/>
    </row>
    <row r="171" ht="24.0" customHeight="1">
      <c r="A171" s="21" t="str">
        <f t="shared" si="1"/>
        <v/>
      </c>
      <c r="B171" s="21" t="str">
        <f t="shared" si="2"/>
        <v/>
      </c>
      <c r="C171" s="25" t="str">
        <f t="array" ref="C171">IF($H171="","",IFERROR(INDEX('Game Records'!$A:$A,$H171),""))</f>
        <v/>
      </c>
      <c r="D171" s="25" t="str">
        <f t="array" ref="D171">IF($H171="","",IFERROR(INDEX('Game Records'!$U:$U,$H171),""))</f>
        <v/>
      </c>
      <c r="E171" s="25" t="str">
        <f t="shared" si="3"/>
        <v/>
      </c>
      <c r="F171" s="25" t="str">
        <f t="array" ref="F171">IF($H171="","",IF(OR(NOT(_xlfn.ISFORMULA(INDEX('Game Records'!$N:$N,$H171))),NOT(_xlfn.ISFORMULA(INDEX('Game Records'!$O:$O,$H171))),NOT(_xlfn.ISFORMULA(INDEX('Game Records'!$P:$P,$H171))),NOT(_xlfn.ISFORMULA(INDEX('Game Records'!$Q:$Q,$H171))),NOT(_xlfn.ISFORMULA(INDEX('Game Records'!$R:$R,$H171))),NOT(_xlfn.ISFORMULA(INDEX('Game Records'!$S:$S,$H171))),NOT(_xlfn.ISFORMULA(INDEX('Game Records'!$T:$T,$H171))),NOT(_xlfn.ISFORMULA(INDEX('Game Records'!$U:$U,$H171))),NOT(_xlfn.ISFORMULA(INDEX('Game Records'!$V:$V,$H171))),NOT(_xlfn.ISFORMULA(INDEX('Game Records'!$W:$W,$H171))),NOT(_xlfn.ISFORMULA(INDEX('Game Records'!$X:$X,$H171))),NOT(_xlfn.ISFORMULA(INDEX('Game Records'!$Y:$Y,$H171))),NOT(_xlfn.ISFORMULA(INDEX('Game Records'!$Z:$Z,$H171)))),"","")&amp;IF(INDEX('Game Records'!$B:$B,$H171)="","Start Date; ","")&amp;IF(INDEX('Game Records'!$C:$C,$H171)="","End Date; ","")&amp;IF(AND(INDEX('Game Records'!$U:$U,$H171)&lt;&gt;"Subscription",INDEX('Game Records'!$U:$U,$H171)&lt;&gt;"Free Game",INDEX('Game Records'!$U:$U,$H171)&lt;&gt;"Disqualified — Free Game",OR(INDEX('Game Records'!$D:$D,$H171)="",LOWER(INDEX('Game Records'!$D:$D,$H171)&amp;"")="n/a")),"Entry Mode; ","")&amp;IF(AND(INDEX('Game Records'!$U:$U,$H171)&lt;&gt;"Subscription",INDEX('Game Records'!$U:$U,$H171)&lt;&gt;"Free Game",INDEX('Game Records'!$U:$U,$H171)&lt;&gt;"Disqualified — Free Game",OR(INDEX('Game Records'!$E:$E,$H171)="",LOWER(INDEX('Game Records'!$E:$E,$H171)&amp;"")="n/a")),"Game Type; ","")&amp;IF(INDEX('Game Records'!$F:$F,$H171)="","Payment Type; ","")&amp;IF(AND(INDEX('Game Records'!$U:$U,$H171)&lt;&gt;"Subscription",INDEX('Game Records'!$U:$U,$H171)&lt;&gt;"Free Game",INDEX('Game Records'!$U:$U,$H171)&lt;&gt;"Disqualified — Free Game",INDEX('Game Records'!$G:$G,$H171)=""),"Gross Pot; ","")&amp;IF(AND(INDEX('Game Records'!$U:$U,$H171)&lt;&gt;"Free Game",INDEX('Game Records'!$U:$U,$H171)&lt;&gt;"Disqualified — Free Game",INDEX('Game Records'!$H:$H,$H171)=""),"Entry Fee; ","")&amp;IF(AND(INDEX('Game Records'!$U:$U,$H171)&lt;&gt;"Subscription",INDEX('Game Records'!$U:$U,$H171)&lt;&gt;"Free Game",INDEX('Game Records'!$U:$U,$H171)&lt;&gt;"Disqualified — Free Game",INDEX('Game Records'!$I:$I,$H171)=""),"Eligible Players; ","")&amp;IF(AND(INDEX('Game Records'!$U:$U,$H171)&lt;&gt;"Subscription",INDEX('Game Records'!$U:$U,$H171)&lt;&gt;"Free Game",INDEX('Game Records'!$U:$U,$H171)&lt;&gt;"Disqualified — Free Game",INDEX('Game Records'!$J:$J,$H171)=""),"Total Players; ","")&amp;IF(AND(LOWER(INDEX('Game Records'!$D:$D,$H171)&amp;"")="finalized",LOWER(INDEX('Game Records'!$L:$L,$H171)&amp;"")&lt;&gt;"yes",INDEX('Game Records'!$U:$U,$H171)&lt;&gt;"Subscription",INDEX('Game Records'!$U:$U,$H171)&lt;&gt;"Free Game",INDEX('Game Records'!$U:$U,$H171)&lt;&gt;"Disqualified — Free Game",INDEX('Game Records'!$K:$K,$H171)=""),"Final Payout; ","")&amp;IF(AND(LOWER(INDEX('Game Records'!$D:$D,$H171)&amp;"")="finalized",INDEX('Game Records'!$U:$U,$H171)&lt;&gt;"Subscription",INDEX('Game Records'!$U:$U,$H171)&lt;&gt;"Free Game",INDEX('Game Records'!$U:$U,$H171)&lt;&gt;"Disqualified — Free Game",OR(INDEX('Game Records'!$L:$L,$H171)="",LOWER(INDEX('Game Records'!$L:$L,$H171)&amp;"")="n/a")),"Disqualified Status; ",""))</f>
        <v/>
      </c>
      <c r="G171" s="25" t="str">
        <f t="array" ref="G171">IF($H171="","",IFERROR(INDEX('Game Records'!$M:$M,$H171),""))</f>
        <v/>
      </c>
      <c r="H171" s="8"/>
      <c r="I171" s="8"/>
      <c r="J171" s="8"/>
    </row>
    <row r="172" ht="24.0" customHeight="1">
      <c r="A172" s="21" t="str">
        <f t="shared" si="1"/>
        <v/>
      </c>
      <c r="B172" s="21" t="str">
        <f t="shared" si="2"/>
        <v/>
      </c>
      <c r="C172" s="25" t="str">
        <f t="array" ref="C172">IF($H172="","",IFERROR(INDEX('Game Records'!$A:$A,$H172),""))</f>
        <v/>
      </c>
      <c r="D172" s="25" t="str">
        <f t="array" ref="D172">IF($H172="","",IFERROR(INDEX('Game Records'!$U:$U,$H172),""))</f>
        <v/>
      </c>
      <c r="E172" s="25" t="str">
        <f t="shared" si="3"/>
        <v/>
      </c>
      <c r="F172" s="25" t="str">
        <f t="array" ref="F172">IF($H172="","",IF(OR(NOT(_xlfn.ISFORMULA(INDEX('Game Records'!$N:$N,$H172))),NOT(_xlfn.ISFORMULA(INDEX('Game Records'!$O:$O,$H172))),NOT(_xlfn.ISFORMULA(INDEX('Game Records'!$P:$P,$H172))),NOT(_xlfn.ISFORMULA(INDEX('Game Records'!$Q:$Q,$H172))),NOT(_xlfn.ISFORMULA(INDEX('Game Records'!$R:$R,$H172))),NOT(_xlfn.ISFORMULA(INDEX('Game Records'!$S:$S,$H172))),NOT(_xlfn.ISFORMULA(INDEX('Game Records'!$T:$T,$H172))),NOT(_xlfn.ISFORMULA(INDEX('Game Records'!$U:$U,$H172))),NOT(_xlfn.ISFORMULA(INDEX('Game Records'!$V:$V,$H172))),NOT(_xlfn.ISFORMULA(INDEX('Game Records'!$W:$W,$H172))),NOT(_xlfn.ISFORMULA(INDEX('Game Records'!$X:$X,$H172))),NOT(_xlfn.ISFORMULA(INDEX('Game Records'!$Y:$Y,$H172))),NOT(_xlfn.ISFORMULA(INDEX('Game Records'!$Z:$Z,$H172)))),"","")&amp;IF(INDEX('Game Records'!$B:$B,$H172)="","Start Date; ","")&amp;IF(INDEX('Game Records'!$C:$C,$H172)="","End Date; ","")&amp;IF(AND(INDEX('Game Records'!$U:$U,$H172)&lt;&gt;"Subscription",INDEX('Game Records'!$U:$U,$H172)&lt;&gt;"Free Game",INDEX('Game Records'!$U:$U,$H172)&lt;&gt;"Disqualified — Free Game",OR(INDEX('Game Records'!$D:$D,$H172)="",LOWER(INDEX('Game Records'!$D:$D,$H172)&amp;"")="n/a")),"Entry Mode; ","")&amp;IF(AND(INDEX('Game Records'!$U:$U,$H172)&lt;&gt;"Subscription",INDEX('Game Records'!$U:$U,$H172)&lt;&gt;"Free Game",INDEX('Game Records'!$U:$U,$H172)&lt;&gt;"Disqualified — Free Game",OR(INDEX('Game Records'!$E:$E,$H172)="",LOWER(INDEX('Game Records'!$E:$E,$H172)&amp;"")="n/a")),"Game Type; ","")&amp;IF(INDEX('Game Records'!$F:$F,$H172)="","Payment Type; ","")&amp;IF(AND(INDEX('Game Records'!$U:$U,$H172)&lt;&gt;"Subscription",INDEX('Game Records'!$U:$U,$H172)&lt;&gt;"Free Game",INDEX('Game Records'!$U:$U,$H172)&lt;&gt;"Disqualified — Free Game",INDEX('Game Records'!$G:$G,$H172)=""),"Gross Pot; ","")&amp;IF(AND(INDEX('Game Records'!$U:$U,$H172)&lt;&gt;"Free Game",INDEX('Game Records'!$U:$U,$H172)&lt;&gt;"Disqualified — Free Game",INDEX('Game Records'!$H:$H,$H172)=""),"Entry Fee; ","")&amp;IF(AND(INDEX('Game Records'!$U:$U,$H172)&lt;&gt;"Subscription",INDEX('Game Records'!$U:$U,$H172)&lt;&gt;"Free Game",INDEX('Game Records'!$U:$U,$H172)&lt;&gt;"Disqualified — Free Game",INDEX('Game Records'!$I:$I,$H172)=""),"Eligible Players; ","")&amp;IF(AND(INDEX('Game Records'!$U:$U,$H172)&lt;&gt;"Subscription",INDEX('Game Records'!$U:$U,$H172)&lt;&gt;"Free Game",INDEX('Game Records'!$U:$U,$H172)&lt;&gt;"Disqualified — Free Game",INDEX('Game Records'!$J:$J,$H172)=""),"Total Players; ","")&amp;IF(AND(LOWER(INDEX('Game Records'!$D:$D,$H172)&amp;"")="finalized",LOWER(INDEX('Game Records'!$L:$L,$H172)&amp;"")&lt;&gt;"yes",INDEX('Game Records'!$U:$U,$H172)&lt;&gt;"Subscription",INDEX('Game Records'!$U:$U,$H172)&lt;&gt;"Free Game",INDEX('Game Records'!$U:$U,$H172)&lt;&gt;"Disqualified — Free Game",INDEX('Game Records'!$K:$K,$H172)=""),"Final Payout; ","")&amp;IF(AND(LOWER(INDEX('Game Records'!$D:$D,$H172)&amp;"")="finalized",INDEX('Game Records'!$U:$U,$H172)&lt;&gt;"Subscription",INDEX('Game Records'!$U:$U,$H172)&lt;&gt;"Free Game",INDEX('Game Records'!$U:$U,$H172)&lt;&gt;"Disqualified — Free Game",OR(INDEX('Game Records'!$L:$L,$H172)="",LOWER(INDEX('Game Records'!$L:$L,$H172)&amp;"")="n/a")),"Disqualified Status; ",""))</f>
        <v/>
      </c>
      <c r="G172" s="25" t="str">
        <f t="array" ref="G172">IF($H172="","",IFERROR(INDEX('Game Records'!$M:$M,$H172),""))</f>
        <v/>
      </c>
      <c r="H172" s="8"/>
      <c r="I172" s="8"/>
      <c r="J172" s="8"/>
    </row>
    <row r="173" ht="24.0" customHeight="1">
      <c r="A173" s="21" t="str">
        <f t="shared" si="1"/>
        <v/>
      </c>
      <c r="B173" s="21" t="str">
        <f t="shared" si="2"/>
        <v/>
      </c>
      <c r="C173" s="25" t="str">
        <f t="array" ref="C173">IF($H173="","",IFERROR(INDEX('Game Records'!$A:$A,$H173),""))</f>
        <v/>
      </c>
      <c r="D173" s="25" t="str">
        <f t="array" ref="D173">IF($H173="","",IFERROR(INDEX('Game Records'!$U:$U,$H173),""))</f>
        <v/>
      </c>
      <c r="E173" s="25" t="str">
        <f t="shared" si="3"/>
        <v/>
      </c>
      <c r="F173" s="25" t="str">
        <f t="array" ref="F173">IF($H173="","",IF(OR(NOT(_xlfn.ISFORMULA(INDEX('Game Records'!$N:$N,$H173))),NOT(_xlfn.ISFORMULA(INDEX('Game Records'!$O:$O,$H173))),NOT(_xlfn.ISFORMULA(INDEX('Game Records'!$P:$P,$H173))),NOT(_xlfn.ISFORMULA(INDEX('Game Records'!$Q:$Q,$H173))),NOT(_xlfn.ISFORMULA(INDEX('Game Records'!$R:$R,$H173))),NOT(_xlfn.ISFORMULA(INDEX('Game Records'!$S:$S,$H173))),NOT(_xlfn.ISFORMULA(INDEX('Game Records'!$T:$T,$H173))),NOT(_xlfn.ISFORMULA(INDEX('Game Records'!$U:$U,$H173))),NOT(_xlfn.ISFORMULA(INDEX('Game Records'!$V:$V,$H173))),NOT(_xlfn.ISFORMULA(INDEX('Game Records'!$W:$W,$H173))),NOT(_xlfn.ISFORMULA(INDEX('Game Records'!$X:$X,$H173))),NOT(_xlfn.ISFORMULA(INDEX('Game Records'!$Y:$Y,$H173))),NOT(_xlfn.ISFORMULA(INDEX('Game Records'!$Z:$Z,$H173)))),"","")&amp;IF(INDEX('Game Records'!$B:$B,$H173)="","Start Date; ","")&amp;IF(INDEX('Game Records'!$C:$C,$H173)="","End Date; ","")&amp;IF(AND(INDEX('Game Records'!$U:$U,$H173)&lt;&gt;"Subscription",INDEX('Game Records'!$U:$U,$H173)&lt;&gt;"Free Game",INDEX('Game Records'!$U:$U,$H173)&lt;&gt;"Disqualified — Free Game",OR(INDEX('Game Records'!$D:$D,$H173)="",LOWER(INDEX('Game Records'!$D:$D,$H173)&amp;"")="n/a")),"Entry Mode; ","")&amp;IF(AND(INDEX('Game Records'!$U:$U,$H173)&lt;&gt;"Subscription",INDEX('Game Records'!$U:$U,$H173)&lt;&gt;"Free Game",INDEX('Game Records'!$U:$U,$H173)&lt;&gt;"Disqualified — Free Game",OR(INDEX('Game Records'!$E:$E,$H173)="",LOWER(INDEX('Game Records'!$E:$E,$H173)&amp;"")="n/a")),"Game Type; ","")&amp;IF(INDEX('Game Records'!$F:$F,$H173)="","Payment Type; ","")&amp;IF(AND(INDEX('Game Records'!$U:$U,$H173)&lt;&gt;"Subscription",INDEX('Game Records'!$U:$U,$H173)&lt;&gt;"Free Game",INDEX('Game Records'!$U:$U,$H173)&lt;&gt;"Disqualified — Free Game",INDEX('Game Records'!$G:$G,$H173)=""),"Gross Pot; ","")&amp;IF(AND(INDEX('Game Records'!$U:$U,$H173)&lt;&gt;"Free Game",INDEX('Game Records'!$U:$U,$H173)&lt;&gt;"Disqualified — Free Game",INDEX('Game Records'!$H:$H,$H173)=""),"Entry Fee; ","")&amp;IF(AND(INDEX('Game Records'!$U:$U,$H173)&lt;&gt;"Subscription",INDEX('Game Records'!$U:$U,$H173)&lt;&gt;"Free Game",INDEX('Game Records'!$U:$U,$H173)&lt;&gt;"Disqualified — Free Game",INDEX('Game Records'!$I:$I,$H173)=""),"Eligible Players; ","")&amp;IF(AND(INDEX('Game Records'!$U:$U,$H173)&lt;&gt;"Subscription",INDEX('Game Records'!$U:$U,$H173)&lt;&gt;"Free Game",INDEX('Game Records'!$U:$U,$H173)&lt;&gt;"Disqualified — Free Game",INDEX('Game Records'!$J:$J,$H173)=""),"Total Players; ","")&amp;IF(AND(LOWER(INDEX('Game Records'!$D:$D,$H173)&amp;"")="finalized",LOWER(INDEX('Game Records'!$L:$L,$H173)&amp;"")&lt;&gt;"yes",INDEX('Game Records'!$U:$U,$H173)&lt;&gt;"Subscription",INDEX('Game Records'!$U:$U,$H173)&lt;&gt;"Free Game",INDEX('Game Records'!$U:$U,$H173)&lt;&gt;"Disqualified — Free Game",INDEX('Game Records'!$K:$K,$H173)=""),"Final Payout; ","")&amp;IF(AND(LOWER(INDEX('Game Records'!$D:$D,$H173)&amp;"")="finalized",INDEX('Game Records'!$U:$U,$H173)&lt;&gt;"Subscription",INDEX('Game Records'!$U:$U,$H173)&lt;&gt;"Free Game",INDEX('Game Records'!$U:$U,$H173)&lt;&gt;"Disqualified — Free Game",OR(INDEX('Game Records'!$L:$L,$H173)="",LOWER(INDEX('Game Records'!$L:$L,$H173)&amp;"")="n/a")),"Disqualified Status; ",""))</f>
        <v/>
      </c>
      <c r="G173" s="25" t="str">
        <f t="array" ref="G173">IF($H173="","",IFERROR(INDEX('Game Records'!$M:$M,$H173),""))</f>
        <v/>
      </c>
      <c r="H173" s="8"/>
      <c r="I173" s="8"/>
      <c r="J173" s="8"/>
    </row>
    <row r="174" ht="24.0" customHeight="1">
      <c r="A174" s="21" t="str">
        <f t="shared" si="1"/>
        <v/>
      </c>
      <c r="B174" s="21" t="str">
        <f t="shared" si="2"/>
        <v/>
      </c>
      <c r="C174" s="25" t="str">
        <f t="array" ref="C174">IF($H174="","",IFERROR(INDEX('Game Records'!$A:$A,$H174),""))</f>
        <v/>
      </c>
      <c r="D174" s="25" t="str">
        <f t="array" ref="D174">IF($H174="","",IFERROR(INDEX('Game Records'!$U:$U,$H174),""))</f>
        <v/>
      </c>
      <c r="E174" s="25" t="str">
        <f t="shared" si="3"/>
        <v/>
      </c>
      <c r="F174" s="25" t="str">
        <f t="array" ref="F174">IF($H174="","",IF(OR(NOT(_xlfn.ISFORMULA(INDEX('Game Records'!$N:$N,$H174))),NOT(_xlfn.ISFORMULA(INDEX('Game Records'!$O:$O,$H174))),NOT(_xlfn.ISFORMULA(INDEX('Game Records'!$P:$P,$H174))),NOT(_xlfn.ISFORMULA(INDEX('Game Records'!$Q:$Q,$H174))),NOT(_xlfn.ISFORMULA(INDEX('Game Records'!$R:$R,$H174))),NOT(_xlfn.ISFORMULA(INDEX('Game Records'!$S:$S,$H174))),NOT(_xlfn.ISFORMULA(INDEX('Game Records'!$T:$T,$H174))),NOT(_xlfn.ISFORMULA(INDEX('Game Records'!$U:$U,$H174))),NOT(_xlfn.ISFORMULA(INDEX('Game Records'!$V:$V,$H174))),NOT(_xlfn.ISFORMULA(INDEX('Game Records'!$W:$W,$H174))),NOT(_xlfn.ISFORMULA(INDEX('Game Records'!$X:$X,$H174))),NOT(_xlfn.ISFORMULA(INDEX('Game Records'!$Y:$Y,$H174))),NOT(_xlfn.ISFORMULA(INDEX('Game Records'!$Z:$Z,$H174)))),"","")&amp;IF(INDEX('Game Records'!$B:$B,$H174)="","Start Date; ","")&amp;IF(INDEX('Game Records'!$C:$C,$H174)="","End Date; ","")&amp;IF(AND(INDEX('Game Records'!$U:$U,$H174)&lt;&gt;"Subscription",INDEX('Game Records'!$U:$U,$H174)&lt;&gt;"Free Game",INDEX('Game Records'!$U:$U,$H174)&lt;&gt;"Disqualified — Free Game",OR(INDEX('Game Records'!$D:$D,$H174)="",LOWER(INDEX('Game Records'!$D:$D,$H174)&amp;"")="n/a")),"Entry Mode; ","")&amp;IF(AND(INDEX('Game Records'!$U:$U,$H174)&lt;&gt;"Subscription",INDEX('Game Records'!$U:$U,$H174)&lt;&gt;"Free Game",INDEX('Game Records'!$U:$U,$H174)&lt;&gt;"Disqualified — Free Game",OR(INDEX('Game Records'!$E:$E,$H174)="",LOWER(INDEX('Game Records'!$E:$E,$H174)&amp;"")="n/a")),"Game Type; ","")&amp;IF(INDEX('Game Records'!$F:$F,$H174)="","Payment Type; ","")&amp;IF(AND(INDEX('Game Records'!$U:$U,$H174)&lt;&gt;"Subscription",INDEX('Game Records'!$U:$U,$H174)&lt;&gt;"Free Game",INDEX('Game Records'!$U:$U,$H174)&lt;&gt;"Disqualified — Free Game",INDEX('Game Records'!$G:$G,$H174)=""),"Gross Pot; ","")&amp;IF(AND(INDEX('Game Records'!$U:$U,$H174)&lt;&gt;"Free Game",INDEX('Game Records'!$U:$U,$H174)&lt;&gt;"Disqualified — Free Game",INDEX('Game Records'!$H:$H,$H174)=""),"Entry Fee; ","")&amp;IF(AND(INDEX('Game Records'!$U:$U,$H174)&lt;&gt;"Subscription",INDEX('Game Records'!$U:$U,$H174)&lt;&gt;"Free Game",INDEX('Game Records'!$U:$U,$H174)&lt;&gt;"Disqualified — Free Game",INDEX('Game Records'!$I:$I,$H174)=""),"Eligible Players; ","")&amp;IF(AND(INDEX('Game Records'!$U:$U,$H174)&lt;&gt;"Subscription",INDEX('Game Records'!$U:$U,$H174)&lt;&gt;"Free Game",INDEX('Game Records'!$U:$U,$H174)&lt;&gt;"Disqualified — Free Game",INDEX('Game Records'!$J:$J,$H174)=""),"Total Players; ","")&amp;IF(AND(LOWER(INDEX('Game Records'!$D:$D,$H174)&amp;"")="finalized",LOWER(INDEX('Game Records'!$L:$L,$H174)&amp;"")&lt;&gt;"yes",INDEX('Game Records'!$U:$U,$H174)&lt;&gt;"Subscription",INDEX('Game Records'!$U:$U,$H174)&lt;&gt;"Free Game",INDEX('Game Records'!$U:$U,$H174)&lt;&gt;"Disqualified — Free Game",INDEX('Game Records'!$K:$K,$H174)=""),"Final Payout; ","")&amp;IF(AND(LOWER(INDEX('Game Records'!$D:$D,$H174)&amp;"")="finalized",INDEX('Game Records'!$U:$U,$H174)&lt;&gt;"Subscription",INDEX('Game Records'!$U:$U,$H174)&lt;&gt;"Free Game",INDEX('Game Records'!$U:$U,$H174)&lt;&gt;"Disqualified — Free Game",OR(INDEX('Game Records'!$L:$L,$H174)="",LOWER(INDEX('Game Records'!$L:$L,$H174)&amp;"")="n/a")),"Disqualified Status; ",""))</f>
        <v/>
      </c>
      <c r="G174" s="25" t="str">
        <f t="array" ref="G174">IF($H174="","",IFERROR(INDEX('Game Records'!$M:$M,$H174),""))</f>
        <v/>
      </c>
      <c r="H174" s="8"/>
      <c r="I174" s="8"/>
      <c r="J174" s="8"/>
    </row>
    <row r="175" ht="24.0" customHeight="1">
      <c r="A175" s="21" t="str">
        <f t="shared" si="1"/>
        <v/>
      </c>
      <c r="B175" s="21" t="str">
        <f t="shared" si="2"/>
        <v/>
      </c>
      <c r="C175" s="25" t="str">
        <f t="array" ref="C175">IF($H175="","",IFERROR(INDEX('Game Records'!$A:$A,$H175),""))</f>
        <v/>
      </c>
      <c r="D175" s="25" t="str">
        <f t="array" ref="D175">IF($H175="","",IFERROR(INDEX('Game Records'!$U:$U,$H175),""))</f>
        <v/>
      </c>
      <c r="E175" s="25" t="str">
        <f t="shared" si="3"/>
        <v/>
      </c>
      <c r="F175" s="25" t="str">
        <f t="array" ref="F175">IF($H175="","",IF(OR(NOT(_xlfn.ISFORMULA(INDEX('Game Records'!$N:$N,$H175))),NOT(_xlfn.ISFORMULA(INDEX('Game Records'!$O:$O,$H175))),NOT(_xlfn.ISFORMULA(INDEX('Game Records'!$P:$P,$H175))),NOT(_xlfn.ISFORMULA(INDEX('Game Records'!$Q:$Q,$H175))),NOT(_xlfn.ISFORMULA(INDEX('Game Records'!$R:$R,$H175))),NOT(_xlfn.ISFORMULA(INDEX('Game Records'!$S:$S,$H175))),NOT(_xlfn.ISFORMULA(INDEX('Game Records'!$T:$T,$H175))),NOT(_xlfn.ISFORMULA(INDEX('Game Records'!$U:$U,$H175))),NOT(_xlfn.ISFORMULA(INDEX('Game Records'!$V:$V,$H175))),NOT(_xlfn.ISFORMULA(INDEX('Game Records'!$W:$W,$H175))),NOT(_xlfn.ISFORMULA(INDEX('Game Records'!$X:$X,$H175))),NOT(_xlfn.ISFORMULA(INDEX('Game Records'!$Y:$Y,$H175))),NOT(_xlfn.ISFORMULA(INDEX('Game Records'!$Z:$Z,$H175)))),"","")&amp;IF(INDEX('Game Records'!$B:$B,$H175)="","Start Date; ","")&amp;IF(INDEX('Game Records'!$C:$C,$H175)="","End Date; ","")&amp;IF(AND(INDEX('Game Records'!$U:$U,$H175)&lt;&gt;"Subscription",INDEX('Game Records'!$U:$U,$H175)&lt;&gt;"Free Game",INDEX('Game Records'!$U:$U,$H175)&lt;&gt;"Disqualified — Free Game",OR(INDEX('Game Records'!$D:$D,$H175)="",LOWER(INDEX('Game Records'!$D:$D,$H175)&amp;"")="n/a")),"Entry Mode; ","")&amp;IF(AND(INDEX('Game Records'!$U:$U,$H175)&lt;&gt;"Subscription",INDEX('Game Records'!$U:$U,$H175)&lt;&gt;"Free Game",INDEX('Game Records'!$U:$U,$H175)&lt;&gt;"Disqualified — Free Game",OR(INDEX('Game Records'!$E:$E,$H175)="",LOWER(INDEX('Game Records'!$E:$E,$H175)&amp;"")="n/a")),"Game Type; ","")&amp;IF(INDEX('Game Records'!$F:$F,$H175)="","Payment Type; ","")&amp;IF(AND(INDEX('Game Records'!$U:$U,$H175)&lt;&gt;"Subscription",INDEX('Game Records'!$U:$U,$H175)&lt;&gt;"Free Game",INDEX('Game Records'!$U:$U,$H175)&lt;&gt;"Disqualified — Free Game",INDEX('Game Records'!$G:$G,$H175)=""),"Gross Pot; ","")&amp;IF(AND(INDEX('Game Records'!$U:$U,$H175)&lt;&gt;"Free Game",INDEX('Game Records'!$U:$U,$H175)&lt;&gt;"Disqualified — Free Game",INDEX('Game Records'!$H:$H,$H175)=""),"Entry Fee; ","")&amp;IF(AND(INDEX('Game Records'!$U:$U,$H175)&lt;&gt;"Subscription",INDEX('Game Records'!$U:$U,$H175)&lt;&gt;"Free Game",INDEX('Game Records'!$U:$U,$H175)&lt;&gt;"Disqualified — Free Game",INDEX('Game Records'!$I:$I,$H175)=""),"Eligible Players; ","")&amp;IF(AND(INDEX('Game Records'!$U:$U,$H175)&lt;&gt;"Subscription",INDEX('Game Records'!$U:$U,$H175)&lt;&gt;"Free Game",INDEX('Game Records'!$U:$U,$H175)&lt;&gt;"Disqualified — Free Game",INDEX('Game Records'!$J:$J,$H175)=""),"Total Players; ","")&amp;IF(AND(LOWER(INDEX('Game Records'!$D:$D,$H175)&amp;"")="finalized",LOWER(INDEX('Game Records'!$L:$L,$H175)&amp;"")&lt;&gt;"yes",INDEX('Game Records'!$U:$U,$H175)&lt;&gt;"Subscription",INDEX('Game Records'!$U:$U,$H175)&lt;&gt;"Free Game",INDEX('Game Records'!$U:$U,$H175)&lt;&gt;"Disqualified — Free Game",INDEX('Game Records'!$K:$K,$H175)=""),"Final Payout; ","")&amp;IF(AND(LOWER(INDEX('Game Records'!$D:$D,$H175)&amp;"")="finalized",INDEX('Game Records'!$U:$U,$H175)&lt;&gt;"Subscription",INDEX('Game Records'!$U:$U,$H175)&lt;&gt;"Free Game",INDEX('Game Records'!$U:$U,$H175)&lt;&gt;"Disqualified — Free Game",OR(INDEX('Game Records'!$L:$L,$H175)="",LOWER(INDEX('Game Records'!$L:$L,$H175)&amp;"")="n/a")),"Disqualified Status; ",""))</f>
        <v/>
      </c>
      <c r="G175" s="25" t="str">
        <f t="array" ref="G175">IF($H175="","",IFERROR(INDEX('Game Records'!$M:$M,$H175),""))</f>
        <v/>
      </c>
      <c r="H175" s="8"/>
      <c r="I175" s="8"/>
      <c r="J175" s="8"/>
    </row>
    <row r="176" ht="24.0" customHeight="1">
      <c r="A176" s="21" t="str">
        <f t="shared" si="1"/>
        <v/>
      </c>
      <c r="B176" s="21" t="str">
        <f t="shared" si="2"/>
        <v/>
      </c>
      <c r="C176" s="25" t="str">
        <f t="array" ref="C176">IF($H176="","",IFERROR(INDEX('Game Records'!$A:$A,$H176),""))</f>
        <v/>
      </c>
      <c r="D176" s="25" t="str">
        <f t="array" ref="D176">IF($H176="","",IFERROR(INDEX('Game Records'!$U:$U,$H176),""))</f>
        <v/>
      </c>
      <c r="E176" s="25" t="str">
        <f t="shared" si="3"/>
        <v/>
      </c>
      <c r="F176" s="25" t="str">
        <f t="array" ref="F176">IF($H176="","",IF(OR(NOT(_xlfn.ISFORMULA(INDEX('Game Records'!$N:$N,$H176))),NOT(_xlfn.ISFORMULA(INDEX('Game Records'!$O:$O,$H176))),NOT(_xlfn.ISFORMULA(INDEX('Game Records'!$P:$P,$H176))),NOT(_xlfn.ISFORMULA(INDEX('Game Records'!$Q:$Q,$H176))),NOT(_xlfn.ISFORMULA(INDEX('Game Records'!$R:$R,$H176))),NOT(_xlfn.ISFORMULA(INDEX('Game Records'!$S:$S,$H176))),NOT(_xlfn.ISFORMULA(INDEX('Game Records'!$T:$T,$H176))),NOT(_xlfn.ISFORMULA(INDEX('Game Records'!$U:$U,$H176))),NOT(_xlfn.ISFORMULA(INDEX('Game Records'!$V:$V,$H176))),NOT(_xlfn.ISFORMULA(INDEX('Game Records'!$W:$W,$H176))),NOT(_xlfn.ISFORMULA(INDEX('Game Records'!$X:$X,$H176))),NOT(_xlfn.ISFORMULA(INDEX('Game Records'!$Y:$Y,$H176))),NOT(_xlfn.ISFORMULA(INDEX('Game Records'!$Z:$Z,$H176)))),"","")&amp;IF(INDEX('Game Records'!$B:$B,$H176)="","Start Date; ","")&amp;IF(INDEX('Game Records'!$C:$C,$H176)="","End Date; ","")&amp;IF(AND(INDEX('Game Records'!$U:$U,$H176)&lt;&gt;"Subscription",INDEX('Game Records'!$U:$U,$H176)&lt;&gt;"Free Game",INDEX('Game Records'!$U:$U,$H176)&lt;&gt;"Disqualified — Free Game",OR(INDEX('Game Records'!$D:$D,$H176)="",LOWER(INDEX('Game Records'!$D:$D,$H176)&amp;"")="n/a")),"Entry Mode; ","")&amp;IF(AND(INDEX('Game Records'!$U:$U,$H176)&lt;&gt;"Subscription",INDEX('Game Records'!$U:$U,$H176)&lt;&gt;"Free Game",INDEX('Game Records'!$U:$U,$H176)&lt;&gt;"Disqualified — Free Game",OR(INDEX('Game Records'!$E:$E,$H176)="",LOWER(INDEX('Game Records'!$E:$E,$H176)&amp;"")="n/a")),"Game Type; ","")&amp;IF(INDEX('Game Records'!$F:$F,$H176)="","Payment Type; ","")&amp;IF(AND(INDEX('Game Records'!$U:$U,$H176)&lt;&gt;"Subscription",INDEX('Game Records'!$U:$U,$H176)&lt;&gt;"Free Game",INDEX('Game Records'!$U:$U,$H176)&lt;&gt;"Disqualified — Free Game",INDEX('Game Records'!$G:$G,$H176)=""),"Gross Pot; ","")&amp;IF(AND(INDEX('Game Records'!$U:$U,$H176)&lt;&gt;"Free Game",INDEX('Game Records'!$U:$U,$H176)&lt;&gt;"Disqualified — Free Game",INDEX('Game Records'!$H:$H,$H176)=""),"Entry Fee; ","")&amp;IF(AND(INDEX('Game Records'!$U:$U,$H176)&lt;&gt;"Subscription",INDEX('Game Records'!$U:$U,$H176)&lt;&gt;"Free Game",INDEX('Game Records'!$U:$U,$H176)&lt;&gt;"Disqualified — Free Game",INDEX('Game Records'!$I:$I,$H176)=""),"Eligible Players; ","")&amp;IF(AND(INDEX('Game Records'!$U:$U,$H176)&lt;&gt;"Subscription",INDEX('Game Records'!$U:$U,$H176)&lt;&gt;"Free Game",INDEX('Game Records'!$U:$U,$H176)&lt;&gt;"Disqualified — Free Game",INDEX('Game Records'!$J:$J,$H176)=""),"Total Players; ","")&amp;IF(AND(LOWER(INDEX('Game Records'!$D:$D,$H176)&amp;"")="finalized",LOWER(INDEX('Game Records'!$L:$L,$H176)&amp;"")&lt;&gt;"yes",INDEX('Game Records'!$U:$U,$H176)&lt;&gt;"Subscription",INDEX('Game Records'!$U:$U,$H176)&lt;&gt;"Free Game",INDEX('Game Records'!$U:$U,$H176)&lt;&gt;"Disqualified — Free Game",INDEX('Game Records'!$K:$K,$H176)=""),"Final Payout; ","")&amp;IF(AND(LOWER(INDEX('Game Records'!$D:$D,$H176)&amp;"")="finalized",INDEX('Game Records'!$U:$U,$H176)&lt;&gt;"Subscription",INDEX('Game Records'!$U:$U,$H176)&lt;&gt;"Free Game",INDEX('Game Records'!$U:$U,$H176)&lt;&gt;"Disqualified — Free Game",OR(INDEX('Game Records'!$L:$L,$H176)="",LOWER(INDEX('Game Records'!$L:$L,$H176)&amp;"")="n/a")),"Disqualified Status; ",""))</f>
        <v/>
      </c>
      <c r="G176" s="25" t="str">
        <f t="array" ref="G176">IF($H176="","",IFERROR(INDEX('Game Records'!$M:$M,$H176),""))</f>
        <v/>
      </c>
      <c r="H176" s="8"/>
      <c r="I176" s="8"/>
      <c r="J176" s="8"/>
    </row>
    <row r="177" ht="24.0" customHeight="1">
      <c r="A177" s="21" t="str">
        <f t="shared" si="1"/>
        <v/>
      </c>
      <c r="B177" s="21" t="str">
        <f t="shared" si="2"/>
        <v/>
      </c>
      <c r="C177" s="25" t="str">
        <f t="array" ref="C177">IF($H177="","",IFERROR(INDEX('Game Records'!$A:$A,$H177),""))</f>
        <v/>
      </c>
      <c r="D177" s="25" t="str">
        <f t="array" ref="D177">IF($H177="","",IFERROR(INDEX('Game Records'!$U:$U,$H177),""))</f>
        <v/>
      </c>
      <c r="E177" s="25" t="str">
        <f t="shared" si="3"/>
        <v/>
      </c>
      <c r="F177" s="25" t="str">
        <f t="array" ref="F177">IF($H177="","",IF(OR(NOT(_xlfn.ISFORMULA(INDEX('Game Records'!$N:$N,$H177))),NOT(_xlfn.ISFORMULA(INDEX('Game Records'!$O:$O,$H177))),NOT(_xlfn.ISFORMULA(INDEX('Game Records'!$P:$P,$H177))),NOT(_xlfn.ISFORMULA(INDEX('Game Records'!$Q:$Q,$H177))),NOT(_xlfn.ISFORMULA(INDEX('Game Records'!$R:$R,$H177))),NOT(_xlfn.ISFORMULA(INDEX('Game Records'!$S:$S,$H177))),NOT(_xlfn.ISFORMULA(INDEX('Game Records'!$T:$T,$H177))),NOT(_xlfn.ISFORMULA(INDEX('Game Records'!$U:$U,$H177))),NOT(_xlfn.ISFORMULA(INDEX('Game Records'!$V:$V,$H177))),NOT(_xlfn.ISFORMULA(INDEX('Game Records'!$W:$W,$H177))),NOT(_xlfn.ISFORMULA(INDEX('Game Records'!$X:$X,$H177))),NOT(_xlfn.ISFORMULA(INDEX('Game Records'!$Y:$Y,$H177))),NOT(_xlfn.ISFORMULA(INDEX('Game Records'!$Z:$Z,$H177)))),"","")&amp;IF(INDEX('Game Records'!$B:$B,$H177)="","Start Date; ","")&amp;IF(INDEX('Game Records'!$C:$C,$H177)="","End Date; ","")&amp;IF(AND(INDEX('Game Records'!$U:$U,$H177)&lt;&gt;"Subscription",INDEX('Game Records'!$U:$U,$H177)&lt;&gt;"Free Game",INDEX('Game Records'!$U:$U,$H177)&lt;&gt;"Disqualified — Free Game",OR(INDEX('Game Records'!$D:$D,$H177)="",LOWER(INDEX('Game Records'!$D:$D,$H177)&amp;"")="n/a")),"Entry Mode; ","")&amp;IF(AND(INDEX('Game Records'!$U:$U,$H177)&lt;&gt;"Subscription",INDEX('Game Records'!$U:$U,$H177)&lt;&gt;"Free Game",INDEX('Game Records'!$U:$U,$H177)&lt;&gt;"Disqualified — Free Game",OR(INDEX('Game Records'!$E:$E,$H177)="",LOWER(INDEX('Game Records'!$E:$E,$H177)&amp;"")="n/a")),"Game Type; ","")&amp;IF(INDEX('Game Records'!$F:$F,$H177)="","Payment Type; ","")&amp;IF(AND(INDEX('Game Records'!$U:$U,$H177)&lt;&gt;"Subscription",INDEX('Game Records'!$U:$U,$H177)&lt;&gt;"Free Game",INDEX('Game Records'!$U:$U,$H177)&lt;&gt;"Disqualified — Free Game",INDEX('Game Records'!$G:$G,$H177)=""),"Gross Pot; ","")&amp;IF(AND(INDEX('Game Records'!$U:$U,$H177)&lt;&gt;"Free Game",INDEX('Game Records'!$U:$U,$H177)&lt;&gt;"Disqualified — Free Game",INDEX('Game Records'!$H:$H,$H177)=""),"Entry Fee; ","")&amp;IF(AND(INDEX('Game Records'!$U:$U,$H177)&lt;&gt;"Subscription",INDEX('Game Records'!$U:$U,$H177)&lt;&gt;"Free Game",INDEX('Game Records'!$U:$U,$H177)&lt;&gt;"Disqualified — Free Game",INDEX('Game Records'!$I:$I,$H177)=""),"Eligible Players; ","")&amp;IF(AND(INDEX('Game Records'!$U:$U,$H177)&lt;&gt;"Subscription",INDEX('Game Records'!$U:$U,$H177)&lt;&gt;"Free Game",INDEX('Game Records'!$U:$U,$H177)&lt;&gt;"Disqualified — Free Game",INDEX('Game Records'!$J:$J,$H177)=""),"Total Players; ","")&amp;IF(AND(LOWER(INDEX('Game Records'!$D:$D,$H177)&amp;"")="finalized",LOWER(INDEX('Game Records'!$L:$L,$H177)&amp;"")&lt;&gt;"yes",INDEX('Game Records'!$U:$U,$H177)&lt;&gt;"Subscription",INDEX('Game Records'!$U:$U,$H177)&lt;&gt;"Free Game",INDEX('Game Records'!$U:$U,$H177)&lt;&gt;"Disqualified — Free Game",INDEX('Game Records'!$K:$K,$H177)=""),"Final Payout; ","")&amp;IF(AND(LOWER(INDEX('Game Records'!$D:$D,$H177)&amp;"")="finalized",INDEX('Game Records'!$U:$U,$H177)&lt;&gt;"Subscription",INDEX('Game Records'!$U:$U,$H177)&lt;&gt;"Free Game",INDEX('Game Records'!$U:$U,$H177)&lt;&gt;"Disqualified — Free Game",OR(INDEX('Game Records'!$L:$L,$H177)="",LOWER(INDEX('Game Records'!$L:$L,$H177)&amp;"")="n/a")),"Disqualified Status; ",""))</f>
        <v/>
      </c>
      <c r="G177" s="25" t="str">
        <f t="array" ref="G177">IF($H177="","",IFERROR(INDEX('Game Records'!$M:$M,$H177),""))</f>
        <v/>
      </c>
      <c r="H177" s="8"/>
      <c r="I177" s="8"/>
      <c r="J177" s="8"/>
    </row>
    <row r="178" ht="24.0" customHeight="1">
      <c r="A178" s="21" t="str">
        <f t="shared" si="1"/>
        <v/>
      </c>
      <c r="B178" s="21" t="str">
        <f t="shared" si="2"/>
        <v/>
      </c>
      <c r="C178" s="25" t="str">
        <f t="array" ref="C178">IF($H178="","",IFERROR(INDEX('Game Records'!$A:$A,$H178),""))</f>
        <v/>
      </c>
      <c r="D178" s="25" t="str">
        <f t="array" ref="D178">IF($H178="","",IFERROR(INDEX('Game Records'!$U:$U,$H178),""))</f>
        <v/>
      </c>
      <c r="E178" s="25" t="str">
        <f t="shared" si="3"/>
        <v/>
      </c>
      <c r="F178" s="25" t="str">
        <f t="array" ref="F178">IF($H178="","",IF(OR(NOT(_xlfn.ISFORMULA(INDEX('Game Records'!$N:$N,$H178))),NOT(_xlfn.ISFORMULA(INDEX('Game Records'!$O:$O,$H178))),NOT(_xlfn.ISFORMULA(INDEX('Game Records'!$P:$P,$H178))),NOT(_xlfn.ISFORMULA(INDEX('Game Records'!$Q:$Q,$H178))),NOT(_xlfn.ISFORMULA(INDEX('Game Records'!$R:$R,$H178))),NOT(_xlfn.ISFORMULA(INDEX('Game Records'!$S:$S,$H178))),NOT(_xlfn.ISFORMULA(INDEX('Game Records'!$T:$T,$H178))),NOT(_xlfn.ISFORMULA(INDEX('Game Records'!$U:$U,$H178))),NOT(_xlfn.ISFORMULA(INDEX('Game Records'!$V:$V,$H178))),NOT(_xlfn.ISFORMULA(INDEX('Game Records'!$W:$W,$H178))),NOT(_xlfn.ISFORMULA(INDEX('Game Records'!$X:$X,$H178))),NOT(_xlfn.ISFORMULA(INDEX('Game Records'!$Y:$Y,$H178))),NOT(_xlfn.ISFORMULA(INDEX('Game Records'!$Z:$Z,$H178)))),"","")&amp;IF(INDEX('Game Records'!$B:$B,$H178)="","Start Date; ","")&amp;IF(INDEX('Game Records'!$C:$C,$H178)="","End Date; ","")&amp;IF(AND(INDEX('Game Records'!$U:$U,$H178)&lt;&gt;"Subscription",INDEX('Game Records'!$U:$U,$H178)&lt;&gt;"Free Game",INDEX('Game Records'!$U:$U,$H178)&lt;&gt;"Disqualified — Free Game",OR(INDEX('Game Records'!$D:$D,$H178)="",LOWER(INDEX('Game Records'!$D:$D,$H178)&amp;"")="n/a")),"Entry Mode; ","")&amp;IF(AND(INDEX('Game Records'!$U:$U,$H178)&lt;&gt;"Subscription",INDEX('Game Records'!$U:$U,$H178)&lt;&gt;"Free Game",INDEX('Game Records'!$U:$U,$H178)&lt;&gt;"Disqualified — Free Game",OR(INDEX('Game Records'!$E:$E,$H178)="",LOWER(INDEX('Game Records'!$E:$E,$H178)&amp;"")="n/a")),"Game Type; ","")&amp;IF(INDEX('Game Records'!$F:$F,$H178)="","Payment Type; ","")&amp;IF(AND(INDEX('Game Records'!$U:$U,$H178)&lt;&gt;"Subscription",INDEX('Game Records'!$U:$U,$H178)&lt;&gt;"Free Game",INDEX('Game Records'!$U:$U,$H178)&lt;&gt;"Disqualified — Free Game",INDEX('Game Records'!$G:$G,$H178)=""),"Gross Pot; ","")&amp;IF(AND(INDEX('Game Records'!$U:$U,$H178)&lt;&gt;"Free Game",INDEX('Game Records'!$U:$U,$H178)&lt;&gt;"Disqualified — Free Game",INDEX('Game Records'!$H:$H,$H178)=""),"Entry Fee; ","")&amp;IF(AND(INDEX('Game Records'!$U:$U,$H178)&lt;&gt;"Subscription",INDEX('Game Records'!$U:$U,$H178)&lt;&gt;"Free Game",INDEX('Game Records'!$U:$U,$H178)&lt;&gt;"Disqualified — Free Game",INDEX('Game Records'!$I:$I,$H178)=""),"Eligible Players; ","")&amp;IF(AND(INDEX('Game Records'!$U:$U,$H178)&lt;&gt;"Subscription",INDEX('Game Records'!$U:$U,$H178)&lt;&gt;"Free Game",INDEX('Game Records'!$U:$U,$H178)&lt;&gt;"Disqualified — Free Game",INDEX('Game Records'!$J:$J,$H178)=""),"Total Players; ","")&amp;IF(AND(LOWER(INDEX('Game Records'!$D:$D,$H178)&amp;"")="finalized",LOWER(INDEX('Game Records'!$L:$L,$H178)&amp;"")&lt;&gt;"yes",INDEX('Game Records'!$U:$U,$H178)&lt;&gt;"Subscription",INDEX('Game Records'!$U:$U,$H178)&lt;&gt;"Free Game",INDEX('Game Records'!$U:$U,$H178)&lt;&gt;"Disqualified — Free Game",INDEX('Game Records'!$K:$K,$H178)=""),"Final Payout; ","")&amp;IF(AND(LOWER(INDEX('Game Records'!$D:$D,$H178)&amp;"")="finalized",INDEX('Game Records'!$U:$U,$H178)&lt;&gt;"Subscription",INDEX('Game Records'!$U:$U,$H178)&lt;&gt;"Free Game",INDEX('Game Records'!$U:$U,$H178)&lt;&gt;"Disqualified — Free Game",OR(INDEX('Game Records'!$L:$L,$H178)="",LOWER(INDEX('Game Records'!$L:$L,$H178)&amp;"")="n/a")),"Disqualified Status; ",""))</f>
        <v/>
      </c>
      <c r="G178" s="25" t="str">
        <f t="array" ref="G178">IF($H178="","",IFERROR(INDEX('Game Records'!$M:$M,$H178),""))</f>
        <v/>
      </c>
      <c r="H178" s="8"/>
      <c r="I178" s="8"/>
      <c r="J178" s="8"/>
    </row>
    <row r="179" ht="24.0" customHeight="1">
      <c r="A179" s="21" t="str">
        <f t="shared" si="1"/>
        <v/>
      </c>
      <c r="B179" s="21" t="str">
        <f t="shared" si="2"/>
        <v/>
      </c>
      <c r="C179" s="25" t="str">
        <f t="array" ref="C179">IF($H179="","",IFERROR(INDEX('Game Records'!$A:$A,$H179),""))</f>
        <v/>
      </c>
      <c r="D179" s="25" t="str">
        <f t="array" ref="D179">IF($H179="","",IFERROR(INDEX('Game Records'!$U:$U,$H179),""))</f>
        <v/>
      </c>
      <c r="E179" s="25" t="str">
        <f t="shared" si="3"/>
        <v/>
      </c>
      <c r="F179" s="25" t="str">
        <f t="array" ref="F179">IF($H179="","",IF(OR(NOT(_xlfn.ISFORMULA(INDEX('Game Records'!$N:$N,$H179))),NOT(_xlfn.ISFORMULA(INDEX('Game Records'!$O:$O,$H179))),NOT(_xlfn.ISFORMULA(INDEX('Game Records'!$P:$P,$H179))),NOT(_xlfn.ISFORMULA(INDEX('Game Records'!$Q:$Q,$H179))),NOT(_xlfn.ISFORMULA(INDEX('Game Records'!$R:$R,$H179))),NOT(_xlfn.ISFORMULA(INDEX('Game Records'!$S:$S,$H179))),NOT(_xlfn.ISFORMULA(INDEX('Game Records'!$T:$T,$H179))),NOT(_xlfn.ISFORMULA(INDEX('Game Records'!$U:$U,$H179))),NOT(_xlfn.ISFORMULA(INDEX('Game Records'!$V:$V,$H179))),NOT(_xlfn.ISFORMULA(INDEX('Game Records'!$W:$W,$H179))),NOT(_xlfn.ISFORMULA(INDEX('Game Records'!$X:$X,$H179))),NOT(_xlfn.ISFORMULA(INDEX('Game Records'!$Y:$Y,$H179))),NOT(_xlfn.ISFORMULA(INDEX('Game Records'!$Z:$Z,$H179)))),"","")&amp;IF(INDEX('Game Records'!$B:$B,$H179)="","Start Date; ","")&amp;IF(INDEX('Game Records'!$C:$C,$H179)="","End Date; ","")&amp;IF(AND(INDEX('Game Records'!$U:$U,$H179)&lt;&gt;"Subscription",INDEX('Game Records'!$U:$U,$H179)&lt;&gt;"Free Game",INDEX('Game Records'!$U:$U,$H179)&lt;&gt;"Disqualified — Free Game",OR(INDEX('Game Records'!$D:$D,$H179)="",LOWER(INDEX('Game Records'!$D:$D,$H179)&amp;"")="n/a")),"Entry Mode; ","")&amp;IF(AND(INDEX('Game Records'!$U:$U,$H179)&lt;&gt;"Subscription",INDEX('Game Records'!$U:$U,$H179)&lt;&gt;"Free Game",INDEX('Game Records'!$U:$U,$H179)&lt;&gt;"Disqualified — Free Game",OR(INDEX('Game Records'!$E:$E,$H179)="",LOWER(INDEX('Game Records'!$E:$E,$H179)&amp;"")="n/a")),"Game Type; ","")&amp;IF(INDEX('Game Records'!$F:$F,$H179)="","Payment Type; ","")&amp;IF(AND(INDEX('Game Records'!$U:$U,$H179)&lt;&gt;"Subscription",INDEX('Game Records'!$U:$U,$H179)&lt;&gt;"Free Game",INDEX('Game Records'!$U:$U,$H179)&lt;&gt;"Disqualified — Free Game",INDEX('Game Records'!$G:$G,$H179)=""),"Gross Pot; ","")&amp;IF(AND(INDEX('Game Records'!$U:$U,$H179)&lt;&gt;"Free Game",INDEX('Game Records'!$U:$U,$H179)&lt;&gt;"Disqualified — Free Game",INDEX('Game Records'!$H:$H,$H179)=""),"Entry Fee; ","")&amp;IF(AND(INDEX('Game Records'!$U:$U,$H179)&lt;&gt;"Subscription",INDEX('Game Records'!$U:$U,$H179)&lt;&gt;"Free Game",INDEX('Game Records'!$U:$U,$H179)&lt;&gt;"Disqualified — Free Game",INDEX('Game Records'!$I:$I,$H179)=""),"Eligible Players; ","")&amp;IF(AND(INDEX('Game Records'!$U:$U,$H179)&lt;&gt;"Subscription",INDEX('Game Records'!$U:$U,$H179)&lt;&gt;"Free Game",INDEX('Game Records'!$U:$U,$H179)&lt;&gt;"Disqualified — Free Game",INDEX('Game Records'!$J:$J,$H179)=""),"Total Players; ","")&amp;IF(AND(LOWER(INDEX('Game Records'!$D:$D,$H179)&amp;"")="finalized",LOWER(INDEX('Game Records'!$L:$L,$H179)&amp;"")&lt;&gt;"yes",INDEX('Game Records'!$U:$U,$H179)&lt;&gt;"Subscription",INDEX('Game Records'!$U:$U,$H179)&lt;&gt;"Free Game",INDEX('Game Records'!$U:$U,$H179)&lt;&gt;"Disqualified — Free Game",INDEX('Game Records'!$K:$K,$H179)=""),"Final Payout; ","")&amp;IF(AND(LOWER(INDEX('Game Records'!$D:$D,$H179)&amp;"")="finalized",INDEX('Game Records'!$U:$U,$H179)&lt;&gt;"Subscription",INDEX('Game Records'!$U:$U,$H179)&lt;&gt;"Free Game",INDEX('Game Records'!$U:$U,$H179)&lt;&gt;"Disqualified — Free Game",OR(INDEX('Game Records'!$L:$L,$H179)="",LOWER(INDEX('Game Records'!$L:$L,$H179)&amp;"")="n/a")),"Disqualified Status; ",""))</f>
        <v/>
      </c>
      <c r="G179" s="25" t="str">
        <f t="array" ref="G179">IF($H179="","",IFERROR(INDEX('Game Records'!$M:$M,$H179),""))</f>
        <v/>
      </c>
      <c r="H179" s="8"/>
      <c r="I179" s="8"/>
      <c r="J179" s="8"/>
    </row>
    <row r="180" ht="24.0" customHeight="1">
      <c r="A180" s="21" t="str">
        <f t="shared" si="1"/>
        <v/>
      </c>
      <c r="B180" s="21" t="str">
        <f t="shared" si="2"/>
        <v/>
      </c>
      <c r="C180" s="25" t="str">
        <f t="array" ref="C180">IF($H180="","",IFERROR(INDEX('Game Records'!$A:$A,$H180),""))</f>
        <v/>
      </c>
      <c r="D180" s="25" t="str">
        <f t="array" ref="D180">IF($H180="","",IFERROR(INDEX('Game Records'!$U:$U,$H180),""))</f>
        <v/>
      </c>
      <c r="E180" s="25" t="str">
        <f t="shared" si="3"/>
        <v/>
      </c>
      <c r="F180" s="25" t="str">
        <f t="array" ref="F180">IF($H180="","",IF(OR(NOT(_xlfn.ISFORMULA(INDEX('Game Records'!$N:$N,$H180))),NOT(_xlfn.ISFORMULA(INDEX('Game Records'!$O:$O,$H180))),NOT(_xlfn.ISFORMULA(INDEX('Game Records'!$P:$P,$H180))),NOT(_xlfn.ISFORMULA(INDEX('Game Records'!$Q:$Q,$H180))),NOT(_xlfn.ISFORMULA(INDEX('Game Records'!$R:$R,$H180))),NOT(_xlfn.ISFORMULA(INDEX('Game Records'!$S:$S,$H180))),NOT(_xlfn.ISFORMULA(INDEX('Game Records'!$T:$T,$H180))),NOT(_xlfn.ISFORMULA(INDEX('Game Records'!$U:$U,$H180))),NOT(_xlfn.ISFORMULA(INDEX('Game Records'!$V:$V,$H180))),NOT(_xlfn.ISFORMULA(INDEX('Game Records'!$W:$W,$H180))),NOT(_xlfn.ISFORMULA(INDEX('Game Records'!$X:$X,$H180))),NOT(_xlfn.ISFORMULA(INDEX('Game Records'!$Y:$Y,$H180))),NOT(_xlfn.ISFORMULA(INDEX('Game Records'!$Z:$Z,$H180)))),"","")&amp;IF(INDEX('Game Records'!$B:$B,$H180)="","Start Date; ","")&amp;IF(INDEX('Game Records'!$C:$C,$H180)="","End Date; ","")&amp;IF(AND(INDEX('Game Records'!$U:$U,$H180)&lt;&gt;"Subscription",INDEX('Game Records'!$U:$U,$H180)&lt;&gt;"Free Game",INDEX('Game Records'!$U:$U,$H180)&lt;&gt;"Disqualified — Free Game",OR(INDEX('Game Records'!$D:$D,$H180)="",LOWER(INDEX('Game Records'!$D:$D,$H180)&amp;"")="n/a")),"Entry Mode; ","")&amp;IF(AND(INDEX('Game Records'!$U:$U,$H180)&lt;&gt;"Subscription",INDEX('Game Records'!$U:$U,$H180)&lt;&gt;"Free Game",INDEX('Game Records'!$U:$U,$H180)&lt;&gt;"Disqualified — Free Game",OR(INDEX('Game Records'!$E:$E,$H180)="",LOWER(INDEX('Game Records'!$E:$E,$H180)&amp;"")="n/a")),"Game Type; ","")&amp;IF(INDEX('Game Records'!$F:$F,$H180)="","Payment Type; ","")&amp;IF(AND(INDEX('Game Records'!$U:$U,$H180)&lt;&gt;"Subscription",INDEX('Game Records'!$U:$U,$H180)&lt;&gt;"Free Game",INDEX('Game Records'!$U:$U,$H180)&lt;&gt;"Disqualified — Free Game",INDEX('Game Records'!$G:$G,$H180)=""),"Gross Pot; ","")&amp;IF(AND(INDEX('Game Records'!$U:$U,$H180)&lt;&gt;"Free Game",INDEX('Game Records'!$U:$U,$H180)&lt;&gt;"Disqualified — Free Game",INDEX('Game Records'!$H:$H,$H180)=""),"Entry Fee; ","")&amp;IF(AND(INDEX('Game Records'!$U:$U,$H180)&lt;&gt;"Subscription",INDEX('Game Records'!$U:$U,$H180)&lt;&gt;"Free Game",INDEX('Game Records'!$U:$U,$H180)&lt;&gt;"Disqualified — Free Game",INDEX('Game Records'!$I:$I,$H180)=""),"Eligible Players; ","")&amp;IF(AND(INDEX('Game Records'!$U:$U,$H180)&lt;&gt;"Subscription",INDEX('Game Records'!$U:$U,$H180)&lt;&gt;"Free Game",INDEX('Game Records'!$U:$U,$H180)&lt;&gt;"Disqualified — Free Game",INDEX('Game Records'!$J:$J,$H180)=""),"Total Players; ","")&amp;IF(AND(LOWER(INDEX('Game Records'!$D:$D,$H180)&amp;"")="finalized",LOWER(INDEX('Game Records'!$L:$L,$H180)&amp;"")&lt;&gt;"yes",INDEX('Game Records'!$U:$U,$H180)&lt;&gt;"Subscription",INDEX('Game Records'!$U:$U,$H180)&lt;&gt;"Free Game",INDEX('Game Records'!$U:$U,$H180)&lt;&gt;"Disqualified — Free Game",INDEX('Game Records'!$K:$K,$H180)=""),"Final Payout; ","")&amp;IF(AND(LOWER(INDEX('Game Records'!$D:$D,$H180)&amp;"")="finalized",INDEX('Game Records'!$U:$U,$H180)&lt;&gt;"Subscription",INDEX('Game Records'!$U:$U,$H180)&lt;&gt;"Free Game",INDEX('Game Records'!$U:$U,$H180)&lt;&gt;"Disqualified — Free Game",OR(INDEX('Game Records'!$L:$L,$H180)="",LOWER(INDEX('Game Records'!$L:$L,$H180)&amp;"")="n/a")),"Disqualified Status; ",""))</f>
        <v/>
      </c>
      <c r="G180" s="25" t="str">
        <f t="array" ref="G180">IF($H180="","",IFERROR(INDEX('Game Records'!$M:$M,$H180),""))</f>
        <v/>
      </c>
      <c r="H180" s="8"/>
      <c r="I180" s="8"/>
      <c r="J180" s="8"/>
    </row>
    <row r="181" ht="24.0" customHeight="1">
      <c r="A181" s="21" t="str">
        <f t="shared" si="1"/>
        <v/>
      </c>
      <c r="B181" s="21" t="str">
        <f t="shared" si="2"/>
        <v/>
      </c>
      <c r="C181" s="25" t="str">
        <f t="array" ref="C181">IF($H181="","",IFERROR(INDEX('Game Records'!$A:$A,$H181),""))</f>
        <v/>
      </c>
      <c r="D181" s="25" t="str">
        <f t="array" ref="D181">IF($H181="","",IFERROR(INDEX('Game Records'!$U:$U,$H181),""))</f>
        <v/>
      </c>
      <c r="E181" s="25" t="str">
        <f t="shared" si="3"/>
        <v/>
      </c>
      <c r="F181" s="25" t="str">
        <f t="array" ref="F181">IF($H181="","",IF(OR(NOT(_xlfn.ISFORMULA(INDEX('Game Records'!$N:$N,$H181))),NOT(_xlfn.ISFORMULA(INDEX('Game Records'!$O:$O,$H181))),NOT(_xlfn.ISFORMULA(INDEX('Game Records'!$P:$P,$H181))),NOT(_xlfn.ISFORMULA(INDEX('Game Records'!$Q:$Q,$H181))),NOT(_xlfn.ISFORMULA(INDEX('Game Records'!$R:$R,$H181))),NOT(_xlfn.ISFORMULA(INDEX('Game Records'!$S:$S,$H181))),NOT(_xlfn.ISFORMULA(INDEX('Game Records'!$T:$T,$H181))),NOT(_xlfn.ISFORMULA(INDEX('Game Records'!$U:$U,$H181))),NOT(_xlfn.ISFORMULA(INDEX('Game Records'!$V:$V,$H181))),NOT(_xlfn.ISFORMULA(INDEX('Game Records'!$W:$W,$H181))),NOT(_xlfn.ISFORMULA(INDEX('Game Records'!$X:$X,$H181))),NOT(_xlfn.ISFORMULA(INDEX('Game Records'!$Y:$Y,$H181))),NOT(_xlfn.ISFORMULA(INDEX('Game Records'!$Z:$Z,$H181)))),"","")&amp;IF(INDEX('Game Records'!$B:$B,$H181)="","Start Date; ","")&amp;IF(INDEX('Game Records'!$C:$C,$H181)="","End Date; ","")&amp;IF(AND(INDEX('Game Records'!$U:$U,$H181)&lt;&gt;"Subscription",INDEX('Game Records'!$U:$U,$H181)&lt;&gt;"Free Game",INDEX('Game Records'!$U:$U,$H181)&lt;&gt;"Disqualified — Free Game",OR(INDEX('Game Records'!$D:$D,$H181)="",LOWER(INDEX('Game Records'!$D:$D,$H181)&amp;"")="n/a")),"Entry Mode; ","")&amp;IF(AND(INDEX('Game Records'!$U:$U,$H181)&lt;&gt;"Subscription",INDEX('Game Records'!$U:$U,$H181)&lt;&gt;"Free Game",INDEX('Game Records'!$U:$U,$H181)&lt;&gt;"Disqualified — Free Game",OR(INDEX('Game Records'!$E:$E,$H181)="",LOWER(INDEX('Game Records'!$E:$E,$H181)&amp;"")="n/a")),"Game Type; ","")&amp;IF(INDEX('Game Records'!$F:$F,$H181)="","Payment Type; ","")&amp;IF(AND(INDEX('Game Records'!$U:$U,$H181)&lt;&gt;"Subscription",INDEX('Game Records'!$U:$U,$H181)&lt;&gt;"Free Game",INDEX('Game Records'!$U:$U,$H181)&lt;&gt;"Disqualified — Free Game",INDEX('Game Records'!$G:$G,$H181)=""),"Gross Pot; ","")&amp;IF(AND(INDEX('Game Records'!$U:$U,$H181)&lt;&gt;"Free Game",INDEX('Game Records'!$U:$U,$H181)&lt;&gt;"Disqualified — Free Game",INDEX('Game Records'!$H:$H,$H181)=""),"Entry Fee; ","")&amp;IF(AND(INDEX('Game Records'!$U:$U,$H181)&lt;&gt;"Subscription",INDEX('Game Records'!$U:$U,$H181)&lt;&gt;"Free Game",INDEX('Game Records'!$U:$U,$H181)&lt;&gt;"Disqualified — Free Game",INDEX('Game Records'!$I:$I,$H181)=""),"Eligible Players; ","")&amp;IF(AND(INDEX('Game Records'!$U:$U,$H181)&lt;&gt;"Subscription",INDEX('Game Records'!$U:$U,$H181)&lt;&gt;"Free Game",INDEX('Game Records'!$U:$U,$H181)&lt;&gt;"Disqualified — Free Game",INDEX('Game Records'!$J:$J,$H181)=""),"Total Players; ","")&amp;IF(AND(LOWER(INDEX('Game Records'!$D:$D,$H181)&amp;"")="finalized",LOWER(INDEX('Game Records'!$L:$L,$H181)&amp;"")&lt;&gt;"yes",INDEX('Game Records'!$U:$U,$H181)&lt;&gt;"Subscription",INDEX('Game Records'!$U:$U,$H181)&lt;&gt;"Free Game",INDEX('Game Records'!$U:$U,$H181)&lt;&gt;"Disqualified — Free Game",INDEX('Game Records'!$K:$K,$H181)=""),"Final Payout; ","")&amp;IF(AND(LOWER(INDEX('Game Records'!$D:$D,$H181)&amp;"")="finalized",INDEX('Game Records'!$U:$U,$H181)&lt;&gt;"Subscription",INDEX('Game Records'!$U:$U,$H181)&lt;&gt;"Free Game",INDEX('Game Records'!$U:$U,$H181)&lt;&gt;"Disqualified — Free Game",OR(INDEX('Game Records'!$L:$L,$H181)="",LOWER(INDEX('Game Records'!$L:$L,$H181)&amp;"")="n/a")),"Disqualified Status; ",""))</f>
        <v/>
      </c>
      <c r="G181" s="25" t="str">
        <f t="array" ref="G181">IF($H181="","",IFERROR(INDEX('Game Records'!$M:$M,$H181),""))</f>
        <v/>
      </c>
      <c r="H181" s="8"/>
      <c r="I181" s="8"/>
      <c r="J181" s="8"/>
    </row>
    <row r="182" ht="24.0" customHeight="1">
      <c r="A182" s="21" t="str">
        <f t="shared" si="1"/>
        <v/>
      </c>
      <c r="B182" s="21" t="str">
        <f t="shared" si="2"/>
        <v/>
      </c>
      <c r="C182" s="25" t="str">
        <f t="array" ref="C182">IF($H182="","",IFERROR(INDEX('Game Records'!$A:$A,$H182),""))</f>
        <v/>
      </c>
      <c r="D182" s="25" t="str">
        <f t="array" ref="D182">IF($H182="","",IFERROR(INDEX('Game Records'!$U:$U,$H182),""))</f>
        <v/>
      </c>
      <c r="E182" s="25" t="str">
        <f t="shared" si="3"/>
        <v/>
      </c>
      <c r="F182" s="25" t="str">
        <f t="array" ref="F182">IF($H182="","",IF(OR(NOT(_xlfn.ISFORMULA(INDEX('Game Records'!$N:$N,$H182))),NOT(_xlfn.ISFORMULA(INDEX('Game Records'!$O:$O,$H182))),NOT(_xlfn.ISFORMULA(INDEX('Game Records'!$P:$P,$H182))),NOT(_xlfn.ISFORMULA(INDEX('Game Records'!$Q:$Q,$H182))),NOT(_xlfn.ISFORMULA(INDEX('Game Records'!$R:$R,$H182))),NOT(_xlfn.ISFORMULA(INDEX('Game Records'!$S:$S,$H182))),NOT(_xlfn.ISFORMULA(INDEX('Game Records'!$T:$T,$H182))),NOT(_xlfn.ISFORMULA(INDEX('Game Records'!$U:$U,$H182))),NOT(_xlfn.ISFORMULA(INDEX('Game Records'!$V:$V,$H182))),NOT(_xlfn.ISFORMULA(INDEX('Game Records'!$W:$W,$H182))),NOT(_xlfn.ISFORMULA(INDEX('Game Records'!$X:$X,$H182))),NOT(_xlfn.ISFORMULA(INDEX('Game Records'!$Y:$Y,$H182))),NOT(_xlfn.ISFORMULA(INDEX('Game Records'!$Z:$Z,$H182)))),"","")&amp;IF(INDEX('Game Records'!$B:$B,$H182)="","Start Date; ","")&amp;IF(INDEX('Game Records'!$C:$C,$H182)="","End Date; ","")&amp;IF(AND(INDEX('Game Records'!$U:$U,$H182)&lt;&gt;"Subscription",INDEX('Game Records'!$U:$U,$H182)&lt;&gt;"Free Game",INDEX('Game Records'!$U:$U,$H182)&lt;&gt;"Disqualified — Free Game",OR(INDEX('Game Records'!$D:$D,$H182)="",LOWER(INDEX('Game Records'!$D:$D,$H182)&amp;"")="n/a")),"Entry Mode; ","")&amp;IF(AND(INDEX('Game Records'!$U:$U,$H182)&lt;&gt;"Subscription",INDEX('Game Records'!$U:$U,$H182)&lt;&gt;"Free Game",INDEX('Game Records'!$U:$U,$H182)&lt;&gt;"Disqualified — Free Game",OR(INDEX('Game Records'!$E:$E,$H182)="",LOWER(INDEX('Game Records'!$E:$E,$H182)&amp;"")="n/a")),"Game Type; ","")&amp;IF(INDEX('Game Records'!$F:$F,$H182)="","Payment Type; ","")&amp;IF(AND(INDEX('Game Records'!$U:$U,$H182)&lt;&gt;"Subscription",INDEX('Game Records'!$U:$U,$H182)&lt;&gt;"Free Game",INDEX('Game Records'!$U:$U,$H182)&lt;&gt;"Disqualified — Free Game",INDEX('Game Records'!$G:$G,$H182)=""),"Gross Pot; ","")&amp;IF(AND(INDEX('Game Records'!$U:$U,$H182)&lt;&gt;"Free Game",INDEX('Game Records'!$U:$U,$H182)&lt;&gt;"Disqualified — Free Game",INDEX('Game Records'!$H:$H,$H182)=""),"Entry Fee; ","")&amp;IF(AND(INDEX('Game Records'!$U:$U,$H182)&lt;&gt;"Subscription",INDEX('Game Records'!$U:$U,$H182)&lt;&gt;"Free Game",INDEX('Game Records'!$U:$U,$H182)&lt;&gt;"Disqualified — Free Game",INDEX('Game Records'!$I:$I,$H182)=""),"Eligible Players; ","")&amp;IF(AND(INDEX('Game Records'!$U:$U,$H182)&lt;&gt;"Subscription",INDEX('Game Records'!$U:$U,$H182)&lt;&gt;"Free Game",INDEX('Game Records'!$U:$U,$H182)&lt;&gt;"Disqualified — Free Game",INDEX('Game Records'!$J:$J,$H182)=""),"Total Players; ","")&amp;IF(AND(LOWER(INDEX('Game Records'!$D:$D,$H182)&amp;"")="finalized",LOWER(INDEX('Game Records'!$L:$L,$H182)&amp;"")&lt;&gt;"yes",INDEX('Game Records'!$U:$U,$H182)&lt;&gt;"Subscription",INDEX('Game Records'!$U:$U,$H182)&lt;&gt;"Free Game",INDEX('Game Records'!$U:$U,$H182)&lt;&gt;"Disqualified — Free Game",INDEX('Game Records'!$K:$K,$H182)=""),"Final Payout; ","")&amp;IF(AND(LOWER(INDEX('Game Records'!$D:$D,$H182)&amp;"")="finalized",INDEX('Game Records'!$U:$U,$H182)&lt;&gt;"Subscription",INDEX('Game Records'!$U:$U,$H182)&lt;&gt;"Free Game",INDEX('Game Records'!$U:$U,$H182)&lt;&gt;"Disqualified — Free Game",OR(INDEX('Game Records'!$L:$L,$H182)="",LOWER(INDEX('Game Records'!$L:$L,$H182)&amp;"")="n/a")),"Disqualified Status; ",""))</f>
        <v/>
      </c>
      <c r="G182" s="25" t="str">
        <f t="array" ref="G182">IF($H182="","",IFERROR(INDEX('Game Records'!$M:$M,$H182),""))</f>
        <v/>
      </c>
      <c r="H182" s="8"/>
      <c r="I182" s="8"/>
      <c r="J182" s="8"/>
    </row>
    <row r="183" ht="24.0" customHeight="1">
      <c r="A183" s="21" t="str">
        <f t="shared" si="1"/>
        <v/>
      </c>
      <c r="B183" s="21" t="str">
        <f t="shared" si="2"/>
        <v/>
      </c>
      <c r="C183" s="25" t="str">
        <f t="array" ref="C183">IF($H183="","",IFERROR(INDEX('Game Records'!$A:$A,$H183),""))</f>
        <v/>
      </c>
      <c r="D183" s="25" t="str">
        <f t="array" ref="D183">IF($H183="","",IFERROR(INDEX('Game Records'!$U:$U,$H183),""))</f>
        <v/>
      </c>
      <c r="E183" s="25" t="str">
        <f t="shared" si="3"/>
        <v/>
      </c>
      <c r="F183" s="25" t="str">
        <f t="array" ref="F183">IF($H183="","",IF(OR(NOT(_xlfn.ISFORMULA(INDEX('Game Records'!$N:$N,$H183))),NOT(_xlfn.ISFORMULA(INDEX('Game Records'!$O:$O,$H183))),NOT(_xlfn.ISFORMULA(INDEX('Game Records'!$P:$P,$H183))),NOT(_xlfn.ISFORMULA(INDEX('Game Records'!$Q:$Q,$H183))),NOT(_xlfn.ISFORMULA(INDEX('Game Records'!$R:$R,$H183))),NOT(_xlfn.ISFORMULA(INDEX('Game Records'!$S:$S,$H183))),NOT(_xlfn.ISFORMULA(INDEX('Game Records'!$T:$T,$H183))),NOT(_xlfn.ISFORMULA(INDEX('Game Records'!$U:$U,$H183))),NOT(_xlfn.ISFORMULA(INDEX('Game Records'!$V:$V,$H183))),NOT(_xlfn.ISFORMULA(INDEX('Game Records'!$W:$W,$H183))),NOT(_xlfn.ISFORMULA(INDEX('Game Records'!$X:$X,$H183))),NOT(_xlfn.ISFORMULA(INDEX('Game Records'!$Y:$Y,$H183))),NOT(_xlfn.ISFORMULA(INDEX('Game Records'!$Z:$Z,$H183)))),"","")&amp;IF(INDEX('Game Records'!$B:$B,$H183)="","Start Date; ","")&amp;IF(INDEX('Game Records'!$C:$C,$H183)="","End Date; ","")&amp;IF(AND(INDEX('Game Records'!$U:$U,$H183)&lt;&gt;"Subscription",INDEX('Game Records'!$U:$U,$H183)&lt;&gt;"Free Game",INDEX('Game Records'!$U:$U,$H183)&lt;&gt;"Disqualified — Free Game",OR(INDEX('Game Records'!$D:$D,$H183)="",LOWER(INDEX('Game Records'!$D:$D,$H183)&amp;"")="n/a")),"Entry Mode; ","")&amp;IF(AND(INDEX('Game Records'!$U:$U,$H183)&lt;&gt;"Subscription",INDEX('Game Records'!$U:$U,$H183)&lt;&gt;"Free Game",INDEX('Game Records'!$U:$U,$H183)&lt;&gt;"Disqualified — Free Game",OR(INDEX('Game Records'!$E:$E,$H183)="",LOWER(INDEX('Game Records'!$E:$E,$H183)&amp;"")="n/a")),"Game Type; ","")&amp;IF(INDEX('Game Records'!$F:$F,$H183)="","Payment Type; ","")&amp;IF(AND(INDEX('Game Records'!$U:$U,$H183)&lt;&gt;"Subscription",INDEX('Game Records'!$U:$U,$H183)&lt;&gt;"Free Game",INDEX('Game Records'!$U:$U,$H183)&lt;&gt;"Disqualified — Free Game",INDEX('Game Records'!$G:$G,$H183)=""),"Gross Pot; ","")&amp;IF(AND(INDEX('Game Records'!$U:$U,$H183)&lt;&gt;"Free Game",INDEX('Game Records'!$U:$U,$H183)&lt;&gt;"Disqualified — Free Game",INDEX('Game Records'!$H:$H,$H183)=""),"Entry Fee; ","")&amp;IF(AND(INDEX('Game Records'!$U:$U,$H183)&lt;&gt;"Subscription",INDEX('Game Records'!$U:$U,$H183)&lt;&gt;"Free Game",INDEX('Game Records'!$U:$U,$H183)&lt;&gt;"Disqualified — Free Game",INDEX('Game Records'!$I:$I,$H183)=""),"Eligible Players; ","")&amp;IF(AND(INDEX('Game Records'!$U:$U,$H183)&lt;&gt;"Subscription",INDEX('Game Records'!$U:$U,$H183)&lt;&gt;"Free Game",INDEX('Game Records'!$U:$U,$H183)&lt;&gt;"Disqualified — Free Game",INDEX('Game Records'!$J:$J,$H183)=""),"Total Players; ","")&amp;IF(AND(LOWER(INDEX('Game Records'!$D:$D,$H183)&amp;"")="finalized",LOWER(INDEX('Game Records'!$L:$L,$H183)&amp;"")&lt;&gt;"yes",INDEX('Game Records'!$U:$U,$H183)&lt;&gt;"Subscription",INDEX('Game Records'!$U:$U,$H183)&lt;&gt;"Free Game",INDEX('Game Records'!$U:$U,$H183)&lt;&gt;"Disqualified — Free Game",INDEX('Game Records'!$K:$K,$H183)=""),"Final Payout; ","")&amp;IF(AND(LOWER(INDEX('Game Records'!$D:$D,$H183)&amp;"")="finalized",INDEX('Game Records'!$U:$U,$H183)&lt;&gt;"Subscription",INDEX('Game Records'!$U:$U,$H183)&lt;&gt;"Free Game",INDEX('Game Records'!$U:$U,$H183)&lt;&gt;"Disqualified — Free Game",OR(INDEX('Game Records'!$L:$L,$H183)="",LOWER(INDEX('Game Records'!$L:$L,$H183)&amp;"")="n/a")),"Disqualified Status; ",""))</f>
        <v/>
      </c>
      <c r="G183" s="25" t="str">
        <f t="array" ref="G183">IF($H183="","",IFERROR(INDEX('Game Records'!$M:$M,$H183),""))</f>
        <v/>
      </c>
      <c r="H183" s="8"/>
      <c r="I183" s="8"/>
      <c r="J183" s="8"/>
    </row>
    <row r="184" ht="24.0" customHeight="1">
      <c r="A184" s="21" t="str">
        <f t="shared" si="1"/>
        <v/>
      </c>
      <c r="B184" s="21" t="str">
        <f t="shared" si="2"/>
        <v/>
      </c>
      <c r="C184" s="25" t="str">
        <f t="array" ref="C184">IF($H184="","",IFERROR(INDEX('Game Records'!$A:$A,$H184),""))</f>
        <v/>
      </c>
      <c r="D184" s="25" t="str">
        <f t="array" ref="D184">IF($H184="","",IFERROR(INDEX('Game Records'!$U:$U,$H184),""))</f>
        <v/>
      </c>
      <c r="E184" s="25" t="str">
        <f t="shared" si="3"/>
        <v/>
      </c>
      <c r="F184" s="25" t="str">
        <f t="array" ref="F184">IF($H184="","",IF(OR(NOT(_xlfn.ISFORMULA(INDEX('Game Records'!$N:$N,$H184))),NOT(_xlfn.ISFORMULA(INDEX('Game Records'!$O:$O,$H184))),NOT(_xlfn.ISFORMULA(INDEX('Game Records'!$P:$P,$H184))),NOT(_xlfn.ISFORMULA(INDEX('Game Records'!$Q:$Q,$H184))),NOT(_xlfn.ISFORMULA(INDEX('Game Records'!$R:$R,$H184))),NOT(_xlfn.ISFORMULA(INDEX('Game Records'!$S:$S,$H184))),NOT(_xlfn.ISFORMULA(INDEX('Game Records'!$T:$T,$H184))),NOT(_xlfn.ISFORMULA(INDEX('Game Records'!$U:$U,$H184))),NOT(_xlfn.ISFORMULA(INDEX('Game Records'!$V:$V,$H184))),NOT(_xlfn.ISFORMULA(INDEX('Game Records'!$W:$W,$H184))),NOT(_xlfn.ISFORMULA(INDEX('Game Records'!$X:$X,$H184))),NOT(_xlfn.ISFORMULA(INDEX('Game Records'!$Y:$Y,$H184))),NOT(_xlfn.ISFORMULA(INDEX('Game Records'!$Z:$Z,$H184)))),"","")&amp;IF(INDEX('Game Records'!$B:$B,$H184)="","Start Date; ","")&amp;IF(INDEX('Game Records'!$C:$C,$H184)="","End Date; ","")&amp;IF(AND(INDEX('Game Records'!$U:$U,$H184)&lt;&gt;"Subscription",INDEX('Game Records'!$U:$U,$H184)&lt;&gt;"Free Game",INDEX('Game Records'!$U:$U,$H184)&lt;&gt;"Disqualified — Free Game",OR(INDEX('Game Records'!$D:$D,$H184)="",LOWER(INDEX('Game Records'!$D:$D,$H184)&amp;"")="n/a")),"Entry Mode; ","")&amp;IF(AND(INDEX('Game Records'!$U:$U,$H184)&lt;&gt;"Subscription",INDEX('Game Records'!$U:$U,$H184)&lt;&gt;"Free Game",INDEX('Game Records'!$U:$U,$H184)&lt;&gt;"Disqualified — Free Game",OR(INDEX('Game Records'!$E:$E,$H184)="",LOWER(INDEX('Game Records'!$E:$E,$H184)&amp;"")="n/a")),"Game Type; ","")&amp;IF(INDEX('Game Records'!$F:$F,$H184)="","Payment Type; ","")&amp;IF(AND(INDEX('Game Records'!$U:$U,$H184)&lt;&gt;"Subscription",INDEX('Game Records'!$U:$U,$H184)&lt;&gt;"Free Game",INDEX('Game Records'!$U:$U,$H184)&lt;&gt;"Disqualified — Free Game",INDEX('Game Records'!$G:$G,$H184)=""),"Gross Pot; ","")&amp;IF(AND(INDEX('Game Records'!$U:$U,$H184)&lt;&gt;"Free Game",INDEX('Game Records'!$U:$U,$H184)&lt;&gt;"Disqualified — Free Game",INDEX('Game Records'!$H:$H,$H184)=""),"Entry Fee; ","")&amp;IF(AND(INDEX('Game Records'!$U:$U,$H184)&lt;&gt;"Subscription",INDEX('Game Records'!$U:$U,$H184)&lt;&gt;"Free Game",INDEX('Game Records'!$U:$U,$H184)&lt;&gt;"Disqualified — Free Game",INDEX('Game Records'!$I:$I,$H184)=""),"Eligible Players; ","")&amp;IF(AND(INDEX('Game Records'!$U:$U,$H184)&lt;&gt;"Subscription",INDEX('Game Records'!$U:$U,$H184)&lt;&gt;"Free Game",INDEX('Game Records'!$U:$U,$H184)&lt;&gt;"Disqualified — Free Game",INDEX('Game Records'!$J:$J,$H184)=""),"Total Players; ","")&amp;IF(AND(LOWER(INDEX('Game Records'!$D:$D,$H184)&amp;"")="finalized",LOWER(INDEX('Game Records'!$L:$L,$H184)&amp;"")&lt;&gt;"yes",INDEX('Game Records'!$U:$U,$H184)&lt;&gt;"Subscription",INDEX('Game Records'!$U:$U,$H184)&lt;&gt;"Free Game",INDEX('Game Records'!$U:$U,$H184)&lt;&gt;"Disqualified — Free Game",INDEX('Game Records'!$K:$K,$H184)=""),"Final Payout; ","")&amp;IF(AND(LOWER(INDEX('Game Records'!$D:$D,$H184)&amp;"")="finalized",INDEX('Game Records'!$U:$U,$H184)&lt;&gt;"Subscription",INDEX('Game Records'!$U:$U,$H184)&lt;&gt;"Free Game",INDEX('Game Records'!$U:$U,$H184)&lt;&gt;"Disqualified — Free Game",OR(INDEX('Game Records'!$L:$L,$H184)="",LOWER(INDEX('Game Records'!$L:$L,$H184)&amp;"")="n/a")),"Disqualified Status; ",""))</f>
        <v/>
      </c>
      <c r="G184" s="25" t="str">
        <f t="array" ref="G184">IF($H184="","",IFERROR(INDEX('Game Records'!$M:$M,$H184),""))</f>
        <v/>
      </c>
      <c r="H184" s="8"/>
      <c r="I184" s="8"/>
      <c r="J184" s="8"/>
    </row>
    <row r="185" ht="24.0" customHeight="1">
      <c r="A185" s="21" t="str">
        <f t="shared" si="1"/>
        <v/>
      </c>
      <c r="B185" s="21" t="str">
        <f t="shared" si="2"/>
        <v/>
      </c>
      <c r="C185" s="25" t="str">
        <f t="array" ref="C185">IF($H185="","",IFERROR(INDEX('Game Records'!$A:$A,$H185),""))</f>
        <v/>
      </c>
      <c r="D185" s="25" t="str">
        <f t="array" ref="D185">IF($H185="","",IFERROR(INDEX('Game Records'!$U:$U,$H185),""))</f>
        <v/>
      </c>
      <c r="E185" s="25" t="str">
        <f t="shared" si="3"/>
        <v/>
      </c>
      <c r="F185" s="25" t="str">
        <f t="array" ref="F185">IF($H185="","",IF(OR(NOT(_xlfn.ISFORMULA(INDEX('Game Records'!$N:$N,$H185))),NOT(_xlfn.ISFORMULA(INDEX('Game Records'!$O:$O,$H185))),NOT(_xlfn.ISFORMULA(INDEX('Game Records'!$P:$P,$H185))),NOT(_xlfn.ISFORMULA(INDEX('Game Records'!$Q:$Q,$H185))),NOT(_xlfn.ISFORMULA(INDEX('Game Records'!$R:$R,$H185))),NOT(_xlfn.ISFORMULA(INDEX('Game Records'!$S:$S,$H185))),NOT(_xlfn.ISFORMULA(INDEX('Game Records'!$T:$T,$H185))),NOT(_xlfn.ISFORMULA(INDEX('Game Records'!$U:$U,$H185))),NOT(_xlfn.ISFORMULA(INDEX('Game Records'!$V:$V,$H185))),NOT(_xlfn.ISFORMULA(INDEX('Game Records'!$W:$W,$H185))),NOT(_xlfn.ISFORMULA(INDEX('Game Records'!$X:$X,$H185))),NOT(_xlfn.ISFORMULA(INDEX('Game Records'!$Y:$Y,$H185))),NOT(_xlfn.ISFORMULA(INDEX('Game Records'!$Z:$Z,$H185)))),"","")&amp;IF(INDEX('Game Records'!$B:$B,$H185)="","Start Date; ","")&amp;IF(INDEX('Game Records'!$C:$C,$H185)="","End Date; ","")&amp;IF(AND(INDEX('Game Records'!$U:$U,$H185)&lt;&gt;"Subscription",INDEX('Game Records'!$U:$U,$H185)&lt;&gt;"Free Game",INDEX('Game Records'!$U:$U,$H185)&lt;&gt;"Disqualified — Free Game",OR(INDEX('Game Records'!$D:$D,$H185)="",LOWER(INDEX('Game Records'!$D:$D,$H185)&amp;"")="n/a")),"Entry Mode; ","")&amp;IF(AND(INDEX('Game Records'!$U:$U,$H185)&lt;&gt;"Subscription",INDEX('Game Records'!$U:$U,$H185)&lt;&gt;"Free Game",INDEX('Game Records'!$U:$U,$H185)&lt;&gt;"Disqualified — Free Game",OR(INDEX('Game Records'!$E:$E,$H185)="",LOWER(INDEX('Game Records'!$E:$E,$H185)&amp;"")="n/a")),"Game Type; ","")&amp;IF(INDEX('Game Records'!$F:$F,$H185)="","Payment Type; ","")&amp;IF(AND(INDEX('Game Records'!$U:$U,$H185)&lt;&gt;"Subscription",INDEX('Game Records'!$U:$U,$H185)&lt;&gt;"Free Game",INDEX('Game Records'!$U:$U,$H185)&lt;&gt;"Disqualified — Free Game",INDEX('Game Records'!$G:$G,$H185)=""),"Gross Pot; ","")&amp;IF(AND(INDEX('Game Records'!$U:$U,$H185)&lt;&gt;"Free Game",INDEX('Game Records'!$U:$U,$H185)&lt;&gt;"Disqualified — Free Game",INDEX('Game Records'!$H:$H,$H185)=""),"Entry Fee; ","")&amp;IF(AND(INDEX('Game Records'!$U:$U,$H185)&lt;&gt;"Subscription",INDEX('Game Records'!$U:$U,$H185)&lt;&gt;"Free Game",INDEX('Game Records'!$U:$U,$H185)&lt;&gt;"Disqualified — Free Game",INDEX('Game Records'!$I:$I,$H185)=""),"Eligible Players; ","")&amp;IF(AND(INDEX('Game Records'!$U:$U,$H185)&lt;&gt;"Subscription",INDEX('Game Records'!$U:$U,$H185)&lt;&gt;"Free Game",INDEX('Game Records'!$U:$U,$H185)&lt;&gt;"Disqualified — Free Game",INDEX('Game Records'!$J:$J,$H185)=""),"Total Players; ","")&amp;IF(AND(LOWER(INDEX('Game Records'!$D:$D,$H185)&amp;"")="finalized",LOWER(INDEX('Game Records'!$L:$L,$H185)&amp;"")&lt;&gt;"yes",INDEX('Game Records'!$U:$U,$H185)&lt;&gt;"Subscription",INDEX('Game Records'!$U:$U,$H185)&lt;&gt;"Free Game",INDEX('Game Records'!$U:$U,$H185)&lt;&gt;"Disqualified — Free Game",INDEX('Game Records'!$K:$K,$H185)=""),"Final Payout; ","")&amp;IF(AND(LOWER(INDEX('Game Records'!$D:$D,$H185)&amp;"")="finalized",INDEX('Game Records'!$U:$U,$H185)&lt;&gt;"Subscription",INDEX('Game Records'!$U:$U,$H185)&lt;&gt;"Free Game",INDEX('Game Records'!$U:$U,$H185)&lt;&gt;"Disqualified — Free Game",OR(INDEX('Game Records'!$L:$L,$H185)="",LOWER(INDEX('Game Records'!$L:$L,$H185)&amp;"")="n/a")),"Disqualified Status; ",""))</f>
        <v/>
      </c>
      <c r="G185" s="25" t="str">
        <f t="array" ref="G185">IF($H185="","",IFERROR(INDEX('Game Records'!$M:$M,$H185),""))</f>
        <v/>
      </c>
      <c r="H185" s="8"/>
      <c r="I185" s="8"/>
      <c r="J185" s="8"/>
    </row>
    <row r="186" ht="24.0" customHeight="1">
      <c r="A186" s="21" t="str">
        <f t="shared" si="1"/>
        <v/>
      </c>
      <c r="B186" s="21" t="str">
        <f t="shared" si="2"/>
        <v/>
      </c>
      <c r="C186" s="25" t="str">
        <f t="array" ref="C186">IF($H186="","",IFERROR(INDEX('Game Records'!$A:$A,$H186),""))</f>
        <v/>
      </c>
      <c r="D186" s="25" t="str">
        <f t="array" ref="D186">IF($H186="","",IFERROR(INDEX('Game Records'!$U:$U,$H186),""))</f>
        <v/>
      </c>
      <c r="E186" s="25" t="str">
        <f t="shared" si="3"/>
        <v/>
      </c>
      <c r="F186" s="25" t="str">
        <f t="array" ref="F186">IF($H186="","",IF(OR(NOT(_xlfn.ISFORMULA(INDEX('Game Records'!$N:$N,$H186))),NOT(_xlfn.ISFORMULA(INDEX('Game Records'!$O:$O,$H186))),NOT(_xlfn.ISFORMULA(INDEX('Game Records'!$P:$P,$H186))),NOT(_xlfn.ISFORMULA(INDEX('Game Records'!$Q:$Q,$H186))),NOT(_xlfn.ISFORMULA(INDEX('Game Records'!$R:$R,$H186))),NOT(_xlfn.ISFORMULA(INDEX('Game Records'!$S:$S,$H186))),NOT(_xlfn.ISFORMULA(INDEX('Game Records'!$T:$T,$H186))),NOT(_xlfn.ISFORMULA(INDEX('Game Records'!$U:$U,$H186))),NOT(_xlfn.ISFORMULA(INDEX('Game Records'!$V:$V,$H186))),NOT(_xlfn.ISFORMULA(INDEX('Game Records'!$W:$W,$H186))),NOT(_xlfn.ISFORMULA(INDEX('Game Records'!$X:$X,$H186))),NOT(_xlfn.ISFORMULA(INDEX('Game Records'!$Y:$Y,$H186))),NOT(_xlfn.ISFORMULA(INDEX('Game Records'!$Z:$Z,$H186)))),"","")&amp;IF(INDEX('Game Records'!$B:$B,$H186)="","Start Date; ","")&amp;IF(INDEX('Game Records'!$C:$C,$H186)="","End Date; ","")&amp;IF(AND(INDEX('Game Records'!$U:$U,$H186)&lt;&gt;"Subscription",INDEX('Game Records'!$U:$U,$H186)&lt;&gt;"Free Game",INDEX('Game Records'!$U:$U,$H186)&lt;&gt;"Disqualified — Free Game",OR(INDEX('Game Records'!$D:$D,$H186)="",LOWER(INDEX('Game Records'!$D:$D,$H186)&amp;"")="n/a")),"Entry Mode; ","")&amp;IF(AND(INDEX('Game Records'!$U:$U,$H186)&lt;&gt;"Subscription",INDEX('Game Records'!$U:$U,$H186)&lt;&gt;"Free Game",INDEX('Game Records'!$U:$U,$H186)&lt;&gt;"Disqualified — Free Game",OR(INDEX('Game Records'!$E:$E,$H186)="",LOWER(INDEX('Game Records'!$E:$E,$H186)&amp;"")="n/a")),"Game Type; ","")&amp;IF(INDEX('Game Records'!$F:$F,$H186)="","Payment Type; ","")&amp;IF(AND(INDEX('Game Records'!$U:$U,$H186)&lt;&gt;"Subscription",INDEX('Game Records'!$U:$U,$H186)&lt;&gt;"Free Game",INDEX('Game Records'!$U:$U,$H186)&lt;&gt;"Disqualified — Free Game",INDEX('Game Records'!$G:$G,$H186)=""),"Gross Pot; ","")&amp;IF(AND(INDEX('Game Records'!$U:$U,$H186)&lt;&gt;"Free Game",INDEX('Game Records'!$U:$U,$H186)&lt;&gt;"Disqualified — Free Game",INDEX('Game Records'!$H:$H,$H186)=""),"Entry Fee; ","")&amp;IF(AND(INDEX('Game Records'!$U:$U,$H186)&lt;&gt;"Subscription",INDEX('Game Records'!$U:$U,$H186)&lt;&gt;"Free Game",INDEX('Game Records'!$U:$U,$H186)&lt;&gt;"Disqualified — Free Game",INDEX('Game Records'!$I:$I,$H186)=""),"Eligible Players; ","")&amp;IF(AND(INDEX('Game Records'!$U:$U,$H186)&lt;&gt;"Subscription",INDEX('Game Records'!$U:$U,$H186)&lt;&gt;"Free Game",INDEX('Game Records'!$U:$U,$H186)&lt;&gt;"Disqualified — Free Game",INDEX('Game Records'!$J:$J,$H186)=""),"Total Players; ","")&amp;IF(AND(LOWER(INDEX('Game Records'!$D:$D,$H186)&amp;"")="finalized",LOWER(INDEX('Game Records'!$L:$L,$H186)&amp;"")&lt;&gt;"yes",INDEX('Game Records'!$U:$U,$H186)&lt;&gt;"Subscription",INDEX('Game Records'!$U:$U,$H186)&lt;&gt;"Free Game",INDEX('Game Records'!$U:$U,$H186)&lt;&gt;"Disqualified — Free Game",INDEX('Game Records'!$K:$K,$H186)=""),"Final Payout; ","")&amp;IF(AND(LOWER(INDEX('Game Records'!$D:$D,$H186)&amp;"")="finalized",INDEX('Game Records'!$U:$U,$H186)&lt;&gt;"Subscription",INDEX('Game Records'!$U:$U,$H186)&lt;&gt;"Free Game",INDEX('Game Records'!$U:$U,$H186)&lt;&gt;"Disqualified — Free Game",OR(INDEX('Game Records'!$L:$L,$H186)="",LOWER(INDEX('Game Records'!$L:$L,$H186)&amp;"")="n/a")),"Disqualified Status; ",""))</f>
        <v/>
      </c>
      <c r="G186" s="25" t="str">
        <f t="array" ref="G186">IF($H186="","",IFERROR(INDEX('Game Records'!$M:$M,$H186),""))</f>
        <v/>
      </c>
      <c r="H186" s="8"/>
      <c r="I186" s="8"/>
      <c r="J186" s="8"/>
    </row>
    <row r="187" ht="24.0" customHeight="1">
      <c r="A187" s="21" t="str">
        <f t="shared" si="1"/>
        <v/>
      </c>
      <c r="B187" s="21" t="str">
        <f t="shared" si="2"/>
        <v/>
      </c>
      <c r="C187" s="25" t="str">
        <f t="array" ref="C187">IF($H187="","",IFERROR(INDEX('Game Records'!$A:$A,$H187),""))</f>
        <v/>
      </c>
      <c r="D187" s="25" t="str">
        <f t="array" ref="D187">IF($H187="","",IFERROR(INDEX('Game Records'!$U:$U,$H187),""))</f>
        <v/>
      </c>
      <c r="E187" s="25" t="str">
        <f t="shared" si="3"/>
        <v/>
      </c>
      <c r="F187" s="25" t="str">
        <f t="array" ref="F187">IF($H187="","",IF(OR(NOT(_xlfn.ISFORMULA(INDEX('Game Records'!$N:$N,$H187))),NOT(_xlfn.ISFORMULA(INDEX('Game Records'!$O:$O,$H187))),NOT(_xlfn.ISFORMULA(INDEX('Game Records'!$P:$P,$H187))),NOT(_xlfn.ISFORMULA(INDEX('Game Records'!$Q:$Q,$H187))),NOT(_xlfn.ISFORMULA(INDEX('Game Records'!$R:$R,$H187))),NOT(_xlfn.ISFORMULA(INDEX('Game Records'!$S:$S,$H187))),NOT(_xlfn.ISFORMULA(INDEX('Game Records'!$T:$T,$H187))),NOT(_xlfn.ISFORMULA(INDEX('Game Records'!$U:$U,$H187))),NOT(_xlfn.ISFORMULA(INDEX('Game Records'!$V:$V,$H187))),NOT(_xlfn.ISFORMULA(INDEX('Game Records'!$W:$W,$H187))),NOT(_xlfn.ISFORMULA(INDEX('Game Records'!$X:$X,$H187))),NOT(_xlfn.ISFORMULA(INDEX('Game Records'!$Y:$Y,$H187))),NOT(_xlfn.ISFORMULA(INDEX('Game Records'!$Z:$Z,$H187)))),"","")&amp;IF(INDEX('Game Records'!$B:$B,$H187)="","Start Date; ","")&amp;IF(INDEX('Game Records'!$C:$C,$H187)="","End Date; ","")&amp;IF(AND(INDEX('Game Records'!$U:$U,$H187)&lt;&gt;"Subscription",INDEX('Game Records'!$U:$U,$H187)&lt;&gt;"Free Game",INDEX('Game Records'!$U:$U,$H187)&lt;&gt;"Disqualified — Free Game",OR(INDEX('Game Records'!$D:$D,$H187)="",LOWER(INDEX('Game Records'!$D:$D,$H187)&amp;"")="n/a")),"Entry Mode; ","")&amp;IF(AND(INDEX('Game Records'!$U:$U,$H187)&lt;&gt;"Subscription",INDEX('Game Records'!$U:$U,$H187)&lt;&gt;"Free Game",INDEX('Game Records'!$U:$U,$H187)&lt;&gt;"Disqualified — Free Game",OR(INDEX('Game Records'!$E:$E,$H187)="",LOWER(INDEX('Game Records'!$E:$E,$H187)&amp;"")="n/a")),"Game Type; ","")&amp;IF(INDEX('Game Records'!$F:$F,$H187)="","Payment Type; ","")&amp;IF(AND(INDEX('Game Records'!$U:$U,$H187)&lt;&gt;"Subscription",INDEX('Game Records'!$U:$U,$H187)&lt;&gt;"Free Game",INDEX('Game Records'!$U:$U,$H187)&lt;&gt;"Disqualified — Free Game",INDEX('Game Records'!$G:$G,$H187)=""),"Gross Pot; ","")&amp;IF(AND(INDEX('Game Records'!$U:$U,$H187)&lt;&gt;"Free Game",INDEX('Game Records'!$U:$U,$H187)&lt;&gt;"Disqualified — Free Game",INDEX('Game Records'!$H:$H,$H187)=""),"Entry Fee; ","")&amp;IF(AND(INDEX('Game Records'!$U:$U,$H187)&lt;&gt;"Subscription",INDEX('Game Records'!$U:$U,$H187)&lt;&gt;"Free Game",INDEX('Game Records'!$U:$U,$H187)&lt;&gt;"Disqualified — Free Game",INDEX('Game Records'!$I:$I,$H187)=""),"Eligible Players; ","")&amp;IF(AND(INDEX('Game Records'!$U:$U,$H187)&lt;&gt;"Subscription",INDEX('Game Records'!$U:$U,$H187)&lt;&gt;"Free Game",INDEX('Game Records'!$U:$U,$H187)&lt;&gt;"Disqualified — Free Game",INDEX('Game Records'!$J:$J,$H187)=""),"Total Players; ","")&amp;IF(AND(LOWER(INDEX('Game Records'!$D:$D,$H187)&amp;"")="finalized",LOWER(INDEX('Game Records'!$L:$L,$H187)&amp;"")&lt;&gt;"yes",INDEX('Game Records'!$U:$U,$H187)&lt;&gt;"Subscription",INDEX('Game Records'!$U:$U,$H187)&lt;&gt;"Free Game",INDEX('Game Records'!$U:$U,$H187)&lt;&gt;"Disqualified — Free Game",INDEX('Game Records'!$K:$K,$H187)=""),"Final Payout; ","")&amp;IF(AND(LOWER(INDEX('Game Records'!$D:$D,$H187)&amp;"")="finalized",INDEX('Game Records'!$U:$U,$H187)&lt;&gt;"Subscription",INDEX('Game Records'!$U:$U,$H187)&lt;&gt;"Free Game",INDEX('Game Records'!$U:$U,$H187)&lt;&gt;"Disqualified — Free Game",OR(INDEX('Game Records'!$L:$L,$H187)="",LOWER(INDEX('Game Records'!$L:$L,$H187)&amp;"")="n/a")),"Disqualified Status; ",""))</f>
        <v/>
      </c>
      <c r="G187" s="25" t="str">
        <f t="array" ref="G187">IF($H187="","",IFERROR(INDEX('Game Records'!$M:$M,$H187),""))</f>
        <v/>
      </c>
      <c r="H187" s="8"/>
      <c r="I187" s="8"/>
      <c r="J187" s="8"/>
    </row>
    <row r="188" ht="24.0" customHeight="1">
      <c r="A188" s="21" t="str">
        <f t="shared" si="1"/>
        <v/>
      </c>
      <c r="B188" s="21" t="str">
        <f t="shared" si="2"/>
        <v/>
      </c>
      <c r="C188" s="25" t="str">
        <f t="array" ref="C188">IF($H188="","",IFERROR(INDEX('Game Records'!$A:$A,$H188),""))</f>
        <v/>
      </c>
      <c r="D188" s="25" t="str">
        <f t="array" ref="D188">IF($H188="","",IFERROR(INDEX('Game Records'!$U:$U,$H188),""))</f>
        <v/>
      </c>
      <c r="E188" s="25" t="str">
        <f t="shared" si="3"/>
        <v/>
      </c>
      <c r="F188" s="25" t="str">
        <f t="array" ref="F188">IF($H188="","",IF(OR(NOT(_xlfn.ISFORMULA(INDEX('Game Records'!$N:$N,$H188))),NOT(_xlfn.ISFORMULA(INDEX('Game Records'!$O:$O,$H188))),NOT(_xlfn.ISFORMULA(INDEX('Game Records'!$P:$P,$H188))),NOT(_xlfn.ISFORMULA(INDEX('Game Records'!$Q:$Q,$H188))),NOT(_xlfn.ISFORMULA(INDEX('Game Records'!$R:$R,$H188))),NOT(_xlfn.ISFORMULA(INDEX('Game Records'!$S:$S,$H188))),NOT(_xlfn.ISFORMULA(INDEX('Game Records'!$T:$T,$H188))),NOT(_xlfn.ISFORMULA(INDEX('Game Records'!$U:$U,$H188))),NOT(_xlfn.ISFORMULA(INDEX('Game Records'!$V:$V,$H188))),NOT(_xlfn.ISFORMULA(INDEX('Game Records'!$W:$W,$H188))),NOT(_xlfn.ISFORMULA(INDEX('Game Records'!$X:$X,$H188))),NOT(_xlfn.ISFORMULA(INDEX('Game Records'!$Y:$Y,$H188))),NOT(_xlfn.ISFORMULA(INDEX('Game Records'!$Z:$Z,$H188)))),"","")&amp;IF(INDEX('Game Records'!$B:$B,$H188)="","Start Date; ","")&amp;IF(INDEX('Game Records'!$C:$C,$H188)="","End Date; ","")&amp;IF(AND(INDEX('Game Records'!$U:$U,$H188)&lt;&gt;"Subscription",INDEX('Game Records'!$U:$U,$H188)&lt;&gt;"Free Game",INDEX('Game Records'!$U:$U,$H188)&lt;&gt;"Disqualified — Free Game",OR(INDEX('Game Records'!$D:$D,$H188)="",LOWER(INDEX('Game Records'!$D:$D,$H188)&amp;"")="n/a")),"Entry Mode; ","")&amp;IF(AND(INDEX('Game Records'!$U:$U,$H188)&lt;&gt;"Subscription",INDEX('Game Records'!$U:$U,$H188)&lt;&gt;"Free Game",INDEX('Game Records'!$U:$U,$H188)&lt;&gt;"Disqualified — Free Game",OR(INDEX('Game Records'!$E:$E,$H188)="",LOWER(INDEX('Game Records'!$E:$E,$H188)&amp;"")="n/a")),"Game Type; ","")&amp;IF(INDEX('Game Records'!$F:$F,$H188)="","Payment Type; ","")&amp;IF(AND(INDEX('Game Records'!$U:$U,$H188)&lt;&gt;"Subscription",INDEX('Game Records'!$U:$U,$H188)&lt;&gt;"Free Game",INDEX('Game Records'!$U:$U,$H188)&lt;&gt;"Disqualified — Free Game",INDEX('Game Records'!$G:$G,$H188)=""),"Gross Pot; ","")&amp;IF(AND(INDEX('Game Records'!$U:$U,$H188)&lt;&gt;"Free Game",INDEX('Game Records'!$U:$U,$H188)&lt;&gt;"Disqualified — Free Game",INDEX('Game Records'!$H:$H,$H188)=""),"Entry Fee; ","")&amp;IF(AND(INDEX('Game Records'!$U:$U,$H188)&lt;&gt;"Subscription",INDEX('Game Records'!$U:$U,$H188)&lt;&gt;"Free Game",INDEX('Game Records'!$U:$U,$H188)&lt;&gt;"Disqualified — Free Game",INDEX('Game Records'!$I:$I,$H188)=""),"Eligible Players; ","")&amp;IF(AND(INDEX('Game Records'!$U:$U,$H188)&lt;&gt;"Subscription",INDEX('Game Records'!$U:$U,$H188)&lt;&gt;"Free Game",INDEX('Game Records'!$U:$U,$H188)&lt;&gt;"Disqualified — Free Game",INDEX('Game Records'!$J:$J,$H188)=""),"Total Players; ","")&amp;IF(AND(LOWER(INDEX('Game Records'!$D:$D,$H188)&amp;"")="finalized",LOWER(INDEX('Game Records'!$L:$L,$H188)&amp;"")&lt;&gt;"yes",INDEX('Game Records'!$U:$U,$H188)&lt;&gt;"Subscription",INDEX('Game Records'!$U:$U,$H188)&lt;&gt;"Free Game",INDEX('Game Records'!$U:$U,$H188)&lt;&gt;"Disqualified — Free Game",INDEX('Game Records'!$K:$K,$H188)=""),"Final Payout; ","")&amp;IF(AND(LOWER(INDEX('Game Records'!$D:$D,$H188)&amp;"")="finalized",INDEX('Game Records'!$U:$U,$H188)&lt;&gt;"Subscription",INDEX('Game Records'!$U:$U,$H188)&lt;&gt;"Free Game",INDEX('Game Records'!$U:$U,$H188)&lt;&gt;"Disqualified — Free Game",OR(INDEX('Game Records'!$L:$L,$H188)="",LOWER(INDEX('Game Records'!$L:$L,$H188)&amp;"")="n/a")),"Disqualified Status; ",""))</f>
        <v/>
      </c>
      <c r="G188" s="25" t="str">
        <f t="array" ref="G188">IF($H188="","",IFERROR(INDEX('Game Records'!$M:$M,$H188),""))</f>
        <v/>
      </c>
      <c r="H188" s="8"/>
      <c r="I188" s="8"/>
      <c r="J188" s="8"/>
    </row>
    <row r="189" ht="24.0" customHeight="1">
      <c r="A189" s="21" t="str">
        <f t="shared" si="1"/>
        <v/>
      </c>
      <c r="B189" s="21" t="str">
        <f t="shared" si="2"/>
        <v/>
      </c>
      <c r="C189" s="25" t="str">
        <f t="array" ref="C189">IF($H189="","",IFERROR(INDEX('Game Records'!$A:$A,$H189),""))</f>
        <v/>
      </c>
      <c r="D189" s="25" t="str">
        <f t="array" ref="D189">IF($H189="","",IFERROR(INDEX('Game Records'!$U:$U,$H189),""))</f>
        <v/>
      </c>
      <c r="E189" s="25" t="str">
        <f t="shared" si="3"/>
        <v/>
      </c>
      <c r="F189" s="25" t="str">
        <f t="array" ref="F189">IF($H189="","",IF(OR(NOT(_xlfn.ISFORMULA(INDEX('Game Records'!$N:$N,$H189))),NOT(_xlfn.ISFORMULA(INDEX('Game Records'!$O:$O,$H189))),NOT(_xlfn.ISFORMULA(INDEX('Game Records'!$P:$P,$H189))),NOT(_xlfn.ISFORMULA(INDEX('Game Records'!$Q:$Q,$H189))),NOT(_xlfn.ISFORMULA(INDEX('Game Records'!$R:$R,$H189))),NOT(_xlfn.ISFORMULA(INDEX('Game Records'!$S:$S,$H189))),NOT(_xlfn.ISFORMULA(INDEX('Game Records'!$T:$T,$H189))),NOT(_xlfn.ISFORMULA(INDEX('Game Records'!$U:$U,$H189))),NOT(_xlfn.ISFORMULA(INDEX('Game Records'!$V:$V,$H189))),NOT(_xlfn.ISFORMULA(INDEX('Game Records'!$W:$W,$H189))),NOT(_xlfn.ISFORMULA(INDEX('Game Records'!$X:$X,$H189))),NOT(_xlfn.ISFORMULA(INDEX('Game Records'!$Y:$Y,$H189))),NOT(_xlfn.ISFORMULA(INDEX('Game Records'!$Z:$Z,$H189)))),"","")&amp;IF(INDEX('Game Records'!$B:$B,$H189)="","Start Date; ","")&amp;IF(INDEX('Game Records'!$C:$C,$H189)="","End Date; ","")&amp;IF(AND(INDEX('Game Records'!$U:$U,$H189)&lt;&gt;"Subscription",INDEX('Game Records'!$U:$U,$H189)&lt;&gt;"Free Game",INDEX('Game Records'!$U:$U,$H189)&lt;&gt;"Disqualified — Free Game",OR(INDEX('Game Records'!$D:$D,$H189)="",LOWER(INDEX('Game Records'!$D:$D,$H189)&amp;"")="n/a")),"Entry Mode; ","")&amp;IF(AND(INDEX('Game Records'!$U:$U,$H189)&lt;&gt;"Subscription",INDEX('Game Records'!$U:$U,$H189)&lt;&gt;"Free Game",INDEX('Game Records'!$U:$U,$H189)&lt;&gt;"Disqualified — Free Game",OR(INDEX('Game Records'!$E:$E,$H189)="",LOWER(INDEX('Game Records'!$E:$E,$H189)&amp;"")="n/a")),"Game Type; ","")&amp;IF(INDEX('Game Records'!$F:$F,$H189)="","Payment Type; ","")&amp;IF(AND(INDEX('Game Records'!$U:$U,$H189)&lt;&gt;"Subscription",INDEX('Game Records'!$U:$U,$H189)&lt;&gt;"Free Game",INDEX('Game Records'!$U:$U,$H189)&lt;&gt;"Disqualified — Free Game",INDEX('Game Records'!$G:$G,$H189)=""),"Gross Pot; ","")&amp;IF(AND(INDEX('Game Records'!$U:$U,$H189)&lt;&gt;"Free Game",INDEX('Game Records'!$U:$U,$H189)&lt;&gt;"Disqualified — Free Game",INDEX('Game Records'!$H:$H,$H189)=""),"Entry Fee; ","")&amp;IF(AND(INDEX('Game Records'!$U:$U,$H189)&lt;&gt;"Subscription",INDEX('Game Records'!$U:$U,$H189)&lt;&gt;"Free Game",INDEX('Game Records'!$U:$U,$H189)&lt;&gt;"Disqualified — Free Game",INDEX('Game Records'!$I:$I,$H189)=""),"Eligible Players; ","")&amp;IF(AND(INDEX('Game Records'!$U:$U,$H189)&lt;&gt;"Subscription",INDEX('Game Records'!$U:$U,$H189)&lt;&gt;"Free Game",INDEX('Game Records'!$U:$U,$H189)&lt;&gt;"Disqualified — Free Game",INDEX('Game Records'!$J:$J,$H189)=""),"Total Players; ","")&amp;IF(AND(LOWER(INDEX('Game Records'!$D:$D,$H189)&amp;"")="finalized",LOWER(INDEX('Game Records'!$L:$L,$H189)&amp;"")&lt;&gt;"yes",INDEX('Game Records'!$U:$U,$H189)&lt;&gt;"Subscription",INDEX('Game Records'!$U:$U,$H189)&lt;&gt;"Free Game",INDEX('Game Records'!$U:$U,$H189)&lt;&gt;"Disqualified — Free Game",INDEX('Game Records'!$K:$K,$H189)=""),"Final Payout; ","")&amp;IF(AND(LOWER(INDEX('Game Records'!$D:$D,$H189)&amp;"")="finalized",INDEX('Game Records'!$U:$U,$H189)&lt;&gt;"Subscription",INDEX('Game Records'!$U:$U,$H189)&lt;&gt;"Free Game",INDEX('Game Records'!$U:$U,$H189)&lt;&gt;"Disqualified — Free Game",OR(INDEX('Game Records'!$L:$L,$H189)="",LOWER(INDEX('Game Records'!$L:$L,$H189)&amp;"")="n/a")),"Disqualified Status; ",""))</f>
        <v/>
      </c>
      <c r="G189" s="25" t="str">
        <f t="array" ref="G189">IF($H189="","",IFERROR(INDEX('Game Records'!$M:$M,$H189),""))</f>
        <v/>
      </c>
      <c r="H189" s="8"/>
      <c r="I189" s="8"/>
      <c r="J189" s="8"/>
    </row>
    <row r="190" ht="24.0" customHeight="1">
      <c r="A190" s="21" t="str">
        <f t="shared" si="1"/>
        <v/>
      </c>
      <c r="B190" s="21" t="str">
        <f t="shared" si="2"/>
        <v/>
      </c>
      <c r="C190" s="25" t="str">
        <f t="array" ref="C190">IF($H190="","",IFERROR(INDEX('Game Records'!$A:$A,$H190),""))</f>
        <v/>
      </c>
      <c r="D190" s="25" t="str">
        <f t="array" ref="D190">IF($H190="","",IFERROR(INDEX('Game Records'!$U:$U,$H190),""))</f>
        <v/>
      </c>
      <c r="E190" s="25" t="str">
        <f t="shared" si="3"/>
        <v/>
      </c>
      <c r="F190" s="25" t="str">
        <f t="array" ref="F190">IF($H190="","",IF(OR(NOT(_xlfn.ISFORMULA(INDEX('Game Records'!$N:$N,$H190))),NOT(_xlfn.ISFORMULA(INDEX('Game Records'!$O:$O,$H190))),NOT(_xlfn.ISFORMULA(INDEX('Game Records'!$P:$P,$H190))),NOT(_xlfn.ISFORMULA(INDEX('Game Records'!$Q:$Q,$H190))),NOT(_xlfn.ISFORMULA(INDEX('Game Records'!$R:$R,$H190))),NOT(_xlfn.ISFORMULA(INDEX('Game Records'!$S:$S,$H190))),NOT(_xlfn.ISFORMULA(INDEX('Game Records'!$T:$T,$H190))),NOT(_xlfn.ISFORMULA(INDEX('Game Records'!$U:$U,$H190))),NOT(_xlfn.ISFORMULA(INDEX('Game Records'!$V:$V,$H190))),NOT(_xlfn.ISFORMULA(INDEX('Game Records'!$W:$W,$H190))),NOT(_xlfn.ISFORMULA(INDEX('Game Records'!$X:$X,$H190))),NOT(_xlfn.ISFORMULA(INDEX('Game Records'!$Y:$Y,$H190))),NOT(_xlfn.ISFORMULA(INDEX('Game Records'!$Z:$Z,$H190)))),"","")&amp;IF(INDEX('Game Records'!$B:$B,$H190)="","Start Date; ","")&amp;IF(INDEX('Game Records'!$C:$C,$H190)="","End Date; ","")&amp;IF(AND(INDEX('Game Records'!$U:$U,$H190)&lt;&gt;"Subscription",INDEX('Game Records'!$U:$U,$H190)&lt;&gt;"Free Game",INDEX('Game Records'!$U:$U,$H190)&lt;&gt;"Disqualified — Free Game",OR(INDEX('Game Records'!$D:$D,$H190)="",LOWER(INDEX('Game Records'!$D:$D,$H190)&amp;"")="n/a")),"Entry Mode; ","")&amp;IF(AND(INDEX('Game Records'!$U:$U,$H190)&lt;&gt;"Subscription",INDEX('Game Records'!$U:$U,$H190)&lt;&gt;"Free Game",INDEX('Game Records'!$U:$U,$H190)&lt;&gt;"Disqualified — Free Game",OR(INDEX('Game Records'!$E:$E,$H190)="",LOWER(INDEX('Game Records'!$E:$E,$H190)&amp;"")="n/a")),"Game Type; ","")&amp;IF(INDEX('Game Records'!$F:$F,$H190)="","Payment Type; ","")&amp;IF(AND(INDEX('Game Records'!$U:$U,$H190)&lt;&gt;"Subscription",INDEX('Game Records'!$U:$U,$H190)&lt;&gt;"Free Game",INDEX('Game Records'!$U:$U,$H190)&lt;&gt;"Disqualified — Free Game",INDEX('Game Records'!$G:$G,$H190)=""),"Gross Pot; ","")&amp;IF(AND(INDEX('Game Records'!$U:$U,$H190)&lt;&gt;"Free Game",INDEX('Game Records'!$U:$U,$H190)&lt;&gt;"Disqualified — Free Game",INDEX('Game Records'!$H:$H,$H190)=""),"Entry Fee; ","")&amp;IF(AND(INDEX('Game Records'!$U:$U,$H190)&lt;&gt;"Subscription",INDEX('Game Records'!$U:$U,$H190)&lt;&gt;"Free Game",INDEX('Game Records'!$U:$U,$H190)&lt;&gt;"Disqualified — Free Game",INDEX('Game Records'!$I:$I,$H190)=""),"Eligible Players; ","")&amp;IF(AND(INDEX('Game Records'!$U:$U,$H190)&lt;&gt;"Subscription",INDEX('Game Records'!$U:$U,$H190)&lt;&gt;"Free Game",INDEX('Game Records'!$U:$U,$H190)&lt;&gt;"Disqualified — Free Game",INDEX('Game Records'!$J:$J,$H190)=""),"Total Players; ","")&amp;IF(AND(LOWER(INDEX('Game Records'!$D:$D,$H190)&amp;"")="finalized",LOWER(INDEX('Game Records'!$L:$L,$H190)&amp;"")&lt;&gt;"yes",INDEX('Game Records'!$U:$U,$H190)&lt;&gt;"Subscription",INDEX('Game Records'!$U:$U,$H190)&lt;&gt;"Free Game",INDEX('Game Records'!$U:$U,$H190)&lt;&gt;"Disqualified — Free Game",INDEX('Game Records'!$K:$K,$H190)=""),"Final Payout; ","")&amp;IF(AND(LOWER(INDEX('Game Records'!$D:$D,$H190)&amp;"")="finalized",INDEX('Game Records'!$U:$U,$H190)&lt;&gt;"Subscription",INDEX('Game Records'!$U:$U,$H190)&lt;&gt;"Free Game",INDEX('Game Records'!$U:$U,$H190)&lt;&gt;"Disqualified — Free Game",OR(INDEX('Game Records'!$L:$L,$H190)="",LOWER(INDEX('Game Records'!$L:$L,$H190)&amp;"")="n/a")),"Disqualified Status; ",""))</f>
        <v/>
      </c>
      <c r="G190" s="25" t="str">
        <f t="array" ref="G190">IF($H190="","",IFERROR(INDEX('Game Records'!$M:$M,$H190),""))</f>
        <v/>
      </c>
      <c r="H190" s="8"/>
      <c r="I190" s="8"/>
      <c r="J190" s="8"/>
    </row>
    <row r="191" ht="24.0" customHeight="1">
      <c r="A191" s="21" t="str">
        <f t="shared" si="1"/>
        <v/>
      </c>
      <c r="B191" s="21" t="str">
        <f t="shared" si="2"/>
        <v/>
      </c>
      <c r="C191" s="25" t="str">
        <f t="array" ref="C191">IF($H191="","",IFERROR(INDEX('Game Records'!$A:$A,$H191),""))</f>
        <v/>
      </c>
      <c r="D191" s="25" t="str">
        <f t="array" ref="D191">IF($H191="","",IFERROR(INDEX('Game Records'!$U:$U,$H191),""))</f>
        <v/>
      </c>
      <c r="E191" s="25" t="str">
        <f t="shared" si="3"/>
        <v/>
      </c>
      <c r="F191" s="25" t="str">
        <f t="array" ref="F191">IF($H191="","",IF(OR(NOT(_xlfn.ISFORMULA(INDEX('Game Records'!$N:$N,$H191))),NOT(_xlfn.ISFORMULA(INDEX('Game Records'!$O:$O,$H191))),NOT(_xlfn.ISFORMULA(INDEX('Game Records'!$P:$P,$H191))),NOT(_xlfn.ISFORMULA(INDEX('Game Records'!$Q:$Q,$H191))),NOT(_xlfn.ISFORMULA(INDEX('Game Records'!$R:$R,$H191))),NOT(_xlfn.ISFORMULA(INDEX('Game Records'!$S:$S,$H191))),NOT(_xlfn.ISFORMULA(INDEX('Game Records'!$T:$T,$H191))),NOT(_xlfn.ISFORMULA(INDEX('Game Records'!$U:$U,$H191))),NOT(_xlfn.ISFORMULA(INDEX('Game Records'!$V:$V,$H191))),NOT(_xlfn.ISFORMULA(INDEX('Game Records'!$W:$W,$H191))),NOT(_xlfn.ISFORMULA(INDEX('Game Records'!$X:$X,$H191))),NOT(_xlfn.ISFORMULA(INDEX('Game Records'!$Y:$Y,$H191))),NOT(_xlfn.ISFORMULA(INDEX('Game Records'!$Z:$Z,$H191)))),"","")&amp;IF(INDEX('Game Records'!$B:$B,$H191)="","Start Date; ","")&amp;IF(INDEX('Game Records'!$C:$C,$H191)="","End Date; ","")&amp;IF(AND(INDEX('Game Records'!$U:$U,$H191)&lt;&gt;"Subscription",INDEX('Game Records'!$U:$U,$H191)&lt;&gt;"Free Game",INDEX('Game Records'!$U:$U,$H191)&lt;&gt;"Disqualified — Free Game",OR(INDEX('Game Records'!$D:$D,$H191)="",LOWER(INDEX('Game Records'!$D:$D,$H191)&amp;"")="n/a")),"Entry Mode; ","")&amp;IF(AND(INDEX('Game Records'!$U:$U,$H191)&lt;&gt;"Subscription",INDEX('Game Records'!$U:$U,$H191)&lt;&gt;"Free Game",INDEX('Game Records'!$U:$U,$H191)&lt;&gt;"Disqualified — Free Game",OR(INDEX('Game Records'!$E:$E,$H191)="",LOWER(INDEX('Game Records'!$E:$E,$H191)&amp;"")="n/a")),"Game Type; ","")&amp;IF(INDEX('Game Records'!$F:$F,$H191)="","Payment Type; ","")&amp;IF(AND(INDEX('Game Records'!$U:$U,$H191)&lt;&gt;"Subscription",INDEX('Game Records'!$U:$U,$H191)&lt;&gt;"Free Game",INDEX('Game Records'!$U:$U,$H191)&lt;&gt;"Disqualified — Free Game",INDEX('Game Records'!$G:$G,$H191)=""),"Gross Pot; ","")&amp;IF(AND(INDEX('Game Records'!$U:$U,$H191)&lt;&gt;"Free Game",INDEX('Game Records'!$U:$U,$H191)&lt;&gt;"Disqualified — Free Game",INDEX('Game Records'!$H:$H,$H191)=""),"Entry Fee; ","")&amp;IF(AND(INDEX('Game Records'!$U:$U,$H191)&lt;&gt;"Subscription",INDEX('Game Records'!$U:$U,$H191)&lt;&gt;"Free Game",INDEX('Game Records'!$U:$U,$H191)&lt;&gt;"Disqualified — Free Game",INDEX('Game Records'!$I:$I,$H191)=""),"Eligible Players; ","")&amp;IF(AND(INDEX('Game Records'!$U:$U,$H191)&lt;&gt;"Subscription",INDEX('Game Records'!$U:$U,$H191)&lt;&gt;"Free Game",INDEX('Game Records'!$U:$U,$H191)&lt;&gt;"Disqualified — Free Game",INDEX('Game Records'!$J:$J,$H191)=""),"Total Players; ","")&amp;IF(AND(LOWER(INDEX('Game Records'!$D:$D,$H191)&amp;"")="finalized",LOWER(INDEX('Game Records'!$L:$L,$H191)&amp;"")&lt;&gt;"yes",INDEX('Game Records'!$U:$U,$H191)&lt;&gt;"Subscription",INDEX('Game Records'!$U:$U,$H191)&lt;&gt;"Free Game",INDEX('Game Records'!$U:$U,$H191)&lt;&gt;"Disqualified — Free Game",INDEX('Game Records'!$K:$K,$H191)=""),"Final Payout; ","")&amp;IF(AND(LOWER(INDEX('Game Records'!$D:$D,$H191)&amp;"")="finalized",INDEX('Game Records'!$U:$U,$H191)&lt;&gt;"Subscription",INDEX('Game Records'!$U:$U,$H191)&lt;&gt;"Free Game",INDEX('Game Records'!$U:$U,$H191)&lt;&gt;"Disqualified — Free Game",OR(INDEX('Game Records'!$L:$L,$H191)="",LOWER(INDEX('Game Records'!$L:$L,$H191)&amp;"")="n/a")),"Disqualified Status; ",""))</f>
        <v/>
      </c>
      <c r="G191" s="25" t="str">
        <f t="array" ref="G191">IF($H191="","",IFERROR(INDEX('Game Records'!$M:$M,$H191),""))</f>
        <v/>
      </c>
      <c r="H191" s="8"/>
      <c r="I191" s="8"/>
      <c r="J191" s="8"/>
    </row>
    <row r="192" ht="24.0" customHeight="1">
      <c r="A192" s="21" t="str">
        <f t="shared" si="1"/>
        <v/>
      </c>
      <c r="B192" s="21" t="str">
        <f t="shared" si="2"/>
        <v/>
      </c>
      <c r="C192" s="25" t="str">
        <f t="array" ref="C192">IF($H192="","",IFERROR(INDEX('Game Records'!$A:$A,$H192),""))</f>
        <v/>
      </c>
      <c r="D192" s="25" t="str">
        <f t="array" ref="D192">IF($H192="","",IFERROR(INDEX('Game Records'!$U:$U,$H192),""))</f>
        <v/>
      </c>
      <c r="E192" s="25" t="str">
        <f t="shared" si="3"/>
        <v/>
      </c>
      <c r="F192" s="25" t="str">
        <f t="array" ref="F192">IF($H192="","",IF(OR(NOT(_xlfn.ISFORMULA(INDEX('Game Records'!$N:$N,$H192))),NOT(_xlfn.ISFORMULA(INDEX('Game Records'!$O:$O,$H192))),NOT(_xlfn.ISFORMULA(INDEX('Game Records'!$P:$P,$H192))),NOT(_xlfn.ISFORMULA(INDEX('Game Records'!$Q:$Q,$H192))),NOT(_xlfn.ISFORMULA(INDEX('Game Records'!$R:$R,$H192))),NOT(_xlfn.ISFORMULA(INDEX('Game Records'!$S:$S,$H192))),NOT(_xlfn.ISFORMULA(INDEX('Game Records'!$T:$T,$H192))),NOT(_xlfn.ISFORMULA(INDEX('Game Records'!$U:$U,$H192))),NOT(_xlfn.ISFORMULA(INDEX('Game Records'!$V:$V,$H192))),NOT(_xlfn.ISFORMULA(INDEX('Game Records'!$W:$W,$H192))),NOT(_xlfn.ISFORMULA(INDEX('Game Records'!$X:$X,$H192))),NOT(_xlfn.ISFORMULA(INDEX('Game Records'!$Y:$Y,$H192))),NOT(_xlfn.ISFORMULA(INDEX('Game Records'!$Z:$Z,$H192)))),"","")&amp;IF(INDEX('Game Records'!$B:$B,$H192)="","Start Date; ","")&amp;IF(INDEX('Game Records'!$C:$C,$H192)="","End Date; ","")&amp;IF(AND(INDEX('Game Records'!$U:$U,$H192)&lt;&gt;"Subscription",INDEX('Game Records'!$U:$U,$H192)&lt;&gt;"Free Game",INDEX('Game Records'!$U:$U,$H192)&lt;&gt;"Disqualified — Free Game",OR(INDEX('Game Records'!$D:$D,$H192)="",LOWER(INDEX('Game Records'!$D:$D,$H192)&amp;"")="n/a")),"Entry Mode; ","")&amp;IF(AND(INDEX('Game Records'!$U:$U,$H192)&lt;&gt;"Subscription",INDEX('Game Records'!$U:$U,$H192)&lt;&gt;"Free Game",INDEX('Game Records'!$U:$U,$H192)&lt;&gt;"Disqualified — Free Game",OR(INDEX('Game Records'!$E:$E,$H192)="",LOWER(INDEX('Game Records'!$E:$E,$H192)&amp;"")="n/a")),"Game Type; ","")&amp;IF(INDEX('Game Records'!$F:$F,$H192)="","Payment Type; ","")&amp;IF(AND(INDEX('Game Records'!$U:$U,$H192)&lt;&gt;"Subscription",INDEX('Game Records'!$U:$U,$H192)&lt;&gt;"Free Game",INDEX('Game Records'!$U:$U,$H192)&lt;&gt;"Disqualified — Free Game",INDEX('Game Records'!$G:$G,$H192)=""),"Gross Pot; ","")&amp;IF(AND(INDEX('Game Records'!$U:$U,$H192)&lt;&gt;"Free Game",INDEX('Game Records'!$U:$U,$H192)&lt;&gt;"Disqualified — Free Game",INDEX('Game Records'!$H:$H,$H192)=""),"Entry Fee; ","")&amp;IF(AND(INDEX('Game Records'!$U:$U,$H192)&lt;&gt;"Subscription",INDEX('Game Records'!$U:$U,$H192)&lt;&gt;"Free Game",INDEX('Game Records'!$U:$U,$H192)&lt;&gt;"Disqualified — Free Game",INDEX('Game Records'!$I:$I,$H192)=""),"Eligible Players; ","")&amp;IF(AND(INDEX('Game Records'!$U:$U,$H192)&lt;&gt;"Subscription",INDEX('Game Records'!$U:$U,$H192)&lt;&gt;"Free Game",INDEX('Game Records'!$U:$U,$H192)&lt;&gt;"Disqualified — Free Game",INDEX('Game Records'!$J:$J,$H192)=""),"Total Players; ","")&amp;IF(AND(LOWER(INDEX('Game Records'!$D:$D,$H192)&amp;"")="finalized",LOWER(INDEX('Game Records'!$L:$L,$H192)&amp;"")&lt;&gt;"yes",INDEX('Game Records'!$U:$U,$H192)&lt;&gt;"Subscription",INDEX('Game Records'!$U:$U,$H192)&lt;&gt;"Free Game",INDEX('Game Records'!$U:$U,$H192)&lt;&gt;"Disqualified — Free Game",INDEX('Game Records'!$K:$K,$H192)=""),"Final Payout; ","")&amp;IF(AND(LOWER(INDEX('Game Records'!$D:$D,$H192)&amp;"")="finalized",INDEX('Game Records'!$U:$U,$H192)&lt;&gt;"Subscription",INDEX('Game Records'!$U:$U,$H192)&lt;&gt;"Free Game",INDEX('Game Records'!$U:$U,$H192)&lt;&gt;"Disqualified — Free Game",OR(INDEX('Game Records'!$L:$L,$H192)="",LOWER(INDEX('Game Records'!$L:$L,$H192)&amp;"")="n/a")),"Disqualified Status; ",""))</f>
        <v/>
      </c>
      <c r="G192" s="25" t="str">
        <f t="array" ref="G192">IF($H192="","",IFERROR(INDEX('Game Records'!$M:$M,$H192),""))</f>
        <v/>
      </c>
      <c r="H192" s="8"/>
      <c r="I192" s="8"/>
      <c r="J192" s="8"/>
    </row>
    <row r="193" ht="24.0" customHeight="1">
      <c r="A193" s="21" t="str">
        <f t="shared" si="1"/>
        <v/>
      </c>
      <c r="B193" s="21" t="str">
        <f t="shared" si="2"/>
        <v/>
      </c>
      <c r="C193" s="25" t="str">
        <f t="array" ref="C193">IF($H193="","",IFERROR(INDEX('Game Records'!$A:$A,$H193),""))</f>
        <v/>
      </c>
      <c r="D193" s="25" t="str">
        <f t="array" ref="D193">IF($H193="","",IFERROR(INDEX('Game Records'!$U:$U,$H193),""))</f>
        <v/>
      </c>
      <c r="E193" s="25" t="str">
        <f t="shared" si="3"/>
        <v/>
      </c>
      <c r="F193" s="25" t="str">
        <f t="array" ref="F193">IF($H193="","",IF(OR(NOT(_xlfn.ISFORMULA(INDEX('Game Records'!$N:$N,$H193))),NOT(_xlfn.ISFORMULA(INDEX('Game Records'!$O:$O,$H193))),NOT(_xlfn.ISFORMULA(INDEX('Game Records'!$P:$P,$H193))),NOT(_xlfn.ISFORMULA(INDEX('Game Records'!$Q:$Q,$H193))),NOT(_xlfn.ISFORMULA(INDEX('Game Records'!$R:$R,$H193))),NOT(_xlfn.ISFORMULA(INDEX('Game Records'!$S:$S,$H193))),NOT(_xlfn.ISFORMULA(INDEX('Game Records'!$T:$T,$H193))),NOT(_xlfn.ISFORMULA(INDEX('Game Records'!$U:$U,$H193))),NOT(_xlfn.ISFORMULA(INDEX('Game Records'!$V:$V,$H193))),NOT(_xlfn.ISFORMULA(INDEX('Game Records'!$W:$W,$H193))),NOT(_xlfn.ISFORMULA(INDEX('Game Records'!$X:$X,$H193))),NOT(_xlfn.ISFORMULA(INDEX('Game Records'!$Y:$Y,$H193))),NOT(_xlfn.ISFORMULA(INDEX('Game Records'!$Z:$Z,$H193)))),"","")&amp;IF(INDEX('Game Records'!$B:$B,$H193)="","Start Date; ","")&amp;IF(INDEX('Game Records'!$C:$C,$H193)="","End Date; ","")&amp;IF(AND(INDEX('Game Records'!$U:$U,$H193)&lt;&gt;"Subscription",INDEX('Game Records'!$U:$U,$H193)&lt;&gt;"Free Game",INDEX('Game Records'!$U:$U,$H193)&lt;&gt;"Disqualified — Free Game",OR(INDEX('Game Records'!$D:$D,$H193)="",LOWER(INDEX('Game Records'!$D:$D,$H193)&amp;"")="n/a")),"Entry Mode; ","")&amp;IF(AND(INDEX('Game Records'!$U:$U,$H193)&lt;&gt;"Subscription",INDEX('Game Records'!$U:$U,$H193)&lt;&gt;"Free Game",INDEX('Game Records'!$U:$U,$H193)&lt;&gt;"Disqualified — Free Game",OR(INDEX('Game Records'!$E:$E,$H193)="",LOWER(INDEX('Game Records'!$E:$E,$H193)&amp;"")="n/a")),"Game Type; ","")&amp;IF(INDEX('Game Records'!$F:$F,$H193)="","Payment Type; ","")&amp;IF(AND(INDEX('Game Records'!$U:$U,$H193)&lt;&gt;"Subscription",INDEX('Game Records'!$U:$U,$H193)&lt;&gt;"Free Game",INDEX('Game Records'!$U:$U,$H193)&lt;&gt;"Disqualified — Free Game",INDEX('Game Records'!$G:$G,$H193)=""),"Gross Pot; ","")&amp;IF(AND(INDEX('Game Records'!$U:$U,$H193)&lt;&gt;"Free Game",INDEX('Game Records'!$U:$U,$H193)&lt;&gt;"Disqualified — Free Game",INDEX('Game Records'!$H:$H,$H193)=""),"Entry Fee; ","")&amp;IF(AND(INDEX('Game Records'!$U:$U,$H193)&lt;&gt;"Subscription",INDEX('Game Records'!$U:$U,$H193)&lt;&gt;"Free Game",INDEX('Game Records'!$U:$U,$H193)&lt;&gt;"Disqualified — Free Game",INDEX('Game Records'!$I:$I,$H193)=""),"Eligible Players; ","")&amp;IF(AND(INDEX('Game Records'!$U:$U,$H193)&lt;&gt;"Subscription",INDEX('Game Records'!$U:$U,$H193)&lt;&gt;"Free Game",INDEX('Game Records'!$U:$U,$H193)&lt;&gt;"Disqualified — Free Game",INDEX('Game Records'!$J:$J,$H193)=""),"Total Players; ","")&amp;IF(AND(LOWER(INDEX('Game Records'!$D:$D,$H193)&amp;"")="finalized",LOWER(INDEX('Game Records'!$L:$L,$H193)&amp;"")&lt;&gt;"yes",INDEX('Game Records'!$U:$U,$H193)&lt;&gt;"Subscription",INDEX('Game Records'!$U:$U,$H193)&lt;&gt;"Free Game",INDEX('Game Records'!$U:$U,$H193)&lt;&gt;"Disqualified — Free Game",INDEX('Game Records'!$K:$K,$H193)=""),"Final Payout; ","")&amp;IF(AND(LOWER(INDEX('Game Records'!$D:$D,$H193)&amp;"")="finalized",INDEX('Game Records'!$U:$U,$H193)&lt;&gt;"Subscription",INDEX('Game Records'!$U:$U,$H193)&lt;&gt;"Free Game",INDEX('Game Records'!$U:$U,$H193)&lt;&gt;"Disqualified — Free Game",OR(INDEX('Game Records'!$L:$L,$H193)="",LOWER(INDEX('Game Records'!$L:$L,$H193)&amp;"")="n/a")),"Disqualified Status; ",""))</f>
        <v/>
      </c>
      <c r="G193" s="25" t="str">
        <f t="array" ref="G193">IF($H193="","",IFERROR(INDEX('Game Records'!$M:$M,$H193),""))</f>
        <v/>
      </c>
      <c r="H193" s="8"/>
      <c r="I193" s="8"/>
      <c r="J193" s="8"/>
    </row>
    <row r="194" ht="24.0" customHeight="1">
      <c r="A194" s="21" t="str">
        <f t="shared" si="1"/>
        <v/>
      </c>
      <c r="B194" s="21" t="str">
        <f t="shared" si="2"/>
        <v/>
      </c>
      <c r="C194" s="25" t="str">
        <f t="array" ref="C194">IF($H194="","",IFERROR(INDEX('Game Records'!$A:$A,$H194),""))</f>
        <v/>
      </c>
      <c r="D194" s="25" t="str">
        <f t="array" ref="D194">IF($H194="","",IFERROR(INDEX('Game Records'!$U:$U,$H194),""))</f>
        <v/>
      </c>
      <c r="E194" s="25" t="str">
        <f t="shared" si="3"/>
        <v/>
      </c>
      <c r="F194" s="25" t="str">
        <f t="array" ref="F194">IF($H194="","",IF(OR(NOT(_xlfn.ISFORMULA(INDEX('Game Records'!$N:$N,$H194))),NOT(_xlfn.ISFORMULA(INDEX('Game Records'!$O:$O,$H194))),NOT(_xlfn.ISFORMULA(INDEX('Game Records'!$P:$P,$H194))),NOT(_xlfn.ISFORMULA(INDEX('Game Records'!$Q:$Q,$H194))),NOT(_xlfn.ISFORMULA(INDEX('Game Records'!$R:$R,$H194))),NOT(_xlfn.ISFORMULA(INDEX('Game Records'!$S:$S,$H194))),NOT(_xlfn.ISFORMULA(INDEX('Game Records'!$T:$T,$H194))),NOT(_xlfn.ISFORMULA(INDEX('Game Records'!$U:$U,$H194))),NOT(_xlfn.ISFORMULA(INDEX('Game Records'!$V:$V,$H194))),NOT(_xlfn.ISFORMULA(INDEX('Game Records'!$W:$W,$H194))),NOT(_xlfn.ISFORMULA(INDEX('Game Records'!$X:$X,$H194))),NOT(_xlfn.ISFORMULA(INDEX('Game Records'!$Y:$Y,$H194))),NOT(_xlfn.ISFORMULA(INDEX('Game Records'!$Z:$Z,$H194)))),"","")&amp;IF(INDEX('Game Records'!$B:$B,$H194)="","Start Date; ","")&amp;IF(INDEX('Game Records'!$C:$C,$H194)="","End Date; ","")&amp;IF(AND(INDEX('Game Records'!$U:$U,$H194)&lt;&gt;"Subscription",INDEX('Game Records'!$U:$U,$H194)&lt;&gt;"Free Game",INDEX('Game Records'!$U:$U,$H194)&lt;&gt;"Disqualified — Free Game",OR(INDEX('Game Records'!$D:$D,$H194)="",LOWER(INDEX('Game Records'!$D:$D,$H194)&amp;"")="n/a")),"Entry Mode; ","")&amp;IF(AND(INDEX('Game Records'!$U:$U,$H194)&lt;&gt;"Subscription",INDEX('Game Records'!$U:$U,$H194)&lt;&gt;"Free Game",INDEX('Game Records'!$U:$U,$H194)&lt;&gt;"Disqualified — Free Game",OR(INDEX('Game Records'!$E:$E,$H194)="",LOWER(INDEX('Game Records'!$E:$E,$H194)&amp;"")="n/a")),"Game Type; ","")&amp;IF(INDEX('Game Records'!$F:$F,$H194)="","Payment Type; ","")&amp;IF(AND(INDEX('Game Records'!$U:$U,$H194)&lt;&gt;"Subscription",INDEX('Game Records'!$U:$U,$H194)&lt;&gt;"Free Game",INDEX('Game Records'!$U:$U,$H194)&lt;&gt;"Disqualified — Free Game",INDEX('Game Records'!$G:$G,$H194)=""),"Gross Pot; ","")&amp;IF(AND(INDEX('Game Records'!$U:$U,$H194)&lt;&gt;"Free Game",INDEX('Game Records'!$U:$U,$H194)&lt;&gt;"Disqualified — Free Game",INDEX('Game Records'!$H:$H,$H194)=""),"Entry Fee; ","")&amp;IF(AND(INDEX('Game Records'!$U:$U,$H194)&lt;&gt;"Subscription",INDEX('Game Records'!$U:$U,$H194)&lt;&gt;"Free Game",INDEX('Game Records'!$U:$U,$H194)&lt;&gt;"Disqualified — Free Game",INDEX('Game Records'!$I:$I,$H194)=""),"Eligible Players; ","")&amp;IF(AND(INDEX('Game Records'!$U:$U,$H194)&lt;&gt;"Subscription",INDEX('Game Records'!$U:$U,$H194)&lt;&gt;"Free Game",INDEX('Game Records'!$U:$U,$H194)&lt;&gt;"Disqualified — Free Game",INDEX('Game Records'!$J:$J,$H194)=""),"Total Players; ","")&amp;IF(AND(LOWER(INDEX('Game Records'!$D:$D,$H194)&amp;"")="finalized",LOWER(INDEX('Game Records'!$L:$L,$H194)&amp;"")&lt;&gt;"yes",INDEX('Game Records'!$U:$U,$H194)&lt;&gt;"Subscription",INDEX('Game Records'!$U:$U,$H194)&lt;&gt;"Free Game",INDEX('Game Records'!$U:$U,$H194)&lt;&gt;"Disqualified — Free Game",INDEX('Game Records'!$K:$K,$H194)=""),"Final Payout; ","")&amp;IF(AND(LOWER(INDEX('Game Records'!$D:$D,$H194)&amp;"")="finalized",INDEX('Game Records'!$U:$U,$H194)&lt;&gt;"Subscription",INDEX('Game Records'!$U:$U,$H194)&lt;&gt;"Free Game",INDEX('Game Records'!$U:$U,$H194)&lt;&gt;"Disqualified — Free Game",OR(INDEX('Game Records'!$L:$L,$H194)="",LOWER(INDEX('Game Records'!$L:$L,$H194)&amp;"")="n/a")),"Disqualified Status; ",""))</f>
        <v/>
      </c>
      <c r="G194" s="25" t="str">
        <f t="array" ref="G194">IF($H194="","",IFERROR(INDEX('Game Records'!$M:$M,$H194),""))</f>
        <v/>
      </c>
      <c r="H194" s="8"/>
      <c r="I194" s="8"/>
      <c r="J194" s="8"/>
    </row>
    <row r="195" ht="24.0" customHeight="1">
      <c r="A195" s="21" t="str">
        <f t="shared" si="1"/>
        <v/>
      </c>
      <c r="B195" s="21" t="str">
        <f t="shared" si="2"/>
        <v/>
      </c>
      <c r="C195" s="25" t="str">
        <f t="array" ref="C195">IF($H195="","",IFERROR(INDEX('Game Records'!$A:$A,$H195),""))</f>
        <v/>
      </c>
      <c r="D195" s="25" t="str">
        <f t="array" ref="D195">IF($H195="","",IFERROR(INDEX('Game Records'!$U:$U,$H195),""))</f>
        <v/>
      </c>
      <c r="E195" s="25" t="str">
        <f t="shared" si="3"/>
        <v/>
      </c>
      <c r="F195" s="25" t="str">
        <f t="array" ref="F195">IF($H195="","",IF(OR(NOT(_xlfn.ISFORMULA(INDEX('Game Records'!$N:$N,$H195))),NOT(_xlfn.ISFORMULA(INDEX('Game Records'!$O:$O,$H195))),NOT(_xlfn.ISFORMULA(INDEX('Game Records'!$P:$P,$H195))),NOT(_xlfn.ISFORMULA(INDEX('Game Records'!$Q:$Q,$H195))),NOT(_xlfn.ISFORMULA(INDEX('Game Records'!$R:$R,$H195))),NOT(_xlfn.ISFORMULA(INDEX('Game Records'!$S:$S,$H195))),NOT(_xlfn.ISFORMULA(INDEX('Game Records'!$T:$T,$H195))),NOT(_xlfn.ISFORMULA(INDEX('Game Records'!$U:$U,$H195))),NOT(_xlfn.ISFORMULA(INDEX('Game Records'!$V:$V,$H195))),NOT(_xlfn.ISFORMULA(INDEX('Game Records'!$W:$W,$H195))),NOT(_xlfn.ISFORMULA(INDEX('Game Records'!$X:$X,$H195))),NOT(_xlfn.ISFORMULA(INDEX('Game Records'!$Y:$Y,$H195))),NOT(_xlfn.ISFORMULA(INDEX('Game Records'!$Z:$Z,$H195)))),"","")&amp;IF(INDEX('Game Records'!$B:$B,$H195)="","Start Date; ","")&amp;IF(INDEX('Game Records'!$C:$C,$H195)="","End Date; ","")&amp;IF(AND(INDEX('Game Records'!$U:$U,$H195)&lt;&gt;"Subscription",INDEX('Game Records'!$U:$U,$H195)&lt;&gt;"Free Game",INDEX('Game Records'!$U:$U,$H195)&lt;&gt;"Disqualified — Free Game",OR(INDEX('Game Records'!$D:$D,$H195)="",LOWER(INDEX('Game Records'!$D:$D,$H195)&amp;"")="n/a")),"Entry Mode; ","")&amp;IF(AND(INDEX('Game Records'!$U:$U,$H195)&lt;&gt;"Subscription",INDEX('Game Records'!$U:$U,$H195)&lt;&gt;"Free Game",INDEX('Game Records'!$U:$U,$H195)&lt;&gt;"Disqualified — Free Game",OR(INDEX('Game Records'!$E:$E,$H195)="",LOWER(INDEX('Game Records'!$E:$E,$H195)&amp;"")="n/a")),"Game Type; ","")&amp;IF(INDEX('Game Records'!$F:$F,$H195)="","Payment Type; ","")&amp;IF(AND(INDEX('Game Records'!$U:$U,$H195)&lt;&gt;"Subscription",INDEX('Game Records'!$U:$U,$H195)&lt;&gt;"Free Game",INDEX('Game Records'!$U:$U,$H195)&lt;&gt;"Disqualified — Free Game",INDEX('Game Records'!$G:$G,$H195)=""),"Gross Pot; ","")&amp;IF(AND(INDEX('Game Records'!$U:$U,$H195)&lt;&gt;"Free Game",INDEX('Game Records'!$U:$U,$H195)&lt;&gt;"Disqualified — Free Game",INDEX('Game Records'!$H:$H,$H195)=""),"Entry Fee; ","")&amp;IF(AND(INDEX('Game Records'!$U:$U,$H195)&lt;&gt;"Subscription",INDEX('Game Records'!$U:$U,$H195)&lt;&gt;"Free Game",INDEX('Game Records'!$U:$U,$H195)&lt;&gt;"Disqualified — Free Game",INDEX('Game Records'!$I:$I,$H195)=""),"Eligible Players; ","")&amp;IF(AND(INDEX('Game Records'!$U:$U,$H195)&lt;&gt;"Subscription",INDEX('Game Records'!$U:$U,$H195)&lt;&gt;"Free Game",INDEX('Game Records'!$U:$U,$H195)&lt;&gt;"Disqualified — Free Game",INDEX('Game Records'!$J:$J,$H195)=""),"Total Players; ","")&amp;IF(AND(LOWER(INDEX('Game Records'!$D:$D,$H195)&amp;"")="finalized",LOWER(INDEX('Game Records'!$L:$L,$H195)&amp;"")&lt;&gt;"yes",INDEX('Game Records'!$U:$U,$H195)&lt;&gt;"Subscription",INDEX('Game Records'!$U:$U,$H195)&lt;&gt;"Free Game",INDEX('Game Records'!$U:$U,$H195)&lt;&gt;"Disqualified — Free Game",INDEX('Game Records'!$K:$K,$H195)=""),"Final Payout; ","")&amp;IF(AND(LOWER(INDEX('Game Records'!$D:$D,$H195)&amp;"")="finalized",INDEX('Game Records'!$U:$U,$H195)&lt;&gt;"Subscription",INDEX('Game Records'!$U:$U,$H195)&lt;&gt;"Free Game",INDEX('Game Records'!$U:$U,$H195)&lt;&gt;"Disqualified — Free Game",OR(INDEX('Game Records'!$L:$L,$H195)="",LOWER(INDEX('Game Records'!$L:$L,$H195)&amp;"")="n/a")),"Disqualified Status; ",""))</f>
        <v/>
      </c>
      <c r="G195" s="25" t="str">
        <f t="array" ref="G195">IF($H195="","",IFERROR(INDEX('Game Records'!$M:$M,$H195),""))</f>
        <v/>
      </c>
      <c r="H195" s="8"/>
      <c r="I195" s="8"/>
      <c r="J195" s="8"/>
    </row>
    <row r="196" ht="24.0" customHeight="1">
      <c r="A196" s="21" t="str">
        <f t="shared" si="1"/>
        <v/>
      </c>
      <c r="B196" s="21" t="str">
        <f t="shared" si="2"/>
        <v/>
      </c>
      <c r="C196" s="25" t="str">
        <f t="array" ref="C196">IF($H196="","",IFERROR(INDEX('Game Records'!$A:$A,$H196),""))</f>
        <v/>
      </c>
      <c r="D196" s="25" t="str">
        <f t="array" ref="D196">IF($H196="","",IFERROR(INDEX('Game Records'!$U:$U,$H196),""))</f>
        <v/>
      </c>
      <c r="E196" s="25" t="str">
        <f t="shared" si="3"/>
        <v/>
      </c>
      <c r="F196" s="25" t="str">
        <f t="array" ref="F196">IF($H196="","",IF(OR(NOT(_xlfn.ISFORMULA(INDEX('Game Records'!$N:$N,$H196))),NOT(_xlfn.ISFORMULA(INDEX('Game Records'!$O:$O,$H196))),NOT(_xlfn.ISFORMULA(INDEX('Game Records'!$P:$P,$H196))),NOT(_xlfn.ISFORMULA(INDEX('Game Records'!$Q:$Q,$H196))),NOT(_xlfn.ISFORMULA(INDEX('Game Records'!$R:$R,$H196))),NOT(_xlfn.ISFORMULA(INDEX('Game Records'!$S:$S,$H196))),NOT(_xlfn.ISFORMULA(INDEX('Game Records'!$T:$T,$H196))),NOT(_xlfn.ISFORMULA(INDEX('Game Records'!$U:$U,$H196))),NOT(_xlfn.ISFORMULA(INDEX('Game Records'!$V:$V,$H196))),NOT(_xlfn.ISFORMULA(INDEX('Game Records'!$W:$W,$H196))),NOT(_xlfn.ISFORMULA(INDEX('Game Records'!$X:$X,$H196))),NOT(_xlfn.ISFORMULA(INDEX('Game Records'!$Y:$Y,$H196))),NOT(_xlfn.ISFORMULA(INDEX('Game Records'!$Z:$Z,$H196)))),"","")&amp;IF(INDEX('Game Records'!$B:$B,$H196)="","Start Date; ","")&amp;IF(INDEX('Game Records'!$C:$C,$H196)="","End Date; ","")&amp;IF(AND(INDEX('Game Records'!$U:$U,$H196)&lt;&gt;"Subscription",INDEX('Game Records'!$U:$U,$H196)&lt;&gt;"Free Game",INDEX('Game Records'!$U:$U,$H196)&lt;&gt;"Disqualified — Free Game",OR(INDEX('Game Records'!$D:$D,$H196)="",LOWER(INDEX('Game Records'!$D:$D,$H196)&amp;"")="n/a")),"Entry Mode; ","")&amp;IF(AND(INDEX('Game Records'!$U:$U,$H196)&lt;&gt;"Subscription",INDEX('Game Records'!$U:$U,$H196)&lt;&gt;"Free Game",INDEX('Game Records'!$U:$U,$H196)&lt;&gt;"Disqualified — Free Game",OR(INDEX('Game Records'!$E:$E,$H196)="",LOWER(INDEX('Game Records'!$E:$E,$H196)&amp;"")="n/a")),"Game Type; ","")&amp;IF(INDEX('Game Records'!$F:$F,$H196)="","Payment Type; ","")&amp;IF(AND(INDEX('Game Records'!$U:$U,$H196)&lt;&gt;"Subscription",INDEX('Game Records'!$U:$U,$H196)&lt;&gt;"Free Game",INDEX('Game Records'!$U:$U,$H196)&lt;&gt;"Disqualified — Free Game",INDEX('Game Records'!$G:$G,$H196)=""),"Gross Pot; ","")&amp;IF(AND(INDEX('Game Records'!$U:$U,$H196)&lt;&gt;"Free Game",INDEX('Game Records'!$U:$U,$H196)&lt;&gt;"Disqualified — Free Game",INDEX('Game Records'!$H:$H,$H196)=""),"Entry Fee; ","")&amp;IF(AND(INDEX('Game Records'!$U:$U,$H196)&lt;&gt;"Subscription",INDEX('Game Records'!$U:$U,$H196)&lt;&gt;"Free Game",INDEX('Game Records'!$U:$U,$H196)&lt;&gt;"Disqualified — Free Game",INDEX('Game Records'!$I:$I,$H196)=""),"Eligible Players; ","")&amp;IF(AND(INDEX('Game Records'!$U:$U,$H196)&lt;&gt;"Subscription",INDEX('Game Records'!$U:$U,$H196)&lt;&gt;"Free Game",INDEX('Game Records'!$U:$U,$H196)&lt;&gt;"Disqualified — Free Game",INDEX('Game Records'!$J:$J,$H196)=""),"Total Players; ","")&amp;IF(AND(LOWER(INDEX('Game Records'!$D:$D,$H196)&amp;"")="finalized",LOWER(INDEX('Game Records'!$L:$L,$H196)&amp;"")&lt;&gt;"yes",INDEX('Game Records'!$U:$U,$H196)&lt;&gt;"Subscription",INDEX('Game Records'!$U:$U,$H196)&lt;&gt;"Free Game",INDEX('Game Records'!$U:$U,$H196)&lt;&gt;"Disqualified — Free Game",INDEX('Game Records'!$K:$K,$H196)=""),"Final Payout; ","")&amp;IF(AND(LOWER(INDEX('Game Records'!$D:$D,$H196)&amp;"")="finalized",INDEX('Game Records'!$U:$U,$H196)&lt;&gt;"Subscription",INDEX('Game Records'!$U:$U,$H196)&lt;&gt;"Free Game",INDEX('Game Records'!$U:$U,$H196)&lt;&gt;"Disqualified — Free Game",OR(INDEX('Game Records'!$L:$L,$H196)="",LOWER(INDEX('Game Records'!$L:$L,$H196)&amp;"")="n/a")),"Disqualified Status; ",""))</f>
        <v/>
      </c>
      <c r="G196" s="25" t="str">
        <f t="array" ref="G196">IF($H196="","",IFERROR(INDEX('Game Records'!$M:$M,$H196),""))</f>
        <v/>
      </c>
      <c r="H196" s="8"/>
      <c r="I196" s="8"/>
      <c r="J196" s="8"/>
    </row>
    <row r="197" ht="24.0" customHeight="1">
      <c r="A197" s="21" t="str">
        <f t="shared" si="1"/>
        <v/>
      </c>
      <c r="B197" s="21" t="str">
        <f t="shared" si="2"/>
        <v/>
      </c>
      <c r="C197" s="25" t="str">
        <f t="array" ref="C197">IF($H197="","",IFERROR(INDEX('Game Records'!$A:$A,$H197),""))</f>
        <v/>
      </c>
      <c r="D197" s="25" t="str">
        <f t="array" ref="D197">IF($H197="","",IFERROR(INDEX('Game Records'!$U:$U,$H197),""))</f>
        <v/>
      </c>
      <c r="E197" s="25" t="str">
        <f t="shared" si="3"/>
        <v/>
      </c>
      <c r="F197" s="25" t="str">
        <f t="array" ref="F197">IF($H197="","",IF(OR(NOT(_xlfn.ISFORMULA(INDEX('Game Records'!$N:$N,$H197))),NOT(_xlfn.ISFORMULA(INDEX('Game Records'!$O:$O,$H197))),NOT(_xlfn.ISFORMULA(INDEX('Game Records'!$P:$P,$H197))),NOT(_xlfn.ISFORMULA(INDEX('Game Records'!$Q:$Q,$H197))),NOT(_xlfn.ISFORMULA(INDEX('Game Records'!$R:$R,$H197))),NOT(_xlfn.ISFORMULA(INDEX('Game Records'!$S:$S,$H197))),NOT(_xlfn.ISFORMULA(INDEX('Game Records'!$T:$T,$H197))),NOT(_xlfn.ISFORMULA(INDEX('Game Records'!$U:$U,$H197))),NOT(_xlfn.ISFORMULA(INDEX('Game Records'!$V:$V,$H197))),NOT(_xlfn.ISFORMULA(INDEX('Game Records'!$W:$W,$H197))),NOT(_xlfn.ISFORMULA(INDEX('Game Records'!$X:$X,$H197))),NOT(_xlfn.ISFORMULA(INDEX('Game Records'!$Y:$Y,$H197))),NOT(_xlfn.ISFORMULA(INDEX('Game Records'!$Z:$Z,$H197)))),"","")&amp;IF(INDEX('Game Records'!$B:$B,$H197)="","Start Date; ","")&amp;IF(INDEX('Game Records'!$C:$C,$H197)="","End Date; ","")&amp;IF(AND(INDEX('Game Records'!$U:$U,$H197)&lt;&gt;"Subscription",INDEX('Game Records'!$U:$U,$H197)&lt;&gt;"Free Game",INDEX('Game Records'!$U:$U,$H197)&lt;&gt;"Disqualified — Free Game",OR(INDEX('Game Records'!$D:$D,$H197)="",LOWER(INDEX('Game Records'!$D:$D,$H197)&amp;"")="n/a")),"Entry Mode; ","")&amp;IF(AND(INDEX('Game Records'!$U:$U,$H197)&lt;&gt;"Subscription",INDEX('Game Records'!$U:$U,$H197)&lt;&gt;"Free Game",INDEX('Game Records'!$U:$U,$H197)&lt;&gt;"Disqualified — Free Game",OR(INDEX('Game Records'!$E:$E,$H197)="",LOWER(INDEX('Game Records'!$E:$E,$H197)&amp;"")="n/a")),"Game Type; ","")&amp;IF(INDEX('Game Records'!$F:$F,$H197)="","Payment Type; ","")&amp;IF(AND(INDEX('Game Records'!$U:$U,$H197)&lt;&gt;"Subscription",INDEX('Game Records'!$U:$U,$H197)&lt;&gt;"Free Game",INDEX('Game Records'!$U:$U,$H197)&lt;&gt;"Disqualified — Free Game",INDEX('Game Records'!$G:$G,$H197)=""),"Gross Pot; ","")&amp;IF(AND(INDEX('Game Records'!$U:$U,$H197)&lt;&gt;"Free Game",INDEX('Game Records'!$U:$U,$H197)&lt;&gt;"Disqualified — Free Game",INDEX('Game Records'!$H:$H,$H197)=""),"Entry Fee; ","")&amp;IF(AND(INDEX('Game Records'!$U:$U,$H197)&lt;&gt;"Subscription",INDEX('Game Records'!$U:$U,$H197)&lt;&gt;"Free Game",INDEX('Game Records'!$U:$U,$H197)&lt;&gt;"Disqualified — Free Game",INDEX('Game Records'!$I:$I,$H197)=""),"Eligible Players; ","")&amp;IF(AND(INDEX('Game Records'!$U:$U,$H197)&lt;&gt;"Subscription",INDEX('Game Records'!$U:$U,$H197)&lt;&gt;"Free Game",INDEX('Game Records'!$U:$U,$H197)&lt;&gt;"Disqualified — Free Game",INDEX('Game Records'!$J:$J,$H197)=""),"Total Players; ","")&amp;IF(AND(LOWER(INDEX('Game Records'!$D:$D,$H197)&amp;"")="finalized",LOWER(INDEX('Game Records'!$L:$L,$H197)&amp;"")&lt;&gt;"yes",INDEX('Game Records'!$U:$U,$H197)&lt;&gt;"Subscription",INDEX('Game Records'!$U:$U,$H197)&lt;&gt;"Free Game",INDEX('Game Records'!$U:$U,$H197)&lt;&gt;"Disqualified — Free Game",INDEX('Game Records'!$K:$K,$H197)=""),"Final Payout; ","")&amp;IF(AND(LOWER(INDEX('Game Records'!$D:$D,$H197)&amp;"")="finalized",INDEX('Game Records'!$U:$U,$H197)&lt;&gt;"Subscription",INDEX('Game Records'!$U:$U,$H197)&lt;&gt;"Free Game",INDEX('Game Records'!$U:$U,$H197)&lt;&gt;"Disqualified — Free Game",OR(INDEX('Game Records'!$L:$L,$H197)="",LOWER(INDEX('Game Records'!$L:$L,$H197)&amp;"")="n/a")),"Disqualified Status; ",""))</f>
        <v/>
      </c>
      <c r="G197" s="25" t="str">
        <f t="array" ref="G197">IF($H197="","",IFERROR(INDEX('Game Records'!$M:$M,$H197),""))</f>
        <v/>
      </c>
      <c r="H197" s="8"/>
      <c r="I197" s="8"/>
      <c r="J197" s="8"/>
    </row>
    <row r="198" ht="24.0" customHeight="1">
      <c r="A198" s="21" t="str">
        <f t="shared" si="1"/>
        <v/>
      </c>
      <c r="B198" s="21" t="str">
        <f t="shared" si="2"/>
        <v/>
      </c>
      <c r="C198" s="25" t="str">
        <f t="array" ref="C198">IF($H198="","",IFERROR(INDEX('Game Records'!$A:$A,$H198),""))</f>
        <v/>
      </c>
      <c r="D198" s="25" t="str">
        <f t="array" ref="D198">IF($H198="","",IFERROR(INDEX('Game Records'!$U:$U,$H198),""))</f>
        <v/>
      </c>
      <c r="E198" s="25" t="str">
        <f t="shared" si="3"/>
        <v/>
      </c>
      <c r="F198" s="25" t="str">
        <f t="array" ref="F198">IF($H198="","",IF(OR(NOT(_xlfn.ISFORMULA(INDEX('Game Records'!$N:$N,$H198))),NOT(_xlfn.ISFORMULA(INDEX('Game Records'!$O:$O,$H198))),NOT(_xlfn.ISFORMULA(INDEX('Game Records'!$P:$P,$H198))),NOT(_xlfn.ISFORMULA(INDEX('Game Records'!$Q:$Q,$H198))),NOT(_xlfn.ISFORMULA(INDEX('Game Records'!$R:$R,$H198))),NOT(_xlfn.ISFORMULA(INDEX('Game Records'!$S:$S,$H198))),NOT(_xlfn.ISFORMULA(INDEX('Game Records'!$T:$T,$H198))),NOT(_xlfn.ISFORMULA(INDEX('Game Records'!$U:$U,$H198))),NOT(_xlfn.ISFORMULA(INDEX('Game Records'!$V:$V,$H198))),NOT(_xlfn.ISFORMULA(INDEX('Game Records'!$W:$W,$H198))),NOT(_xlfn.ISFORMULA(INDEX('Game Records'!$X:$X,$H198))),NOT(_xlfn.ISFORMULA(INDEX('Game Records'!$Y:$Y,$H198))),NOT(_xlfn.ISFORMULA(INDEX('Game Records'!$Z:$Z,$H198)))),"","")&amp;IF(INDEX('Game Records'!$B:$B,$H198)="","Start Date; ","")&amp;IF(INDEX('Game Records'!$C:$C,$H198)="","End Date; ","")&amp;IF(AND(INDEX('Game Records'!$U:$U,$H198)&lt;&gt;"Subscription",INDEX('Game Records'!$U:$U,$H198)&lt;&gt;"Free Game",INDEX('Game Records'!$U:$U,$H198)&lt;&gt;"Disqualified — Free Game",OR(INDEX('Game Records'!$D:$D,$H198)="",LOWER(INDEX('Game Records'!$D:$D,$H198)&amp;"")="n/a")),"Entry Mode; ","")&amp;IF(AND(INDEX('Game Records'!$U:$U,$H198)&lt;&gt;"Subscription",INDEX('Game Records'!$U:$U,$H198)&lt;&gt;"Free Game",INDEX('Game Records'!$U:$U,$H198)&lt;&gt;"Disqualified — Free Game",OR(INDEX('Game Records'!$E:$E,$H198)="",LOWER(INDEX('Game Records'!$E:$E,$H198)&amp;"")="n/a")),"Game Type; ","")&amp;IF(INDEX('Game Records'!$F:$F,$H198)="","Payment Type; ","")&amp;IF(AND(INDEX('Game Records'!$U:$U,$H198)&lt;&gt;"Subscription",INDEX('Game Records'!$U:$U,$H198)&lt;&gt;"Free Game",INDEX('Game Records'!$U:$U,$H198)&lt;&gt;"Disqualified — Free Game",INDEX('Game Records'!$G:$G,$H198)=""),"Gross Pot; ","")&amp;IF(AND(INDEX('Game Records'!$U:$U,$H198)&lt;&gt;"Free Game",INDEX('Game Records'!$U:$U,$H198)&lt;&gt;"Disqualified — Free Game",INDEX('Game Records'!$H:$H,$H198)=""),"Entry Fee; ","")&amp;IF(AND(INDEX('Game Records'!$U:$U,$H198)&lt;&gt;"Subscription",INDEX('Game Records'!$U:$U,$H198)&lt;&gt;"Free Game",INDEX('Game Records'!$U:$U,$H198)&lt;&gt;"Disqualified — Free Game",INDEX('Game Records'!$I:$I,$H198)=""),"Eligible Players; ","")&amp;IF(AND(INDEX('Game Records'!$U:$U,$H198)&lt;&gt;"Subscription",INDEX('Game Records'!$U:$U,$H198)&lt;&gt;"Free Game",INDEX('Game Records'!$U:$U,$H198)&lt;&gt;"Disqualified — Free Game",INDEX('Game Records'!$J:$J,$H198)=""),"Total Players; ","")&amp;IF(AND(LOWER(INDEX('Game Records'!$D:$D,$H198)&amp;"")="finalized",LOWER(INDEX('Game Records'!$L:$L,$H198)&amp;"")&lt;&gt;"yes",INDEX('Game Records'!$U:$U,$H198)&lt;&gt;"Subscription",INDEX('Game Records'!$U:$U,$H198)&lt;&gt;"Free Game",INDEX('Game Records'!$U:$U,$H198)&lt;&gt;"Disqualified — Free Game",INDEX('Game Records'!$K:$K,$H198)=""),"Final Payout; ","")&amp;IF(AND(LOWER(INDEX('Game Records'!$D:$D,$H198)&amp;"")="finalized",INDEX('Game Records'!$U:$U,$H198)&lt;&gt;"Subscription",INDEX('Game Records'!$U:$U,$H198)&lt;&gt;"Free Game",INDEX('Game Records'!$U:$U,$H198)&lt;&gt;"Disqualified — Free Game",OR(INDEX('Game Records'!$L:$L,$H198)="",LOWER(INDEX('Game Records'!$L:$L,$H198)&amp;"")="n/a")),"Disqualified Status; ",""))</f>
        <v/>
      </c>
      <c r="G198" s="25" t="str">
        <f t="array" ref="G198">IF($H198="","",IFERROR(INDEX('Game Records'!$M:$M,$H198),""))</f>
        <v/>
      </c>
      <c r="H198" s="8"/>
      <c r="I198" s="8"/>
      <c r="J198" s="8"/>
    </row>
    <row r="199" ht="24.0" customHeight="1">
      <c r="A199" s="21" t="str">
        <f t="shared" si="1"/>
        <v/>
      </c>
      <c r="B199" s="21" t="str">
        <f t="shared" si="2"/>
        <v/>
      </c>
      <c r="C199" s="25" t="str">
        <f t="array" ref="C199">IF($H199="","",IFERROR(INDEX('Game Records'!$A:$A,$H199),""))</f>
        <v/>
      </c>
      <c r="D199" s="25" t="str">
        <f t="array" ref="D199">IF($H199="","",IFERROR(INDEX('Game Records'!$U:$U,$H199),""))</f>
        <v/>
      </c>
      <c r="E199" s="25" t="str">
        <f t="shared" si="3"/>
        <v/>
      </c>
      <c r="F199" s="25" t="str">
        <f t="array" ref="F199">IF($H199="","",IF(OR(NOT(_xlfn.ISFORMULA(INDEX('Game Records'!$N:$N,$H199))),NOT(_xlfn.ISFORMULA(INDEX('Game Records'!$O:$O,$H199))),NOT(_xlfn.ISFORMULA(INDEX('Game Records'!$P:$P,$H199))),NOT(_xlfn.ISFORMULA(INDEX('Game Records'!$Q:$Q,$H199))),NOT(_xlfn.ISFORMULA(INDEX('Game Records'!$R:$R,$H199))),NOT(_xlfn.ISFORMULA(INDEX('Game Records'!$S:$S,$H199))),NOT(_xlfn.ISFORMULA(INDEX('Game Records'!$T:$T,$H199))),NOT(_xlfn.ISFORMULA(INDEX('Game Records'!$U:$U,$H199))),NOT(_xlfn.ISFORMULA(INDEX('Game Records'!$V:$V,$H199))),NOT(_xlfn.ISFORMULA(INDEX('Game Records'!$W:$W,$H199))),NOT(_xlfn.ISFORMULA(INDEX('Game Records'!$X:$X,$H199))),NOT(_xlfn.ISFORMULA(INDEX('Game Records'!$Y:$Y,$H199))),NOT(_xlfn.ISFORMULA(INDEX('Game Records'!$Z:$Z,$H199)))),"","")&amp;IF(INDEX('Game Records'!$B:$B,$H199)="","Start Date; ","")&amp;IF(INDEX('Game Records'!$C:$C,$H199)="","End Date; ","")&amp;IF(AND(INDEX('Game Records'!$U:$U,$H199)&lt;&gt;"Subscription",INDEX('Game Records'!$U:$U,$H199)&lt;&gt;"Free Game",INDEX('Game Records'!$U:$U,$H199)&lt;&gt;"Disqualified — Free Game",OR(INDEX('Game Records'!$D:$D,$H199)="",LOWER(INDEX('Game Records'!$D:$D,$H199)&amp;"")="n/a")),"Entry Mode; ","")&amp;IF(AND(INDEX('Game Records'!$U:$U,$H199)&lt;&gt;"Subscription",INDEX('Game Records'!$U:$U,$H199)&lt;&gt;"Free Game",INDEX('Game Records'!$U:$U,$H199)&lt;&gt;"Disqualified — Free Game",OR(INDEX('Game Records'!$E:$E,$H199)="",LOWER(INDEX('Game Records'!$E:$E,$H199)&amp;"")="n/a")),"Game Type; ","")&amp;IF(INDEX('Game Records'!$F:$F,$H199)="","Payment Type; ","")&amp;IF(AND(INDEX('Game Records'!$U:$U,$H199)&lt;&gt;"Subscription",INDEX('Game Records'!$U:$U,$H199)&lt;&gt;"Free Game",INDEX('Game Records'!$U:$U,$H199)&lt;&gt;"Disqualified — Free Game",INDEX('Game Records'!$G:$G,$H199)=""),"Gross Pot; ","")&amp;IF(AND(INDEX('Game Records'!$U:$U,$H199)&lt;&gt;"Free Game",INDEX('Game Records'!$U:$U,$H199)&lt;&gt;"Disqualified — Free Game",INDEX('Game Records'!$H:$H,$H199)=""),"Entry Fee; ","")&amp;IF(AND(INDEX('Game Records'!$U:$U,$H199)&lt;&gt;"Subscription",INDEX('Game Records'!$U:$U,$H199)&lt;&gt;"Free Game",INDEX('Game Records'!$U:$U,$H199)&lt;&gt;"Disqualified — Free Game",INDEX('Game Records'!$I:$I,$H199)=""),"Eligible Players; ","")&amp;IF(AND(INDEX('Game Records'!$U:$U,$H199)&lt;&gt;"Subscription",INDEX('Game Records'!$U:$U,$H199)&lt;&gt;"Free Game",INDEX('Game Records'!$U:$U,$H199)&lt;&gt;"Disqualified — Free Game",INDEX('Game Records'!$J:$J,$H199)=""),"Total Players; ","")&amp;IF(AND(LOWER(INDEX('Game Records'!$D:$D,$H199)&amp;"")="finalized",LOWER(INDEX('Game Records'!$L:$L,$H199)&amp;"")&lt;&gt;"yes",INDEX('Game Records'!$U:$U,$H199)&lt;&gt;"Subscription",INDEX('Game Records'!$U:$U,$H199)&lt;&gt;"Free Game",INDEX('Game Records'!$U:$U,$H199)&lt;&gt;"Disqualified — Free Game",INDEX('Game Records'!$K:$K,$H199)=""),"Final Payout; ","")&amp;IF(AND(LOWER(INDEX('Game Records'!$D:$D,$H199)&amp;"")="finalized",INDEX('Game Records'!$U:$U,$H199)&lt;&gt;"Subscription",INDEX('Game Records'!$U:$U,$H199)&lt;&gt;"Free Game",INDEX('Game Records'!$U:$U,$H199)&lt;&gt;"Disqualified — Free Game",OR(INDEX('Game Records'!$L:$L,$H199)="",LOWER(INDEX('Game Records'!$L:$L,$H199)&amp;"")="n/a")),"Disqualified Status; ",""))</f>
        <v/>
      </c>
      <c r="G199" s="25" t="str">
        <f t="array" ref="G199">IF($H199="","",IFERROR(INDEX('Game Records'!$M:$M,$H199),""))</f>
        <v/>
      </c>
      <c r="H199" s="8"/>
      <c r="I199" s="8"/>
      <c r="J199" s="8"/>
    </row>
    <row r="200" ht="24.0" customHeight="1">
      <c r="A200" s="21" t="str">
        <f t="shared" si="1"/>
        <v/>
      </c>
      <c r="B200" s="21" t="str">
        <f t="shared" si="2"/>
        <v/>
      </c>
      <c r="C200" s="25" t="str">
        <f t="array" ref="C200">IF($H200="","",IFERROR(INDEX('Game Records'!$A:$A,$H200),""))</f>
        <v/>
      </c>
      <c r="D200" s="25" t="str">
        <f t="array" ref="D200">IF($H200="","",IFERROR(INDEX('Game Records'!$U:$U,$H200),""))</f>
        <v/>
      </c>
      <c r="E200" s="25" t="str">
        <f t="shared" si="3"/>
        <v/>
      </c>
      <c r="F200" s="25" t="str">
        <f t="array" ref="F200">IF($H200="","",IF(OR(NOT(_xlfn.ISFORMULA(INDEX('Game Records'!$N:$N,$H200))),NOT(_xlfn.ISFORMULA(INDEX('Game Records'!$O:$O,$H200))),NOT(_xlfn.ISFORMULA(INDEX('Game Records'!$P:$P,$H200))),NOT(_xlfn.ISFORMULA(INDEX('Game Records'!$Q:$Q,$H200))),NOT(_xlfn.ISFORMULA(INDEX('Game Records'!$R:$R,$H200))),NOT(_xlfn.ISFORMULA(INDEX('Game Records'!$S:$S,$H200))),NOT(_xlfn.ISFORMULA(INDEX('Game Records'!$T:$T,$H200))),NOT(_xlfn.ISFORMULA(INDEX('Game Records'!$U:$U,$H200))),NOT(_xlfn.ISFORMULA(INDEX('Game Records'!$V:$V,$H200))),NOT(_xlfn.ISFORMULA(INDEX('Game Records'!$W:$W,$H200))),NOT(_xlfn.ISFORMULA(INDEX('Game Records'!$X:$X,$H200))),NOT(_xlfn.ISFORMULA(INDEX('Game Records'!$Y:$Y,$H200))),NOT(_xlfn.ISFORMULA(INDEX('Game Records'!$Z:$Z,$H200)))),"","")&amp;IF(INDEX('Game Records'!$B:$B,$H200)="","Start Date; ","")&amp;IF(INDEX('Game Records'!$C:$C,$H200)="","End Date; ","")&amp;IF(AND(INDEX('Game Records'!$U:$U,$H200)&lt;&gt;"Subscription",INDEX('Game Records'!$U:$U,$H200)&lt;&gt;"Free Game",INDEX('Game Records'!$U:$U,$H200)&lt;&gt;"Disqualified — Free Game",OR(INDEX('Game Records'!$D:$D,$H200)="",LOWER(INDEX('Game Records'!$D:$D,$H200)&amp;"")="n/a")),"Entry Mode; ","")&amp;IF(AND(INDEX('Game Records'!$U:$U,$H200)&lt;&gt;"Subscription",INDEX('Game Records'!$U:$U,$H200)&lt;&gt;"Free Game",INDEX('Game Records'!$U:$U,$H200)&lt;&gt;"Disqualified — Free Game",OR(INDEX('Game Records'!$E:$E,$H200)="",LOWER(INDEX('Game Records'!$E:$E,$H200)&amp;"")="n/a")),"Game Type; ","")&amp;IF(INDEX('Game Records'!$F:$F,$H200)="","Payment Type; ","")&amp;IF(AND(INDEX('Game Records'!$U:$U,$H200)&lt;&gt;"Subscription",INDEX('Game Records'!$U:$U,$H200)&lt;&gt;"Free Game",INDEX('Game Records'!$U:$U,$H200)&lt;&gt;"Disqualified — Free Game",INDEX('Game Records'!$G:$G,$H200)=""),"Gross Pot; ","")&amp;IF(AND(INDEX('Game Records'!$U:$U,$H200)&lt;&gt;"Free Game",INDEX('Game Records'!$U:$U,$H200)&lt;&gt;"Disqualified — Free Game",INDEX('Game Records'!$H:$H,$H200)=""),"Entry Fee; ","")&amp;IF(AND(INDEX('Game Records'!$U:$U,$H200)&lt;&gt;"Subscription",INDEX('Game Records'!$U:$U,$H200)&lt;&gt;"Free Game",INDEX('Game Records'!$U:$U,$H200)&lt;&gt;"Disqualified — Free Game",INDEX('Game Records'!$I:$I,$H200)=""),"Eligible Players; ","")&amp;IF(AND(INDEX('Game Records'!$U:$U,$H200)&lt;&gt;"Subscription",INDEX('Game Records'!$U:$U,$H200)&lt;&gt;"Free Game",INDEX('Game Records'!$U:$U,$H200)&lt;&gt;"Disqualified — Free Game",INDEX('Game Records'!$J:$J,$H200)=""),"Total Players; ","")&amp;IF(AND(LOWER(INDEX('Game Records'!$D:$D,$H200)&amp;"")="finalized",LOWER(INDEX('Game Records'!$L:$L,$H200)&amp;"")&lt;&gt;"yes",INDEX('Game Records'!$U:$U,$H200)&lt;&gt;"Subscription",INDEX('Game Records'!$U:$U,$H200)&lt;&gt;"Free Game",INDEX('Game Records'!$U:$U,$H200)&lt;&gt;"Disqualified — Free Game",INDEX('Game Records'!$K:$K,$H200)=""),"Final Payout; ","")&amp;IF(AND(LOWER(INDEX('Game Records'!$D:$D,$H200)&amp;"")="finalized",INDEX('Game Records'!$U:$U,$H200)&lt;&gt;"Subscription",INDEX('Game Records'!$U:$U,$H200)&lt;&gt;"Free Game",INDEX('Game Records'!$U:$U,$H200)&lt;&gt;"Disqualified — Free Game",OR(INDEX('Game Records'!$L:$L,$H200)="",LOWER(INDEX('Game Records'!$L:$L,$H200)&amp;"")="n/a")),"Disqualified Status; ",""))</f>
        <v/>
      </c>
      <c r="G200" s="25" t="str">
        <f t="array" ref="G200">IF($H200="","",IFERROR(INDEX('Game Records'!$M:$M,$H200),""))</f>
        <v/>
      </c>
      <c r="H200" s="8"/>
      <c r="I200" s="8"/>
      <c r="J200" s="8"/>
    </row>
    <row r="201" ht="24.0" customHeight="1">
      <c r="A201" s="21" t="str">
        <f t="shared" si="1"/>
        <v/>
      </c>
      <c r="B201" s="21" t="str">
        <f t="shared" si="2"/>
        <v/>
      </c>
      <c r="C201" s="25" t="str">
        <f t="array" ref="C201">IF($H201="","",IFERROR(INDEX('Game Records'!$A:$A,$H201),""))</f>
        <v/>
      </c>
      <c r="D201" s="25" t="str">
        <f t="array" ref="D201">IF($H201="","",IFERROR(INDEX('Game Records'!$U:$U,$H201),""))</f>
        <v/>
      </c>
      <c r="E201" s="25" t="str">
        <f t="shared" si="3"/>
        <v/>
      </c>
      <c r="F201" s="25" t="str">
        <f t="array" ref="F201">IF($H201="","",IF(OR(NOT(_xlfn.ISFORMULA(INDEX('Game Records'!$N:$N,$H201))),NOT(_xlfn.ISFORMULA(INDEX('Game Records'!$O:$O,$H201))),NOT(_xlfn.ISFORMULA(INDEX('Game Records'!$P:$P,$H201))),NOT(_xlfn.ISFORMULA(INDEX('Game Records'!$Q:$Q,$H201))),NOT(_xlfn.ISFORMULA(INDEX('Game Records'!$R:$R,$H201))),NOT(_xlfn.ISFORMULA(INDEX('Game Records'!$S:$S,$H201))),NOT(_xlfn.ISFORMULA(INDEX('Game Records'!$T:$T,$H201))),NOT(_xlfn.ISFORMULA(INDEX('Game Records'!$U:$U,$H201))),NOT(_xlfn.ISFORMULA(INDEX('Game Records'!$V:$V,$H201))),NOT(_xlfn.ISFORMULA(INDEX('Game Records'!$W:$W,$H201))),NOT(_xlfn.ISFORMULA(INDEX('Game Records'!$X:$X,$H201))),NOT(_xlfn.ISFORMULA(INDEX('Game Records'!$Y:$Y,$H201))),NOT(_xlfn.ISFORMULA(INDEX('Game Records'!$Z:$Z,$H201)))),"","")&amp;IF(INDEX('Game Records'!$B:$B,$H201)="","Start Date; ","")&amp;IF(INDEX('Game Records'!$C:$C,$H201)="","End Date; ","")&amp;IF(AND(INDEX('Game Records'!$U:$U,$H201)&lt;&gt;"Subscription",INDEX('Game Records'!$U:$U,$H201)&lt;&gt;"Free Game",INDEX('Game Records'!$U:$U,$H201)&lt;&gt;"Disqualified — Free Game",OR(INDEX('Game Records'!$D:$D,$H201)="",LOWER(INDEX('Game Records'!$D:$D,$H201)&amp;"")="n/a")),"Entry Mode; ","")&amp;IF(AND(INDEX('Game Records'!$U:$U,$H201)&lt;&gt;"Subscription",INDEX('Game Records'!$U:$U,$H201)&lt;&gt;"Free Game",INDEX('Game Records'!$U:$U,$H201)&lt;&gt;"Disqualified — Free Game",OR(INDEX('Game Records'!$E:$E,$H201)="",LOWER(INDEX('Game Records'!$E:$E,$H201)&amp;"")="n/a")),"Game Type; ","")&amp;IF(INDEX('Game Records'!$F:$F,$H201)="","Payment Type; ","")&amp;IF(AND(INDEX('Game Records'!$U:$U,$H201)&lt;&gt;"Subscription",INDEX('Game Records'!$U:$U,$H201)&lt;&gt;"Free Game",INDEX('Game Records'!$U:$U,$H201)&lt;&gt;"Disqualified — Free Game",INDEX('Game Records'!$G:$G,$H201)=""),"Gross Pot; ","")&amp;IF(AND(INDEX('Game Records'!$U:$U,$H201)&lt;&gt;"Free Game",INDEX('Game Records'!$U:$U,$H201)&lt;&gt;"Disqualified — Free Game",INDEX('Game Records'!$H:$H,$H201)=""),"Entry Fee; ","")&amp;IF(AND(INDEX('Game Records'!$U:$U,$H201)&lt;&gt;"Subscription",INDEX('Game Records'!$U:$U,$H201)&lt;&gt;"Free Game",INDEX('Game Records'!$U:$U,$H201)&lt;&gt;"Disqualified — Free Game",INDEX('Game Records'!$I:$I,$H201)=""),"Eligible Players; ","")&amp;IF(AND(INDEX('Game Records'!$U:$U,$H201)&lt;&gt;"Subscription",INDEX('Game Records'!$U:$U,$H201)&lt;&gt;"Free Game",INDEX('Game Records'!$U:$U,$H201)&lt;&gt;"Disqualified — Free Game",INDEX('Game Records'!$J:$J,$H201)=""),"Total Players; ","")&amp;IF(AND(LOWER(INDEX('Game Records'!$D:$D,$H201)&amp;"")="finalized",LOWER(INDEX('Game Records'!$L:$L,$H201)&amp;"")&lt;&gt;"yes",INDEX('Game Records'!$U:$U,$H201)&lt;&gt;"Subscription",INDEX('Game Records'!$U:$U,$H201)&lt;&gt;"Free Game",INDEX('Game Records'!$U:$U,$H201)&lt;&gt;"Disqualified — Free Game",INDEX('Game Records'!$K:$K,$H201)=""),"Final Payout; ","")&amp;IF(AND(LOWER(INDEX('Game Records'!$D:$D,$H201)&amp;"")="finalized",INDEX('Game Records'!$U:$U,$H201)&lt;&gt;"Subscription",INDEX('Game Records'!$U:$U,$H201)&lt;&gt;"Free Game",INDEX('Game Records'!$U:$U,$H201)&lt;&gt;"Disqualified — Free Game",OR(INDEX('Game Records'!$L:$L,$H201)="",LOWER(INDEX('Game Records'!$L:$L,$H201)&amp;"")="n/a")),"Disqualified Status; ",""))</f>
        <v/>
      </c>
      <c r="G201" s="25" t="str">
        <f t="array" ref="G201">IF($H201="","",IFERROR(INDEX('Game Records'!$M:$M,$H201),""))</f>
        <v/>
      </c>
      <c r="H201" s="8"/>
    </row>
    <row r="202" ht="24.0" customHeight="1">
      <c r="A202" s="21" t="str">
        <f t="shared" si="1"/>
        <v/>
      </c>
      <c r="B202" s="21" t="str">
        <f t="shared" si="2"/>
        <v/>
      </c>
      <c r="C202" s="25" t="str">
        <f t="array" ref="C202">IF($H202="","",IFERROR(INDEX('Game Records'!$A:$A,$H202),""))</f>
        <v/>
      </c>
      <c r="D202" s="25" t="str">
        <f t="array" ref="D202">IF($H202="","",IFERROR(INDEX('Game Records'!$U:$U,$H202),""))</f>
        <v/>
      </c>
      <c r="E202" s="25" t="str">
        <f t="shared" si="3"/>
        <v/>
      </c>
      <c r="F202" s="25" t="str">
        <f t="array" ref="F202">IF($H202="","",IF(OR(NOT(_xlfn.ISFORMULA(INDEX('Game Records'!$N:$N,$H202))),NOT(_xlfn.ISFORMULA(INDEX('Game Records'!$O:$O,$H202))),NOT(_xlfn.ISFORMULA(INDEX('Game Records'!$P:$P,$H202))),NOT(_xlfn.ISFORMULA(INDEX('Game Records'!$Q:$Q,$H202))),NOT(_xlfn.ISFORMULA(INDEX('Game Records'!$R:$R,$H202))),NOT(_xlfn.ISFORMULA(INDEX('Game Records'!$S:$S,$H202))),NOT(_xlfn.ISFORMULA(INDEX('Game Records'!$T:$T,$H202))),NOT(_xlfn.ISFORMULA(INDEX('Game Records'!$U:$U,$H202))),NOT(_xlfn.ISFORMULA(INDEX('Game Records'!$V:$V,$H202))),NOT(_xlfn.ISFORMULA(INDEX('Game Records'!$W:$W,$H202))),NOT(_xlfn.ISFORMULA(INDEX('Game Records'!$X:$X,$H202))),NOT(_xlfn.ISFORMULA(INDEX('Game Records'!$Y:$Y,$H202))),NOT(_xlfn.ISFORMULA(INDEX('Game Records'!$Z:$Z,$H202)))),"","")&amp;IF(INDEX('Game Records'!$B:$B,$H202)="","Start Date; ","")&amp;IF(INDEX('Game Records'!$C:$C,$H202)="","End Date; ","")&amp;IF(AND(INDEX('Game Records'!$U:$U,$H202)&lt;&gt;"Subscription",INDEX('Game Records'!$U:$U,$H202)&lt;&gt;"Free Game",INDEX('Game Records'!$U:$U,$H202)&lt;&gt;"Disqualified — Free Game",OR(INDEX('Game Records'!$D:$D,$H202)="",LOWER(INDEX('Game Records'!$D:$D,$H202)&amp;"")="n/a")),"Entry Mode; ","")&amp;IF(AND(INDEX('Game Records'!$U:$U,$H202)&lt;&gt;"Subscription",INDEX('Game Records'!$U:$U,$H202)&lt;&gt;"Free Game",INDEX('Game Records'!$U:$U,$H202)&lt;&gt;"Disqualified — Free Game",OR(INDEX('Game Records'!$E:$E,$H202)="",LOWER(INDEX('Game Records'!$E:$E,$H202)&amp;"")="n/a")),"Game Type; ","")&amp;IF(INDEX('Game Records'!$F:$F,$H202)="","Payment Type; ","")&amp;IF(AND(INDEX('Game Records'!$U:$U,$H202)&lt;&gt;"Subscription",INDEX('Game Records'!$U:$U,$H202)&lt;&gt;"Free Game",INDEX('Game Records'!$U:$U,$H202)&lt;&gt;"Disqualified — Free Game",INDEX('Game Records'!$G:$G,$H202)=""),"Gross Pot; ","")&amp;IF(AND(INDEX('Game Records'!$U:$U,$H202)&lt;&gt;"Free Game",INDEX('Game Records'!$U:$U,$H202)&lt;&gt;"Disqualified — Free Game",INDEX('Game Records'!$H:$H,$H202)=""),"Entry Fee; ","")&amp;IF(AND(INDEX('Game Records'!$U:$U,$H202)&lt;&gt;"Subscription",INDEX('Game Records'!$U:$U,$H202)&lt;&gt;"Free Game",INDEX('Game Records'!$U:$U,$H202)&lt;&gt;"Disqualified — Free Game",INDEX('Game Records'!$I:$I,$H202)=""),"Eligible Players; ","")&amp;IF(AND(INDEX('Game Records'!$U:$U,$H202)&lt;&gt;"Subscription",INDEX('Game Records'!$U:$U,$H202)&lt;&gt;"Free Game",INDEX('Game Records'!$U:$U,$H202)&lt;&gt;"Disqualified — Free Game",INDEX('Game Records'!$J:$J,$H202)=""),"Total Players; ","")&amp;IF(AND(LOWER(INDEX('Game Records'!$D:$D,$H202)&amp;"")="finalized",LOWER(INDEX('Game Records'!$L:$L,$H202)&amp;"")&lt;&gt;"yes",INDEX('Game Records'!$U:$U,$H202)&lt;&gt;"Subscription",INDEX('Game Records'!$U:$U,$H202)&lt;&gt;"Free Game",INDEX('Game Records'!$U:$U,$H202)&lt;&gt;"Disqualified — Free Game",INDEX('Game Records'!$K:$K,$H202)=""),"Final Payout; ","")&amp;IF(AND(LOWER(INDEX('Game Records'!$D:$D,$H202)&amp;"")="finalized",INDEX('Game Records'!$U:$U,$H202)&lt;&gt;"Subscription",INDEX('Game Records'!$U:$U,$H202)&lt;&gt;"Free Game",INDEX('Game Records'!$U:$U,$H202)&lt;&gt;"Disqualified — Free Game",OR(INDEX('Game Records'!$L:$L,$H202)="",LOWER(INDEX('Game Records'!$L:$L,$H202)&amp;"")="n/a")),"Disqualified Status; ",""))</f>
        <v/>
      </c>
      <c r="G202" s="25" t="str">
        <f t="array" ref="G202">IF($H202="","",IFERROR(INDEX('Game Records'!$M:$M,$H202),""))</f>
        <v/>
      </c>
      <c r="H202" s="8"/>
    </row>
    <row r="203" ht="24.0" customHeight="1">
      <c r="A203" s="21" t="str">
        <f t="shared" si="1"/>
        <v/>
      </c>
      <c r="B203" s="21" t="str">
        <f t="shared" si="2"/>
        <v/>
      </c>
      <c r="C203" s="25" t="str">
        <f t="array" ref="C203">IF($H203="","",IFERROR(INDEX('Game Records'!$A:$A,$H203),""))</f>
        <v/>
      </c>
      <c r="D203" s="25" t="str">
        <f t="array" ref="D203">IF($H203="","",IFERROR(INDEX('Game Records'!$U:$U,$H203),""))</f>
        <v/>
      </c>
      <c r="E203" s="25" t="str">
        <f t="shared" si="3"/>
        <v/>
      </c>
      <c r="F203" s="25" t="str">
        <f t="array" ref="F203">IF($H203="","",IF(OR(NOT(_xlfn.ISFORMULA(INDEX('Game Records'!$N:$N,$H203))),NOT(_xlfn.ISFORMULA(INDEX('Game Records'!$O:$O,$H203))),NOT(_xlfn.ISFORMULA(INDEX('Game Records'!$P:$P,$H203))),NOT(_xlfn.ISFORMULA(INDEX('Game Records'!$Q:$Q,$H203))),NOT(_xlfn.ISFORMULA(INDEX('Game Records'!$R:$R,$H203))),NOT(_xlfn.ISFORMULA(INDEX('Game Records'!$S:$S,$H203))),NOT(_xlfn.ISFORMULA(INDEX('Game Records'!$T:$T,$H203))),NOT(_xlfn.ISFORMULA(INDEX('Game Records'!$U:$U,$H203))),NOT(_xlfn.ISFORMULA(INDEX('Game Records'!$V:$V,$H203))),NOT(_xlfn.ISFORMULA(INDEX('Game Records'!$W:$W,$H203))),NOT(_xlfn.ISFORMULA(INDEX('Game Records'!$X:$X,$H203))),NOT(_xlfn.ISFORMULA(INDEX('Game Records'!$Y:$Y,$H203))),NOT(_xlfn.ISFORMULA(INDEX('Game Records'!$Z:$Z,$H203)))),"","")&amp;IF(INDEX('Game Records'!$B:$B,$H203)="","Start Date; ","")&amp;IF(INDEX('Game Records'!$C:$C,$H203)="","End Date; ","")&amp;IF(AND(INDEX('Game Records'!$U:$U,$H203)&lt;&gt;"Subscription",INDEX('Game Records'!$U:$U,$H203)&lt;&gt;"Free Game",INDEX('Game Records'!$U:$U,$H203)&lt;&gt;"Disqualified — Free Game",OR(INDEX('Game Records'!$D:$D,$H203)="",LOWER(INDEX('Game Records'!$D:$D,$H203)&amp;"")="n/a")),"Entry Mode; ","")&amp;IF(AND(INDEX('Game Records'!$U:$U,$H203)&lt;&gt;"Subscription",INDEX('Game Records'!$U:$U,$H203)&lt;&gt;"Free Game",INDEX('Game Records'!$U:$U,$H203)&lt;&gt;"Disqualified — Free Game",OR(INDEX('Game Records'!$E:$E,$H203)="",LOWER(INDEX('Game Records'!$E:$E,$H203)&amp;"")="n/a")),"Game Type; ","")&amp;IF(INDEX('Game Records'!$F:$F,$H203)="","Payment Type; ","")&amp;IF(AND(INDEX('Game Records'!$U:$U,$H203)&lt;&gt;"Subscription",INDEX('Game Records'!$U:$U,$H203)&lt;&gt;"Free Game",INDEX('Game Records'!$U:$U,$H203)&lt;&gt;"Disqualified — Free Game",INDEX('Game Records'!$G:$G,$H203)=""),"Gross Pot; ","")&amp;IF(AND(INDEX('Game Records'!$U:$U,$H203)&lt;&gt;"Free Game",INDEX('Game Records'!$U:$U,$H203)&lt;&gt;"Disqualified — Free Game",INDEX('Game Records'!$H:$H,$H203)=""),"Entry Fee; ","")&amp;IF(AND(INDEX('Game Records'!$U:$U,$H203)&lt;&gt;"Subscription",INDEX('Game Records'!$U:$U,$H203)&lt;&gt;"Free Game",INDEX('Game Records'!$U:$U,$H203)&lt;&gt;"Disqualified — Free Game",INDEX('Game Records'!$I:$I,$H203)=""),"Eligible Players; ","")&amp;IF(AND(INDEX('Game Records'!$U:$U,$H203)&lt;&gt;"Subscription",INDEX('Game Records'!$U:$U,$H203)&lt;&gt;"Free Game",INDEX('Game Records'!$U:$U,$H203)&lt;&gt;"Disqualified — Free Game",INDEX('Game Records'!$J:$J,$H203)=""),"Total Players; ","")&amp;IF(AND(LOWER(INDEX('Game Records'!$D:$D,$H203)&amp;"")="finalized",LOWER(INDEX('Game Records'!$L:$L,$H203)&amp;"")&lt;&gt;"yes",INDEX('Game Records'!$U:$U,$H203)&lt;&gt;"Subscription",INDEX('Game Records'!$U:$U,$H203)&lt;&gt;"Free Game",INDEX('Game Records'!$U:$U,$H203)&lt;&gt;"Disqualified — Free Game",INDEX('Game Records'!$K:$K,$H203)=""),"Final Payout; ","")&amp;IF(AND(LOWER(INDEX('Game Records'!$D:$D,$H203)&amp;"")="finalized",INDEX('Game Records'!$U:$U,$H203)&lt;&gt;"Subscription",INDEX('Game Records'!$U:$U,$H203)&lt;&gt;"Free Game",INDEX('Game Records'!$U:$U,$H203)&lt;&gt;"Disqualified — Free Game",OR(INDEX('Game Records'!$L:$L,$H203)="",LOWER(INDEX('Game Records'!$L:$L,$H203)&amp;"")="n/a")),"Disqualified Status; ",""))</f>
        <v/>
      </c>
      <c r="G203" s="25" t="str">
        <f t="array" ref="G203">IF($H203="","",IFERROR(INDEX('Game Records'!$M:$M,$H203),""))</f>
        <v/>
      </c>
      <c r="H203" s="8"/>
    </row>
    <row r="204" ht="24.0" customHeight="1">
      <c r="A204" s="21" t="str">
        <f t="shared" si="1"/>
        <v/>
      </c>
      <c r="B204" s="21" t="str">
        <f t="shared" si="2"/>
        <v/>
      </c>
      <c r="C204" s="25" t="str">
        <f t="array" ref="C204">IF($H204="","",IFERROR(INDEX('Game Records'!$A:$A,$H204),""))</f>
        <v/>
      </c>
      <c r="D204" s="25" t="str">
        <f t="array" ref="D204">IF($H204="","",IFERROR(INDEX('Game Records'!$U:$U,$H204),""))</f>
        <v/>
      </c>
      <c r="E204" s="25" t="str">
        <f t="shared" si="3"/>
        <v/>
      </c>
      <c r="F204" s="25" t="str">
        <f t="array" ref="F204">IF($H204="","",IF(OR(NOT(_xlfn.ISFORMULA(INDEX('Game Records'!$N:$N,$H204))),NOT(_xlfn.ISFORMULA(INDEX('Game Records'!$O:$O,$H204))),NOT(_xlfn.ISFORMULA(INDEX('Game Records'!$P:$P,$H204))),NOT(_xlfn.ISFORMULA(INDEX('Game Records'!$Q:$Q,$H204))),NOT(_xlfn.ISFORMULA(INDEX('Game Records'!$R:$R,$H204))),NOT(_xlfn.ISFORMULA(INDEX('Game Records'!$S:$S,$H204))),NOT(_xlfn.ISFORMULA(INDEX('Game Records'!$T:$T,$H204))),NOT(_xlfn.ISFORMULA(INDEX('Game Records'!$U:$U,$H204))),NOT(_xlfn.ISFORMULA(INDEX('Game Records'!$V:$V,$H204))),NOT(_xlfn.ISFORMULA(INDEX('Game Records'!$W:$W,$H204))),NOT(_xlfn.ISFORMULA(INDEX('Game Records'!$X:$X,$H204))),NOT(_xlfn.ISFORMULA(INDEX('Game Records'!$Y:$Y,$H204))),NOT(_xlfn.ISFORMULA(INDEX('Game Records'!$Z:$Z,$H204)))),"","")&amp;IF(INDEX('Game Records'!$B:$B,$H204)="","Start Date; ","")&amp;IF(INDEX('Game Records'!$C:$C,$H204)="","End Date; ","")&amp;IF(AND(INDEX('Game Records'!$U:$U,$H204)&lt;&gt;"Subscription",INDEX('Game Records'!$U:$U,$H204)&lt;&gt;"Free Game",INDEX('Game Records'!$U:$U,$H204)&lt;&gt;"Disqualified — Free Game",OR(INDEX('Game Records'!$D:$D,$H204)="",LOWER(INDEX('Game Records'!$D:$D,$H204)&amp;"")="n/a")),"Entry Mode; ","")&amp;IF(AND(INDEX('Game Records'!$U:$U,$H204)&lt;&gt;"Subscription",INDEX('Game Records'!$U:$U,$H204)&lt;&gt;"Free Game",INDEX('Game Records'!$U:$U,$H204)&lt;&gt;"Disqualified — Free Game",OR(INDEX('Game Records'!$E:$E,$H204)="",LOWER(INDEX('Game Records'!$E:$E,$H204)&amp;"")="n/a")),"Game Type; ","")&amp;IF(INDEX('Game Records'!$F:$F,$H204)="","Payment Type; ","")&amp;IF(AND(INDEX('Game Records'!$U:$U,$H204)&lt;&gt;"Subscription",INDEX('Game Records'!$U:$U,$H204)&lt;&gt;"Free Game",INDEX('Game Records'!$U:$U,$H204)&lt;&gt;"Disqualified — Free Game",INDEX('Game Records'!$G:$G,$H204)=""),"Gross Pot; ","")&amp;IF(AND(INDEX('Game Records'!$U:$U,$H204)&lt;&gt;"Free Game",INDEX('Game Records'!$U:$U,$H204)&lt;&gt;"Disqualified — Free Game",INDEX('Game Records'!$H:$H,$H204)=""),"Entry Fee; ","")&amp;IF(AND(INDEX('Game Records'!$U:$U,$H204)&lt;&gt;"Subscription",INDEX('Game Records'!$U:$U,$H204)&lt;&gt;"Free Game",INDEX('Game Records'!$U:$U,$H204)&lt;&gt;"Disqualified — Free Game",INDEX('Game Records'!$I:$I,$H204)=""),"Eligible Players; ","")&amp;IF(AND(INDEX('Game Records'!$U:$U,$H204)&lt;&gt;"Subscription",INDEX('Game Records'!$U:$U,$H204)&lt;&gt;"Free Game",INDEX('Game Records'!$U:$U,$H204)&lt;&gt;"Disqualified — Free Game",INDEX('Game Records'!$J:$J,$H204)=""),"Total Players; ","")&amp;IF(AND(LOWER(INDEX('Game Records'!$D:$D,$H204)&amp;"")="finalized",LOWER(INDEX('Game Records'!$L:$L,$H204)&amp;"")&lt;&gt;"yes",INDEX('Game Records'!$U:$U,$H204)&lt;&gt;"Subscription",INDEX('Game Records'!$U:$U,$H204)&lt;&gt;"Free Game",INDEX('Game Records'!$U:$U,$H204)&lt;&gt;"Disqualified — Free Game",INDEX('Game Records'!$K:$K,$H204)=""),"Final Payout; ","")&amp;IF(AND(LOWER(INDEX('Game Records'!$D:$D,$H204)&amp;"")="finalized",INDEX('Game Records'!$U:$U,$H204)&lt;&gt;"Subscription",INDEX('Game Records'!$U:$U,$H204)&lt;&gt;"Free Game",INDEX('Game Records'!$U:$U,$H204)&lt;&gt;"Disqualified — Free Game",OR(INDEX('Game Records'!$L:$L,$H204)="",LOWER(INDEX('Game Records'!$L:$L,$H204)&amp;"")="n/a")),"Disqualified Status; ",""))</f>
        <v/>
      </c>
      <c r="G204" s="25" t="str">
        <f t="array" ref="G204">IF($H204="","",IFERROR(INDEX('Game Records'!$M:$M,$H204),""))</f>
        <v/>
      </c>
      <c r="H204" s="8"/>
    </row>
    <row r="205" ht="24.0" customHeight="1">
      <c r="A205" s="21" t="str">
        <f t="shared" si="1"/>
        <v/>
      </c>
      <c r="B205" s="21" t="str">
        <f t="shared" si="2"/>
        <v/>
      </c>
      <c r="C205" s="25" t="str">
        <f t="array" ref="C205">IF($H205="","",IFERROR(INDEX('Game Records'!$A:$A,$H205),""))</f>
        <v/>
      </c>
      <c r="D205" s="25" t="str">
        <f t="array" ref="D205">IF($H205="","",IFERROR(INDEX('Game Records'!$U:$U,$H205),""))</f>
        <v/>
      </c>
      <c r="E205" s="25" t="str">
        <f t="shared" si="3"/>
        <v/>
      </c>
      <c r="F205" s="25" t="str">
        <f t="array" ref="F205">IF($H205="","",IF(OR(NOT(_xlfn.ISFORMULA(INDEX('Game Records'!$N:$N,$H205))),NOT(_xlfn.ISFORMULA(INDEX('Game Records'!$O:$O,$H205))),NOT(_xlfn.ISFORMULA(INDEX('Game Records'!$P:$P,$H205))),NOT(_xlfn.ISFORMULA(INDEX('Game Records'!$Q:$Q,$H205))),NOT(_xlfn.ISFORMULA(INDEX('Game Records'!$R:$R,$H205))),NOT(_xlfn.ISFORMULA(INDEX('Game Records'!$S:$S,$H205))),NOT(_xlfn.ISFORMULA(INDEX('Game Records'!$T:$T,$H205))),NOT(_xlfn.ISFORMULA(INDEX('Game Records'!$U:$U,$H205))),NOT(_xlfn.ISFORMULA(INDEX('Game Records'!$V:$V,$H205))),NOT(_xlfn.ISFORMULA(INDEX('Game Records'!$W:$W,$H205))),NOT(_xlfn.ISFORMULA(INDEX('Game Records'!$X:$X,$H205))),NOT(_xlfn.ISFORMULA(INDEX('Game Records'!$Y:$Y,$H205))),NOT(_xlfn.ISFORMULA(INDEX('Game Records'!$Z:$Z,$H205)))),"","")&amp;IF(INDEX('Game Records'!$B:$B,$H205)="","Start Date; ","")&amp;IF(INDEX('Game Records'!$C:$C,$H205)="","End Date; ","")&amp;IF(AND(INDEX('Game Records'!$U:$U,$H205)&lt;&gt;"Subscription",INDEX('Game Records'!$U:$U,$H205)&lt;&gt;"Free Game",INDEX('Game Records'!$U:$U,$H205)&lt;&gt;"Disqualified — Free Game",OR(INDEX('Game Records'!$D:$D,$H205)="",LOWER(INDEX('Game Records'!$D:$D,$H205)&amp;"")="n/a")),"Entry Mode; ","")&amp;IF(AND(INDEX('Game Records'!$U:$U,$H205)&lt;&gt;"Subscription",INDEX('Game Records'!$U:$U,$H205)&lt;&gt;"Free Game",INDEX('Game Records'!$U:$U,$H205)&lt;&gt;"Disqualified — Free Game",OR(INDEX('Game Records'!$E:$E,$H205)="",LOWER(INDEX('Game Records'!$E:$E,$H205)&amp;"")="n/a")),"Game Type; ","")&amp;IF(INDEX('Game Records'!$F:$F,$H205)="","Payment Type; ","")&amp;IF(AND(INDEX('Game Records'!$U:$U,$H205)&lt;&gt;"Subscription",INDEX('Game Records'!$U:$U,$H205)&lt;&gt;"Free Game",INDEX('Game Records'!$U:$U,$H205)&lt;&gt;"Disqualified — Free Game",INDEX('Game Records'!$G:$G,$H205)=""),"Gross Pot; ","")&amp;IF(AND(INDEX('Game Records'!$U:$U,$H205)&lt;&gt;"Free Game",INDEX('Game Records'!$U:$U,$H205)&lt;&gt;"Disqualified — Free Game",INDEX('Game Records'!$H:$H,$H205)=""),"Entry Fee; ","")&amp;IF(AND(INDEX('Game Records'!$U:$U,$H205)&lt;&gt;"Subscription",INDEX('Game Records'!$U:$U,$H205)&lt;&gt;"Free Game",INDEX('Game Records'!$U:$U,$H205)&lt;&gt;"Disqualified — Free Game",INDEX('Game Records'!$I:$I,$H205)=""),"Eligible Players; ","")&amp;IF(AND(INDEX('Game Records'!$U:$U,$H205)&lt;&gt;"Subscription",INDEX('Game Records'!$U:$U,$H205)&lt;&gt;"Free Game",INDEX('Game Records'!$U:$U,$H205)&lt;&gt;"Disqualified — Free Game",INDEX('Game Records'!$J:$J,$H205)=""),"Total Players; ","")&amp;IF(AND(LOWER(INDEX('Game Records'!$D:$D,$H205)&amp;"")="finalized",LOWER(INDEX('Game Records'!$L:$L,$H205)&amp;"")&lt;&gt;"yes",INDEX('Game Records'!$U:$U,$H205)&lt;&gt;"Subscription",INDEX('Game Records'!$U:$U,$H205)&lt;&gt;"Free Game",INDEX('Game Records'!$U:$U,$H205)&lt;&gt;"Disqualified — Free Game",INDEX('Game Records'!$K:$K,$H205)=""),"Final Payout; ","")&amp;IF(AND(LOWER(INDEX('Game Records'!$D:$D,$H205)&amp;"")="finalized",INDEX('Game Records'!$U:$U,$H205)&lt;&gt;"Subscription",INDEX('Game Records'!$U:$U,$H205)&lt;&gt;"Free Game",INDEX('Game Records'!$U:$U,$H205)&lt;&gt;"Disqualified — Free Game",OR(INDEX('Game Records'!$L:$L,$H205)="",LOWER(INDEX('Game Records'!$L:$L,$H205)&amp;"")="n/a")),"Disqualified Status; ",""))</f>
        <v/>
      </c>
      <c r="G205" s="25" t="str">
        <f t="array" ref="G205">IF($H205="","",IFERROR(INDEX('Game Records'!$M:$M,$H205),""))</f>
        <v/>
      </c>
      <c r="H205" s="8"/>
    </row>
    <row r="206" ht="24.0" customHeight="1">
      <c r="A206" s="21" t="str">
        <f t="shared" si="1"/>
        <v/>
      </c>
      <c r="B206" s="21" t="str">
        <f t="shared" si="2"/>
        <v/>
      </c>
      <c r="C206" s="25" t="str">
        <f t="array" ref="C206">IF($H206="","",IFERROR(INDEX('Game Records'!$A:$A,$H206),""))</f>
        <v/>
      </c>
      <c r="D206" s="25" t="str">
        <f t="array" ref="D206">IF($H206="","",IFERROR(INDEX('Game Records'!$U:$U,$H206),""))</f>
        <v/>
      </c>
      <c r="E206" s="25" t="str">
        <f t="shared" si="3"/>
        <v/>
      </c>
      <c r="F206" s="25" t="str">
        <f t="array" ref="F206">IF($H206="","",IF(OR(NOT(_xlfn.ISFORMULA(INDEX('Game Records'!$N:$N,$H206))),NOT(_xlfn.ISFORMULA(INDEX('Game Records'!$O:$O,$H206))),NOT(_xlfn.ISFORMULA(INDEX('Game Records'!$P:$P,$H206))),NOT(_xlfn.ISFORMULA(INDEX('Game Records'!$Q:$Q,$H206))),NOT(_xlfn.ISFORMULA(INDEX('Game Records'!$R:$R,$H206))),NOT(_xlfn.ISFORMULA(INDEX('Game Records'!$S:$S,$H206))),NOT(_xlfn.ISFORMULA(INDEX('Game Records'!$T:$T,$H206))),NOT(_xlfn.ISFORMULA(INDEX('Game Records'!$U:$U,$H206))),NOT(_xlfn.ISFORMULA(INDEX('Game Records'!$V:$V,$H206))),NOT(_xlfn.ISFORMULA(INDEX('Game Records'!$W:$W,$H206))),NOT(_xlfn.ISFORMULA(INDEX('Game Records'!$X:$X,$H206))),NOT(_xlfn.ISFORMULA(INDEX('Game Records'!$Y:$Y,$H206))),NOT(_xlfn.ISFORMULA(INDEX('Game Records'!$Z:$Z,$H206)))),"","")&amp;IF(INDEX('Game Records'!$B:$B,$H206)="","Start Date; ","")&amp;IF(INDEX('Game Records'!$C:$C,$H206)="","End Date; ","")&amp;IF(AND(INDEX('Game Records'!$U:$U,$H206)&lt;&gt;"Subscription",INDEX('Game Records'!$U:$U,$H206)&lt;&gt;"Free Game",INDEX('Game Records'!$U:$U,$H206)&lt;&gt;"Disqualified — Free Game",OR(INDEX('Game Records'!$D:$D,$H206)="",LOWER(INDEX('Game Records'!$D:$D,$H206)&amp;"")="n/a")),"Entry Mode; ","")&amp;IF(AND(INDEX('Game Records'!$U:$U,$H206)&lt;&gt;"Subscription",INDEX('Game Records'!$U:$U,$H206)&lt;&gt;"Free Game",INDEX('Game Records'!$U:$U,$H206)&lt;&gt;"Disqualified — Free Game",OR(INDEX('Game Records'!$E:$E,$H206)="",LOWER(INDEX('Game Records'!$E:$E,$H206)&amp;"")="n/a")),"Game Type; ","")&amp;IF(INDEX('Game Records'!$F:$F,$H206)="","Payment Type; ","")&amp;IF(AND(INDEX('Game Records'!$U:$U,$H206)&lt;&gt;"Subscription",INDEX('Game Records'!$U:$U,$H206)&lt;&gt;"Free Game",INDEX('Game Records'!$U:$U,$H206)&lt;&gt;"Disqualified — Free Game",INDEX('Game Records'!$G:$G,$H206)=""),"Gross Pot; ","")&amp;IF(AND(INDEX('Game Records'!$U:$U,$H206)&lt;&gt;"Free Game",INDEX('Game Records'!$U:$U,$H206)&lt;&gt;"Disqualified — Free Game",INDEX('Game Records'!$H:$H,$H206)=""),"Entry Fee; ","")&amp;IF(AND(INDEX('Game Records'!$U:$U,$H206)&lt;&gt;"Subscription",INDEX('Game Records'!$U:$U,$H206)&lt;&gt;"Free Game",INDEX('Game Records'!$U:$U,$H206)&lt;&gt;"Disqualified — Free Game",INDEX('Game Records'!$I:$I,$H206)=""),"Eligible Players; ","")&amp;IF(AND(INDEX('Game Records'!$U:$U,$H206)&lt;&gt;"Subscription",INDEX('Game Records'!$U:$U,$H206)&lt;&gt;"Free Game",INDEX('Game Records'!$U:$U,$H206)&lt;&gt;"Disqualified — Free Game",INDEX('Game Records'!$J:$J,$H206)=""),"Total Players; ","")&amp;IF(AND(LOWER(INDEX('Game Records'!$D:$D,$H206)&amp;"")="finalized",LOWER(INDEX('Game Records'!$L:$L,$H206)&amp;"")&lt;&gt;"yes",INDEX('Game Records'!$U:$U,$H206)&lt;&gt;"Subscription",INDEX('Game Records'!$U:$U,$H206)&lt;&gt;"Free Game",INDEX('Game Records'!$U:$U,$H206)&lt;&gt;"Disqualified — Free Game",INDEX('Game Records'!$K:$K,$H206)=""),"Final Payout; ","")&amp;IF(AND(LOWER(INDEX('Game Records'!$D:$D,$H206)&amp;"")="finalized",INDEX('Game Records'!$U:$U,$H206)&lt;&gt;"Subscription",INDEX('Game Records'!$U:$U,$H206)&lt;&gt;"Free Game",INDEX('Game Records'!$U:$U,$H206)&lt;&gt;"Disqualified — Free Game",OR(INDEX('Game Records'!$L:$L,$H206)="",LOWER(INDEX('Game Records'!$L:$L,$H206)&amp;"")="n/a")),"Disqualified Status; ",""))</f>
        <v/>
      </c>
      <c r="G206" s="25" t="str">
        <f t="array" ref="G206">IF($H206="","",IFERROR(INDEX('Game Records'!$M:$M,$H206),""))</f>
        <v/>
      </c>
      <c r="H206" s="8"/>
    </row>
    <row r="207" ht="24.0" customHeight="1">
      <c r="A207" s="21" t="str">
        <f t="shared" si="1"/>
        <v/>
      </c>
      <c r="B207" s="21" t="str">
        <f t="shared" si="2"/>
        <v/>
      </c>
      <c r="C207" s="25" t="str">
        <f t="array" ref="C207">IF($H207="","",IFERROR(INDEX('Game Records'!$A:$A,$H207),""))</f>
        <v/>
      </c>
      <c r="D207" s="25" t="str">
        <f t="array" ref="D207">IF($H207="","",IFERROR(INDEX('Game Records'!$U:$U,$H207),""))</f>
        <v/>
      </c>
      <c r="E207" s="25" t="str">
        <f t="shared" si="3"/>
        <v/>
      </c>
      <c r="F207" s="25" t="str">
        <f t="array" ref="F207">IF($H207="","",IF(OR(NOT(_xlfn.ISFORMULA(INDEX('Game Records'!$N:$N,$H207))),NOT(_xlfn.ISFORMULA(INDEX('Game Records'!$O:$O,$H207))),NOT(_xlfn.ISFORMULA(INDEX('Game Records'!$P:$P,$H207))),NOT(_xlfn.ISFORMULA(INDEX('Game Records'!$Q:$Q,$H207))),NOT(_xlfn.ISFORMULA(INDEX('Game Records'!$R:$R,$H207))),NOT(_xlfn.ISFORMULA(INDEX('Game Records'!$S:$S,$H207))),NOT(_xlfn.ISFORMULA(INDEX('Game Records'!$T:$T,$H207))),NOT(_xlfn.ISFORMULA(INDEX('Game Records'!$U:$U,$H207))),NOT(_xlfn.ISFORMULA(INDEX('Game Records'!$V:$V,$H207))),NOT(_xlfn.ISFORMULA(INDEX('Game Records'!$W:$W,$H207))),NOT(_xlfn.ISFORMULA(INDEX('Game Records'!$X:$X,$H207))),NOT(_xlfn.ISFORMULA(INDEX('Game Records'!$Y:$Y,$H207))),NOT(_xlfn.ISFORMULA(INDEX('Game Records'!$Z:$Z,$H207)))),"","")&amp;IF(INDEX('Game Records'!$B:$B,$H207)="","Start Date; ","")&amp;IF(INDEX('Game Records'!$C:$C,$H207)="","End Date; ","")&amp;IF(AND(INDEX('Game Records'!$U:$U,$H207)&lt;&gt;"Subscription",INDEX('Game Records'!$U:$U,$H207)&lt;&gt;"Free Game",INDEX('Game Records'!$U:$U,$H207)&lt;&gt;"Disqualified — Free Game",OR(INDEX('Game Records'!$D:$D,$H207)="",LOWER(INDEX('Game Records'!$D:$D,$H207)&amp;"")="n/a")),"Entry Mode; ","")&amp;IF(AND(INDEX('Game Records'!$U:$U,$H207)&lt;&gt;"Subscription",INDEX('Game Records'!$U:$U,$H207)&lt;&gt;"Free Game",INDEX('Game Records'!$U:$U,$H207)&lt;&gt;"Disqualified — Free Game",OR(INDEX('Game Records'!$E:$E,$H207)="",LOWER(INDEX('Game Records'!$E:$E,$H207)&amp;"")="n/a")),"Game Type; ","")&amp;IF(INDEX('Game Records'!$F:$F,$H207)="","Payment Type; ","")&amp;IF(AND(INDEX('Game Records'!$U:$U,$H207)&lt;&gt;"Subscription",INDEX('Game Records'!$U:$U,$H207)&lt;&gt;"Free Game",INDEX('Game Records'!$U:$U,$H207)&lt;&gt;"Disqualified — Free Game",INDEX('Game Records'!$G:$G,$H207)=""),"Gross Pot; ","")&amp;IF(AND(INDEX('Game Records'!$U:$U,$H207)&lt;&gt;"Free Game",INDEX('Game Records'!$U:$U,$H207)&lt;&gt;"Disqualified — Free Game",INDEX('Game Records'!$H:$H,$H207)=""),"Entry Fee; ","")&amp;IF(AND(INDEX('Game Records'!$U:$U,$H207)&lt;&gt;"Subscription",INDEX('Game Records'!$U:$U,$H207)&lt;&gt;"Free Game",INDEX('Game Records'!$U:$U,$H207)&lt;&gt;"Disqualified — Free Game",INDEX('Game Records'!$I:$I,$H207)=""),"Eligible Players; ","")&amp;IF(AND(INDEX('Game Records'!$U:$U,$H207)&lt;&gt;"Subscription",INDEX('Game Records'!$U:$U,$H207)&lt;&gt;"Free Game",INDEX('Game Records'!$U:$U,$H207)&lt;&gt;"Disqualified — Free Game",INDEX('Game Records'!$J:$J,$H207)=""),"Total Players; ","")&amp;IF(AND(LOWER(INDEX('Game Records'!$D:$D,$H207)&amp;"")="finalized",LOWER(INDEX('Game Records'!$L:$L,$H207)&amp;"")&lt;&gt;"yes",INDEX('Game Records'!$U:$U,$H207)&lt;&gt;"Subscription",INDEX('Game Records'!$U:$U,$H207)&lt;&gt;"Free Game",INDEX('Game Records'!$U:$U,$H207)&lt;&gt;"Disqualified — Free Game",INDEX('Game Records'!$K:$K,$H207)=""),"Final Payout; ","")&amp;IF(AND(LOWER(INDEX('Game Records'!$D:$D,$H207)&amp;"")="finalized",INDEX('Game Records'!$U:$U,$H207)&lt;&gt;"Subscription",INDEX('Game Records'!$U:$U,$H207)&lt;&gt;"Free Game",INDEX('Game Records'!$U:$U,$H207)&lt;&gt;"Disqualified — Free Game",OR(INDEX('Game Records'!$L:$L,$H207)="",LOWER(INDEX('Game Records'!$L:$L,$H207)&amp;"")="n/a")),"Disqualified Status; ",""))</f>
        <v/>
      </c>
      <c r="G207" s="25" t="str">
        <f t="array" ref="G207">IF($H207="","",IFERROR(INDEX('Game Records'!$M:$M,$H207),""))</f>
        <v/>
      </c>
      <c r="H207" s="8"/>
    </row>
    <row r="208" ht="24.0" customHeight="1">
      <c r="A208" s="21" t="str">
        <f t="shared" si="1"/>
        <v/>
      </c>
      <c r="B208" s="21" t="str">
        <f t="shared" si="2"/>
        <v/>
      </c>
      <c r="C208" s="25" t="str">
        <f t="array" ref="C208">IF($H208="","",IFERROR(INDEX('Game Records'!$A:$A,$H208),""))</f>
        <v/>
      </c>
      <c r="D208" s="25" t="str">
        <f t="array" ref="D208">IF($H208="","",IFERROR(INDEX('Game Records'!$U:$U,$H208),""))</f>
        <v/>
      </c>
      <c r="E208" s="25" t="str">
        <f t="shared" si="3"/>
        <v/>
      </c>
      <c r="F208" s="25" t="str">
        <f t="array" ref="F208">IF($H208="","",IF(OR(NOT(_xlfn.ISFORMULA(INDEX('Game Records'!$N:$N,$H208))),NOT(_xlfn.ISFORMULA(INDEX('Game Records'!$O:$O,$H208))),NOT(_xlfn.ISFORMULA(INDEX('Game Records'!$P:$P,$H208))),NOT(_xlfn.ISFORMULA(INDEX('Game Records'!$Q:$Q,$H208))),NOT(_xlfn.ISFORMULA(INDEX('Game Records'!$R:$R,$H208))),NOT(_xlfn.ISFORMULA(INDEX('Game Records'!$S:$S,$H208))),NOT(_xlfn.ISFORMULA(INDEX('Game Records'!$T:$T,$H208))),NOT(_xlfn.ISFORMULA(INDEX('Game Records'!$U:$U,$H208))),NOT(_xlfn.ISFORMULA(INDEX('Game Records'!$V:$V,$H208))),NOT(_xlfn.ISFORMULA(INDEX('Game Records'!$W:$W,$H208))),NOT(_xlfn.ISFORMULA(INDEX('Game Records'!$X:$X,$H208))),NOT(_xlfn.ISFORMULA(INDEX('Game Records'!$Y:$Y,$H208))),NOT(_xlfn.ISFORMULA(INDEX('Game Records'!$Z:$Z,$H208)))),"","")&amp;IF(INDEX('Game Records'!$B:$B,$H208)="","Start Date; ","")&amp;IF(INDEX('Game Records'!$C:$C,$H208)="","End Date; ","")&amp;IF(AND(INDEX('Game Records'!$U:$U,$H208)&lt;&gt;"Subscription",INDEX('Game Records'!$U:$U,$H208)&lt;&gt;"Free Game",INDEX('Game Records'!$U:$U,$H208)&lt;&gt;"Disqualified — Free Game",OR(INDEX('Game Records'!$D:$D,$H208)="",LOWER(INDEX('Game Records'!$D:$D,$H208)&amp;"")="n/a")),"Entry Mode; ","")&amp;IF(AND(INDEX('Game Records'!$U:$U,$H208)&lt;&gt;"Subscription",INDEX('Game Records'!$U:$U,$H208)&lt;&gt;"Free Game",INDEX('Game Records'!$U:$U,$H208)&lt;&gt;"Disqualified — Free Game",OR(INDEX('Game Records'!$E:$E,$H208)="",LOWER(INDEX('Game Records'!$E:$E,$H208)&amp;"")="n/a")),"Game Type; ","")&amp;IF(INDEX('Game Records'!$F:$F,$H208)="","Payment Type; ","")&amp;IF(AND(INDEX('Game Records'!$U:$U,$H208)&lt;&gt;"Subscription",INDEX('Game Records'!$U:$U,$H208)&lt;&gt;"Free Game",INDEX('Game Records'!$U:$U,$H208)&lt;&gt;"Disqualified — Free Game",INDEX('Game Records'!$G:$G,$H208)=""),"Gross Pot; ","")&amp;IF(AND(INDEX('Game Records'!$U:$U,$H208)&lt;&gt;"Free Game",INDEX('Game Records'!$U:$U,$H208)&lt;&gt;"Disqualified — Free Game",INDEX('Game Records'!$H:$H,$H208)=""),"Entry Fee; ","")&amp;IF(AND(INDEX('Game Records'!$U:$U,$H208)&lt;&gt;"Subscription",INDEX('Game Records'!$U:$U,$H208)&lt;&gt;"Free Game",INDEX('Game Records'!$U:$U,$H208)&lt;&gt;"Disqualified — Free Game",INDEX('Game Records'!$I:$I,$H208)=""),"Eligible Players; ","")&amp;IF(AND(INDEX('Game Records'!$U:$U,$H208)&lt;&gt;"Subscription",INDEX('Game Records'!$U:$U,$H208)&lt;&gt;"Free Game",INDEX('Game Records'!$U:$U,$H208)&lt;&gt;"Disqualified — Free Game",INDEX('Game Records'!$J:$J,$H208)=""),"Total Players; ","")&amp;IF(AND(LOWER(INDEX('Game Records'!$D:$D,$H208)&amp;"")="finalized",LOWER(INDEX('Game Records'!$L:$L,$H208)&amp;"")&lt;&gt;"yes",INDEX('Game Records'!$U:$U,$H208)&lt;&gt;"Subscription",INDEX('Game Records'!$U:$U,$H208)&lt;&gt;"Free Game",INDEX('Game Records'!$U:$U,$H208)&lt;&gt;"Disqualified — Free Game",INDEX('Game Records'!$K:$K,$H208)=""),"Final Payout; ","")&amp;IF(AND(LOWER(INDEX('Game Records'!$D:$D,$H208)&amp;"")="finalized",INDEX('Game Records'!$U:$U,$H208)&lt;&gt;"Subscription",INDEX('Game Records'!$U:$U,$H208)&lt;&gt;"Free Game",INDEX('Game Records'!$U:$U,$H208)&lt;&gt;"Disqualified — Free Game",OR(INDEX('Game Records'!$L:$L,$H208)="",LOWER(INDEX('Game Records'!$L:$L,$H208)&amp;"")="n/a")),"Disqualified Status; ",""))</f>
        <v/>
      </c>
      <c r="G208" s="25" t="str">
        <f t="array" ref="G208">IF($H208="","",IFERROR(INDEX('Game Records'!$M:$M,$H208),""))</f>
        <v/>
      </c>
      <c r="H208" s="8"/>
    </row>
    <row r="209" ht="24.0" customHeight="1">
      <c r="A209" s="21" t="str">
        <f t="shared" si="1"/>
        <v/>
      </c>
      <c r="B209" s="21" t="str">
        <f t="shared" si="2"/>
        <v/>
      </c>
      <c r="C209" s="25" t="str">
        <f t="array" ref="C209">IF($H209="","",IFERROR(INDEX('Game Records'!$A:$A,$H209),""))</f>
        <v/>
      </c>
      <c r="D209" s="25" t="str">
        <f t="array" ref="D209">IF($H209="","",IFERROR(INDEX('Game Records'!$U:$U,$H209),""))</f>
        <v/>
      </c>
      <c r="E209" s="25" t="str">
        <f t="shared" si="3"/>
        <v/>
      </c>
      <c r="F209" s="25" t="str">
        <f t="array" ref="F209">IF($H209="","",IF(OR(NOT(_xlfn.ISFORMULA(INDEX('Game Records'!$N:$N,$H209))),NOT(_xlfn.ISFORMULA(INDEX('Game Records'!$O:$O,$H209))),NOT(_xlfn.ISFORMULA(INDEX('Game Records'!$P:$P,$H209))),NOT(_xlfn.ISFORMULA(INDEX('Game Records'!$Q:$Q,$H209))),NOT(_xlfn.ISFORMULA(INDEX('Game Records'!$R:$R,$H209))),NOT(_xlfn.ISFORMULA(INDEX('Game Records'!$S:$S,$H209))),NOT(_xlfn.ISFORMULA(INDEX('Game Records'!$T:$T,$H209))),NOT(_xlfn.ISFORMULA(INDEX('Game Records'!$U:$U,$H209))),NOT(_xlfn.ISFORMULA(INDEX('Game Records'!$V:$V,$H209))),NOT(_xlfn.ISFORMULA(INDEX('Game Records'!$W:$W,$H209))),NOT(_xlfn.ISFORMULA(INDEX('Game Records'!$X:$X,$H209))),NOT(_xlfn.ISFORMULA(INDEX('Game Records'!$Y:$Y,$H209))),NOT(_xlfn.ISFORMULA(INDEX('Game Records'!$Z:$Z,$H209)))),"","")&amp;IF(INDEX('Game Records'!$B:$B,$H209)="","Start Date; ","")&amp;IF(INDEX('Game Records'!$C:$C,$H209)="","End Date; ","")&amp;IF(AND(INDEX('Game Records'!$U:$U,$H209)&lt;&gt;"Subscription",INDEX('Game Records'!$U:$U,$H209)&lt;&gt;"Free Game",INDEX('Game Records'!$U:$U,$H209)&lt;&gt;"Disqualified — Free Game",OR(INDEX('Game Records'!$D:$D,$H209)="",LOWER(INDEX('Game Records'!$D:$D,$H209)&amp;"")="n/a")),"Entry Mode; ","")&amp;IF(AND(INDEX('Game Records'!$U:$U,$H209)&lt;&gt;"Subscription",INDEX('Game Records'!$U:$U,$H209)&lt;&gt;"Free Game",INDEX('Game Records'!$U:$U,$H209)&lt;&gt;"Disqualified — Free Game",OR(INDEX('Game Records'!$E:$E,$H209)="",LOWER(INDEX('Game Records'!$E:$E,$H209)&amp;"")="n/a")),"Game Type; ","")&amp;IF(INDEX('Game Records'!$F:$F,$H209)="","Payment Type; ","")&amp;IF(AND(INDEX('Game Records'!$U:$U,$H209)&lt;&gt;"Subscription",INDEX('Game Records'!$U:$U,$H209)&lt;&gt;"Free Game",INDEX('Game Records'!$U:$U,$H209)&lt;&gt;"Disqualified — Free Game",INDEX('Game Records'!$G:$G,$H209)=""),"Gross Pot; ","")&amp;IF(AND(INDEX('Game Records'!$U:$U,$H209)&lt;&gt;"Free Game",INDEX('Game Records'!$U:$U,$H209)&lt;&gt;"Disqualified — Free Game",INDEX('Game Records'!$H:$H,$H209)=""),"Entry Fee; ","")&amp;IF(AND(INDEX('Game Records'!$U:$U,$H209)&lt;&gt;"Subscription",INDEX('Game Records'!$U:$U,$H209)&lt;&gt;"Free Game",INDEX('Game Records'!$U:$U,$H209)&lt;&gt;"Disqualified — Free Game",INDEX('Game Records'!$I:$I,$H209)=""),"Eligible Players; ","")&amp;IF(AND(INDEX('Game Records'!$U:$U,$H209)&lt;&gt;"Subscription",INDEX('Game Records'!$U:$U,$H209)&lt;&gt;"Free Game",INDEX('Game Records'!$U:$U,$H209)&lt;&gt;"Disqualified — Free Game",INDEX('Game Records'!$J:$J,$H209)=""),"Total Players; ","")&amp;IF(AND(LOWER(INDEX('Game Records'!$D:$D,$H209)&amp;"")="finalized",LOWER(INDEX('Game Records'!$L:$L,$H209)&amp;"")&lt;&gt;"yes",INDEX('Game Records'!$U:$U,$H209)&lt;&gt;"Subscription",INDEX('Game Records'!$U:$U,$H209)&lt;&gt;"Free Game",INDEX('Game Records'!$U:$U,$H209)&lt;&gt;"Disqualified — Free Game",INDEX('Game Records'!$K:$K,$H209)=""),"Final Payout; ","")&amp;IF(AND(LOWER(INDEX('Game Records'!$D:$D,$H209)&amp;"")="finalized",INDEX('Game Records'!$U:$U,$H209)&lt;&gt;"Subscription",INDEX('Game Records'!$U:$U,$H209)&lt;&gt;"Free Game",INDEX('Game Records'!$U:$U,$H209)&lt;&gt;"Disqualified — Free Game",OR(INDEX('Game Records'!$L:$L,$H209)="",LOWER(INDEX('Game Records'!$L:$L,$H209)&amp;"")="n/a")),"Disqualified Status; ",""))</f>
        <v/>
      </c>
      <c r="G209" s="25" t="str">
        <f t="array" ref="G209">IF($H209="","",IFERROR(INDEX('Game Records'!$M:$M,$H209),""))</f>
        <v/>
      </c>
      <c r="H209" s="8"/>
    </row>
    <row r="210" ht="24.0" customHeight="1">
      <c r="A210" s="21" t="str">
        <f t="shared" si="1"/>
        <v/>
      </c>
      <c r="B210" s="21" t="str">
        <f t="shared" si="2"/>
        <v/>
      </c>
      <c r="C210" s="25" t="str">
        <f t="array" ref="C210">IF($H210="","",IFERROR(INDEX('Game Records'!$A:$A,$H210),""))</f>
        <v/>
      </c>
      <c r="D210" s="25" t="str">
        <f t="array" ref="D210">IF($H210="","",IFERROR(INDEX('Game Records'!$U:$U,$H210),""))</f>
        <v/>
      </c>
      <c r="E210" s="25" t="str">
        <f t="shared" si="3"/>
        <v/>
      </c>
      <c r="F210" s="25" t="str">
        <f t="array" ref="F210">IF($H210="","",IF(OR(NOT(_xlfn.ISFORMULA(INDEX('Game Records'!$N:$N,$H210))),NOT(_xlfn.ISFORMULA(INDEX('Game Records'!$O:$O,$H210))),NOT(_xlfn.ISFORMULA(INDEX('Game Records'!$P:$P,$H210))),NOT(_xlfn.ISFORMULA(INDEX('Game Records'!$Q:$Q,$H210))),NOT(_xlfn.ISFORMULA(INDEX('Game Records'!$R:$R,$H210))),NOT(_xlfn.ISFORMULA(INDEX('Game Records'!$S:$S,$H210))),NOT(_xlfn.ISFORMULA(INDEX('Game Records'!$T:$T,$H210))),NOT(_xlfn.ISFORMULA(INDEX('Game Records'!$U:$U,$H210))),NOT(_xlfn.ISFORMULA(INDEX('Game Records'!$V:$V,$H210))),NOT(_xlfn.ISFORMULA(INDEX('Game Records'!$W:$W,$H210))),NOT(_xlfn.ISFORMULA(INDEX('Game Records'!$X:$X,$H210))),NOT(_xlfn.ISFORMULA(INDEX('Game Records'!$Y:$Y,$H210))),NOT(_xlfn.ISFORMULA(INDEX('Game Records'!$Z:$Z,$H210)))),"","")&amp;IF(INDEX('Game Records'!$B:$B,$H210)="","Start Date; ","")&amp;IF(INDEX('Game Records'!$C:$C,$H210)="","End Date; ","")&amp;IF(AND(INDEX('Game Records'!$U:$U,$H210)&lt;&gt;"Subscription",INDEX('Game Records'!$U:$U,$H210)&lt;&gt;"Free Game",INDEX('Game Records'!$U:$U,$H210)&lt;&gt;"Disqualified — Free Game",OR(INDEX('Game Records'!$D:$D,$H210)="",LOWER(INDEX('Game Records'!$D:$D,$H210)&amp;"")="n/a")),"Entry Mode; ","")&amp;IF(AND(INDEX('Game Records'!$U:$U,$H210)&lt;&gt;"Subscription",INDEX('Game Records'!$U:$U,$H210)&lt;&gt;"Free Game",INDEX('Game Records'!$U:$U,$H210)&lt;&gt;"Disqualified — Free Game",OR(INDEX('Game Records'!$E:$E,$H210)="",LOWER(INDEX('Game Records'!$E:$E,$H210)&amp;"")="n/a")),"Game Type; ","")&amp;IF(INDEX('Game Records'!$F:$F,$H210)="","Payment Type; ","")&amp;IF(AND(INDEX('Game Records'!$U:$U,$H210)&lt;&gt;"Subscription",INDEX('Game Records'!$U:$U,$H210)&lt;&gt;"Free Game",INDEX('Game Records'!$U:$U,$H210)&lt;&gt;"Disqualified — Free Game",INDEX('Game Records'!$G:$G,$H210)=""),"Gross Pot; ","")&amp;IF(AND(INDEX('Game Records'!$U:$U,$H210)&lt;&gt;"Free Game",INDEX('Game Records'!$U:$U,$H210)&lt;&gt;"Disqualified — Free Game",INDEX('Game Records'!$H:$H,$H210)=""),"Entry Fee; ","")&amp;IF(AND(INDEX('Game Records'!$U:$U,$H210)&lt;&gt;"Subscription",INDEX('Game Records'!$U:$U,$H210)&lt;&gt;"Free Game",INDEX('Game Records'!$U:$U,$H210)&lt;&gt;"Disqualified — Free Game",INDEX('Game Records'!$I:$I,$H210)=""),"Eligible Players; ","")&amp;IF(AND(INDEX('Game Records'!$U:$U,$H210)&lt;&gt;"Subscription",INDEX('Game Records'!$U:$U,$H210)&lt;&gt;"Free Game",INDEX('Game Records'!$U:$U,$H210)&lt;&gt;"Disqualified — Free Game",INDEX('Game Records'!$J:$J,$H210)=""),"Total Players; ","")&amp;IF(AND(LOWER(INDEX('Game Records'!$D:$D,$H210)&amp;"")="finalized",LOWER(INDEX('Game Records'!$L:$L,$H210)&amp;"")&lt;&gt;"yes",INDEX('Game Records'!$U:$U,$H210)&lt;&gt;"Subscription",INDEX('Game Records'!$U:$U,$H210)&lt;&gt;"Free Game",INDEX('Game Records'!$U:$U,$H210)&lt;&gt;"Disqualified — Free Game",INDEX('Game Records'!$K:$K,$H210)=""),"Final Payout; ","")&amp;IF(AND(LOWER(INDEX('Game Records'!$D:$D,$H210)&amp;"")="finalized",INDEX('Game Records'!$U:$U,$H210)&lt;&gt;"Subscription",INDEX('Game Records'!$U:$U,$H210)&lt;&gt;"Free Game",INDEX('Game Records'!$U:$U,$H210)&lt;&gt;"Disqualified — Free Game",OR(INDEX('Game Records'!$L:$L,$H210)="",LOWER(INDEX('Game Records'!$L:$L,$H210)&amp;"")="n/a")),"Disqualified Status; ",""))</f>
        <v/>
      </c>
      <c r="G210" s="25" t="str">
        <f t="array" ref="G210">IF($H210="","",IFERROR(INDEX('Game Records'!$M:$M,$H210),""))</f>
        <v/>
      </c>
      <c r="H210" s="8"/>
    </row>
    <row r="211" ht="24.0" customHeight="1">
      <c r="A211" s="21" t="str">
        <f t="shared" si="1"/>
        <v/>
      </c>
      <c r="B211" s="21" t="str">
        <f t="shared" si="2"/>
        <v/>
      </c>
      <c r="C211" s="25" t="str">
        <f t="array" ref="C211">IF($H211="","",IFERROR(INDEX('Game Records'!$A:$A,$H211),""))</f>
        <v/>
      </c>
      <c r="D211" s="25" t="str">
        <f t="array" ref="D211">IF($H211="","",IFERROR(INDEX('Game Records'!$U:$U,$H211),""))</f>
        <v/>
      </c>
      <c r="E211" s="25" t="str">
        <f t="shared" si="3"/>
        <v/>
      </c>
      <c r="F211" s="25" t="str">
        <f t="array" ref="F211">IF($H211="","",IF(OR(NOT(_xlfn.ISFORMULA(INDEX('Game Records'!$N:$N,$H211))),NOT(_xlfn.ISFORMULA(INDEX('Game Records'!$O:$O,$H211))),NOT(_xlfn.ISFORMULA(INDEX('Game Records'!$P:$P,$H211))),NOT(_xlfn.ISFORMULA(INDEX('Game Records'!$Q:$Q,$H211))),NOT(_xlfn.ISFORMULA(INDEX('Game Records'!$R:$R,$H211))),NOT(_xlfn.ISFORMULA(INDEX('Game Records'!$S:$S,$H211))),NOT(_xlfn.ISFORMULA(INDEX('Game Records'!$T:$T,$H211))),NOT(_xlfn.ISFORMULA(INDEX('Game Records'!$U:$U,$H211))),NOT(_xlfn.ISFORMULA(INDEX('Game Records'!$V:$V,$H211))),NOT(_xlfn.ISFORMULA(INDEX('Game Records'!$W:$W,$H211))),NOT(_xlfn.ISFORMULA(INDEX('Game Records'!$X:$X,$H211))),NOT(_xlfn.ISFORMULA(INDEX('Game Records'!$Y:$Y,$H211))),NOT(_xlfn.ISFORMULA(INDEX('Game Records'!$Z:$Z,$H211)))),"","")&amp;IF(INDEX('Game Records'!$B:$B,$H211)="","Start Date; ","")&amp;IF(INDEX('Game Records'!$C:$C,$H211)="","End Date; ","")&amp;IF(AND(INDEX('Game Records'!$U:$U,$H211)&lt;&gt;"Subscription",INDEX('Game Records'!$U:$U,$H211)&lt;&gt;"Free Game",INDEX('Game Records'!$U:$U,$H211)&lt;&gt;"Disqualified — Free Game",OR(INDEX('Game Records'!$D:$D,$H211)="",LOWER(INDEX('Game Records'!$D:$D,$H211)&amp;"")="n/a")),"Entry Mode; ","")&amp;IF(AND(INDEX('Game Records'!$U:$U,$H211)&lt;&gt;"Subscription",INDEX('Game Records'!$U:$U,$H211)&lt;&gt;"Free Game",INDEX('Game Records'!$U:$U,$H211)&lt;&gt;"Disqualified — Free Game",OR(INDEX('Game Records'!$E:$E,$H211)="",LOWER(INDEX('Game Records'!$E:$E,$H211)&amp;"")="n/a")),"Game Type; ","")&amp;IF(INDEX('Game Records'!$F:$F,$H211)="","Payment Type; ","")&amp;IF(AND(INDEX('Game Records'!$U:$U,$H211)&lt;&gt;"Subscription",INDEX('Game Records'!$U:$U,$H211)&lt;&gt;"Free Game",INDEX('Game Records'!$U:$U,$H211)&lt;&gt;"Disqualified — Free Game",INDEX('Game Records'!$G:$G,$H211)=""),"Gross Pot; ","")&amp;IF(AND(INDEX('Game Records'!$U:$U,$H211)&lt;&gt;"Free Game",INDEX('Game Records'!$U:$U,$H211)&lt;&gt;"Disqualified — Free Game",INDEX('Game Records'!$H:$H,$H211)=""),"Entry Fee; ","")&amp;IF(AND(INDEX('Game Records'!$U:$U,$H211)&lt;&gt;"Subscription",INDEX('Game Records'!$U:$U,$H211)&lt;&gt;"Free Game",INDEX('Game Records'!$U:$U,$H211)&lt;&gt;"Disqualified — Free Game",INDEX('Game Records'!$I:$I,$H211)=""),"Eligible Players; ","")&amp;IF(AND(INDEX('Game Records'!$U:$U,$H211)&lt;&gt;"Subscription",INDEX('Game Records'!$U:$U,$H211)&lt;&gt;"Free Game",INDEX('Game Records'!$U:$U,$H211)&lt;&gt;"Disqualified — Free Game",INDEX('Game Records'!$J:$J,$H211)=""),"Total Players; ","")&amp;IF(AND(LOWER(INDEX('Game Records'!$D:$D,$H211)&amp;"")="finalized",LOWER(INDEX('Game Records'!$L:$L,$H211)&amp;"")&lt;&gt;"yes",INDEX('Game Records'!$U:$U,$H211)&lt;&gt;"Subscription",INDEX('Game Records'!$U:$U,$H211)&lt;&gt;"Free Game",INDEX('Game Records'!$U:$U,$H211)&lt;&gt;"Disqualified — Free Game",INDEX('Game Records'!$K:$K,$H211)=""),"Final Payout; ","")&amp;IF(AND(LOWER(INDEX('Game Records'!$D:$D,$H211)&amp;"")="finalized",INDEX('Game Records'!$U:$U,$H211)&lt;&gt;"Subscription",INDEX('Game Records'!$U:$U,$H211)&lt;&gt;"Free Game",INDEX('Game Records'!$U:$U,$H211)&lt;&gt;"Disqualified — Free Game",OR(INDEX('Game Records'!$L:$L,$H211)="",LOWER(INDEX('Game Records'!$L:$L,$H211)&amp;"")="n/a")),"Disqualified Status; ",""))</f>
        <v/>
      </c>
      <c r="G211" s="25" t="str">
        <f t="array" ref="G211">IF($H211="","",IFERROR(INDEX('Game Records'!$M:$M,$H211),""))</f>
        <v/>
      </c>
      <c r="H211" s="8"/>
    </row>
    <row r="212" ht="24.0" customHeight="1">
      <c r="A212" s="21" t="str">
        <f t="shared" si="1"/>
        <v/>
      </c>
      <c r="B212" s="21" t="str">
        <f t="shared" si="2"/>
        <v/>
      </c>
      <c r="C212" s="25" t="str">
        <f t="array" ref="C212">IF($H212="","",IFERROR(INDEX('Game Records'!$A:$A,$H212),""))</f>
        <v/>
      </c>
      <c r="D212" s="25" t="str">
        <f t="array" ref="D212">IF($H212="","",IFERROR(INDEX('Game Records'!$U:$U,$H212),""))</f>
        <v/>
      </c>
      <c r="E212" s="25" t="str">
        <f t="shared" si="3"/>
        <v/>
      </c>
      <c r="F212" s="25" t="str">
        <f t="array" ref="F212">IF($H212="","",IF(OR(NOT(_xlfn.ISFORMULA(INDEX('Game Records'!$N:$N,$H212))),NOT(_xlfn.ISFORMULA(INDEX('Game Records'!$O:$O,$H212))),NOT(_xlfn.ISFORMULA(INDEX('Game Records'!$P:$P,$H212))),NOT(_xlfn.ISFORMULA(INDEX('Game Records'!$Q:$Q,$H212))),NOT(_xlfn.ISFORMULA(INDEX('Game Records'!$R:$R,$H212))),NOT(_xlfn.ISFORMULA(INDEX('Game Records'!$S:$S,$H212))),NOT(_xlfn.ISFORMULA(INDEX('Game Records'!$T:$T,$H212))),NOT(_xlfn.ISFORMULA(INDEX('Game Records'!$U:$U,$H212))),NOT(_xlfn.ISFORMULA(INDEX('Game Records'!$V:$V,$H212))),NOT(_xlfn.ISFORMULA(INDEX('Game Records'!$W:$W,$H212))),NOT(_xlfn.ISFORMULA(INDEX('Game Records'!$X:$X,$H212))),NOT(_xlfn.ISFORMULA(INDEX('Game Records'!$Y:$Y,$H212))),NOT(_xlfn.ISFORMULA(INDEX('Game Records'!$Z:$Z,$H212)))),"","")&amp;IF(INDEX('Game Records'!$B:$B,$H212)="","Start Date; ","")&amp;IF(INDEX('Game Records'!$C:$C,$H212)="","End Date; ","")&amp;IF(AND(INDEX('Game Records'!$U:$U,$H212)&lt;&gt;"Subscription",INDEX('Game Records'!$U:$U,$H212)&lt;&gt;"Free Game",INDEX('Game Records'!$U:$U,$H212)&lt;&gt;"Disqualified — Free Game",OR(INDEX('Game Records'!$D:$D,$H212)="",LOWER(INDEX('Game Records'!$D:$D,$H212)&amp;"")="n/a")),"Entry Mode; ","")&amp;IF(AND(INDEX('Game Records'!$U:$U,$H212)&lt;&gt;"Subscription",INDEX('Game Records'!$U:$U,$H212)&lt;&gt;"Free Game",INDEX('Game Records'!$U:$U,$H212)&lt;&gt;"Disqualified — Free Game",OR(INDEX('Game Records'!$E:$E,$H212)="",LOWER(INDEX('Game Records'!$E:$E,$H212)&amp;"")="n/a")),"Game Type; ","")&amp;IF(INDEX('Game Records'!$F:$F,$H212)="","Payment Type; ","")&amp;IF(AND(INDEX('Game Records'!$U:$U,$H212)&lt;&gt;"Subscription",INDEX('Game Records'!$U:$U,$H212)&lt;&gt;"Free Game",INDEX('Game Records'!$U:$U,$H212)&lt;&gt;"Disqualified — Free Game",INDEX('Game Records'!$G:$G,$H212)=""),"Gross Pot; ","")&amp;IF(AND(INDEX('Game Records'!$U:$U,$H212)&lt;&gt;"Free Game",INDEX('Game Records'!$U:$U,$H212)&lt;&gt;"Disqualified — Free Game",INDEX('Game Records'!$H:$H,$H212)=""),"Entry Fee; ","")&amp;IF(AND(INDEX('Game Records'!$U:$U,$H212)&lt;&gt;"Subscription",INDEX('Game Records'!$U:$U,$H212)&lt;&gt;"Free Game",INDEX('Game Records'!$U:$U,$H212)&lt;&gt;"Disqualified — Free Game",INDEX('Game Records'!$I:$I,$H212)=""),"Eligible Players; ","")&amp;IF(AND(INDEX('Game Records'!$U:$U,$H212)&lt;&gt;"Subscription",INDEX('Game Records'!$U:$U,$H212)&lt;&gt;"Free Game",INDEX('Game Records'!$U:$U,$H212)&lt;&gt;"Disqualified — Free Game",INDEX('Game Records'!$J:$J,$H212)=""),"Total Players; ","")&amp;IF(AND(LOWER(INDEX('Game Records'!$D:$D,$H212)&amp;"")="finalized",LOWER(INDEX('Game Records'!$L:$L,$H212)&amp;"")&lt;&gt;"yes",INDEX('Game Records'!$U:$U,$H212)&lt;&gt;"Subscription",INDEX('Game Records'!$U:$U,$H212)&lt;&gt;"Free Game",INDEX('Game Records'!$U:$U,$H212)&lt;&gt;"Disqualified — Free Game",INDEX('Game Records'!$K:$K,$H212)=""),"Final Payout; ","")&amp;IF(AND(LOWER(INDEX('Game Records'!$D:$D,$H212)&amp;"")="finalized",INDEX('Game Records'!$U:$U,$H212)&lt;&gt;"Subscription",INDEX('Game Records'!$U:$U,$H212)&lt;&gt;"Free Game",INDEX('Game Records'!$U:$U,$H212)&lt;&gt;"Disqualified — Free Game",OR(INDEX('Game Records'!$L:$L,$H212)="",LOWER(INDEX('Game Records'!$L:$L,$H212)&amp;"")="n/a")),"Disqualified Status; ",""))</f>
        <v/>
      </c>
      <c r="G212" s="25" t="str">
        <f t="array" ref="G212">IF($H212="","",IFERROR(INDEX('Game Records'!$M:$M,$H212),""))</f>
        <v/>
      </c>
      <c r="H212" s="8"/>
    </row>
    <row r="213" ht="24.0" customHeight="1">
      <c r="A213" s="21" t="str">
        <f t="shared" si="1"/>
        <v/>
      </c>
      <c r="B213" s="21" t="str">
        <f t="shared" si="2"/>
        <v/>
      </c>
      <c r="C213" s="25" t="str">
        <f t="array" ref="C213">IF($H213="","",IFERROR(INDEX('Game Records'!$A:$A,$H213),""))</f>
        <v/>
      </c>
      <c r="D213" s="25" t="str">
        <f t="array" ref="D213">IF($H213="","",IFERROR(INDEX('Game Records'!$U:$U,$H213),""))</f>
        <v/>
      </c>
      <c r="E213" s="25" t="str">
        <f t="shared" si="3"/>
        <v/>
      </c>
      <c r="F213" s="25" t="str">
        <f t="array" ref="F213">IF($H213="","",IF(OR(NOT(_xlfn.ISFORMULA(INDEX('Game Records'!$N:$N,$H213))),NOT(_xlfn.ISFORMULA(INDEX('Game Records'!$O:$O,$H213))),NOT(_xlfn.ISFORMULA(INDEX('Game Records'!$P:$P,$H213))),NOT(_xlfn.ISFORMULA(INDEX('Game Records'!$Q:$Q,$H213))),NOT(_xlfn.ISFORMULA(INDEX('Game Records'!$R:$R,$H213))),NOT(_xlfn.ISFORMULA(INDEX('Game Records'!$S:$S,$H213))),NOT(_xlfn.ISFORMULA(INDEX('Game Records'!$T:$T,$H213))),NOT(_xlfn.ISFORMULA(INDEX('Game Records'!$U:$U,$H213))),NOT(_xlfn.ISFORMULA(INDEX('Game Records'!$V:$V,$H213))),NOT(_xlfn.ISFORMULA(INDEX('Game Records'!$W:$W,$H213))),NOT(_xlfn.ISFORMULA(INDEX('Game Records'!$X:$X,$H213))),NOT(_xlfn.ISFORMULA(INDEX('Game Records'!$Y:$Y,$H213))),NOT(_xlfn.ISFORMULA(INDEX('Game Records'!$Z:$Z,$H213)))),"","")&amp;IF(INDEX('Game Records'!$B:$B,$H213)="","Start Date; ","")&amp;IF(INDEX('Game Records'!$C:$C,$H213)="","End Date; ","")&amp;IF(AND(INDEX('Game Records'!$U:$U,$H213)&lt;&gt;"Subscription",INDEX('Game Records'!$U:$U,$H213)&lt;&gt;"Free Game",INDEX('Game Records'!$U:$U,$H213)&lt;&gt;"Disqualified — Free Game",OR(INDEX('Game Records'!$D:$D,$H213)="",LOWER(INDEX('Game Records'!$D:$D,$H213)&amp;"")="n/a")),"Entry Mode; ","")&amp;IF(AND(INDEX('Game Records'!$U:$U,$H213)&lt;&gt;"Subscription",INDEX('Game Records'!$U:$U,$H213)&lt;&gt;"Free Game",INDEX('Game Records'!$U:$U,$H213)&lt;&gt;"Disqualified — Free Game",OR(INDEX('Game Records'!$E:$E,$H213)="",LOWER(INDEX('Game Records'!$E:$E,$H213)&amp;"")="n/a")),"Game Type; ","")&amp;IF(INDEX('Game Records'!$F:$F,$H213)="","Payment Type; ","")&amp;IF(AND(INDEX('Game Records'!$U:$U,$H213)&lt;&gt;"Subscription",INDEX('Game Records'!$U:$U,$H213)&lt;&gt;"Free Game",INDEX('Game Records'!$U:$U,$H213)&lt;&gt;"Disqualified — Free Game",INDEX('Game Records'!$G:$G,$H213)=""),"Gross Pot; ","")&amp;IF(AND(INDEX('Game Records'!$U:$U,$H213)&lt;&gt;"Free Game",INDEX('Game Records'!$U:$U,$H213)&lt;&gt;"Disqualified — Free Game",INDEX('Game Records'!$H:$H,$H213)=""),"Entry Fee; ","")&amp;IF(AND(INDEX('Game Records'!$U:$U,$H213)&lt;&gt;"Subscription",INDEX('Game Records'!$U:$U,$H213)&lt;&gt;"Free Game",INDEX('Game Records'!$U:$U,$H213)&lt;&gt;"Disqualified — Free Game",INDEX('Game Records'!$I:$I,$H213)=""),"Eligible Players; ","")&amp;IF(AND(INDEX('Game Records'!$U:$U,$H213)&lt;&gt;"Subscription",INDEX('Game Records'!$U:$U,$H213)&lt;&gt;"Free Game",INDEX('Game Records'!$U:$U,$H213)&lt;&gt;"Disqualified — Free Game",INDEX('Game Records'!$J:$J,$H213)=""),"Total Players; ","")&amp;IF(AND(LOWER(INDEX('Game Records'!$D:$D,$H213)&amp;"")="finalized",LOWER(INDEX('Game Records'!$L:$L,$H213)&amp;"")&lt;&gt;"yes",INDEX('Game Records'!$U:$U,$H213)&lt;&gt;"Subscription",INDEX('Game Records'!$U:$U,$H213)&lt;&gt;"Free Game",INDEX('Game Records'!$U:$U,$H213)&lt;&gt;"Disqualified — Free Game",INDEX('Game Records'!$K:$K,$H213)=""),"Final Payout; ","")&amp;IF(AND(LOWER(INDEX('Game Records'!$D:$D,$H213)&amp;"")="finalized",INDEX('Game Records'!$U:$U,$H213)&lt;&gt;"Subscription",INDEX('Game Records'!$U:$U,$H213)&lt;&gt;"Free Game",INDEX('Game Records'!$U:$U,$H213)&lt;&gt;"Disqualified — Free Game",OR(INDEX('Game Records'!$L:$L,$H213)="",LOWER(INDEX('Game Records'!$L:$L,$H213)&amp;"")="n/a")),"Disqualified Status; ",""))</f>
        <v/>
      </c>
      <c r="G213" s="25" t="str">
        <f t="array" ref="G213">IF($H213="","",IFERROR(INDEX('Game Records'!$M:$M,$H213),""))</f>
        <v/>
      </c>
      <c r="H213" s="8"/>
    </row>
    <row r="214" ht="24.0" customHeight="1">
      <c r="A214" s="21" t="str">
        <f t="shared" si="1"/>
        <v/>
      </c>
      <c r="B214" s="21" t="str">
        <f t="shared" si="2"/>
        <v/>
      </c>
      <c r="C214" s="25" t="str">
        <f t="array" ref="C214">IF($H214="","",IFERROR(INDEX('Game Records'!$A:$A,$H214),""))</f>
        <v/>
      </c>
      <c r="D214" s="25" t="str">
        <f t="array" ref="D214">IF($H214="","",IFERROR(INDEX('Game Records'!$U:$U,$H214),""))</f>
        <v/>
      </c>
      <c r="E214" s="25" t="str">
        <f t="shared" si="3"/>
        <v/>
      </c>
      <c r="F214" s="25" t="str">
        <f t="array" ref="F214">IF($H214="","",IF(OR(NOT(_xlfn.ISFORMULA(INDEX('Game Records'!$N:$N,$H214))),NOT(_xlfn.ISFORMULA(INDEX('Game Records'!$O:$O,$H214))),NOT(_xlfn.ISFORMULA(INDEX('Game Records'!$P:$P,$H214))),NOT(_xlfn.ISFORMULA(INDEX('Game Records'!$Q:$Q,$H214))),NOT(_xlfn.ISFORMULA(INDEX('Game Records'!$R:$R,$H214))),NOT(_xlfn.ISFORMULA(INDEX('Game Records'!$S:$S,$H214))),NOT(_xlfn.ISFORMULA(INDEX('Game Records'!$T:$T,$H214))),NOT(_xlfn.ISFORMULA(INDEX('Game Records'!$U:$U,$H214))),NOT(_xlfn.ISFORMULA(INDEX('Game Records'!$V:$V,$H214))),NOT(_xlfn.ISFORMULA(INDEX('Game Records'!$W:$W,$H214))),NOT(_xlfn.ISFORMULA(INDEX('Game Records'!$X:$X,$H214))),NOT(_xlfn.ISFORMULA(INDEX('Game Records'!$Y:$Y,$H214))),NOT(_xlfn.ISFORMULA(INDEX('Game Records'!$Z:$Z,$H214)))),"","")&amp;IF(INDEX('Game Records'!$B:$B,$H214)="","Start Date; ","")&amp;IF(INDEX('Game Records'!$C:$C,$H214)="","End Date; ","")&amp;IF(AND(INDEX('Game Records'!$U:$U,$H214)&lt;&gt;"Subscription",INDEX('Game Records'!$U:$U,$H214)&lt;&gt;"Free Game",INDEX('Game Records'!$U:$U,$H214)&lt;&gt;"Disqualified — Free Game",OR(INDEX('Game Records'!$D:$D,$H214)="",LOWER(INDEX('Game Records'!$D:$D,$H214)&amp;"")="n/a")),"Entry Mode; ","")&amp;IF(AND(INDEX('Game Records'!$U:$U,$H214)&lt;&gt;"Subscription",INDEX('Game Records'!$U:$U,$H214)&lt;&gt;"Free Game",INDEX('Game Records'!$U:$U,$H214)&lt;&gt;"Disqualified — Free Game",OR(INDEX('Game Records'!$E:$E,$H214)="",LOWER(INDEX('Game Records'!$E:$E,$H214)&amp;"")="n/a")),"Game Type; ","")&amp;IF(INDEX('Game Records'!$F:$F,$H214)="","Payment Type; ","")&amp;IF(AND(INDEX('Game Records'!$U:$U,$H214)&lt;&gt;"Subscription",INDEX('Game Records'!$U:$U,$H214)&lt;&gt;"Free Game",INDEX('Game Records'!$U:$U,$H214)&lt;&gt;"Disqualified — Free Game",INDEX('Game Records'!$G:$G,$H214)=""),"Gross Pot; ","")&amp;IF(AND(INDEX('Game Records'!$U:$U,$H214)&lt;&gt;"Free Game",INDEX('Game Records'!$U:$U,$H214)&lt;&gt;"Disqualified — Free Game",INDEX('Game Records'!$H:$H,$H214)=""),"Entry Fee; ","")&amp;IF(AND(INDEX('Game Records'!$U:$U,$H214)&lt;&gt;"Subscription",INDEX('Game Records'!$U:$U,$H214)&lt;&gt;"Free Game",INDEX('Game Records'!$U:$U,$H214)&lt;&gt;"Disqualified — Free Game",INDEX('Game Records'!$I:$I,$H214)=""),"Eligible Players; ","")&amp;IF(AND(INDEX('Game Records'!$U:$U,$H214)&lt;&gt;"Subscription",INDEX('Game Records'!$U:$U,$H214)&lt;&gt;"Free Game",INDEX('Game Records'!$U:$U,$H214)&lt;&gt;"Disqualified — Free Game",INDEX('Game Records'!$J:$J,$H214)=""),"Total Players; ","")&amp;IF(AND(LOWER(INDEX('Game Records'!$D:$D,$H214)&amp;"")="finalized",LOWER(INDEX('Game Records'!$L:$L,$H214)&amp;"")&lt;&gt;"yes",INDEX('Game Records'!$U:$U,$H214)&lt;&gt;"Subscription",INDEX('Game Records'!$U:$U,$H214)&lt;&gt;"Free Game",INDEX('Game Records'!$U:$U,$H214)&lt;&gt;"Disqualified — Free Game",INDEX('Game Records'!$K:$K,$H214)=""),"Final Payout; ","")&amp;IF(AND(LOWER(INDEX('Game Records'!$D:$D,$H214)&amp;"")="finalized",INDEX('Game Records'!$U:$U,$H214)&lt;&gt;"Subscription",INDEX('Game Records'!$U:$U,$H214)&lt;&gt;"Free Game",INDEX('Game Records'!$U:$U,$H214)&lt;&gt;"Disqualified — Free Game",OR(INDEX('Game Records'!$L:$L,$H214)="",LOWER(INDEX('Game Records'!$L:$L,$H214)&amp;"")="n/a")),"Disqualified Status; ",""))</f>
        <v/>
      </c>
      <c r="G214" s="25" t="str">
        <f t="array" ref="G214">IF($H214="","",IFERROR(INDEX('Game Records'!$M:$M,$H214),""))</f>
        <v/>
      </c>
      <c r="H214" s="8"/>
    </row>
    <row r="215" ht="24.0" customHeight="1">
      <c r="A215" s="21" t="str">
        <f t="shared" si="1"/>
        <v/>
      </c>
      <c r="B215" s="21" t="str">
        <f t="shared" si="2"/>
        <v/>
      </c>
      <c r="C215" s="25" t="str">
        <f t="array" ref="C215">IF($H215="","",IFERROR(INDEX('Game Records'!$A:$A,$H215),""))</f>
        <v/>
      </c>
      <c r="D215" s="25" t="str">
        <f t="array" ref="D215">IF($H215="","",IFERROR(INDEX('Game Records'!$U:$U,$H215),""))</f>
        <v/>
      </c>
      <c r="E215" s="25" t="str">
        <f t="shared" si="3"/>
        <v/>
      </c>
      <c r="F215" s="25" t="str">
        <f t="array" ref="F215">IF($H215="","",IF(OR(NOT(_xlfn.ISFORMULA(INDEX('Game Records'!$N:$N,$H215))),NOT(_xlfn.ISFORMULA(INDEX('Game Records'!$O:$O,$H215))),NOT(_xlfn.ISFORMULA(INDEX('Game Records'!$P:$P,$H215))),NOT(_xlfn.ISFORMULA(INDEX('Game Records'!$Q:$Q,$H215))),NOT(_xlfn.ISFORMULA(INDEX('Game Records'!$R:$R,$H215))),NOT(_xlfn.ISFORMULA(INDEX('Game Records'!$S:$S,$H215))),NOT(_xlfn.ISFORMULA(INDEX('Game Records'!$T:$T,$H215))),NOT(_xlfn.ISFORMULA(INDEX('Game Records'!$U:$U,$H215))),NOT(_xlfn.ISFORMULA(INDEX('Game Records'!$V:$V,$H215))),NOT(_xlfn.ISFORMULA(INDEX('Game Records'!$W:$W,$H215))),NOT(_xlfn.ISFORMULA(INDEX('Game Records'!$X:$X,$H215))),NOT(_xlfn.ISFORMULA(INDEX('Game Records'!$Y:$Y,$H215))),NOT(_xlfn.ISFORMULA(INDEX('Game Records'!$Z:$Z,$H215)))),"","")&amp;IF(INDEX('Game Records'!$B:$B,$H215)="","Start Date; ","")&amp;IF(INDEX('Game Records'!$C:$C,$H215)="","End Date; ","")&amp;IF(AND(INDEX('Game Records'!$U:$U,$H215)&lt;&gt;"Subscription",INDEX('Game Records'!$U:$U,$H215)&lt;&gt;"Free Game",INDEX('Game Records'!$U:$U,$H215)&lt;&gt;"Disqualified — Free Game",OR(INDEX('Game Records'!$D:$D,$H215)="",LOWER(INDEX('Game Records'!$D:$D,$H215)&amp;"")="n/a")),"Entry Mode; ","")&amp;IF(AND(INDEX('Game Records'!$U:$U,$H215)&lt;&gt;"Subscription",INDEX('Game Records'!$U:$U,$H215)&lt;&gt;"Free Game",INDEX('Game Records'!$U:$U,$H215)&lt;&gt;"Disqualified — Free Game",OR(INDEX('Game Records'!$E:$E,$H215)="",LOWER(INDEX('Game Records'!$E:$E,$H215)&amp;"")="n/a")),"Game Type; ","")&amp;IF(INDEX('Game Records'!$F:$F,$H215)="","Payment Type; ","")&amp;IF(AND(INDEX('Game Records'!$U:$U,$H215)&lt;&gt;"Subscription",INDEX('Game Records'!$U:$U,$H215)&lt;&gt;"Free Game",INDEX('Game Records'!$U:$U,$H215)&lt;&gt;"Disqualified — Free Game",INDEX('Game Records'!$G:$G,$H215)=""),"Gross Pot; ","")&amp;IF(AND(INDEX('Game Records'!$U:$U,$H215)&lt;&gt;"Free Game",INDEX('Game Records'!$U:$U,$H215)&lt;&gt;"Disqualified — Free Game",INDEX('Game Records'!$H:$H,$H215)=""),"Entry Fee; ","")&amp;IF(AND(INDEX('Game Records'!$U:$U,$H215)&lt;&gt;"Subscription",INDEX('Game Records'!$U:$U,$H215)&lt;&gt;"Free Game",INDEX('Game Records'!$U:$U,$H215)&lt;&gt;"Disqualified — Free Game",INDEX('Game Records'!$I:$I,$H215)=""),"Eligible Players; ","")&amp;IF(AND(INDEX('Game Records'!$U:$U,$H215)&lt;&gt;"Subscription",INDEX('Game Records'!$U:$U,$H215)&lt;&gt;"Free Game",INDEX('Game Records'!$U:$U,$H215)&lt;&gt;"Disqualified — Free Game",INDEX('Game Records'!$J:$J,$H215)=""),"Total Players; ","")&amp;IF(AND(LOWER(INDEX('Game Records'!$D:$D,$H215)&amp;"")="finalized",LOWER(INDEX('Game Records'!$L:$L,$H215)&amp;"")&lt;&gt;"yes",INDEX('Game Records'!$U:$U,$H215)&lt;&gt;"Subscription",INDEX('Game Records'!$U:$U,$H215)&lt;&gt;"Free Game",INDEX('Game Records'!$U:$U,$H215)&lt;&gt;"Disqualified — Free Game",INDEX('Game Records'!$K:$K,$H215)=""),"Final Payout; ","")&amp;IF(AND(LOWER(INDEX('Game Records'!$D:$D,$H215)&amp;"")="finalized",INDEX('Game Records'!$U:$U,$H215)&lt;&gt;"Subscription",INDEX('Game Records'!$U:$U,$H215)&lt;&gt;"Free Game",INDEX('Game Records'!$U:$U,$H215)&lt;&gt;"Disqualified — Free Game",OR(INDEX('Game Records'!$L:$L,$H215)="",LOWER(INDEX('Game Records'!$L:$L,$H215)&amp;"")="n/a")),"Disqualified Status; ",""))</f>
        <v/>
      </c>
      <c r="G215" s="25" t="str">
        <f t="array" ref="G215">IF($H215="","",IFERROR(INDEX('Game Records'!$M:$M,$H215),""))</f>
        <v/>
      </c>
      <c r="H215" s="8"/>
    </row>
    <row r="216" ht="24.0" customHeight="1">
      <c r="A216" s="21" t="str">
        <f t="shared" si="1"/>
        <v/>
      </c>
      <c r="B216" s="21" t="str">
        <f t="shared" si="2"/>
        <v/>
      </c>
      <c r="C216" s="25" t="str">
        <f t="array" ref="C216">IF($H216="","",IFERROR(INDEX('Game Records'!$A:$A,$H216),""))</f>
        <v/>
      </c>
      <c r="D216" s="25" t="str">
        <f t="array" ref="D216">IF($H216="","",IFERROR(INDEX('Game Records'!$U:$U,$H216),""))</f>
        <v/>
      </c>
      <c r="E216" s="25" t="str">
        <f t="shared" si="3"/>
        <v/>
      </c>
      <c r="F216" s="25" t="str">
        <f t="array" ref="F216">IF($H216="","",IF(OR(NOT(_xlfn.ISFORMULA(INDEX('Game Records'!$N:$N,$H216))),NOT(_xlfn.ISFORMULA(INDEX('Game Records'!$O:$O,$H216))),NOT(_xlfn.ISFORMULA(INDEX('Game Records'!$P:$P,$H216))),NOT(_xlfn.ISFORMULA(INDEX('Game Records'!$Q:$Q,$H216))),NOT(_xlfn.ISFORMULA(INDEX('Game Records'!$R:$R,$H216))),NOT(_xlfn.ISFORMULA(INDEX('Game Records'!$S:$S,$H216))),NOT(_xlfn.ISFORMULA(INDEX('Game Records'!$T:$T,$H216))),NOT(_xlfn.ISFORMULA(INDEX('Game Records'!$U:$U,$H216))),NOT(_xlfn.ISFORMULA(INDEX('Game Records'!$V:$V,$H216))),NOT(_xlfn.ISFORMULA(INDEX('Game Records'!$W:$W,$H216))),NOT(_xlfn.ISFORMULA(INDEX('Game Records'!$X:$X,$H216))),NOT(_xlfn.ISFORMULA(INDEX('Game Records'!$Y:$Y,$H216))),NOT(_xlfn.ISFORMULA(INDEX('Game Records'!$Z:$Z,$H216)))),"","")&amp;IF(INDEX('Game Records'!$B:$B,$H216)="","Start Date; ","")&amp;IF(INDEX('Game Records'!$C:$C,$H216)="","End Date; ","")&amp;IF(AND(INDEX('Game Records'!$U:$U,$H216)&lt;&gt;"Subscription",INDEX('Game Records'!$U:$U,$H216)&lt;&gt;"Free Game",INDEX('Game Records'!$U:$U,$H216)&lt;&gt;"Disqualified — Free Game",OR(INDEX('Game Records'!$D:$D,$H216)="",LOWER(INDEX('Game Records'!$D:$D,$H216)&amp;"")="n/a")),"Entry Mode; ","")&amp;IF(AND(INDEX('Game Records'!$U:$U,$H216)&lt;&gt;"Subscription",INDEX('Game Records'!$U:$U,$H216)&lt;&gt;"Free Game",INDEX('Game Records'!$U:$U,$H216)&lt;&gt;"Disqualified — Free Game",OR(INDEX('Game Records'!$E:$E,$H216)="",LOWER(INDEX('Game Records'!$E:$E,$H216)&amp;"")="n/a")),"Game Type; ","")&amp;IF(INDEX('Game Records'!$F:$F,$H216)="","Payment Type; ","")&amp;IF(AND(INDEX('Game Records'!$U:$U,$H216)&lt;&gt;"Subscription",INDEX('Game Records'!$U:$U,$H216)&lt;&gt;"Free Game",INDEX('Game Records'!$U:$U,$H216)&lt;&gt;"Disqualified — Free Game",INDEX('Game Records'!$G:$G,$H216)=""),"Gross Pot; ","")&amp;IF(AND(INDEX('Game Records'!$U:$U,$H216)&lt;&gt;"Free Game",INDEX('Game Records'!$U:$U,$H216)&lt;&gt;"Disqualified — Free Game",INDEX('Game Records'!$H:$H,$H216)=""),"Entry Fee; ","")&amp;IF(AND(INDEX('Game Records'!$U:$U,$H216)&lt;&gt;"Subscription",INDEX('Game Records'!$U:$U,$H216)&lt;&gt;"Free Game",INDEX('Game Records'!$U:$U,$H216)&lt;&gt;"Disqualified — Free Game",INDEX('Game Records'!$I:$I,$H216)=""),"Eligible Players; ","")&amp;IF(AND(INDEX('Game Records'!$U:$U,$H216)&lt;&gt;"Subscription",INDEX('Game Records'!$U:$U,$H216)&lt;&gt;"Free Game",INDEX('Game Records'!$U:$U,$H216)&lt;&gt;"Disqualified — Free Game",INDEX('Game Records'!$J:$J,$H216)=""),"Total Players; ","")&amp;IF(AND(LOWER(INDEX('Game Records'!$D:$D,$H216)&amp;"")="finalized",LOWER(INDEX('Game Records'!$L:$L,$H216)&amp;"")&lt;&gt;"yes",INDEX('Game Records'!$U:$U,$H216)&lt;&gt;"Subscription",INDEX('Game Records'!$U:$U,$H216)&lt;&gt;"Free Game",INDEX('Game Records'!$U:$U,$H216)&lt;&gt;"Disqualified — Free Game",INDEX('Game Records'!$K:$K,$H216)=""),"Final Payout; ","")&amp;IF(AND(LOWER(INDEX('Game Records'!$D:$D,$H216)&amp;"")="finalized",INDEX('Game Records'!$U:$U,$H216)&lt;&gt;"Subscription",INDEX('Game Records'!$U:$U,$H216)&lt;&gt;"Free Game",INDEX('Game Records'!$U:$U,$H216)&lt;&gt;"Disqualified — Free Game",OR(INDEX('Game Records'!$L:$L,$H216)="",LOWER(INDEX('Game Records'!$L:$L,$H216)&amp;"")="n/a")),"Disqualified Status; ",""))</f>
        <v/>
      </c>
      <c r="G216" s="25" t="str">
        <f t="array" ref="G216">IF($H216="","",IFERROR(INDEX('Game Records'!$M:$M,$H216),""))</f>
        <v/>
      </c>
      <c r="H216" s="8"/>
    </row>
    <row r="217" ht="24.0" customHeight="1">
      <c r="A217" s="21" t="str">
        <f t="shared" si="1"/>
        <v/>
      </c>
      <c r="B217" s="21" t="str">
        <f t="shared" si="2"/>
        <v/>
      </c>
      <c r="C217" s="25" t="str">
        <f t="array" ref="C217">IF($H217="","",IFERROR(INDEX('Game Records'!$A:$A,$H217),""))</f>
        <v/>
      </c>
      <c r="D217" s="25" t="str">
        <f t="array" ref="D217">IF($H217="","",IFERROR(INDEX('Game Records'!$U:$U,$H217),""))</f>
        <v/>
      </c>
      <c r="E217" s="25" t="str">
        <f t="shared" si="3"/>
        <v/>
      </c>
      <c r="F217" s="25" t="str">
        <f t="array" ref="F217">IF($H217="","",IF(OR(NOT(_xlfn.ISFORMULA(INDEX('Game Records'!$N:$N,$H217))),NOT(_xlfn.ISFORMULA(INDEX('Game Records'!$O:$O,$H217))),NOT(_xlfn.ISFORMULA(INDEX('Game Records'!$P:$P,$H217))),NOT(_xlfn.ISFORMULA(INDEX('Game Records'!$Q:$Q,$H217))),NOT(_xlfn.ISFORMULA(INDEX('Game Records'!$R:$R,$H217))),NOT(_xlfn.ISFORMULA(INDEX('Game Records'!$S:$S,$H217))),NOT(_xlfn.ISFORMULA(INDEX('Game Records'!$T:$T,$H217))),NOT(_xlfn.ISFORMULA(INDEX('Game Records'!$U:$U,$H217))),NOT(_xlfn.ISFORMULA(INDEX('Game Records'!$V:$V,$H217))),NOT(_xlfn.ISFORMULA(INDEX('Game Records'!$W:$W,$H217))),NOT(_xlfn.ISFORMULA(INDEX('Game Records'!$X:$X,$H217))),NOT(_xlfn.ISFORMULA(INDEX('Game Records'!$Y:$Y,$H217))),NOT(_xlfn.ISFORMULA(INDEX('Game Records'!$Z:$Z,$H217)))),"","")&amp;IF(INDEX('Game Records'!$B:$B,$H217)="","Start Date; ","")&amp;IF(INDEX('Game Records'!$C:$C,$H217)="","End Date; ","")&amp;IF(AND(INDEX('Game Records'!$U:$U,$H217)&lt;&gt;"Subscription",INDEX('Game Records'!$U:$U,$H217)&lt;&gt;"Free Game",INDEX('Game Records'!$U:$U,$H217)&lt;&gt;"Disqualified — Free Game",OR(INDEX('Game Records'!$D:$D,$H217)="",LOWER(INDEX('Game Records'!$D:$D,$H217)&amp;"")="n/a")),"Entry Mode; ","")&amp;IF(AND(INDEX('Game Records'!$U:$U,$H217)&lt;&gt;"Subscription",INDEX('Game Records'!$U:$U,$H217)&lt;&gt;"Free Game",INDEX('Game Records'!$U:$U,$H217)&lt;&gt;"Disqualified — Free Game",OR(INDEX('Game Records'!$E:$E,$H217)="",LOWER(INDEX('Game Records'!$E:$E,$H217)&amp;"")="n/a")),"Game Type; ","")&amp;IF(INDEX('Game Records'!$F:$F,$H217)="","Payment Type; ","")&amp;IF(AND(INDEX('Game Records'!$U:$U,$H217)&lt;&gt;"Subscription",INDEX('Game Records'!$U:$U,$H217)&lt;&gt;"Free Game",INDEX('Game Records'!$U:$U,$H217)&lt;&gt;"Disqualified — Free Game",INDEX('Game Records'!$G:$G,$H217)=""),"Gross Pot; ","")&amp;IF(AND(INDEX('Game Records'!$U:$U,$H217)&lt;&gt;"Free Game",INDEX('Game Records'!$U:$U,$H217)&lt;&gt;"Disqualified — Free Game",INDEX('Game Records'!$H:$H,$H217)=""),"Entry Fee; ","")&amp;IF(AND(INDEX('Game Records'!$U:$U,$H217)&lt;&gt;"Subscription",INDEX('Game Records'!$U:$U,$H217)&lt;&gt;"Free Game",INDEX('Game Records'!$U:$U,$H217)&lt;&gt;"Disqualified — Free Game",INDEX('Game Records'!$I:$I,$H217)=""),"Eligible Players; ","")&amp;IF(AND(INDEX('Game Records'!$U:$U,$H217)&lt;&gt;"Subscription",INDEX('Game Records'!$U:$U,$H217)&lt;&gt;"Free Game",INDEX('Game Records'!$U:$U,$H217)&lt;&gt;"Disqualified — Free Game",INDEX('Game Records'!$J:$J,$H217)=""),"Total Players; ","")&amp;IF(AND(LOWER(INDEX('Game Records'!$D:$D,$H217)&amp;"")="finalized",LOWER(INDEX('Game Records'!$L:$L,$H217)&amp;"")&lt;&gt;"yes",INDEX('Game Records'!$U:$U,$H217)&lt;&gt;"Subscription",INDEX('Game Records'!$U:$U,$H217)&lt;&gt;"Free Game",INDEX('Game Records'!$U:$U,$H217)&lt;&gt;"Disqualified — Free Game",INDEX('Game Records'!$K:$K,$H217)=""),"Final Payout; ","")&amp;IF(AND(LOWER(INDEX('Game Records'!$D:$D,$H217)&amp;"")="finalized",INDEX('Game Records'!$U:$U,$H217)&lt;&gt;"Subscription",INDEX('Game Records'!$U:$U,$H217)&lt;&gt;"Free Game",INDEX('Game Records'!$U:$U,$H217)&lt;&gt;"Disqualified — Free Game",OR(INDEX('Game Records'!$L:$L,$H217)="",LOWER(INDEX('Game Records'!$L:$L,$H217)&amp;"")="n/a")),"Disqualified Status; ",""))</f>
        <v/>
      </c>
      <c r="G217" s="25" t="str">
        <f t="array" ref="G217">IF($H217="","",IFERROR(INDEX('Game Records'!$M:$M,$H217),""))</f>
        <v/>
      </c>
      <c r="H217" s="8"/>
    </row>
    <row r="218" ht="24.0" customHeight="1">
      <c r="A218" s="21" t="str">
        <f t="shared" si="1"/>
        <v/>
      </c>
      <c r="B218" s="21" t="str">
        <f t="shared" si="2"/>
        <v/>
      </c>
      <c r="C218" s="25" t="str">
        <f t="array" ref="C218">IF($H218="","",IFERROR(INDEX('Game Records'!$A:$A,$H218),""))</f>
        <v/>
      </c>
      <c r="D218" s="25" t="str">
        <f t="array" ref="D218">IF($H218="","",IFERROR(INDEX('Game Records'!$U:$U,$H218),""))</f>
        <v/>
      </c>
      <c r="E218" s="25" t="str">
        <f t="shared" si="3"/>
        <v/>
      </c>
      <c r="F218" s="25" t="str">
        <f t="array" ref="F218">IF($H218="","",IF(OR(NOT(_xlfn.ISFORMULA(INDEX('Game Records'!$N:$N,$H218))),NOT(_xlfn.ISFORMULA(INDEX('Game Records'!$O:$O,$H218))),NOT(_xlfn.ISFORMULA(INDEX('Game Records'!$P:$P,$H218))),NOT(_xlfn.ISFORMULA(INDEX('Game Records'!$Q:$Q,$H218))),NOT(_xlfn.ISFORMULA(INDEX('Game Records'!$R:$R,$H218))),NOT(_xlfn.ISFORMULA(INDEX('Game Records'!$S:$S,$H218))),NOT(_xlfn.ISFORMULA(INDEX('Game Records'!$T:$T,$H218))),NOT(_xlfn.ISFORMULA(INDEX('Game Records'!$U:$U,$H218))),NOT(_xlfn.ISFORMULA(INDEX('Game Records'!$V:$V,$H218))),NOT(_xlfn.ISFORMULA(INDEX('Game Records'!$W:$W,$H218))),NOT(_xlfn.ISFORMULA(INDEX('Game Records'!$X:$X,$H218))),NOT(_xlfn.ISFORMULA(INDEX('Game Records'!$Y:$Y,$H218))),NOT(_xlfn.ISFORMULA(INDEX('Game Records'!$Z:$Z,$H218)))),"","")&amp;IF(INDEX('Game Records'!$B:$B,$H218)="","Start Date; ","")&amp;IF(INDEX('Game Records'!$C:$C,$H218)="","End Date; ","")&amp;IF(AND(INDEX('Game Records'!$U:$U,$H218)&lt;&gt;"Subscription",INDEX('Game Records'!$U:$U,$H218)&lt;&gt;"Free Game",INDEX('Game Records'!$U:$U,$H218)&lt;&gt;"Disqualified — Free Game",OR(INDEX('Game Records'!$D:$D,$H218)="",LOWER(INDEX('Game Records'!$D:$D,$H218)&amp;"")="n/a")),"Entry Mode; ","")&amp;IF(AND(INDEX('Game Records'!$U:$U,$H218)&lt;&gt;"Subscription",INDEX('Game Records'!$U:$U,$H218)&lt;&gt;"Free Game",INDEX('Game Records'!$U:$U,$H218)&lt;&gt;"Disqualified — Free Game",OR(INDEX('Game Records'!$E:$E,$H218)="",LOWER(INDEX('Game Records'!$E:$E,$H218)&amp;"")="n/a")),"Game Type; ","")&amp;IF(INDEX('Game Records'!$F:$F,$H218)="","Payment Type; ","")&amp;IF(AND(INDEX('Game Records'!$U:$U,$H218)&lt;&gt;"Subscription",INDEX('Game Records'!$U:$U,$H218)&lt;&gt;"Free Game",INDEX('Game Records'!$U:$U,$H218)&lt;&gt;"Disqualified — Free Game",INDEX('Game Records'!$G:$G,$H218)=""),"Gross Pot; ","")&amp;IF(AND(INDEX('Game Records'!$U:$U,$H218)&lt;&gt;"Free Game",INDEX('Game Records'!$U:$U,$H218)&lt;&gt;"Disqualified — Free Game",INDEX('Game Records'!$H:$H,$H218)=""),"Entry Fee; ","")&amp;IF(AND(INDEX('Game Records'!$U:$U,$H218)&lt;&gt;"Subscription",INDEX('Game Records'!$U:$U,$H218)&lt;&gt;"Free Game",INDEX('Game Records'!$U:$U,$H218)&lt;&gt;"Disqualified — Free Game",INDEX('Game Records'!$I:$I,$H218)=""),"Eligible Players; ","")&amp;IF(AND(INDEX('Game Records'!$U:$U,$H218)&lt;&gt;"Subscription",INDEX('Game Records'!$U:$U,$H218)&lt;&gt;"Free Game",INDEX('Game Records'!$U:$U,$H218)&lt;&gt;"Disqualified — Free Game",INDEX('Game Records'!$J:$J,$H218)=""),"Total Players; ","")&amp;IF(AND(LOWER(INDEX('Game Records'!$D:$D,$H218)&amp;"")="finalized",LOWER(INDEX('Game Records'!$L:$L,$H218)&amp;"")&lt;&gt;"yes",INDEX('Game Records'!$U:$U,$H218)&lt;&gt;"Subscription",INDEX('Game Records'!$U:$U,$H218)&lt;&gt;"Free Game",INDEX('Game Records'!$U:$U,$H218)&lt;&gt;"Disqualified — Free Game",INDEX('Game Records'!$K:$K,$H218)=""),"Final Payout; ","")&amp;IF(AND(LOWER(INDEX('Game Records'!$D:$D,$H218)&amp;"")="finalized",INDEX('Game Records'!$U:$U,$H218)&lt;&gt;"Subscription",INDEX('Game Records'!$U:$U,$H218)&lt;&gt;"Free Game",INDEX('Game Records'!$U:$U,$H218)&lt;&gt;"Disqualified — Free Game",OR(INDEX('Game Records'!$L:$L,$H218)="",LOWER(INDEX('Game Records'!$L:$L,$H218)&amp;"")="n/a")),"Disqualified Status; ",""))</f>
        <v/>
      </c>
      <c r="G218" s="25" t="str">
        <f t="array" ref="G218">IF($H218="","",IFERROR(INDEX('Game Records'!$M:$M,$H218),""))</f>
        <v/>
      </c>
      <c r="H218" s="8"/>
    </row>
    <row r="219" ht="24.0" customHeight="1">
      <c r="A219" s="21" t="str">
        <f t="shared" si="1"/>
        <v/>
      </c>
      <c r="B219" s="21" t="str">
        <f t="shared" si="2"/>
        <v/>
      </c>
      <c r="C219" s="25" t="str">
        <f t="array" ref="C219">IF($H219="","",IFERROR(INDEX('Game Records'!$A:$A,$H219),""))</f>
        <v/>
      </c>
      <c r="D219" s="25" t="str">
        <f t="array" ref="D219">IF($H219="","",IFERROR(INDEX('Game Records'!$U:$U,$H219),""))</f>
        <v/>
      </c>
      <c r="E219" s="25" t="str">
        <f t="shared" si="3"/>
        <v/>
      </c>
      <c r="F219" s="25" t="str">
        <f t="array" ref="F219">IF($H219="","",IF(OR(NOT(_xlfn.ISFORMULA(INDEX('Game Records'!$N:$N,$H219))),NOT(_xlfn.ISFORMULA(INDEX('Game Records'!$O:$O,$H219))),NOT(_xlfn.ISFORMULA(INDEX('Game Records'!$P:$P,$H219))),NOT(_xlfn.ISFORMULA(INDEX('Game Records'!$Q:$Q,$H219))),NOT(_xlfn.ISFORMULA(INDEX('Game Records'!$R:$R,$H219))),NOT(_xlfn.ISFORMULA(INDEX('Game Records'!$S:$S,$H219))),NOT(_xlfn.ISFORMULA(INDEX('Game Records'!$T:$T,$H219))),NOT(_xlfn.ISFORMULA(INDEX('Game Records'!$U:$U,$H219))),NOT(_xlfn.ISFORMULA(INDEX('Game Records'!$V:$V,$H219))),NOT(_xlfn.ISFORMULA(INDEX('Game Records'!$W:$W,$H219))),NOT(_xlfn.ISFORMULA(INDEX('Game Records'!$X:$X,$H219))),NOT(_xlfn.ISFORMULA(INDEX('Game Records'!$Y:$Y,$H219))),NOT(_xlfn.ISFORMULA(INDEX('Game Records'!$Z:$Z,$H219)))),"","")&amp;IF(INDEX('Game Records'!$B:$B,$H219)="","Start Date; ","")&amp;IF(INDEX('Game Records'!$C:$C,$H219)="","End Date; ","")&amp;IF(AND(INDEX('Game Records'!$U:$U,$H219)&lt;&gt;"Subscription",INDEX('Game Records'!$U:$U,$H219)&lt;&gt;"Free Game",INDEX('Game Records'!$U:$U,$H219)&lt;&gt;"Disqualified — Free Game",OR(INDEX('Game Records'!$D:$D,$H219)="",LOWER(INDEX('Game Records'!$D:$D,$H219)&amp;"")="n/a")),"Entry Mode; ","")&amp;IF(AND(INDEX('Game Records'!$U:$U,$H219)&lt;&gt;"Subscription",INDEX('Game Records'!$U:$U,$H219)&lt;&gt;"Free Game",INDEX('Game Records'!$U:$U,$H219)&lt;&gt;"Disqualified — Free Game",OR(INDEX('Game Records'!$E:$E,$H219)="",LOWER(INDEX('Game Records'!$E:$E,$H219)&amp;"")="n/a")),"Game Type; ","")&amp;IF(INDEX('Game Records'!$F:$F,$H219)="","Payment Type; ","")&amp;IF(AND(INDEX('Game Records'!$U:$U,$H219)&lt;&gt;"Subscription",INDEX('Game Records'!$U:$U,$H219)&lt;&gt;"Free Game",INDEX('Game Records'!$U:$U,$H219)&lt;&gt;"Disqualified — Free Game",INDEX('Game Records'!$G:$G,$H219)=""),"Gross Pot; ","")&amp;IF(AND(INDEX('Game Records'!$U:$U,$H219)&lt;&gt;"Free Game",INDEX('Game Records'!$U:$U,$H219)&lt;&gt;"Disqualified — Free Game",INDEX('Game Records'!$H:$H,$H219)=""),"Entry Fee; ","")&amp;IF(AND(INDEX('Game Records'!$U:$U,$H219)&lt;&gt;"Subscription",INDEX('Game Records'!$U:$U,$H219)&lt;&gt;"Free Game",INDEX('Game Records'!$U:$U,$H219)&lt;&gt;"Disqualified — Free Game",INDEX('Game Records'!$I:$I,$H219)=""),"Eligible Players; ","")&amp;IF(AND(INDEX('Game Records'!$U:$U,$H219)&lt;&gt;"Subscription",INDEX('Game Records'!$U:$U,$H219)&lt;&gt;"Free Game",INDEX('Game Records'!$U:$U,$H219)&lt;&gt;"Disqualified — Free Game",INDEX('Game Records'!$J:$J,$H219)=""),"Total Players; ","")&amp;IF(AND(LOWER(INDEX('Game Records'!$D:$D,$H219)&amp;"")="finalized",LOWER(INDEX('Game Records'!$L:$L,$H219)&amp;"")&lt;&gt;"yes",INDEX('Game Records'!$U:$U,$H219)&lt;&gt;"Subscription",INDEX('Game Records'!$U:$U,$H219)&lt;&gt;"Free Game",INDEX('Game Records'!$U:$U,$H219)&lt;&gt;"Disqualified — Free Game",INDEX('Game Records'!$K:$K,$H219)=""),"Final Payout; ","")&amp;IF(AND(LOWER(INDEX('Game Records'!$D:$D,$H219)&amp;"")="finalized",INDEX('Game Records'!$U:$U,$H219)&lt;&gt;"Subscription",INDEX('Game Records'!$U:$U,$H219)&lt;&gt;"Free Game",INDEX('Game Records'!$U:$U,$H219)&lt;&gt;"Disqualified — Free Game",OR(INDEX('Game Records'!$L:$L,$H219)="",LOWER(INDEX('Game Records'!$L:$L,$H219)&amp;"")="n/a")),"Disqualified Status; ",""))</f>
        <v/>
      </c>
      <c r="G219" s="25" t="str">
        <f t="array" ref="G219">IF($H219="","",IFERROR(INDEX('Game Records'!$M:$M,$H219),""))</f>
        <v/>
      </c>
      <c r="H219" s="8"/>
    </row>
    <row r="220" ht="24.0" customHeight="1">
      <c r="A220" s="21" t="str">
        <f t="shared" si="1"/>
        <v/>
      </c>
      <c r="B220" s="21" t="str">
        <f t="shared" si="2"/>
        <v/>
      </c>
      <c r="C220" s="25" t="str">
        <f t="array" ref="C220">IF($H220="","",IFERROR(INDEX('Game Records'!$A:$A,$H220),""))</f>
        <v/>
      </c>
      <c r="D220" s="25" t="str">
        <f t="array" ref="D220">IF($H220="","",IFERROR(INDEX('Game Records'!$U:$U,$H220),""))</f>
        <v/>
      </c>
      <c r="E220" s="25" t="str">
        <f t="shared" si="3"/>
        <v/>
      </c>
      <c r="F220" s="25" t="str">
        <f t="array" ref="F220">IF($H220="","",IF(OR(NOT(_xlfn.ISFORMULA(INDEX('Game Records'!$N:$N,$H220))),NOT(_xlfn.ISFORMULA(INDEX('Game Records'!$O:$O,$H220))),NOT(_xlfn.ISFORMULA(INDEX('Game Records'!$P:$P,$H220))),NOT(_xlfn.ISFORMULA(INDEX('Game Records'!$Q:$Q,$H220))),NOT(_xlfn.ISFORMULA(INDEX('Game Records'!$R:$R,$H220))),NOT(_xlfn.ISFORMULA(INDEX('Game Records'!$S:$S,$H220))),NOT(_xlfn.ISFORMULA(INDEX('Game Records'!$T:$T,$H220))),NOT(_xlfn.ISFORMULA(INDEX('Game Records'!$U:$U,$H220))),NOT(_xlfn.ISFORMULA(INDEX('Game Records'!$V:$V,$H220))),NOT(_xlfn.ISFORMULA(INDEX('Game Records'!$W:$W,$H220))),NOT(_xlfn.ISFORMULA(INDEX('Game Records'!$X:$X,$H220))),NOT(_xlfn.ISFORMULA(INDEX('Game Records'!$Y:$Y,$H220))),NOT(_xlfn.ISFORMULA(INDEX('Game Records'!$Z:$Z,$H220)))),"","")&amp;IF(INDEX('Game Records'!$B:$B,$H220)="","Start Date; ","")&amp;IF(INDEX('Game Records'!$C:$C,$H220)="","End Date; ","")&amp;IF(AND(INDEX('Game Records'!$U:$U,$H220)&lt;&gt;"Subscription",INDEX('Game Records'!$U:$U,$H220)&lt;&gt;"Free Game",INDEX('Game Records'!$U:$U,$H220)&lt;&gt;"Disqualified — Free Game",OR(INDEX('Game Records'!$D:$D,$H220)="",LOWER(INDEX('Game Records'!$D:$D,$H220)&amp;"")="n/a")),"Entry Mode; ","")&amp;IF(AND(INDEX('Game Records'!$U:$U,$H220)&lt;&gt;"Subscription",INDEX('Game Records'!$U:$U,$H220)&lt;&gt;"Free Game",INDEX('Game Records'!$U:$U,$H220)&lt;&gt;"Disqualified — Free Game",OR(INDEX('Game Records'!$E:$E,$H220)="",LOWER(INDEX('Game Records'!$E:$E,$H220)&amp;"")="n/a")),"Game Type; ","")&amp;IF(INDEX('Game Records'!$F:$F,$H220)="","Payment Type; ","")&amp;IF(AND(INDEX('Game Records'!$U:$U,$H220)&lt;&gt;"Subscription",INDEX('Game Records'!$U:$U,$H220)&lt;&gt;"Free Game",INDEX('Game Records'!$U:$U,$H220)&lt;&gt;"Disqualified — Free Game",INDEX('Game Records'!$G:$G,$H220)=""),"Gross Pot; ","")&amp;IF(AND(INDEX('Game Records'!$U:$U,$H220)&lt;&gt;"Free Game",INDEX('Game Records'!$U:$U,$H220)&lt;&gt;"Disqualified — Free Game",INDEX('Game Records'!$H:$H,$H220)=""),"Entry Fee; ","")&amp;IF(AND(INDEX('Game Records'!$U:$U,$H220)&lt;&gt;"Subscription",INDEX('Game Records'!$U:$U,$H220)&lt;&gt;"Free Game",INDEX('Game Records'!$U:$U,$H220)&lt;&gt;"Disqualified — Free Game",INDEX('Game Records'!$I:$I,$H220)=""),"Eligible Players; ","")&amp;IF(AND(INDEX('Game Records'!$U:$U,$H220)&lt;&gt;"Subscription",INDEX('Game Records'!$U:$U,$H220)&lt;&gt;"Free Game",INDEX('Game Records'!$U:$U,$H220)&lt;&gt;"Disqualified — Free Game",INDEX('Game Records'!$J:$J,$H220)=""),"Total Players; ","")&amp;IF(AND(LOWER(INDEX('Game Records'!$D:$D,$H220)&amp;"")="finalized",LOWER(INDEX('Game Records'!$L:$L,$H220)&amp;"")&lt;&gt;"yes",INDEX('Game Records'!$U:$U,$H220)&lt;&gt;"Subscription",INDEX('Game Records'!$U:$U,$H220)&lt;&gt;"Free Game",INDEX('Game Records'!$U:$U,$H220)&lt;&gt;"Disqualified — Free Game",INDEX('Game Records'!$K:$K,$H220)=""),"Final Payout; ","")&amp;IF(AND(LOWER(INDEX('Game Records'!$D:$D,$H220)&amp;"")="finalized",INDEX('Game Records'!$U:$U,$H220)&lt;&gt;"Subscription",INDEX('Game Records'!$U:$U,$H220)&lt;&gt;"Free Game",INDEX('Game Records'!$U:$U,$H220)&lt;&gt;"Disqualified — Free Game",OR(INDEX('Game Records'!$L:$L,$H220)="",LOWER(INDEX('Game Records'!$L:$L,$H220)&amp;"")="n/a")),"Disqualified Status; ",""))</f>
        <v/>
      </c>
      <c r="G220" s="25" t="str">
        <f t="array" ref="G220">IF($H220="","",IFERROR(INDEX('Game Records'!$M:$M,$H220),""))</f>
        <v/>
      </c>
      <c r="H220" s="8"/>
    </row>
    <row r="221" ht="24.0" customHeight="1">
      <c r="A221" s="21" t="str">
        <f t="shared" si="1"/>
        <v/>
      </c>
      <c r="B221" s="21" t="str">
        <f t="shared" si="2"/>
        <v/>
      </c>
      <c r="C221" s="25" t="str">
        <f t="array" ref="C221">IF($H221="","",IFERROR(INDEX('Game Records'!$A:$A,$H221),""))</f>
        <v/>
      </c>
      <c r="D221" s="25" t="str">
        <f t="array" ref="D221">IF($H221="","",IFERROR(INDEX('Game Records'!$U:$U,$H221),""))</f>
        <v/>
      </c>
      <c r="E221" s="25" t="str">
        <f t="shared" si="3"/>
        <v/>
      </c>
      <c r="F221" s="25" t="str">
        <f t="array" ref="F221">IF($H221="","",IF(OR(NOT(_xlfn.ISFORMULA(INDEX('Game Records'!$N:$N,$H221))),NOT(_xlfn.ISFORMULA(INDEX('Game Records'!$O:$O,$H221))),NOT(_xlfn.ISFORMULA(INDEX('Game Records'!$P:$P,$H221))),NOT(_xlfn.ISFORMULA(INDEX('Game Records'!$Q:$Q,$H221))),NOT(_xlfn.ISFORMULA(INDEX('Game Records'!$R:$R,$H221))),NOT(_xlfn.ISFORMULA(INDEX('Game Records'!$S:$S,$H221))),NOT(_xlfn.ISFORMULA(INDEX('Game Records'!$T:$T,$H221))),NOT(_xlfn.ISFORMULA(INDEX('Game Records'!$U:$U,$H221))),NOT(_xlfn.ISFORMULA(INDEX('Game Records'!$V:$V,$H221))),NOT(_xlfn.ISFORMULA(INDEX('Game Records'!$W:$W,$H221))),NOT(_xlfn.ISFORMULA(INDEX('Game Records'!$X:$X,$H221))),NOT(_xlfn.ISFORMULA(INDEX('Game Records'!$Y:$Y,$H221))),NOT(_xlfn.ISFORMULA(INDEX('Game Records'!$Z:$Z,$H221)))),"","")&amp;IF(INDEX('Game Records'!$B:$B,$H221)="","Start Date; ","")&amp;IF(INDEX('Game Records'!$C:$C,$H221)="","End Date; ","")&amp;IF(AND(INDEX('Game Records'!$U:$U,$H221)&lt;&gt;"Subscription",INDEX('Game Records'!$U:$U,$H221)&lt;&gt;"Free Game",INDEX('Game Records'!$U:$U,$H221)&lt;&gt;"Disqualified — Free Game",OR(INDEX('Game Records'!$D:$D,$H221)="",LOWER(INDEX('Game Records'!$D:$D,$H221)&amp;"")="n/a")),"Entry Mode; ","")&amp;IF(AND(INDEX('Game Records'!$U:$U,$H221)&lt;&gt;"Subscription",INDEX('Game Records'!$U:$U,$H221)&lt;&gt;"Free Game",INDEX('Game Records'!$U:$U,$H221)&lt;&gt;"Disqualified — Free Game",OR(INDEX('Game Records'!$E:$E,$H221)="",LOWER(INDEX('Game Records'!$E:$E,$H221)&amp;"")="n/a")),"Game Type; ","")&amp;IF(INDEX('Game Records'!$F:$F,$H221)="","Payment Type; ","")&amp;IF(AND(INDEX('Game Records'!$U:$U,$H221)&lt;&gt;"Subscription",INDEX('Game Records'!$U:$U,$H221)&lt;&gt;"Free Game",INDEX('Game Records'!$U:$U,$H221)&lt;&gt;"Disqualified — Free Game",INDEX('Game Records'!$G:$G,$H221)=""),"Gross Pot; ","")&amp;IF(AND(INDEX('Game Records'!$U:$U,$H221)&lt;&gt;"Free Game",INDEX('Game Records'!$U:$U,$H221)&lt;&gt;"Disqualified — Free Game",INDEX('Game Records'!$H:$H,$H221)=""),"Entry Fee; ","")&amp;IF(AND(INDEX('Game Records'!$U:$U,$H221)&lt;&gt;"Subscription",INDEX('Game Records'!$U:$U,$H221)&lt;&gt;"Free Game",INDEX('Game Records'!$U:$U,$H221)&lt;&gt;"Disqualified — Free Game",INDEX('Game Records'!$I:$I,$H221)=""),"Eligible Players; ","")&amp;IF(AND(INDEX('Game Records'!$U:$U,$H221)&lt;&gt;"Subscription",INDEX('Game Records'!$U:$U,$H221)&lt;&gt;"Free Game",INDEX('Game Records'!$U:$U,$H221)&lt;&gt;"Disqualified — Free Game",INDEX('Game Records'!$J:$J,$H221)=""),"Total Players; ","")&amp;IF(AND(LOWER(INDEX('Game Records'!$D:$D,$H221)&amp;"")="finalized",LOWER(INDEX('Game Records'!$L:$L,$H221)&amp;"")&lt;&gt;"yes",INDEX('Game Records'!$U:$U,$H221)&lt;&gt;"Subscription",INDEX('Game Records'!$U:$U,$H221)&lt;&gt;"Free Game",INDEX('Game Records'!$U:$U,$H221)&lt;&gt;"Disqualified — Free Game",INDEX('Game Records'!$K:$K,$H221)=""),"Final Payout; ","")&amp;IF(AND(LOWER(INDEX('Game Records'!$D:$D,$H221)&amp;"")="finalized",INDEX('Game Records'!$U:$U,$H221)&lt;&gt;"Subscription",INDEX('Game Records'!$U:$U,$H221)&lt;&gt;"Free Game",INDEX('Game Records'!$U:$U,$H221)&lt;&gt;"Disqualified — Free Game",OR(INDEX('Game Records'!$L:$L,$H221)="",LOWER(INDEX('Game Records'!$L:$L,$H221)&amp;"")="n/a")),"Disqualified Status; ",""))</f>
        <v/>
      </c>
      <c r="G221" s="25" t="str">
        <f t="array" ref="G221">IF($H221="","",IFERROR(INDEX('Game Records'!$M:$M,$H221),""))</f>
        <v/>
      </c>
      <c r="H221" s="8"/>
    </row>
    <row r="222" ht="24.0" customHeight="1">
      <c r="A222" s="21" t="str">
        <f t="shared" si="1"/>
        <v/>
      </c>
      <c r="B222" s="21" t="str">
        <f t="shared" si="2"/>
        <v/>
      </c>
      <c r="C222" s="25" t="str">
        <f t="array" ref="C222">IF($H222="","",IFERROR(INDEX('Game Records'!$A:$A,$H222),""))</f>
        <v/>
      </c>
      <c r="D222" s="25" t="str">
        <f t="array" ref="D222">IF($H222="","",IFERROR(INDEX('Game Records'!$U:$U,$H222),""))</f>
        <v/>
      </c>
      <c r="E222" s="25" t="str">
        <f t="shared" si="3"/>
        <v/>
      </c>
      <c r="F222" s="25" t="str">
        <f t="array" ref="F222">IF($H222="","",IF(OR(NOT(_xlfn.ISFORMULA(INDEX('Game Records'!$N:$N,$H222))),NOT(_xlfn.ISFORMULA(INDEX('Game Records'!$O:$O,$H222))),NOT(_xlfn.ISFORMULA(INDEX('Game Records'!$P:$P,$H222))),NOT(_xlfn.ISFORMULA(INDEX('Game Records'!$Q:$Q,$H222))),NOT(_xlfn.ISFORMULA(INDEX('Game Records'!$R:$R,$H222))),NOT(_xlfn.ISFORMULA(INDEX('Game Records'!$S:$S,$H222))),NOT(_xlfn.ISFORMULA(INDEX('Game Records'!$T:$T,$H222))),NOT(_xlfn.ISFORMULA(INDEX('Game Records'!$U:$U,$H222))),NOT(_xlfn.ISFORMULA(INDEX('Game Records'!$V:$V,$H222))),NOT(_xlfn.ISFORMULA(INDEX('Game Records'!$W:$W,$H222))),NOT(_xlfn.ISFORMULA(INDEX('Game Records'!$X:$X,$H222))),NOT(_xlfn.ISFORMULA(INDEX('Game Records'!$Y:$Y,$H222))),NOT(_xlfn.ISFORMULA(INDEX('Game Records'!$Z:$Z,$H222)))),"","")&amp;IF(INDEX('Game Records'!$B:$B,$H222)="","Start Date; ","")&amp;IF(INDEX('Game Records'!$C:$C,$H222)="","End Date; ","")&amp;IF(AND(INDEX('Game Records'!$U:$U,$H222)&lt;&gt;"Subscription",INDEX('Game Records'!$U:$U,$H222)&lt;&gt;"Free Game",INDEX('Game Records'!$U:$U,$H222)&lt;&gt;"Disqualified — Free Game",OR(INDEX('Game Records'!$D:$D,$H222)="",LOWER(INDEX('Game Records'!$D:$D,$H222)&amp;"")="n/a")),"Entry Mode; ","")&amp;IF(AND(INDEX('Game Records'!$U:$U,$H222)&lt;&gt;"Subscription",INDEX('Game Records'!$U:$U,$H222)&lt;&gt;"Free Game",INDEX('Game Records'!$U:$U,$H222)&lt;&gt;"Disqualified — Free Game",OR(INDEX('Game Records'!$E:$E,$H222)="",LOWER(INDEX('Game Records'!$E:$E,$H222)&amp;"")="n/a")),"Game Type; ","")&amp;IF(INDEX('Game Records'!$F:$F,$H222)="","Payment Type; ","")&amp;IF(AND(INDEX('Game Records'!$U:$U,$H222)&lt;&gt;"Subscription",INDEX('Game Records'!$U:$U,$H222)&lt;&gt;"Free Game",INDEX('Game Records'!$U:$U,$H222)&lt;&gt;"Disqualified — Free Game",INDEX('Game Records'!$G:$G,$H222)=""),"Gross Pot; ","")&amp;IF(AND(INDEX('Game Records'!$U:$U,$H222)&lt;&gt;"Free Game",INDEX('Game Records'!$U:$U,$H222)&lt;&gt;"Disqualified — Free Game",INDEX('Game Records'!$H:$H,$H222)=""),"Entry Fee; ","")&amp;IF(AND(INDEX('Game Records'!$U:$U,$H222)&lt;&gt;"Subscription",INDEX('Game Records'!$U:$U,$H222)&lt;&gt;"Free Game",INDEX('Game Records'!$U:$U,$H222)&lt;&gt;"Disqualified — Free Game",INDEX('Game Records'!$I:$I,$H222)=""),"Eligible Players; ","")&amp;IF(AND(INDEX('Game Records'!$U:$U,$H222)&lt;&gt;"Subscription",INDEX('Game Records'!$U:$U,$H222)&lt;&gt;"Free Game",INDEX('Game Records'!$U:$U,$H222)&lt;&gt;"Disqualified — Free Game",INDEX('Game Records'!$J:$J,$H222)=""),"Total Players; ","")&amp;IF(AND(LOWER(INDEX('Game Records'!$D:$D,$H222)&amp;"")="finalized",LOWER(INDEX('Game Records'!$L:$L,$H222)&amp;"")&lt;&gt;"yes",INDEX('Game Records'!$U:$U,$H222)&lt;&gt;"Subscription",INDEX('Game Records'!$U:$U,$H222)&lt;&gt;"Free Game",INDEX('Game Records'!$U:$U,$H222)&lt;&gt;"Disqualified — Free Game",INDEX('Game Records'!$K:$K,$H222)=""),"Final Payout; ","")&amp;IF(AND(LOWER(INDEX('Game Records'!$D:$D,$H222)&amp;"")="finalized",INDEX('Game Records'!$U:$U,$H222)&lt;&gt;"Subscription",INDEX('Game Records'!$U:$U,$H222)&lt;&gt;"Free Game",INDEX('Game Records'!$U:$U,$H222)&lt;&gt;"Disqualified — Free Game",OR(INDEX('Game Records'!$L:$L,$H222)="",LOWER(INDEX('Game Records'!$L:$L,$H222)&amp;"")="n/a")),"Disqualified Status; ",""))</f>
        <v/>
      </c>
      <c r="G222" s="25" t="str">
        <f t="array" ref="G222">IF($H222="","",IFERROR(INDEX('Game Records'!$M:$M,$H222),""))</f>
        <v/>
      </c>
      <c r="H222" s="8"/>
    </row>
    <row r="223" ht="24.0" customHeight="1">
      <c r="A223" s="21" t="str">
        <f t="shared" si="1"/>
        <v/>
      </c>
      <c r="B223" s="21" t="str">
        <f t="shared" si="2"/>
        <v/>
      </c>
      <c r="C223" s="25" t="str">
        <f t="array" ref="C223">IF($H223="","",IFERROR(INDEX('Game Records'!$A:$A,$H223),""))</f>
        <v/>
      </c>
      <c r="D223" s="25" t="str">
        <f t="array" ref="D223">IF($H223="","",IFERROR(INDEX('Game Records'!$U:$U,$H223),""))</f>
        <v/>
      </c>
      <c r="E223" s="25" t="str">
        <f t="shared" si="3"/>
        <v/>
      </c>
      <c r="F223" s="25" t="str">
        <f t="array" ref="F223">IF($H223="","",IF(OR(NOT(_xlfn.ISFORMULA(INDEX('Game Records'!$N:$N,$H223))),NOT(_xlfn.ISFORMULA(INDEX('Game Records'!$O:$O,$H223))),NOT(_xlfn.ISFORMULA(INDEX('Game Records'!$P:$P,$H223))),NOT(_xlfn.ISFORMULA(INDEX('Game Records'!$Q:$Q,$H223))),NOT(_xlfn.ISFORMULA(INDEX('Game Records'!$R:$R,$H223))),NOT(_xlfn.ISFORMULA(INDEX('Game Records'!$S:$S,$H223))),NOT(_xlfn.ISFORMULA(INDEX('Game Records'!$T:$T,$H223))),NOT(_xlfn.ISFORMULA(INDEX('Game Records'!$U:$U,$H223))),NOT(_xlfn.ISFORMULA(INDEX('Game Records'!$V:$V,$H223))),NOT(_xlfn.ISFORMULA(INDEX('Game Records'!$W:$W,$H223))),NOT(_xlfn.ISFORMULA(INDEX('Game Records'!$X:$X,$H223))),NOT(_xlfn.ISFORMULA(INDEX('Game Records'!$Y:$Y,$H223))),NOT(_xlfn.ISFORMULA(INDEX('Game Records'!$Z:$Z,$H223)))),"","")&amp;IF(INDEX('Game Records'!$B:$B,$H223)="","Start Date; ","")&amp;IF(INDEX('Game Records'!$C:$C,$H223)="","End Date; ","")&amp;IF(AND(INDEX('Game Records'!$U:$U,$H223)&lt;&gt;"Subscription",INDEX('Game Records'!$U:$U,$H223)&lt;&gt;"Free Game",INDEX('Game Records'!$U:$U,$H223)&lt;&gt;"Disqualified — Free Game",OR(INDEX('Game Records'!$D:$D,$H223)="",LOWER(INDEX('Game Records'!$D:$D,$H223)&amp;"")="n/a")),"Entry Mode; ","")&amp;IF(AND(INDEX('Game Records'!$U:$U,$H223)&lt;&gt;"Subscription",INDEX('Game Records'!$U:$U,$H223)&lt;&gt;"Free Game",INDEX('Game Records'!$U:$U,$H223)&lt;&gt;"Disqualified — Free Game",OR(INDEX('Game Records'!$E:$E,$H223)="",LOWER(INDEX('Game Records'!$E:$E,$H223)&amp;"")="n/a")),"Game Type; ","")&amp;IF(INDEX('Game Records'!$F:$F,$H223)="","Payment Type; ","")&amp;IF(AND(INDEX('Game Records'!$U:$U,$H223)&lt;&gt;"Subscription",INDEX('Game Records'!$U:$U,$H223)&lt;&gt;"Free Game",INDEX('Game Records'!$U:$U,$H223)&lt;&gt;"Disqualified — Free Game",INDEX('Game Records'!$G:$G,$H223)=""),"Gross Pot; ","")&amp;IF(AND(INDEX('Game Records'!$U:$U,$H223)&lt;&gt;"Free Game",INDEX('Game Records'!$U:$U,$H223)&lt;&gt;"Disqualified — Free Game",INDEX('Game Records'!$H:$H,$H223)=""),"Entry Fee; ","")&amp;IF(AND(INDEX('Game Records'!$U:$U,$H223)&lt;&gt;"Subscription",INDEX('Game Records'!$U:$U,$H223)&lt;&gt;"Free Game",INDEX('Game Records'!$U:$U,$H223)&lt;&gt;"Disqualified — Free Game",INDEX('Game Records'!$I:$I,$H223)=""),"Eligible Players; ","")&amp;IF(AND(INDEX('Game Records'!$U:$U,$H223)&lt;&gt;"Subscription",INDEX('Game Records'!$U:$U,$H223)&lt;&gt;"Free Game",INDEX('Game Records'!$U:$U,$H223)&lt;&gt;"Disqualified — Free Game",INDEX('Game Records'!$J:$J,$H223)=""),"Total Players; ","")&amp;IF(AND(LOWER(INDEX('Game Records'!$D:$D,$H223)&amp;"")="finalized",LOWER(INDEX('Game Records'!$L:$L,$H223)&amp;"")&lt;&gt;"yes",INDEX('Game Records'!$U:$U,$H223)&lt;&gt;"Subscription",INDEX('Game Records'!$U:$U,$H223)&lt;&gt;"Free Game",INDEX('Game Records'!$U:$U,$H223)&lt;&gt;"Disqualified — Free Game",INDEX('Game Records'!$K:$K,$H223)=""),"Final Payout; ","")&amp;IF(AND(LOWER(INDEX('Game Records'!$D:$D,$H223)&amp;"")="finalized",INDEX('Game Records'!$U:$U,$H223)&lt;&gt;"Subscription",INDEX('Game Records'!$U:$U,$H223)&lt;&gt;"Free Game",INDEX('Game Records'!$U:$U,$H223)&lt;&gt;"Disqualified — Free Game",OR(INDEX('Game Records'!$L:$L,$H223)="",LOWER(INDEX('Game Records'!$L:$L,$H223)&amp;"")="n/a")),"Disqualified Status; ",""))</f>
        <v/>
      </c>
      <c r="G223" s="25" t="str">
        <f t="array" ref="G223">IF($H223="","",IFERROR(INDEX('Game Records'!$M:$M,$H223),""))</f>
        <v/>
      </c>
      <c r="H223" s="8"/>
    </row>
    <row r="224" ht="24.0" customHeight="1">
      <c r="A224" s="21" t="str">
        <f t="shared" si="1"/>
        <v/>
      </c>
      <c r="B224" s="21" t="str">
        <f t="shared" si="2"/>
        <v/>
      </c>
      <c r="C224" s="25" t="str">
        <f t="array" ref="C224">IF($H224="","",IFERROR(INDEX('Game Records'!$A:$A,$H224),""))</f>
        <v/>
      </c>
      <c r="D224" s="25" t="str">
        <f t="array" ref="D224">IF($H224="","",IFERROR(INDEX('Game Records'!$U:$U,$H224),""))</f>
        <v/>
      </c>
      <c r="E224" s="25" t="str">
        <f t="shared" si="3"/>
        <v/>
      </c>
      <c r="F224" s="25" t="str">
        <f t="array" ref="F224">IF($H224="","",IF(OR(NOT(_xlfn.ISFORMULA(INDEX('Game Records'!$N:$N,$H224))),NOT(_xlfn.ISFORMULA(INDEX('Game Records'!$O:$O,$H224))),NOT(_xlfn.ISFORMULA(INDEX('Game Records'!$P:$P,$H224))),NOT(_xlfn.ISFORMULA(INDEX('Game Records'!$Q:$Q,$H224))),NOT(_xlfn.ISFORMULA(INDEX('Game Records'!$R:$R,$H224))),NOT(_xlfn.ISFORMULA(INDEX('Game Records'!$S:$S,$H224))),NOT(_xlfn.ISFORMULA(INDEX('Game Records'!$T:$T,$H224))),NOT(_xlfn.ISFORMULA(INDEX('Game Records'!$U:$U,$H224))),NOT(_xlfn.ISFORMULA(INDEX('Game Records'!$V:$V,$H224))),NOT(_xlfn.ISFORMULA(INDEX('Game Records'!$W:$W,$H224))),NOT(_xlfn.ISFORMULA(INDEX('Game Records'!$X:$X,$H224))),NOT(_xlfn.ISFORMULA(INDEX('Game Records'!$Y:$Y,$H224))),NOT(_xlfn.ISFORMULA(INDEX('Game Records'!$Z:$Z,$H224)))),"","")&amp;IF(INDEX('Game Records'!$B:$B,$H224)="","Start Date; ","")&amp;IF(INDEX('Game Records'!$C:$C,$H224)="","End Date; ","")&amp;IF(AND(INDEX('Game Records'!$U:$U,$H224)&lt;&gt;"Subscription",INDEX('Game Records'!$U:$U,$H224)&lt;&gt;"Free Game",INDEX('Game Records'!$U:$U,$H224)&lt;&gt;"Disqualified — Free Game",OR(INDEX('Game Records'!$D:$D,$H224)="",LOWER(INDEX('Game Records'!$D:$D,$H224)&amp;"")="n/a")),"Entry Mode; ","")&amp;IF(AND(INDEX('Game Records'!$U:$U,$H224)&lt;&gt;"Subscription",INDEX('Game Records'!$U:$U,$H224)&lt;&gt;"Free Game",INDEX('Game Records'!$U:$U,$H224)&lt;&gt;"Disqualified — Free Game",OR(INDEX('Game Records'!$E:$E,$H224)="",LOWER(INDEX('Game Records'!$E:$E,$H224)&amp;"")="n/a")),"Game Type; ","")&amp;IF(INDEX('Game Records'!$F:$F,$H224)="","Payment Type; ","")&amp;IF(AND(INDEX('Game Records'!$U:$U,$H224)&lt;&gt;"Subscription",INDEX('Game Records'!$U:$U,$H224)&lt;&gt;"Free Game",INDEX('Game Records'!$U:$U,$H224)&lt;&gt;"Disqualified — Free Game",INDEX('Game Records'!$G:$G,$H224)=""),"Gross Pot; ","")&amp;IF(AND(INDEX('Game Records'!$U:$U,$H224)&lt;&gt;"Free Game",INDEX('Game Records'!$U:$U,$H224)&lt;&gt;"Disqualified — Free Game",INDEX('Game Records'!$H:$H,$H224)=""),"Entry Fee; ","")&amp;IF(AND(INDEX('Game Records'!$U:$U,$H224)&lt;&gt;"Subscription",INDEX('Game Records'!$U:$U,$H224)&lt;&gt;"Free Game",INDEX('Game Records'!$U:$U,$H224)&lt;&gt;"Disqualified — Free Game",INDEX('Game Records'!$I:$I,$H224)=""),"Eligible Players; ","")&amp;IF(AND(INDEX('Game Records'!$U:$U,$H224)&lt;&gt;"Subscription",INDEX('Game Records'!$U:$U,$H224)&lt;&gt;"Free Game",INDEX('Game Records'!$U:$U,$H224)&lt;&gt;"Disqualified — Free Game",INDEX('Game Records'!$J:$J,$H224)=""),"Total Players; ","")&amp;IF(AND(LOWER(INDEX('Game Records'!$D:$D,$H224)&amp;"")="finalized",LOWER(INDEX('Game Records'!$L:$L,$H224)&amp;"")&lt;&gt;"yes",INDEX('Game Records'!$U:$U,$H224)&lt;&gt;"Subscription",INDEX('Game Records'!$U:$U,$H224)&lt;&gt;"Free Game",INDEX('Game Records'!$U:$U,$H224)&lt;&gt;"Disqualified — Free Game",INDEX('Game Records'!$K:$K,$H224)=""),"Final Payout; ","")&amp;IF(AND(LOWER(INDEX('Game Records'!$D:$D,$H224)&amp;"")="finalized",INDEX('Game Records'!$U:$U,$H224)&lt;&gt;"Subscription",INDEX('Game Records'!$U:$U,$H224)&lt;&gt;"Free Game",INDEX('Game Records'!$U:$U,$H224)&lt;&gt;"Disqualified — Free Game",OR(INDEX('Game Records'!$L:$L,$H224)="",LOWER(INDEX('Game Records'!$L:$L,$H224)&amp;"")="n/a")),"Disqualified Status; ",""))</f>
        <v/>
      </c>
      <c r="G224" s="25" t="str">
        <f t="array" ref="G224">IF($H224="","",IFERROR(INDEX('Game Records'!$M:$M,$H224),""))</f>
        <v/>
      </c>
      <c r="H224" s="8"/>
    </row>
    <row r="225" ht="24.0" customHeight="1">
      <c r="A225" s="21" t="str">
        <f t="shared" si="1"/>
        <v/>
      </c>
      <c r="B225" s="21" t="str">
        <f t="shared" si="2"/>
        <v/>
      </c>
      <c r="C225" s="25" t="str">
        <f t="array" ref="C225">IF($H225="","",IFERROR(INDEX('Game Records'!$A:$A,$H225),""))</f>
        <v/>
      </c>
      <c r="D225" s="25" t="str">
        <f t="array" ref="D225">IF($H225="","",IFERROR(INDEX('Game Records'!$U:$U,$H225),""))</f>
        <v/>
      </c>
      <c r="E225" s="25" t="str">
        <f t="shared" si="3"/>
        <v/>
      </c>
      <c r="F225" s="25" t="str">
        <f t="array" ref="F225">IF($H225="","",IF(OR(NOT(_xlfn.ISFORMULA(INDEX('Game Records'!$N:$N,$H225))),NOT(_xlfn.ISFORMULA(INDEX('Game Records'!$O:$O,$H225))),NOT(_xlfn.ISFORMULA(INDEX('Game Records'!$P:$P,$H225))),NOT(_xlfn.ISFORMULA(INDEX('Game Records'!$Q:$Q,$H225))),NOT(_xlfn.ISFORMULA(INDEX('Game Records'!$R:$R,$H225))),NOT(_xlfn.ISFORMULA(INDEX('Game Records'!$S:$S,$H225))),NOT(_xlfn.ISFORMULA(INDEX('Game Records'!$T:$T,$H225))),NOT(_xlfn.ISFORMULA(INDEX('Game Records'!$U:$U,$H225))),NOT(_xlfn.ISFORMULA(INDEX('Game Records'!$V:$V,$H225))),NOT(_xlfn.ISFORMULA(INDEX('Game Records'!$W:$W,$H225))),NOT(_xlfn.ISFORMULA(INDEX('Game Records'!$X:$X,$H225))),NOT(_xlfn.ISFORMULA(INDEX('Game Records'!$Y:$Y,$H225))),NOT(_xlfn.ISFORMULA(INDEX('Game Records'!$Z:$Z,$H225)))),"","")&amp;IF(INDEX('Game Records'!$B:$B,$H225)="","Start Date; ","")&amp;IF(INDEX('Game Records'!$C:$C,$H225)="","End Date; ","")&amp;IF(AND(INDEX('Game Records'!$U:$U,$H225)&lt;&gt;"Subscription",INDEX('Game Records'!$U:$U,$H225)&lt;&gt;"Free Game",INDEX('Game Records'!$U:$U,$H225)&lt;&gt;"Disqualified — Free Game",OR(INDEX('Game Records'!$D:$D,$H225)="",LOWER(INDEX('Game Records'!$D:$D,$H225)&amp;"")="n/a")),"Entry Mode; ","")&amp;IF(AND(INDEX('Game Records'!$U:$U,$H225)&lt;&gt;"Subscription",INDEX('Game Records'!$U:$U,$H225)&lt;&gt;"Free Game",INDEX('Game Records'!$U:$U,$H225)&lt;&gt;"Disqualified — Free Game",OR(INDEX('Game Records'!$E:$E,$H225)="",LOWER(INDEX('Game Records'!$E:$E,$H225)&amp;"")="n/a")),"Game Type; ","")&amp;IF(INDEX('Game Records'!$F:$F,$H225)="","Payment Type; ","")&amp;IF(AND(INDEX('Game Records'!$U:$U,$H225)&lt;&gt;"Subscription",INDEX('Game Records'!$U:$U,$H225)&lt;&gt;"Free Game",INDEX('Game Records'!$U:$U,$H225)&lt;&gt;"Disqualified — Free Game",INDEX('Game Records'!$G:$G,$H225)=""),"Gross Pot; ","")&amp;IF(AND(INDEX('Game Records'!$U:$U,$H225)&lt;&gt;"Free Game",INDEX('Game Records'!$U:$U,$H225)&lt;&gt;"Disqualified — Free Game",INDEX('Game Records'!$H:$H,$H225)=""),"Entry Fee; ","")&amp;IF(AND(INDEX('Game Records'!$U:$U,$H225)&lt;&gt;"Subscription",INDEX('Game Records'!$U:$U,$H225)&lt;&gt;"Free Game",INDEX('Game Records'!$U:$U,$H225)&lt;&gt;"Disqualified — Free Game",INDEX('Game Records'!$I:$I,$H225)=""),"Eligible Players; ","")&amp;IF(AND(INDEX('Game Records'!$U:$U,$H225)&lt;&gt;"Subscription",INDEX('Game Records'!$U:$U,$H225)&lt;&gt;"Free Game",INDEX('Game Records'!$U:$U,$H225)&lt;&gt;"Disqualified — Free Game",INDEX('Game Records'!$J:$J,$H225)=""),"Total Players; ","")&amp;IF(AND(LOWER(INDEX('Game Records'!$D:$D,$H225)&amp;"")="finalized",LOWER(INDEX('Game Records'!$L:$L,$H225)&amp;"")&lt;&gt;"yes",INDEX('Game Records'!$U:$U,$H225)&lt;&gt;"Subscription",INDEX('Game Records'!$U:$U,$H225)&lt;&gt;"Free Game",INDEX('Game Records'!$U:$U,$H225)&lt;&gt;"Disqualified — Free Game",INDEX('Game Records'!$K:$K,$H225)=""),"Final Payout; ","")&amp;IF(AND(LOWER(INDEX('Game Records'!$D:$D,$H225)&amp;"")="finalized",INDEX('Game Records'!$U:$U,$H225)&lt;&gt;"Subscription",INDEX('Game Records'!$U:$U,$H225)&lt;&gt;"Free Game",INDEX('Game Records'!$U:$U,$H225)&lt;&gt;"Disqualified — Free Game",OR(INDEX('Game Records'!$L:$L,$H225)="",LOWER(INDEX('Game Records'!$L:$L,$H225)&amp;"")="n/a")),"Disqualified Status; ",""))</f>
        <v/>
      </c>
      <c r="G225" s="25" t="str">
        <f t="array" ref="G225">IF($H225="","",IFERROR(INDEX('Game Records'!$M:$M,$H225),""))</f>
        <v/>
      </c>
      <c r="H225" s="8"/>
    </row>
    <row r="226" ht="24.0" customHeight="1">
      <c r="A226" s="21" t="str">
        <f t="shared" si="1"/>
        <v/>
      </c>
      <c r="B226" s="21" t="str">
        <f t="shared" si="2"/>
        <v/>
      </c>
      <c r="C226" s="25" t="str">
        <f t="array" ref="C226">IF($H226="","",IFERROR(INDEX('Game Records'!$A:$A,$H226),""))</f>
        <v/>
      </c>
      <c r="D226" s="25" t="str">
        <f t="array" ref="D226">IF($H226="","",IFERROR(INDEX('Game Records'!$U:$U,$H226),""))</f>
        <v/>
      </c>
      <c r="E226" s="25" t="str">
        <f t="shared" si="3"/>
        <v/>
      </c>
      <c r="F226" s="25" t="str">
        <f t="array" ref="F226">IF($H226="","",IF(OR(NOT(_xlfn.ISFORMULA(INDEX('Game Records'!$N:$N,$H226))),NOT(_xlfn.ISFORMULA(INDEX('Game Records'!$O:$O,$H226))),NOT(_xlfn.ISFORMULA(INDEX('Game Records'!$P:$P,$H226))),NOT(_xlfn.ISFORMULA(INDEX('Game Records'!$Q:$Q,$H226))),NOT(_xlfn.ISFORMULA(INDEX('Game Records'!$R:$R,$H226))),NOT(_xlfn.ISFORMULA(INDEX('Game Records'!$S:$S,$H226))),NOT(_xlfn.ISFORMULA(INDEX('Game Records'!$T:$T,$H226))),NOT(_xlfn.ISFORMULA(INDEX('Game Records'!$U:$U,$H226))),NOT(_xlfn.ISFORMULA(INDEX('Game Records'!$V:$V,$H226))),NOT(_xlfn.ISFORMULA(INDEX('Game Records'!$W:$W,$H226))),NOT(_xlfn.ISFORMULA(INDEX('Game Records'!$X:$X,$H226))),NOT(_xlfn.ISFORMULA(INDEX('Game Records'!$Y:$Y,$H226))),NOT(_xlfn.ISFORMULA(INDEX('Game Records'!$Z:$Z,$H226)))),"","")&amp;IF(INDEX('Game Records'!$B:$B,$H226)="","Start Date; ","")&amp;IF(INDEX('Game Records'!$C:$C,$H226)="","End Date; ","")&amp;IF(AND(INDEX('Game Records'!$U:$U,$H226)&lt;&gt;"Subscription",INDEX('Game Records'!$U:$U,$H226)&lt;&gt;"Free Game",INDEX('Game Records'!$U:$U,$H226)&lt;&gt;"Disqualified — Free Game",OR(INDEX('Game Records'!$D:$D,$H226)="",LOWER(INDEX('Game Records'!$D:$D,$H226)&amp;"")="n/a")),"Entry Mode; ","")&amp;IF(AND(INDEX('Game Records'!$U:$U,$H226)&lt;&gt;"Subscription",INDEX('Game Records'!$U:$U,$H226)&lt;&gt;"Free Game",INDEX('Game Records'!$U:$U,$H226)&lt;&gt;"Disqualified — Free Game",OR(INDEX('Game Records'!$E:$E,$H226)="",LOWER(INDEX('Game Records'!$E:$E,$H226)&amp;"")="n/a")),"Game Type; ","")&amp;IF(INDEX('Game Records'!$F:$F,$H226)="","Payment Type; ","")&amp;IF(AND(INDEX('Game Records'!$U:$U,$H226)&lt;&gt;"Subscription",INDEX('Game Records'!$U:$U,$H226)&lt;&gt;"Free Game",INDEX('Game Records'!$U:$U,$H226)&lt;&gt;"Disqualified — Free Game",INDEX('Game Records'!$G:$G,$H226)=""),"Gross Pot; ","")&amp;IF(AND(INDEX('Game Records'!$U:$U,$H226)&lt;&gt;"Free Game",INDEX('Game Records'!$U:$U,$H226)&lt;&gt;"Disqualified — Free Game",INDEX('Game Records'!$H:$H,$H226)=""),"Entry Fee; ","")&amp;IF(AND(INDEX('Game Records'!$U:$U,$H226)&lt;&gt;"Subscription",INDEX('Game Records'!$U:$U,$H226)&lt;&gt;"Free Game",INDEX('Game Records'!$U:$U,$H226)&lt;&gt;"Disqualified — Free Game",INDEX('Game Records'!$I:$I,$H226)=""),"Eligible Players; ","")&amp;IF(AND(INDEX('Game Records'!$U:$U,$H226)&lt;&gt;"Subscription",INDEX('Game Records'!$U:$U,$H226)&lt;&gt;"Free Game",INDEX('Game Records'!$U:$U,$H226)&lt;&gt;"Disqualified — Free Game",INDEX('Game Records'!$J:$J,$H226)=""),"Total Players; ","")&amp;IF(AND(LOWER(INDEX('Game Records'!$D:$D,$H226)&amp;"")="finalized",LOWER(INDEX('Game Records'!$L:$L,$H226)&amp;"")&lt;&gt;"yes",INDEX('Game Records'!$U:$U,$H226)&lt;&gt;"Subscription",INDEX('Game Records'!$U:$U,$H226)&lt;&gt;"Free Game",INDEX('Game Records'!$U:$U,$H226)&lt;&gt;"Disqualified — Free Game",INDEX('Game Records'!$K:$K,$H226)=""),"Final Payout; ","")&amp;IF(AND(LOWER(INDEX('Game Records'!$D:$D,$H226)&amp;"")="finalized",INDEX('Game Records'!$U:$U,$H226)&lt;&gt;"Subscription",INDEX('Game Records'!$U:$U,$H226)&lt;&gt;"Free Game",INDEX('Game Records'!$U:$U,$H226)&lt;&gt;"Disqualified — Free Game",OR(INDEX('Game Records'!$L:$L,$H226)="",LOWER(INDEX('Game Records'!$L:$L,$H226)&amp;"")="n/a")),"Disqualified Status; ",""))</f>
        <v/>
      </c>
      <c r="G226" s="25" t="str">
        <f t="array" ref="G226">IF($H226="","",IFERROR(INDEX('Game Records'!$M:$M,$H226),""))</f>
        <v/>
      </c>
      <c r="H226" s="8"/>
    </row>
    <row r="227" ht="24.0" customHeight="1">
      <c r="A227" s="21" t="str">
        <f t="shared" si="1"/>
        <v/>
      </c>
      <c r="B227" s="21" t="str">
        <f t="shared" si="2"/>
        <v/>
      </c>
      <c r="C227" s="25" t="str">
        <f t="array" ref="C227">IF($H227="","",IFERROR(INDEX('Game Records'!$A:$A,$H227),""))</f>
        <v/>
      </c>
      <c r="D227" s="25" t="str">
        <f t="array" ref="D227">IF($H227="","",IFERROR(INDEX('Game Records'!$U:$U,$H227),""))</f>
        <v/>
      </c>
      <c r="E227" s="25" t="str">
        <f t="shared" si="3"/>
        <v/>
      </c>
      <c r="F227" s="25" t="str">
        <f t="array" ref="F227">IF($H227="","",IF(OR(NOT(_xlfn.ISFORMULA(INDEX('Game Records'!$N:$N,$H227))),NOT(_xlfn.ISFORMULA(INDEX('Game Records'!$O:$O,$H227))),NOT(_xlfn.ISFORMULA(INDEX('Game Records'!$P:$P,$H227))),NOT(_xlfn.ISFORMULA(INDEX('Game Records'!$Q:$Q,$H227))),NOT(_xlfn.ISFORMULA(INDEX('Game Records'!$R:$R,$H227))),NOT(_xlfn.ISFORMULA(INDEX('Game Records'!$S:$S,$H227))),NOT(_xlfn.ISFORMULA(INDEX('Game Records'!$T:$T,$H227))),NOT(_xlfn.ISFORMULA(INDEX('Game Records'!$U:$U,$H227))),NOT(_xlfn.ISFORMULA(INDEX('Game Records'!$V:$V,$H227))),NOT(_xlfn.ISFORMULA(INDEX('Game Records'!$W:$W,$H227))),NOT(_xlfn.ISFORMULA(INDEX('Game Records'!$X:$X,$H227))),NOT(_xlfn.ISFORMULA(INDEX('Game Records'!$Y:$Y,$H227))),NOT(_xlfn.ISFORMULA(INDEX('Game Records'!$Z:$Z,$H227)))),"","")&amp;IF(INDEX('Game Records'!$B:$B,$H227)="","Start Date; ","")&amp;IF(INDEX('Game Records'!$C:$C,$H227)="","End Date; ","")&amp;IF(AND(INDEX('Game Records'!$U:$U,$H227)&lt;&gt;"Subscription",INDEX('Game Records'!$U:$U,$H227)&lt;&gt;"Free Game",INDEX('Game Records'!$U:$U,$H227)&lt;&gt;"Disqualified — Free Game",OR(INDEX('Game Records'!$D:$D,$H227)="",LOWER(INDEX('Game Records'!$D:$D,$H227)&amp;"")="n/a")),"Entry Mode; ","")&amp;IF(AND(INDEX('Game Records'!$U:$U,$H227)&lt;&gt;"Subscription",INDEX('Game Records'!$U:$U,$H227)&lt;&gt;"Free Game",INDEX('Game Records'!$U:$U,$H227)&lt;&gt;"Disqualified — Free Game",OR(INDEX('Game Records'!$E:$E,$H227)="",LOWER(INDEX('Game Records'!$E:$E,$H227)&amp;"")="n/a")),"Game Type; ","")&amp;IF(INDEX('Game Records'!$F:$F,$H227)="","Payment Type; ","")&amp;IF(AND(INDEX('Game Records'!$U:$U,$H227)&lt;&gt;"Subscription",INDEX('Game Records'!$U:$U,$H227)&lt;&gt;"Free Game",INDEX('Game Records'!$U:$U,$H227)&lt;&gt;"Disqualified — Free Game",INDEX('Game Records'!$G:$G,$H227)=""),"Gross Pot; ","")&amp;IF(AND(INDEX('Game Records'!$U:$U,$H227)&lt;&gt;"Free Game",INDEX('Game Records'!$U:$U,$H227)&lt;&gt;"Disqualified — Free Game",INDEX('Game Records'!$H:$H,$H227)=""),"Entry Fee; ","")&amp;IF(AND(INDEX('Game Records'!$U:$U,$H227)&lt;&gt;"Subscription",INDEX('Game Records'!$U:$U,$H227)&lt;&gt;"Free Game",INDEX('Game Records'!$U:$U,$H227)&lt;&gt;"Disqualified — Free Game",INDEX('Game Records'!$I:$I,$H227)=""),"Eligible Players; ","")&amp;IF(AND(INDEX('Game Records'!$U:$U,$H227)&lt;&gt;"Subscription",INDEX('Game Records'!$U:$U,$H227)&lt;&gt;"Free Game",INDEX('Game Records'!$U:$U,$H227)&lt;&gt;"Disqualified — Free Game",INDEX('Game Records'!$J:$J,$H227)=""),"Total Players; ","")&amp;IF(AND(LOWER(INDEX('Game Records'!$D:$D,$H227)&amp;"")="finalized",LOWER(INDEX('Game Records'!$L:$L,$H227)&amp;"")&lt;&gt;"yes",INDEX('Game Records'!$U:$U,$H227)&lt;&gt;"Subscription",INDEX('Game Records'!$U:$U,$H227)&lt;&gt;"Free Game",INDEX('Game Records'!$U:$U,$H227)&lt;&gt;"Disqualified — Free Game",INDEX('Game Records'!$K:$K,$H227)=""),"Final Payout; ","")&amp;IF(AND(LOWER(INDEX('Game Records'!$D:$D,$H227)&amp;"")="finalized",INDEX('Game Records'!$U:$U,$H227)&lt;&gt;"Subscription",INDEX('Game Records'!$U:$U,$H227)&lt;&gt;"Free Game",INDEX('Game Records'!$U:$U,$H227)&lt;&gt;"Disqualified — Free Game",OR(INDEX('Game Records'!$L:$L,$H227)="",LOWER(INDEX('Game Records'!$L:$L,$H227)&amp;"")="n/a")),"Disqualified Status; ",""))</f>
        <v/>
      </c>
      <c r="G227" s="25" t="str">
        <f t="array" ref="G227">IF($H227="","",IFERROR(INDEX('Game Records'!$M:$M,$H227),""))</f>
        <v/>
      </c>
      <c r="H227" s="8"/>
    </row>
    <row r="228" ht="24.0" customHeight="1">
      <c r="A228" s="21" t="str">
        <f t="shared" si="1"/>
        <v/>
      </c>
      <c r="B228" s="21" t="str">
        <f t="shared" si="2"/>
        <v/>
      </c>
      <c r="C228" s="25" t="str">
        <f t="array" ref="C228">IF($H228="","",IFERROR(INDEX('Game Records'!$A:$A,$H228),""))</f>
        <v/>
      </c>
      <c r="D228" s="25" t="str">
        <f t="array" ref="D228">IF($H228="","",IFERROR(INDEX('Game Records'!$U:$U,$H228),""))</f>
        <v/>
      </c>
      <c r="E228" s="25" t="str">
        <f t="shared" si="3"/>
        <v/>
      </c>
      <c r="F228" s="25" t="str">
        <f t="array" ref="F228">IF($H228="","",IF(OR(NOT(_xlfn.ISFORMULA(INDEX('Game Records'!$N:$N,$H228))),NOT(_xlfn.ISFORMULA(INDEX('Game Records'!$O:$O,$H228))),NOT(_xlfn.ISFORMULA(INDEX('Game Records'!$P:$P,$H228))),NOT(_xlfn.ISFORMULA(INDEX('Game Records'!$Q:$Q,$H228))),NOT(_xlfn.ISFORMULA(INDEX('Game Records'!$R:$R,$H228))),NOT(_xlfn.ISFORMULA(INDEX('Game Records'!$S:$S,$H228))),NOT(_xlfn.ISFORMULA(INDEX('Game Records'!$T:$T,$H228))),NOT(_xlfn.ISFORMULA(INDEX('Game Records'!$U:$U,$H228))),NOT(_xlfn.ISFORMULA(INDEX('Game Records'!$V:$V,$H228))),NOT(_xlfn.ISFORMULA(INDEX('Game Records'!$W:$W,$H228))),NOT(_xlfn.ISFORMULA(INDEX('Game Records'!$X:$X,$H228))),NOT(_xlfn.ISFORMULA(INDEX('Game Records'!$Y:$Y,$H228))),NOT(_xlfn.ISFORMULA(INDEX('Game Records'!$Z:$Z,$H228)))),"","")&amp;IF(INDEX('Game Records'!$B:$B,$H228)="","Start Date; ","")&amp;IF(INDEX('Game Records'!$C:$C,$H228)="","End Date; ","")&amp;IF(AND(INDEX('Game Records'!$U:$U,$H228)&lt;&gt;"Subscription",INDEX('Game Records'!$U:$U,$H228)&lt;&gt;"Free Game",INDEX('Game Records'!$U:$U,$H228)&lt;&gt;"Disqualified — Free Game",OR(INDEX('Game Records'!$D:$D,$H228)="",LOWER(INDEX('Game Records'!$D:$D,$H228)&amp;"")="n/a")),"Entry Mode; ","")&amp;IF(AND(INDEX('Game Records'!$U:$U,$H228)&lt;&gt;"Subscription",INDEX('Game Records'!$U:$U,$H228)&lt;&gt;"Free Game",INDEX('Game Records'!$U:$U,$H228)&lt;&gt;"Disqualified — Free Game",OR(INDEX('Game Records'!$E:$E,$H228)="",LOWER(INDEX('Game Records'!$E:$E,$H228)&amp;"")="n/a")),"Game Type; ","")&amp;IF(INDEX('Game Records'!$F:$F,$H228)="","Payment Type; ","")&amp;IF(AND(INDEX('Game Records'!$U:$U,$H228)&lt;&gt;"Subscription",INDEX('Game Records'!$U:$U,$H228)&lt;&gt;"Free Game",INDEX('Game Records'!$U:$U,$H228)&lt;&gt;"Disqualified — Free Game",INDEX('Game Records'!$G:$G,$H228)=""),"Gross Pot; ","")&amp;IF(AND(INDEX('Game Records'!$U:$U,$H228)&lt;&gt;"Free Game",INDEX('Game Records'!$U:$U,$H228)&lt;&gt;"Disqualified — Free Game",INDEX('Game Records'!$H:$H,$H228)=""),"Entry Fee; ","")&amp;IF(AND(INDEX('Game Records'!$U:$U,$H228)&lt;&gt;"Subscription",INDEX('Game Records'!$U:$U,$H228)&lt;&gt;"Free Game",INDEX('Game Records'!$U:$U,$H228)&lt;&gt;"Disqualified — Free Game",INDEX('Game Records'!$I:$I,$H228)=""),"Eligible Players; ","")&amp;IF(AND(INDEX('Game Records'!$U:$U,$H228)&lt;&gt;"Subscription",INDEX('Game Records'!$U:$U,$H228)&lt;&gt;"Free Game",INDEX('Game Records'!$U:$U,$H228)&lt;&gt;"Disqualified — Free Game",INDEX('Game Records'!$J:$J,$H228)=""),"Total Players; ","")&amp;IF(AND(LOWER(INDEX('Game Records'!$D:$D,$H228)&amp;"")="finalized",LOWER(INDEX('Game Records'!$L:$L,$H228)&amp;"")&lt;&gt;"yes",INDEX('Game Records'!$U:$U,$H228)&lt;&gt;"Subscription",INDEX('Game Records'!$U:$U,$H228)&lt;&gt;"Free Game",INDEX('Game Records'!$U:$U,$H228)&lt;&gt;"Disqualified — Free Game",INDEX('Game Records'!$K:$K,$H228)=""),"Final Payout; ","")&amp;IF(AND(LOWER(INDEX('Game Records'!$D:$D,$H228)&amp;"")="finalized",INDEX('Game Records'!$U:$U,$H228)&lt;&gt;"Subscription",INDEX('Game Records'!$U:$U,$H228)&lt;&gt;"Free Game",INDEX('Game Records'!$U:$U,$H228)&lt;&gt;"Disqualified — Free Game",OR(INDEX('Game Records'!$L:$L,$H228)="",LOWER(INDEX('Game Records'!$L:$L,$H228)&amp;"")="n/a")),"Disqualified Status; ",""))</f>
        <v/>
      </c>
      <c r="G228" s="25" t="str">
        <f t="array" ref="G228">IF($H228="","",IFERROR(INDEX('Game Records'!$M:$M,$H228),""))</f>
        <v/>
      </c>
      <c r="H228" s="8"/>
    </row>
    <row r="229" ht="24.0" customHeight="1">
      <c r="A229" s="21" t="str">
        <f t="shared" si="1"/>
        <v/>
      </c>
      <c r="B229" s="21" t="str">
        <f t="shared" si="2"/>
        <v/>
      </c>
      <c r="C229" s="25" t="str">
        <f t="array" ref="C229">IF($H229="","",IFERROR(INDEX('Game Records'!$A:$A,$H229),""))</f>
        <v/>
      </c>
      <c r="D229" s="25" t="str">
        <f t="array" ref="D229">IF($H229="","",IFERROR(INDEX('Game Records'!$U:$U,$H229),""))</f>
        <v/>
      </c>
      <c r="E229" s="25" t="str">
        <f t="shared" si="3"/>
        <v/>
      </c>
      <c r="F229" s="25" t="str">
        <f t="array" ref="F229">IF($H229="","",IF(OR(NOT(_xlfn.ISFORMULA(INDEX('Game Records'!$N:$N,$H229))),NOT(_xlfn.ISFORMULA(INDEX('Game Records'!$O:$O,$H229))),NOT(_xlfn.ISFORMULA(INDEX('Game Records'!$P:$P,$H229))),NOT(_xlfn.ISFORMULA(INDEX('Game Records'!$Q:$Q,$H229))),NOT(_xlfn.ISFORMULA(INDEX('Game Records'!$R:$R,$H229))),NOT(_xlfn.ISFORMULA(INDEX('Game Records'!$S:$S,$H229))),NOT(_xlfn.ISFORMULA(INDEX('Game Records'!$T:$T,$H229))),NOT(_xlfn.ISFORMULA(INDEX('Game Records'!$U:$U,$H229))),NOT(_xlfn.ISFORMULA(INDEX('Game Records'!$V:$V,$H229))),NOT(_xlfn.ISFORMULA(INDEX('Game Records'!$W:$W,$H229))),NOT(_xlfn.ISFORMULA(INDEX('Game Records'!$X:$X,$H229))),NOT(_xlfn.ISFORMULA(INDEX('Game Records'!$Y:$Y,$H229))),NOT(_xlfn.ISFORMULA(INDEX('Game Records'!$Z:$Z,$H229)))),"","")&amp;IF(INDEX('Game Records'!$B:$B,$H229)="","Start Date; ","")&amp;IF(INDEX('Game Records'!$C:$C,$H229)="","End Date; ","")&amp;IF(AND(INDEX('Game Records'!$U:$U,$H229)&lt;&gt;"Subscription",INDEX('Game Records'!$U:$U,$H229)&lt;&gt;"Free Game",INDEX('Game Records'!$U:$U,$H229)&lt;&gt;"Disqualified — Free Game",OR(INDEX('Game Records'!$D:$D,$H229)="",LOWER(INDEX('Game Records'!$D:$D,$H229)&amp;"")="n/a")),"Entry Mode; ","")&amp;IF(AND(INDEX('Game Records'!$U:$U,$H229)&lt;&gt;"Subscription",INDEX('Game Records'!$U:$U,$H229)&lt;&gt;"Free Game",INDEX('Game Records'!$U:$U,$H229)&lt;&gt;"Disqualified — Free Game",OR(INDEX('Game Records'!$E:$E,$H229)="",LOWER(INDEX('Game Records'!$E:$E,$H229)&amp;"")="n/a")),"Game Type; ","")&amp;IF(INDEX('Game Records'!$F:$F,$H229)="","Payment Type; ","")&amp;IF(AND(INDEX('Game Records'!$U:$U,$H229)&lt;&gt;"Subscription",INDEX('Game Records'!$U:$U,$H229)&lt;&gt;"Free Game",INDEX('Game Records'!$U:$U,$H229)&lt;&gt;"Disqualified — Free Game",INDEX('Game Records'!$G:$G,$H229)=""),"Gross Pot; ","")&amp;IF(AND(INDEX('Game Records'!$U:$U,$H229)&lt;&gt;"Free Game",INDEX('Game Records'!$U:$U,$H229)&lt;&gt;"Disqualified — Free Game",INDEX('Game Records'!$H:$H,$H229)=""),"Entry Fee; ","")&amp;IF(AND(INDEX('Game Records'!$U:$U,$H229)&lt;&gt;"Subscription",INDEX('Game Records'!$U:$U,$H229)&lt;&gt;"Free Game",INDEX('Game Records'!$U:$U,$H229)&lt;&gt;"Disqualified — Free Game",INDEX('Game Records'!$I:$I,$H229)=""),"Eligible Players; ","")&amp;IF(AND(INDEX('Game Records'!$U:$U,$H229)&lt;&gt;"Subscription",INDEX('Game Records'!$U:$U,$H229)&lt;&gt;"Free Game",INDEX('Game Records'!$U:$U,$H229)&lt;&gt;"Disqualified — Free Game",INDEX('Game Records'!$J:$J,$H229)=""),"Total Players; ","")&amp;IF(AND(LOWER(INDEX('Game Records'!$D:$D,$H229)&amp;"")="finalized",LOWER(INDEX('Game Records'!$L:$L,$H229)&amp;"")&lt;&gt;"yes",INDEX('Game Records'!$U:$U,$H229)&lt;&gt;"Subscription",INDEX('Game Records'!$U:$U,$H229)&lt;&gt;"Free Game",INDEX('Game Records'!$U:$U,$H229)&lt;&gt;"Disqualified — Free Game",INDEX('Game Records'!$K:$K,$H229)=""),"Final Payout; ","")&amp;IF(AND(LOWER(INDEX('Game Records'!$D:$D,$H229)&amp;"")="finalized",INDEX('Game Records'!$U:$U,$H229)&lt;&gt;"Subscription",INDEX('Game Records'!$U:$U,$H229)&lt;&gt;"Free Game",INDEX('Game Records'!$U:$U,$H229)&lt;&gt;"Disqualified — Free Game",OR(INDEX('Game Records'!$L:$L,$H229)="",LOWER(INDEX('Game Records'!$L:$L,$H229)&amp;"")="n/a")),"Disqualified Status; ",""))</f>
        <v/>
      </c>
      <c r="G229" s="25" t="str">
        <f t="array" ref="G229">IF($H229="","",IFERROR(INDEX('Game Records'!$M:$M,$H229),""))</f>
        <v/>
      </c>
      <c r="H229" s="8"/>
    </row>
    <row r="230" ht="24.0" customHeight="1">
      <c r="A230" s="21" t="str">
        <f t="shared" si="1"/>
        <v/>
      </c>
      <c r="B230" s="21" t="str">
        <f t="shared" si="2"/>
        <v/>
      </c>
      <c r="C230" s="25" t="str">
        <f t="array" ref="C230">IF($H230="","",IFERROR(INDEX('Game Records'!$A:$A,$H230),""))</f>
        <v/>
      </c>
      <c r="D230" s="25" t="str">
        <f t="array" ref="D230">IF($H230="","",IFERROR(INDEX('Game Records'!$U:$U,$H230),""))</f>
        <v/>
      </c>
      <c r="E230" s="25" t="str">
        <f t="shared" si="3"/>
        <v/>
      </c>
      <c r="F230" s="25" t="str">
        <f t="array" ref="F230">IF($H230="","",IF(OR(NOT(_xlfn.ISFORMULA(INDEX('Game Records'!$N:$N,$H230))),NOT(_xlfn.ISFORMULA(INDEX('Game Records'!$O:$O,$H230))),NOT(_xlfn.ISFORMULA(INDEX('Game Records'!$P:$P,$H230))),NOT(_xlfn.ISFORMULA(INDEX('Game Records'!$Q:$Q,$H230))),NOT(_xlfn.ISFORMULA(INDEX('Game Records'!$R:$R,$H230))),NOT(_xlfn.ISFORMULA(INDEX('Game Records'!$S:$S,$H230))),NOT(_xlfn.ISFORMULA(INDEX('Game Records'!$T:$T,$H230))),NOT(_xlfn.ISFORMULA(INDEX('Game Records'!$U:$U,$H230))),NOT(_xlfn.ISFORMULA(INDEX('Game Records'!$V:$V,$H230))),NOT(_xlfn.ISFORMULA(INDEX('Game Records'!$W:$W,$H230))),NOT(_xlfn.ISFORMULA(INDEX('Game Records'!$X:$X,$H230))),NOT(_xlfn.ISFORMULA(INDEX('Game Records'!$Y:$Y,$H230))),NOT(_xlfn.ISFORMULA(INDEX('Game Records'!$Z:$Z,$H230)))),"","")&amp;IF(INDEX('Game Records'!$B:$B,$H230)="","Start Date; ","")&amp;IF(INDEX('Game Records'!$C:$C,$H230)="","End Date; ","")&amp;IF(AND(INDEX('Game Records'!$U:$U,$H230)&lt;&gt;"Subscription",INDEX('Game Records'!$U:$U,$H230)&lt;&gt;"Free Game",INDEX('Game Records'!$U:$U,$H230)&lt;&gt;"Disqualified — Free Game",OR(INDEX('Game Records'!$D:$D,$H230)="",LOWER(INDEX('Game Records'!$D:$D,$H230)&amp;"")="n/a")),"Entry Mode; ","")&amp;IF(AND(INDEX('Game Records'!$U:$U,$H230)&lt;&gt;"Subscription",INDEX('Game Records'!$U:$U,$H230)&lt;&gt;"Free Game",INDEX('Game Records'!$U:$U,$H230)&lt;&gt;"Disqualified — Free Game",OR(INDEX('Game Records'!$E:$E,$H230)="",LOWER(INDEX('Game Records'!$E:$E,$H230)&amp;"")="n/a")),"Game Type; ","")&amp;IF(INDEX('Game Records'!$F:$F,$H230)="","Payment Type; ","")&amp;IF(AND(INDEX('Game Records'!$U:$U,$H230)&lt;&gt;"Subscription",INDEX('Game Records'!$U:$U,$H230)&lt;&gt;"Free Game",INDEX('Game Records'!$U:$U,$H230)&lt;&gt;"Disqualified — Free Game",INDEX('Game Records'!$G:$G,$H230)=""),"Gross Pot; ","")&amp;IF(AND(INDEX('Game Records'!$U:$U,$H230)&lt;&gt;"Free Game",INDEX('Game Records'!$U:$U,$H230)&lt;&gt;"Disqualified — Free Game",INDEX('Game Records'!$H:$H,$H230)=""),"Entry Fee; ","")&amp;IF(AND(INDEX('Game Records'!$U:$U,$H230)&lt;&gt;"Subscription",INDEX('Game Records'!$U:$U,$H230)&lt;&gt;"Free Game",INDEX('Game Records'!$U:$U,$H230)&lt;&gt;"Disqualified — Free Game",INDEX('Game Records'!$I:$I,$H230)=""),"Eligible Players; ","")&amp;IF(AND(INDEX('Game Records'!$U:$U,$H230)&lt;&gt;"Subscription",INDEX('Game Records'!$U:$U,$H230)&lt;&gt;"Free Game",INDEX('Game Records'!$U:$U,$H230)&lt;&gt;"Disqualified — Free Game",INDEX('Game Records'!$J:$J,$H230)=""),"Total Players; ","")&amp;IF(AND(LOWER(INDEX('Game Records'!$D:$D,$H230)&amp;"")="finalized",LOWER(INDEX('Game Records'!$L:$L,$H230)&amp;"")&lt;&gt;"yes",INDEX('Game Records'!$U:$U,$H230)&lt;&gt;"Subscription",INDEX('Game Records'!$U:$U,$H230)&lt;&gt;"Free Game",INDEX('Game Records'!$U:$U,$H230)&lt;&gt;"Disqualified — Free Game",INDEX('Game Records'!$K:$K,$H230)=""),"Final Payout; ","")&amp;IF(AND(LOWER(INDEX('Game Records'!$D:$D,$H230)&amp;"")="finalized",INDEX('Game Records'!$U:$U,$H230)&lt;&gt;"Subscription",INDEX('Game Records'!$U:$U,$H230)&lt;&gt;"Free Game",INDEX('Game Records'!$U:$U,$H230)&lt;&gt;"Disqualified — Free Game",OR(INDEX('Game Records'!$L:$L,$H230)="",LOWER(INDEX('Game Records'!$L:$L,$H230)&amp;"")="n/a")),"Disqualified Status; ",""))</f>
        <v/>
      </c>
      <c r="G230" s="25" t="str">
        <f t="array" ref="G230">IF($H230="","",IFERROR(INDEX('Game Records'!$M:$M,$H230),""))</f>
        <v/>
      </c>
      <c r="H230" s="8"/>
    </row>
    <row r="231" ht="24.0" customHeight="1">
      <c r="A231" s="21" t="str">
        <f t="shared" si="1"/>
        <v/>
      </c>
      <c r="B231" s="21" t="str">
        <f t="shared" si="2"/>
        <v/>
      </c>
      <c r="C231" s="25" t="str">
        <f t="array" ref="C231">IF($H231="","",IFERROR(INDEX('Game Records'!$A:$A,$H231),""))</f>
        <v/>
      </c>
      <c r="D231" s="25" t="str">
        <f t="array" ref="D231">IF($H231="","",IFERROR(INDEX('Game Records'!$U:$U,$H231),""))</f>
        <v/>
      </c>
      <c r="E231" s="25" t="str">
        <f t="shared" si="3"/>
        <v/>
      </c>
      <c r="F231" s="25" t="str">
        <f t="array" ref="F231">IF($H231="","",IF(OR(NOT(_xlfn.ISFORMULA(INDEX('Game Records'!$N:$N,$H231))),NOT(_xlfn.ISFORMULA(INDEX('Game Records'!$O:$O,$H231))),NOT(_xlfn.ISFORMULA(INDEX('Game Records'!$P:$P,$H231))),NOT(_xlfn.ISFORMULA(INDEX('Game Records'!$Q:$Q,$H231))),NOT(_xlfn.ISFORMULA(INDEX('Game Records'!$R:$R,$H231))),NOT(_xlfn.ISFORMULA(INDEX('Game Records'!$S:$S,$H231))),NOT(_xlfn.ISFORMULA(INDEX('Game Records'!$T:$T,$H231))),NOT(_xlfn.ISFORMULA(INDEX('Game Records'!$U:$U,$H231))),NOT(_xlfn.ISFORMULA(INDEX('Game Records'!$V:$V,$H231))),NOT(_xlfn.ISFORMULA(INDEX('Game Records'!$W:$W,$H231))),NOT(_xlfn.ISFORMULA(INDEX('Game Records'!$X:$X,$H231))),NOT(_xlfn.ISFORMULA(INDEX('Game Records'!$Y:$Y,$H231))),NOT(_xlfn.ISFORMULA(INDEX('Game Records'!$Z:$Z,$H231)))),"","")&amp;IF(INDEX('Game Records'!$B:$B,$H231)="","Start Date; ","")&amp;IF(INDEX('Game Records'!$C:$C,$H231)="","End Date; ","")&amp;IF(AND(INDEX('Game Records'!$U:$U,$H231)&lt;&gt;"Subscription",INDEX('Game Records'!$U:$U,$H231)&lt;&gt;"Free Game",INDEX('Game Records'!$U:$U,$H231)&lt;&gt;"Disqualified — Free Game",OR(INDEX('Game Records'!$D:$D,$H231)="",LOWER(INDEX('Game Records'!$D:$D,$H231)&amp;"")="n/a")),"Entry Mode; ","")&amp;IF(AND(INDEX('Game Records'!$U:$U,$H231)&lt;&gt;"Subscription",INDEX('Game Records'!$U:$U,$H231)&lt;&gt;"Free Game",INDEX('Game Records'!$U:$U,$H231)&lt;&gt;"Disqualified — Free Game",OR(INDEX('Game Records'!$E:$E,$H231)="",LOWER(INDEX('Game Records'!$E:$E,$H231)&amp;"")="n/a")),"Game Type; ","")&amp;IF(INDEX('Game Records'!$F:$F,$H231)="","Payment Type; ","")&amp;IF(AND(INDEX('Game Records'!$U:$U,$H231)&lt;&gt;"Subscription",INDEX('Game Records'!$U:$U,$H231)&lt;&gt;"Free Game",INDEX('Game Records'!$U:$U,$H231)&lt;&gt;"Disqualified — Free Game",INDEX('Game Records'!$G:$G,$H231)=""),"Gross Pot; ","")&amp;IF(AND(INDEX('Game Records'!$U:$U,$H231)&lt;&gt;"Free Game",INDEX('Game Records'!$U:$U,$H231)&lt;&gt;"Disqualified — Free Game",INDEX('Game Records'!$H:$H,$H231)=""),"Entry Fee; ","")&amp;IF(AND(INDEX('Game Records'!$U:$U,$H231)&lt;&gt;"Subscription",INDEX('Game Records'!$U:$U,$H231)&lt;&gt;"Free Game",INDEX('Game Records'!$U:$U,$H231)&lt;&gt;"Disqualified — Free Game",INDEX('Game Records'!$I:$I,$H231)=""),"Eligible Players; ","")&amp;IF(AND(INDEX('Game Records'!$U:$U,$H231)&lt;&gt;"Subscription",INDEX('Game Records'!$U:$U,$H231)&lt;&gt;"Free Game",INDEX('Game Records'!$U:$U,$H231)&lt;&gt;"Disqualified — Free Game",INDEX('Game Records'!$J:$J,$H231)=""),"Total Players; ","")&amp;IF(AND(LOWER(INDEX('Game Records'!$D:$D,$H231)&amp;"")="finalized",LOWER(INDEX('Game Records'!$L:$L,$H231)&amp;"")&lt;&gt;"yes",INDEX('Game Records'!$U:$U,$H231)&lt;&gt;"Subscription",INDEX('Game Records'!$U:$U,$H231)&lt;&gt;"Free Game",INDEX('Game Records'!$U:$U,$H231)&lt;&gt;"Disqualified — Free Game",INDEX('Game Records'!$K:$K,$H231)=""),"Final Payout; ","")&amp;IF(AND(LOWER(INDEX('Game Records'!$D:$D,$H231)&amp;"")="finalized",INDEX('Game Records'!$U:$U,$H231)&lt;&gt;"Subscription",INDEX('Game Records'!$U:$U,$H231)&lt;&gt;"Free Game",INDEX('Game Records'!$U:$U,$H231)&lt;&gt;"Disqualified — Free Game",OR(INDEX('Game Records'!$L:$L,$H231)="",LOWER(INDEX('Game Records'!$L:$L,$H231)&amp;"")="n/a")),"Disqualified Status; ",""))</f>
        <v/>
      </c>
      <c r="G231" s="25" t="str">
        <f t="array" ref="G231">IF($H231="","",IFERROR(INDEX('Game Records'!$M:$M,$H231),""))</f>
        <v/>
      </c>
      <c r="H231" s="8"/>
    </row>
    <row r="232" ht="24.0" customHeight="1">
      <c r="A232" s="21" t="str">
        <f t="shared" si="1"/>
        <v/>
      </c>
      <c r="B232" s="21" t="str">
        <f t="shared" si="2"/>
        <v/>
      </c>
      <c r="C232" s="25" t="str">
        <f t="array" ref="C232">IF($H232="","",IFERROR(INDEX('Game Records'!$A:$A,$H232),""))</f>
        <v/>
      </c>
      <c r="D232" s="25" t="str">
        <f t="array" ref="D232">IF($H232="","",IFERROR(INDEX('Game Records'!$U:$U,$H232),""))</f>
        <v/>
      </c>
      <c r="E232" s="25" t="str">
        <f t="shared" si="3"/>
        <v/>
      </c>
      <c r="F232" s="25" t="str">
        <f t="array" ref="F232">IF($H232="","",IF(OR(NOT(_xlfn.ISFORMULA(INDEX('Game Records'!$N:$N,$H232))),NOT(_xlfn.ISFORMULA(INDEX('Game Records'!$O:$O,$H232))),NOT(_xlfn.ISFORMULA(INDEX('Game Records'!$P:$P,$H232))),NOT(_xlfn.ISFORMULA(INDEX('Game Records'!$Q:$Q,$H232))),NOT(_xlfn.ISFORMULA(INDEX('Game Records'!$R:$R,$H232))),NOT(_xlfn.ISFORMULA(INDEX('Game Records'!$S:$S,$H232))),NOT(_xlfn.ISFORMULA(INDEX('Game Records'!$T:$T,$H232))),NOT(_xlfn.ISFORMULA(INDEX('Game Records'!$U:$U,$H232))),NOT(_xlfn.ISFORMULA(INDEX('Game Records'!$V:$V,$H232))),NOT(_xlfn.ISFORMULA(INDEX('Game Records'!$W:$W,$H232))),NOT(_xlfn.ISFORMULA(INDEX('Game Records'!$X:$X,$H232))),NOT(_xlfn.ISFORMULA(INDEX('Game Records'!$Y:$Y,$H232))),NOT(_xlfn.ISFORMULA(INDEX('Game Records'!$Z:$Z,$H232)))),"","")&amp;IF(INDEX('Game Records'!$B:$B,$H232)="","Start Date; ","")&amp;IF(INDEX('Game Records'!$C:$C,$H232)="","End Date; ","")&amp;IF(AND(INDEX('Game Records'!$U:$U,$H232)&lt;&gt;"Subscription",INDEX('Game Records'!$U:$U,$H232)&lt;&gt;"Free Game",INDEX('Game Records'!$U:$U,$H232)&lt;&gt;"Disqualified — Free Game",OR(INDEX('Game Records'!$D:$D,$H232)="",LOWER(INDEX('Game Records'!$D:$D,$H232)&amp;"")="n/a")),"Entry Mode; ","")&amp;IF(AND(INDEX('Game Records'!$U:$U,$H232)&lt;&gt;"Subscription",INDEX('Game Records'!$U:$U,$H232)&lt;&gt;"Free Game",INDEX('Game Records'!$U:$U,$H232)&lt;&gt;"Disqualified — Free Game",OR(INDEX('Game Records'!$E:$E,$H232)="",LOWER(INDEX('Game Records'!$E:$E,$H232)&amp;"")="n/a")),"Game Type; ","")&amp;IF(INDEX('Game Records'!$F:$F,$H232)="","Payment Type; ","")&amp;IF(AND(INDEX('Game Records'!$U:$U,$H232)&lt;&gt;"Subscription",INDEX('Game Records'!$U:$U,$H232)&lt;&gt;"Free Game",INDEX('Game Records'!$U:$U,$H232)&lt;&gt;"Disqualified — Free Game",INDEX('Game Records'!$G:$G,$H232)=""),"Gross Pot; ","")&amp;IF(AND(INDEX('Game Records'!$U:$U,$H232)&lt;&gt;"Free Game",INDEX('Game Records'!$U:$U,$H232)&lt;&gt;"Disqualified — Free Game",INDEX('Game Records'!$H:$H,$H232)=""),"Entry Fee; ","")&amp;IF(AND(INDEX('Game Records'!$U:$U,$H232)&lt;&gt;"Subscription",INDEX('Game Records'!$U:$U,$H232)&lt;&gt;"Free Game",INDEX('Game Records'!$U:$U,$H232)&lt;&gt;"Disqualified — Free Game",INDEX('Game Records'!$I:$I,$H232)=""),"Eligible Players; ","")&amp;IF(AND(INDEX('Game Records'!$U:$U,$H232)&lt;&gt;"Subscription",INDEX('Game Records'!$U:$U,$H232)&lt;&gt;"Free Game",INDEX('Game Records'!$U:$U,$H232)&lt;&gt;"Disqualified — Free Game",INDEX('Game Records'!$J:$J,$H232)=""),"Total Players; ","")&amp;IF(AND(LOWER(INDEX('Game Records'!$D:$D,$H232)&amp;"")="finalized",LOWER(INDEX('Game Records'!$L:$L,$H232)&amp;"")&lt;&gt;"yes",INDEX('Game Records'!$U:$U,$H232)&lt;&gt;"Subscription",INDEX('Game Records'!$U:$U,$H232)&lt;&gt;"Free Game",INDEX('Game Records'!$U:$U,$H232)&lt;&gt;"Disqualified — Free Game",INDEX('Game Records'!$K:$K,$H232)=""),"Final Payout; ","")&amp;IF(AND(LOWER(INDEX('Game Records'!$D:$D,$H232)&amp;"")="finalized",INDEX('Game Records'!$U:$U,$H232)&lt;&gt;"Subscription",INDEX('Game Records'!$U:$U,$H232)&lt;&gt;"Free Game",INDEX('Game Records'!$U:$U,$H232)&lt;&gt;"Disqualified — Free Game",OR(INDEX('Game Records'!$L:$L,$H232)="",LOWER(INDEX('Game Records'!$L:$L,$H232)&amp;"")="n/a")),"Disqualified Status; ",""))</f>
        <v/>
      </c>
      <c r="G232" s="25" t="str">
        <f t="array" ref="G232">IF($H232="","",IFERROR(INDEX('Game Records'!$M:$M,$H232),""))</f>
        <v/>
      </c>
      <c r="H232" s="8"/>
    </row>
    <row r="233" ht="24.0" customHeight="1">
      <c r="A233" s="21" t="str">
        <f t="shared" si="1"/>
        <v/>
      </c>
      <c r="B233" s="21" t="str">
        <f t="shared" si="2"/>
        <v/>
      </c>
      <c r="C233" s="25" t="str">
        <f t="array" ref="C233">IF($H233="","",IFERROR(INDEX('Game Records'!$A:$A,$H233),""))</f>
        <v/>
      </c>
      <c r="D233" s="25" t="str">
        <f t="array" ref="D233">IF($H233="","",IFERROR(INDEX('Game Records'!$U:$U,$H233),""))</f>
        <v/>
      </c>
      <c r="E233" s="25" t="str">
        <f t="shared" si="3"/>
        <v/>
      </c>
      <c r="F233" s="25" t="str">
        <f t="array" ref="F233">IF($H233="","",IF(OR(NOT(_xlfn.ISFORMULA(INDEX('Game Records'!$N:$N,$H233))),NOT(_xlfn.ISFORMULA(INDEX('Game Records'!$O:$O,$H233))),NOT(_xlfn.ISFORMULA(INDEX('Game Records'!$P:$P,$H233))),NOT(_xlfn.ISFORMULA(INDEX('Game Records'!$Q:$Q,$H233))),NOT(_xlfn.ISFORMULA(INDEX('Game Records'!$R:$R,$H233))),NOT(_xlfn.ISFORMULA(INDEX('Game Records'!$S:$S,$H233))),NOT(_xlfn.ISFORMULA(INDEX('Game Records'!$T:$T,$H233))),NOT(_xlfn.ISFORMULA(INDEX('Game Records'!$U:$U,$H233))),NOT(_xlfn.ISFORMULA(INDEX('Game Records'!$V:$V,$H233))),NOT(_xlfn.ISFORMULA(INDEX('Game Records'!$W:$W,$H233))),NOT(_xlfn.ISFORMULA(INDEX('Game Records'!$X:$X,$H233))),NOT(_xlfn.ISFORMULA(INDEX('Game Records'!$Y:$Y,$H233))),NOT(_xlfn.ISFORMULA(INDEX('Game Records'!$Z:$Z,$H233)))),"","")&amp;IF(INDEX('Game Records'!$B:$B,$H233)="","Start Date; ","")&amp;IF(INDEX('Game Records'!$C:$C,$H233)="","End Date; ","")&amp;IF(AND(INDEX('Game Records'!$U:$U,$H233)&lt;&gt;"Subscription",INDEX('Game Records'!$U:$U,$H233)&lt;&gt;"Free Game",INDEX('Game Records'!$U:$U,$H233)&lt;&gt;"Disqualified — Free Game",OR(INDEX('Game Records'!$D:$D,$H233)="",LOWER(INDEX('Game Records'!$D:$D,$H233)&amp;"")="n/a")),"Entry Mode; ","")&amp;IF(AND(INDEX('Game Records'!$U:$U,$H233)&lt;&gt;"Subscription",INDEX('Game Records'!$U:$U,$H233)&lt;&gt;"Free Game",INDEX('Game Records'!$U:$U,$H233)&lt;&gt;"Disqualified — Free Game",OR(INDEX('Game Records'!$E:$E,$H233)="",LOWER(INDEX('Game Records'!$E:$E,$H233)&amp;"")="n/a")),"Game Type; ","")&amp;IF(INDEX('Game Records'!$F:$F,$H233)="","Payment Type; ","")&amp;IF(AND(INDEX('Game Records'!$U:$U,$H233)&lt;&gt;"Subscription",INDEX('Game Records'!$U:$U,$H233)&lt;&gt;"Free Game",INDEX('Game Records'!$U:$U,$H233)&lt;&gt;"Disqualified — Free Game",INDEX('Game Records'!$G:$G,$H233)=""),"Gross Pot; ","")&amp;IF(AND(INDEX('Game Records'!$U:$U,$H233)&lt;&gt;"Free Game",INDEX('Game Records'!$U:$U,$H233)&lt;&gt;"Disqualified — Free Game",INDEX('Game Records'!$H:$H,$H233)=""),"Entry Fee; ","")&amp;IF(AND(INDEX('Game Records'!$U:$U,$H233)&lt;&gt;"Subscription",INDEX('Game Records'!$U:$U,$H233)&lt;&gt;"Free Game",INDEX('Game Records'!$U:$U,$H233)&lt;&gt;"Disqualified — Free Game",INDEX('Game Records'!$I:$I,$H233)=""),"Eligible Players; ","")&amp;IF(AND(INDEX('Game Records'!$U:$U,$H233)&lt;&gt;"Subscription",INDEX('Game Records'!$U:$U,$H233)&lt;&gt;"Free Game",INDEX('Game Records'!$U:$U,$H233)&lt;&gt;"Disqualified — Free Game",INDEX('Game Records'!$J:$J,$H233)=""),"Total Players; ","")&amp;IF(AND(LOWER(INDEX('Game Records'!$D:$D,$H233)&amp;"")="finalized",LOWER(INDEX('Game Records'!$L:$L,$H233)&amp;"")&lt;&gt;"yes",INDEX('Game Records'!$U:$U,$H233)&lt;&gt;"Subscription",INDEX('Game Records'!$U:$U,$H233)&lt;&gt;"Free Game",INDEX('Game Records'!$U:$U,$H233)&lt;&gt;"Disqualified — Free Game",INDEX('Game Records'!$K:$K,$H233)=""),"Final Payout; ","")&amp;IF(AND(LOWER(INDEX('Game Records'!$D:$D,$H233)&amp;"")="finalized",INDEX('Game Records'!$U:$U,$H233)&lt;&gt;"Subscription",INDEX('Game Records'!$U:$U,$H233)&lt;&gt;"Free Game",INDEX('Game Records'!$U:$U,$H233)&lt;&gt;"Disqualified — Free Game",OR(INDEX('Game Records'!$L:$L,$H233)="",LOWER(INDEX('Game Records'!$L:$L,$H233)&amp;"")="n/a")),"Disqualified Status; ",""))</f>
        <v/>
      </c>
      <c r="G233" s="25" t="str">
        <f t="array" ref="G233">IF($H233="","",IFERROR(INDEX('Game Records'!$M:$M,$H233),""))</f>
        <v/>
      </c>
      <c r="H233" s="8"/>
    </row>
    <row r="234" ht="24.0" customHeight="1">
      <c r="A234" s="21" t="str">
        <f t="shared" si="1"/>
        <v/>
      </c>
      <c r="B234" s="21" t="str">
        <f t="shared" si="2"/>
        <v/>
      </c>
      <c r="C234" s="25" t="str">
        <f t="array" ref="C234">IF($H234="","",IFERROR(INDEX('Game Records'!$A:$A,$H234),""))</f>
        <v/>
      </c>
      <c r="D234" s="25" t="str">
        <f t="array" ref="D234">IF($H234="","",IFERROR(INDEX('Game Records'!$U:$U,$H234),""))</f>
        <v/>
      </c>
      <c r="E234" s="25" t="str">
        <f t="shared" si="3"/>
        <v/>
      </c>
      <c r="F234" s="25" t="str">
        <f t="array" ref="F234">IF($H234="","",IF(OR(NOT(_xlfn.ISFORMULA(INDEX('Game Records'!$N:$N,$H234))),NOT(_xlfn.ISFORMULA(INDEX('Game Records'!$O:$O,$H234))),NOT(_xlfn.ISFORMULA(INDEX('Game Records'!$P:$P,$H234))),NOT(_xlfn.ISFORMULA(INDEX('Game Records'!$Q:$Q,$H234))),NOT(_xlfn.ISFORMULA(INDEX('Game Records'!$R:$R,$H234))),NOT(_xlfn.ISFORMULA(INDEX('Game Records'!$S:$S,$H234))),NOT(_xlfn.ISFORMULA(INDEX('Game Records'!$T:$T,$H234))),NOT(_xlfn.ISFORMULA(INDEX('Game Records'!$U:$U,$H234))),NOT(_xlfn.ISFORMULA(INDEX('Game Records'!$V:$V,$H234))),NOT(_xlfn.ISFORMULA(INDEX('Game Records'!$W:$W,$H234))),NOT(_xlfn.ISFORMULA(INDEX('Game Records'!$X:$X,$H234))),NOT(_xlfn.ISFORMULA(INDEX('Game Records'!$Y:$Y,$H234))),NOT(_xlfn.ISFORMULA(INDEX('Game Records'!$Z:$Z,$H234)))),"","")&amp;IF(INDEX('Game Records'!$B:$B,$H234)="","Start Date; ","")&amp;IF(INDEX('Game Records'!$C:$C,$H234)="","End Date; ","")&amp;IF(AND(INDEX('Game Records'!$U:$U,$H234)&lt;&gt;"Subscription",INDEX('Game Records'!$U:$U,$H234)&lt;&gt;"Free Game",INDEX('Game Records'!$U:$U,$H234)&lt;&gt;"Disqualified — Free Game",OR(INDEX('Game Records'!$D:$D,$H234)="",LOWER(INDEX('Game Records'!$D:$D,$H234)&amp;"")="n/a")),"Entry Mode; ","")&amp;IF(AND(INDEX('Game Records'!$U:$U,$H234)&lt;&gt;"Subscription",INDEX('Game Records'!$U:$U,$H234)&lt;&gt;"Free Game",INDEX('Game Records'!$U:$U,$H234)&lt;&gt;"Disqualified — Free Game",OR(INDEX('Game Records'!$E:$E,$H234)="",LOWER(INDEX('Game Records'!$E:$E,$H234)&amp;"")="n/a")),"Game Type; ","")&amp;IF(INDEX('Game Records'!$F:$F,$H234)="","Payment Type; ","")&amp;IF(AND(INDEX('Game Records'!$U:$U,$H234)&lt;&gt;"Subscription",INDEX('Game Records'!$U:$U,$H234)&lt;&gt;"Free Game",INDEX('Game Records'!$U:$U,$H234)&lt;&gt;"Disqualified — Free Game",INDEX('Game Records'!$G:$G,$H234)=""),"Gross Pot; ","")&amp;IF(AND(INDEX('Game Records'!$U:$U,$H234)&lt;&gt;"Free Game",INDEX('Game Records'!$U:$U,$H234)&lt;&gt;"Disqualified — Free Game",INDEX('Game Records'!$H:$H,$H234)=""),"Entry Fee; ","")&amp;IF(AND(INDEX('Game Records'!$U:$U,$H234)&lt;&gt;"Subscription",INDEX('Game Records'!$U:$U,$H234)&lt;&gt;"Free Game",INDEX('Game Records'!$U:$U,$H234)&lt;&gt;"Disqualified — Free Game",INDEX('Game Records'!$I:$I,$H234)=""),"Eligible Players; ","")&amp;IF(AND(INDEX('Game Records'!$U:$U,$H234)&lt;&gt;"Subscription",INDEX('Game Records'!$U:$U,$H234)&lt;&gt;"Free Game",INDEX('Game Records'!$U:$U,$H234)&lt;&gt;"Disqualified — Free Game",INDEX('Game Records'!$J:$J,$H234)=""),"Total Players; ","")&amp;IF(AND(LOWER(INDEX('Game Records'!$D:$D,$H234)&amp;"")="finalized",LOWER(INDEX('Game Records'!$L:$L,$H234)&amp;"")&lt;&gt;"yes",INDEX('Game Records'!$U:$U,$H234)&lt;&gt;"Subscription",INDEX('Game Records'!$U:$U,$H234)&lt;&gt;"Free Game",INDEX('Game Records'!$U:$U,$H234)&lt;&gt;"Disqualified — Free Game",INDEX('Game Records'!$K:$K,$H234)=""),"Final Payout; ","")&amp;IF(AND(LOWER(INDEX('Game Records'!$D:$D,$H234)&amp;"")="finalized",INDEX('Game Records'!$U:$U,$H234)&lt;&gt;"Subscription",INDEX('Game Records'!$U:$U,$H234)&lt;&gt;"Free Game",INDEX('Game Records'!$U:$U,$H234)&lt;&gt;"Disqualified — Free Game",OR(INDEX('Game Records'!$L:$L,$H234)="",LOWER(INDEX('Game Records'!$L:$L,$H234)&amp;"")="n/a")),"Disqualified Status; ",""))</f>
        <v/>
      </c>
      <c r="G234" s="25" t="str">
        <f t="array" ref="G234">IF($H234="","",IFERROR(INDEX('Game Records'!$M:$M,$H234),""))</f>
        <v/>
      </c>
      <c r="H234" s="8"/>
    </row>
    <row r="235" ht="24.0" customHeight="1">
      <c r="A235" s="21" t="str">
        <f t="shared" si="1"/>
        <v/>
      </c>
      <c r="B235" s="21" t="str">
        <f t="shared" si="2"/>
        <v/>
      </c>
      <c r="C235" s="25" t="str">
        <f t="array" ref="C235">IF($H235="","",IFERROR(INDEX('Game Records'!$A:$A,$H235),""))</f>
        <v/>
      </c>
      <c r="D235" s="25" t="str">
        <f t="array" ref="D235">IF($H235="","",IFERROR(INDEX('Game Records'!$U:$U,$H235),""))</f>
        <v/>
      </c>
      <c r="E235" s="25" t="str">
        <f t="shared" si="3"/>
        <v/>
      </c>
      <c r="F235" s="25" t="str">
        <f t="array" ref="F235">IF($H235="","",IF(OR(NOT(_xlfn.ISFORMULA(INDEX('Game Records'!$N:$N,$H235))),NOT(_xlfn.ISFORMULA(INDEX('Game Records'!$O:$O,$H235))),NOT(_xlfn.ISFORMULA(INDEX('Game Records'!$P:$P,$H235))),NOT(_xlfn.ISFORMULA(INDEX('Game Records'!$Q:$Q,$H235))),NOT(_xlfn.ISFORMULA(INDEX('Game Records'!$R:$R,$H235))),NOT(_xlfn.ISFORMULA(INDEX('Game Records'!$S:$S,$H235))),NOT(_xlfn.ISFORMULA(INDEX('Game Records'!$T:$T,$H235))),NOT(_xlfn.ISFORMULA(INDEX('Game Records'!$U:$U,$H235))),NOT(_xlfn.ISFORMULA(INDEX('Game Records'!$V:$V,$H235))),NOT(_xlfn.ISFORMULA(INDEX('Game Records'!$W:$W,$H235))),NOT(_xlfn.ISFORMULA(INDEX('Game Records'!$X:$X,$H235))),NOT(_xlfn.ISFORMULA(INDEX('Game Records'!$Y:$Y,$H235))),NOT(_xlfn.ISFORMULA(INDEX('Game Records'!$Z:$Z,$H235)))),"","")&amp;IF(INDEX('Game Records'!$B:$B,$H235)="","Start Date; ","")&amp;IF(INDEX('Game Records'!$C:$C,$H235)="","End Date; ","")&amp;IF(AND(INDEX('Game Records'!$U:$U,$H235)&lt;&gt;"Subscription",INDEX('Game Records'!$U:$U,$H235)&lt;&gt;"Free Game",INDEX('Game Records'!$U:$U,$H235)&lt;&gt;"Disqualified — Free Game",OR(INDEX('Game Records'!$D:$D,$H235)="",LOWER(INDEX('Game Records'!$D:$D,$H235)&amp;"")="n/a")),"Entry Mode; ","")&amp;IF(AND(INDEX('Game Records'!$U:$U,$H235)&lt;&gt;"Subscription",INDEX('Game Records'!$U:$U,$H235)&lt;&gt;"Free Game",INDEX('Game Records'!$U:$U,$H235)&lt;&gt;"Disqualified — Free Game",OR(INDEX('Game Records'!$E:$E,$H235)="",LOWER(INDEX('Game Records'!$E:$E,$H235)&amp;"")="n/a")),"Game Type; ","")&amp;IF(INDEX('Game Records'!$F:$F,$H235)="","Payment Type; ","")&amp;IF(AND(INDEX('Game Records'!$U:$U,$H235)&lt;&gt;"Subscription",INDEX('Game Records'!$U:$U,$H235)&lt;&gt;"Free Game",INDEX('Game Records'!$U:$U,$H235)&lt;&gt;"Disqualified — Free Game",INDEX('Game Records'!$G:$G,$H235)=""),"Gross Pot; ","")&amp;IF(AND(INDEX('Game Records'!$U:$U,$H235)&lt;&gt;"Free Game",INDEX('Game Records'!$U:$U,$H235)&lt;&gt;"Disqualified — Free Game",INDEX('Game Records'!$H:$H,$H235)=""),"Entry Fee; ","")&amp;IF(AND(INDEX('Game Records'!$U:$U,$H235)&lt;&gt;"Subscription",INDEX('Game Records'!$U:$U,$H235)&lt;&gt;"Free Game",INDEX('Game Records'!$U:$U,$H235)&lt;&gt;"Disqualified — Free Game",INDEX('Game Records'!$I:$I,$H235)=""),"Eligible Players; ","")&amp;IF(AND(INDEX('Game Records'!$U:$U,$H235)&lt;&gt;"Subscription",INDEX('Game Records'!$U:$U,$H235)&lt;&gt;"Free Game",INDEX('Game Records'!$U:$U,$H235)&lt;&gt;"Disqualified — Free Game",INDEX('Game Records'!$J:$J,$H235)=""),"Total Players; ","")&amp;IF(AND(LOWER(INDEX('Game Records'!$D:$D,$H235)&amp;"")="finalized",LOWER(INDEX('Game Records'!$L:$L,$H235)&amp;"")&lt;&gt;"yes",INDEX('Game Records'!$U:$U,$H235)&lt;&gt;"Subscription",INDEX('Game Records'!$U:$U,$H235)&lt;&gt;"Free Game",INDEX('Game Records'!$U:$U,$H235)&lt;&gt;"Disqualified — Free Game",INDEX('Game Records'!$K:$K,$H235)=""),"Final Payout; ","")&amp;IF(AND(LOWER(INDEX('Game Records'!$D:$D,$H235)&amp;"")="finalized",INDEX('Game Records'!$U:$U,$H235)&lt;&gt;"Subscription",INDEX('Game Records'!$U:$U,$H235)&lt;&gt;"Free Game",INDEX('Game Records'!$U:$U,$H235)&lt;&gt;"Disqualified — Free Game",OR(INDEX('Game Records'!$L:$L,$H235)="",LOWER(INDEX('Game Records'!$L:$L,$H235)&amp;"")="n/a")),"Disqualified Status; ",""))</f>
        <v/>
      </c>
      <c r="G235" s="25" t="str">
        <f t="array" ref="G235">IF($H235="","",IFERROR(INDEX('Game Records'!$M:$M,$H235),""))</f>
        <v/>
      </c>
      <c r="H235" s="8"/>
    </row>
    <row r="236" ht="24.0" customHeight="1">
      <c r="A236" s="21" t="str">
        <f t="shared" si="1"/>
        <v/>
      </c>
      <c r="B236" s="21" t="str">
        <f t="shared" si="2"/>
        <v/>
      </c>
      <c r="C236" s="25" t="str">
        <f t="array" ref="C236">IF($H236="","",IFERROR(INDEX('Game Records'!$A:$A,$H236),""))</f>
        <v/>
      </c>
      <c r="D236" s="25" t="str">
        <f t="array" ref="D236">IF($H236="","",IFERROR(INDEX('Game Records'!$U:$U,$H236),""))</f>
        <v/>
      </c>
      <c r="E236" s="25" t="str">
        <f t="shared" si="3"/>
        <v/>
      </c>
      <c r="F236" s="25" t="str">
        <f t="array" ref="F236">IF($H236="","",IF(OR(NOT(_xlfn.ISFORMULA(INDEX('Game Records'!$N:$N,$H236))),NOT(_xlfn.ISFORMULA(INDEX('Game Records'!$O:$O,$H236))),NOT(_xlfn.ISFORMULA(INDEX('Game Records'!$P:$P,$H236))),NOT(_xlfn.ISFORMULA(INDEX('Game Records'!$Q:$Q,$H236))),NOT(_xlfn.ISFORMULA(INDEX('Game Records'!$R:$R,$H236))),NOT(_xlfn.ISFORMULA(INDEX('Game Records'!$S:$S,$H236))),NOT(_xlfn.ISFORMULA(INDEX('Game Records'!$T:$T,$H236))),NOT(_xlfn.ISFORMULA(INDEX('Game Records'!$U:$U,$H236))),NOT(_xlfn.ISFORMULA(INDEX('Game Records'!$V:$V,$H236))),NOT(_xlfn.ISFORMULA(INDEX('Game Records'!$W:$W,$H236))),NOT(_xlfn.ISFORMULA(INDEX('Game Records'!$X:$X,$H236))),NOT(_xlfn.ISFORMULA(INDEX('Game Records'!$Y:$Y,$H236))),NOT(_xlfn.ISFORMULA(INDEX('Game Records'!$Z:$Z,$H236)))),"","")&amp;IF(INDEX('Game Records'!$B:$B,$H236)="","Start Date; ","")&amp;IF(INDEX('Game Records'!$C:$C,$H236)="","End Date; ","")&amp;IF(AND(INDEX('Game Records'!$U:$U,$H236)&lt;&gt;"Subscription",INDEX('Game Records'!$U:$U,$H236)&lt;&gt;"Free Game",INDEX('Game Records'!$U:$U,$H236)&lt;&gt;"Disqualified — Free Game",OR(INDEX('Game Records'!$D:$D,$H236)="",LOWER(INDEX('Game Records'!$D:$D,$H236)&amp;"")="n/a")),"Entry Mode; ","")&amp;IF(AND(INDEX('Game Records'!$U:$U,$H236)&lt;&gt;"Subscription",INDEX('Game Records'!$U:$U,$H236)&lt;&gt;"Free Game",INDEX('Game Records'!$U:$U,$H236)&lt;&gt;"Disqualified — Free Game",OR(INDEX('Game Records'!$E:$E,$H236)="",LOWER(INDEX('Game Records'!$E:$E,$H236)&amp;"")="n/a")),"Game Type; ","")&amp;IF(INDEX('Game Records'!$F:$F,$H236)="","Payment Type; ","")&amp;IF(AND(INDEX('Game Records'!$U:$U,$H236)&lt;&gt;"Subscription",INDEX('Game Records'!$U:$U,$H236)&lt;&gt;"Free Game",INDEX('Game Records'!$U:$U,$H236)&lt;&gt;"Disqualified — Free Game",INDEX('Game Records'!$G:$G,$H236)=""),"Gross Pot; ","")&amp;IF(AND(INDEX('Game Records'!$U:$U,$H236)&lt;&gt;"Free Game",INDEX('Game Records'!$U:$U,$H236)&lt;&gt;"Disqualified — Free Game",INDEX('Game Records'!$H:$H,$H236)=""),"Entry Fee; ","")&amp;IF(AND(INDEX('Game Records'!$U:$U,$H236)&lt;&gt;"Subscription",INDEX('Game Records'!$U:$U,$H236)&lt;&gt;"Free Game",INDEX('Game Records'!$U:$U,$H236)&lt;&gt;"Disqualified — Free Game",INDEX('Game Records'!$I:$I,$H236)=""),"Eligible Players; ","")&amp;IF(AND(INDEX('Game Records'!$U:$U,$H236)&lt;&gt;"Subscription",INDEX('Game Records'!$U:$U,$H236)&lt;&gt;"Free Game",INDEX('Game Records'!$U:$U,$H236)&lt;&gt;"Disqualified — Free Game",INDEX('Game Records'!$J:$J,$H236)=""),"Total Players; ","")&amp;IF(AND(LOWER(INDEX('Game Records'!$D:$D,$H236)&amp;"")="finalized",LOWER(INDEX('Game Records'!$L:$L,$H236)&amp;"")&lt;&gt;"yes",INDEX('Game Records'!$U:$U,$H236)&lt;&gt;"Subscription",INDEX('Game Records'!$U:$U,$H236)&lt;&gt;"Free Game",INDEX('Game Records'!$U:$U,$H236)&lt;&gt;"Disqualified — Free Game",INDEX('Game Records'!$K:$K,$H236)=""),"Final Payout; ","")&amp;IF(AND(LOWER(INDEX('Game Records'!$D:$D,$H236)&amp;"")="finalized",INDEX('Game Records'!$U:$U,$H236)&lt;&gt;"Subscription",INDEX('Game Records'!$U:$U,$H236)&lt;&gt;"Free Game",INDEX('Game Records'!$U:$U,$H236)&lt;&gt;"Disqualified — Free Game",OR(INDEX('Game Records'!$L:$L,$H236)="",LOWER(INDEX('Game Records'!$L:$L,$H236)&amp;"")="n/a")),"Disqualified Status; ",""))</f>
        <v/>
      </c>
      <c r="G236" s="25" t="str">
        <f t="array" ref="G236">IF($H236="","",IFERROR(INDEX('Game Records'!$M:$M,$H236),""))</f>
        <v/>
      </c>
      <c r="H236" s="8"/>
    </row>
    <row r="237" ht="24.0" customHeight="1">
      <c r="A237" s="21" t="str">
        <f t="shared" si="1"/>
        <v/>
      </c>
      <c r="B237" s="21" t="str">
        <f t="shared" si="2"/>
        <v/>
      </c>
      <c r="C237" s="25" t="str">
        <f t="array" ref="C237">IF($H237="","",IFERROR(INDEX('Game Records'!$A:$A,$H237),""))</f>
        <v/>
      </c>
      <c r="D237" s="25" t="str">
        <f t="array" ref="D237">IF($H237="","",IFERROR(INDEX('Game Records'!$U:$U,$H237),""))</f>
        <v/>
      </c>
      <c r="E237" s="25" t="str">
        <f t="shared" si="3"/>
        <v/>
      </c>
      <c r="F237" s="25" t="str">
        <f t="array" ref="F237">IF($H237="","",IF(OR(NOT(_xlfn.ISFORMULA(INDEX('Game Records'!$N:$N,$H237))),NOT(_xlfn.ISFORMULA(INDEX('Game Records'!$O:$O,$H237))),NOT(_xlfn.ISFORMULA(INDEX('Game Records'!$P:$P,$H237))),NOT(_xlfn.ISFORMULA(INDEX('Game Records'!$Q:$Q,$H237))),NOT(_xlfn.ISFORMULA(INDEX('Game Records'!$R:$R,$H237))),NOT(_xlfn.ISFORMULA(INDEX('Game Records'!$S:$S,$H237))),NOT(_xlfn.ISFORMULA(INDEX('Game Records'!$T:$T,$H237))),NOT(_xlfn.ISFORMULA(INDEX('Game Records'!$U:$U,$H237))),NOT(_xlfn.ISFORMULA(INDEX('Game Records'!$V:$V,$H237))),NOT(_xlfn.ISFORMULA(INDEX('Game Records'!$W:$W,$H237))),NOT(_xlfn.ISFORMULA(INDEX('Game Records'!$X:$X,$H237))),NOT(_xlfn.ISFORMULA(INDEX('Game Records'!$Y:$Y,$H237))),NOT(_xlfn.ISFORMULA(INDEX('Game Records'!$Z:$Z,$H237)))),"","")&amp;IF(INDEX('Game Records'!$B:$B,$H237)="","Start Date; ","")&amp;IF(INDEX('Game Records'!$C:$C,$H237)="","End Date; ","")&amp;IF(AND(INDEX('Game Records'!$U:$U,$H237)&lt;&gt;"Subscription",INDEX('Game Records'!$U:$U,$H237)&lt;&gt;"Free Game",INDEX('Game Records'!$U:$U,$H237)&lt;&gt;"Disqualified — Free Game",OR(INDEX('Game Records'!$D:$D,$H237)="",LOWER(INDEX('Game Records'!$D:$D,$H237)&amp;"")="n/a")),"Entry Mode; ","")&amp;IF(AND(INDEX('Game Records'!$U:$U,$H237)&lt;&gt;"Subscription",INDEX('Game Records'!$U:$U,$H237)&lt;&gt;"Free Game",INDEX('Game Records'!$U:$U,$H237)&lt;&gt;"Disqualified — Free Game",OR(INDEX('Game Records'!$E:$E,$H237)="",LOWER(INDEX('Game Records'!$E:$E,$H237)&amp;"")="n/a")),"Game Type; ","")&amp;IF(INDEX('Game Records'!$F:$F,$H237)="","Payment Type; ","")&amp;IF(AND(INDEX('Game Records'!$U:$U,$H237)&lt;&gt;"Subscription",INDEX('Game Records'!$U:$U,$H237)&lt;&gt;"Free Game",INDEX('Game Records'!$U:$U,$H237)&lt;&gt;"Disqualified — Free Game",INDEX('Game Records'!$G:$G,$H237)=""),"Gross Pot; ","")&amp;IF(AND(INDEX('Game Records'!$U:$U,$H237)&lt;&gt;"Free Game",INDEX('Game Records'!$U:$U,$H237)&lt;&gt;"Disqualified — Free Game",INDEX('Game Records'!$H:$H,$H237)=""),"Entry Fee; ","")&amp;IF(AND(INDEX('Game Records'!$U:$U,$H237)&lt;&gt;"Subscription",INDEX('Game Records'!$U:$U,$H237)&lt;&gt;"Free Game",INDEX('Game Records'!$U:$U,$H237)&lt;&gt;"Disqualified — Free Game",INDEX('Game Records'!$I:$I,$H237)=""),"Eligible Players; ","")&amp;IF(AND(INDEX('Game Records'!$U:$U,$H237)&lt;&gt;"Subscription",INDEX('Game Records'!$U:$U,$H237)&lt;&gt;"Free Game",INDEX('Game Records'!$U:$U,$H237)&lt;&gt;"Disqualified — Free Game",INDEX('Game Records'!$J:$J,$H237)=""),"Total Players; ","")&amp;IF(AND(LOWER(INDEX('Game Records'!$D:$D,$H237)&amp;"")="finalized",LOWER(INDEX('Game Records'!$L:$L,$H237)&amp;"")&lt;&gt;"yes",INDEX('Game Records'!$U:$U,$H237)&lt;&gt;"Subscription",INDEX('Game Records'!$U:$U,$H237)&lt;&gt;"Free Game",INDEX('Game Records'!$U:$U,$H237)&lt;&gt;"Disqualified — Free Game",INDEX('Game Records'!$K:$K,$H237)=""),"Final Payout; ","")&amp;IF(AND(LOWER(INDEX('Game Records'!$D:$D,$H237)&amp;"")="finalized",INDEX('Game Records'!$U:$U,$H237)&lt;&gt;"Subscription",INDEX('Game Records'!$U:$U,$H237)&lt;&gt;"Free Game",INDEX('Game Records'!$U:$U,$H237)&lt;&gt;"Disqualified — Free Game",OR(INDEX('Game Records'!$L:$L,$H237)="",LOWER(INDEX('Game Records'!$L:$L,$H237)&amp;"")="n/a")),"Disqualified Status; ",""))</f>
        <v/>
      </c>
      <c r="G237" s="25" t="str">
        <f t="array" ref="G237">IF($H237="","",IFERROR(INDEX('Game Records'!$M:$M,$H237),""))</f>
        <v/>
      </c>
      <c r="H237" s="8"/>
    </row>
    <row r="238" ht="24.0" customHeight="1">
      <c r="A238" s="21" t="str">
        <f t="shared" si="1"/>
        <v/>
      </c>
      <c r="B238" s="21" t="str">
        <f t="shared" si="2"/>
        <v/>
      </c>
      <c r="C238" s="25" t="str">
        <f t="array" ref="C238">IF($H238="","",IFERROR(INDEX('Game Records'!$A:$A,$H238),""))</f>
        <v/>
      </c>
      <c r="D238" s="25" t="str">
        <f t="array" ref="D238">IF($H238="","",IFERROR(INDEX('Game Records'!$U:$U,$H238),""))</f>
        <v/>
      </c>
      <c r="E238" s="25" t="str">
        <f t="shared" si="3"/>
        <v/>
      </c>
      <c r="F238" s="25" t="str">
        <f t="array" ref="F238">IF($H238="","",IF(OR(NOT(_xlfn.ISFORMULA(INDEX('Game Records'!$N:$N,$H238))),NOT(_xlfn.ISFORMULA(INDEX('Game Records'!$O:$O,$H238))),NOT(_xlfn.ISFORMULA(INDEX('Game Records'!$P:$P,$H238))),NOT(_xlfn.ISFORMULA(INDEX('Game Records'!$Q:$Q,$H238))),NOT(_xlfn.ISFORMULA(INDEX('Game Records'!$R:$R,$H238))),NOT(_xlfn.ISFORMULA(INDEX('Game Records'!$S:$S,$H238))),NOT(_xlfn.ISFORMULA(INDEX('Game Records'!$T:$T,$H238))),NOT(_xlfn.ISFORMULA(INDEX('Game Records'!$U:$U,$H238))),NOT(_xlfn.ISFORMULA(INDEX('Game Records'!$V:$V,$H238))),NOT(_xlfn.ISFORMULA(INDEX('Game Records'!$W:$W,$H238))),NOT(_xlfn.ISFORMULA(INDEX('Game Records'!$X:$X,$H238))),NOT(_xlfn.ISFORMULA(INDEX('Game Records'!$Y:$Y,$H238))),NOT(_xlfn.ISFORMULA(INDEX('Game Records'!$Z:$Z,$H238)))),"","")&amp;IF(INDEX('Game Records'!$B:$B,$H238)="","Start Date; ","")&amp;IF(INDEX('Game Records'!$C:$C,$H238)="","End Date; ","")&amp;IF(AND(INDEX('Game Records'!$U:$U,$H238)&lt;&gt;"Subscription",INDEX('Game Records'!$U:$U,$H238)&lt;&gt;"Free Game",INDEX('Game Records'!$U:$U,$H238)&lt;&gt;"Disqualified — Free Game",OR(INDEX('Game Records'!$D:$D,$H238)="",LOWER(INDEX('Game Records'!$D:$D,$H238)&amp;"")="n/a")),"Entry Mode; ","")&amp;IF(AND(INDEX('Game Records'!$U:$U,$H238)&lt;&gt;"Subscription",INDEX('Game Records'!$U:$U,$H238)&lt;&gt;"Free Game",INDEX('Game Records'!$U:$U,$H238)&lt;&gt;"Disqualified — Free Game",OR(INDEX('Game Records'!$E:$E,$H238)="",LOWER(INDEX('Game Records'!$E:$E,$H238)&amp;"")="n/a")),"Game Type; ","")&amp;IF(INDEX('Game Records'!$F:$F,$H238)="","Payment Type; ","")&amp;IF(AND(INDEX('Game Records'!$U:$U,$H238)&lt;&gt;"Subscription",INDEX('Game Records'!$U:$U,$H238)&lt;&gt;"Free Game",INDEX('Game Records'!$U:$U,$H238)&lt;&gt;"Disqualified — Free Game",INDEX('Game Records'!$G:$G,$H238)=""),"Gross Pot; ","")&amp;IF(AND(INDEX('Game Records'!$U:$U,$H238)&lt;&gt;"Free Game",INDEX('Game Records'!$U:$U,$H238)&lt;&gt;"Disqualified — Free Game",INDEX('Game Records'!$H:$H,$H238)=""),"Entry Fee; ","")&amp;IF(AND(INDEX('Game Records'!$U:$U,$H238)&lt;&gt;"Subscription",INDEX('Game Records'!$U:$U,$H238)&lt;&gt;"Free Game",INDEX('Game Records'!$U:$U,$H238)&lt;&gt;"Disqualified — Free Game",INDEX('Game Records'!$I:$I,$H238)=""),"Eligible Players; ","")&amp;IF(AND(INDEX('Game Records'!$U:$U,$H238)&lt;&gt;"Subscription",INDEX('Game Records'!$U:$U,$H238)&lt;&gt;"Free Game",INDEX('Game Records'!$U:$U,$H238)&lt;&gt;"Disqualified — Free Game",INDEX('Game Records'!$J:$J,$H238)=""),"Total Players; ","")&amp;IF(AND(LOWER(INDEX('Game Records'!$D:$D,$H238)&amp;"")="finalized",LOWER(INDEX('Game Records'!$L:$L,$H238)&amp;"")&lt;&gt;"yes",INDEX('Game Records'!$U:$U,$H238)&lt;&gt;"Subscription",INDEX('Game Records'!$U:$U,$H238)&lt;&gt;"Free Game",INDEX('Game Records'!$U:$U,$H238)&lt;&gt;"Disqualified — Free Game",INDEX('Game Records'!$K:$K,$H238)=""),"Final Payout; ","")&amp;IF(AND(LOWER(INDEX('Game Records'!$D:$D,$H238)&amp;"")="finalized",INDEX('Game Records'!$U:$U,$H238)&lt;&gt;"Subscription",INDEX('Game Records'!$U:$U,$H238)&lt;&gt;"Free Game",INDEX('Game Records'!$U:$U,$H238)&lt;&gt;"Disqualified — Free Game",OR(INDEX('Game Records'!$L:$L,$H238)="",LOWER(INDEX('Game Records'!$L:$L,$H238)&amp;"")="n/a")),"Disqualified Status; ",""))</f>
        <v/>
      </c>
      <c r="G238" s="25" t="str">
        <f t="array" ref="G238">IF($H238="","",IFERROR(INDEX('Game Records'!$M:$M,$H238),""))</f>
        <v/>
      </c>
      <c r="H238" s="8"/>
    </row>
    <row r="239" ht="24.0" customHeight="1">
      <c r="A239" s="21" t="str">
        <f t="shared" si="1"/>
        <v/>
      </c>
      <c r="B239" s="21" t="str">
        <f t="shared" si="2"/>
        <v/>
      </c>
      <c r="C239" s="25" t="str">
        <f t="array" ref="C239">IF($H239="","",IFERROR(INDEX('Game Records'!$A:$A,$H239),""))</f>
        <v/>
      </c>
      <c r="D239" s="25" t="str">
        <f t="array" ref="D239">IF($H239="","",IFERROR(INDEX('Game Records'!$U:$U,$H239),""))</f>
        <v/>
      </c>
      <c r="E239" s="25" t="str">
        <f t="shared" si="3"/>
        <v/>
      </c>
      <c r="F239" s="25" t="str">
        <f t="array" ref="F239">IF($H239="","",IF(OR(NOT(_xlfn.ISFORMULA(INDEX('Game Records'!$N:$N,$H239))),NOT(_xlfn.ISFORMULA(INDEX('Game Records'!$O:$O,$H239))),NOT(_xlfn.ISFORMULA(INDEX('Game Records'!$P:$P,$H239))),NOT(_xlfn.ISFORMULA(INDEX('Game Records'!$Q:$Q,$H239))),NOT(_xlfn.ISFORMULA(INDEX('Game Records'!$R:$R,$H239))),NOT(_xlfn.ISFORMULA(INDEX('Game Records'!$S:$S,$H239))),NOT(_xlfn.ISFORMULA(INDEX('Game Records'!$T:$T,$H239))),NOT(_xlfn.ISFORMULA(INDEX('Game Records'!$U:$U,$H239))),NOT(_xlfn.ISFORMULA(INDEX('Game Records'!$V:$V,$H239))),NOT(_xlfn.ISFORMULA(INDEX('Game Records'!$W:$W,$H239))),NOT(_xlfn.ISFORMULA(INDEX('Game Records'!$X:$X,$H239))),NOT(_xlfn.ISFORMULA(INDEX('Game Records'!$Y:$Y,$H239))),NOT(_xlfn.ISFORMULA(INDEX('Game Records'!$Z:$Z,$H239)))),"","")&amp;IF(INDEX('Game Records'!$B:$B,$H239)="","Start Date; ","")&amp;IF(INDEX('Game Records'!$C:$C,$H239)="","End Date; ","")&amp;IF(AND(INDEX('Game Records'!$U:$U,$H239)&lt;&gt;"Subscription",INDEX('Game Records'!$U:$U,$H239)&lt;&gt;"Free Game",INDEX('Game Records'!$U:$U,$H239)&lt;&gt;"Disqualified — Free Game",OR(INDEX('Game Records'!$D:$D,$H239)="",LOWER(INDEX('Game Records'!$D:$D,$H239)&amp;"")="n/a")),"Entry Mode; ","")&amp;IF(AND(INDEX('Game Records'!$U:$U,$H239)&lt;&gt;"Subscription",INDEX('Game Records'!$U:$U,$H239)&lt;&gt;"Free Game",INDEX('Game Records'!$U:$U,$H239)&lt;&gt;"Disqualified — Free Game",OR(INDEX('Game Records'!$E:$E,$H239)="",LOWER(INDEX('Game Records'!$E:$E,$H239)&amp;"")="n/a")),"Game Type; ","")&amp;IF(INDEX('Game Records'!$F:$F,$H239)="","Payment Type; ","")&amp;IF(AND(INDEX('Game Records'!$U:$U,$H239)&lt;&gt;"Subscription",INDEX('Game Records'!$U:$U,$H239)&lt;&gt;"Free Game",INDEX('Game Records'!$U:$U,$H239)&lt;&gt;"Disqualified — Free Game",INDEX('Game Records'!$G:$G,$H239)=""),"Gross Pot; ","")&amp;IF(AND(INDEX('Game Records'!$U:$U,$H239)&lt;&gt;"Free Game",INDEX('Game Records'!$U:$U,$H239)&lt;&gt;"Disqualified — Free Game",INDEX('Game Records'!$H:$H,$H239)=""),"Entry Fee; ","")&amp;IF(AND(INDEX('Game Records'!$U:$U,$H239)&lt;&gt;"Subscription",INDEX('Game Records'!$U:$U,$H239)&lt;&gt;"Free Game",INDEX('Game Records'!$U:$U,$H239)&lt;&gt;"Disqualified — Free Game",INDEX('Game Records'!$I:$I,$H239)=""),"Eligible Players; ","")&amp;IF(AND(INDEX('Game Records'!$U:$U,$H239)&lt;&gt;"Subscription",INDEX('Game Records'!$U:$U,$H239)&lt;&gt;"Free Game",INDEX('Game Records'!$U:$U,$H239)&lt;&gt;"Disqualified — Free Game",INDEX('Game Records'!$J:$J,$H239)=""),"Total Players; ","")&amp;IF(AND(LOWER(INDEX('Game Records'!$D:$D,$H239)&amp;"")="finalized",LOWER(INDEX('Game Records'!$L:$L,$H239)&amp;"")&lt;&gt;"yes",INDEX('Game Records'!$U:$U,$H239)&lt;&gt;"Subscription",INDEX('Game Records'!$U:$U,$H239)&lt;&gt;"Free Game",INDEX('Game Records'!$U:$U,$H239)&lt;&gt;"Disqualified — Free Game",INDEX('Game Records'!$K:$K,$H239)=""),"Final Payout; ","")&amp;IF(AND(LOWER(INDEX('Game Records'!$D:$D,$H239)&amp;"")="finalized",INDEX('Game Records'!$U:$U,$H239)&lt;&gt;"Subscription",INDEX('Game Records'!$U:$U,$H239)&lt;&gt;"Free Game",INDEX('Game Records'!$U:$U,$H239)&lt;&gt;"Disqualified — Free Game",OR(INDEX('Game Records'!$L:$L,$H239)="",LOWER(INDEX('Game Records'!$L:$L,$H239)&amp;"")="n/a")),"Disqualified Status; ",""))</f>
        <v/>
      </c>
      <c r="G239" s="25" t="str">
        <f t="array" ref="G239">IF($H239="","",IFERROR(INDEX('Game Records'!$M:$M,$H239),""))</f>
        <v/>
      </c>
      <c r="H239" s="8"/>
    </row>
    <row r="240" ht="24.0" customHeight="1">
      <c r="A240" s="21" t="str">
        <f t="shared" si="1"/>
        <v/>
      </c>
      <c r="B240" s="21" t="str">
        <f t="shared" si="2"/>
        <v/>
      </c>
      <c r="C240" s="25" t="str">
        <f t="array" ref="C240">IF($H240="","",IFERROR(INDEX('Game Records'!$A:$A,$H240),""))</f>
        <v/>
      </c>
      <c r="D240" s="25" t="str">
        <f t="array" ref="D240">IF($H240="","",IFERROR(INDEX('Game Records'!$U:$U,$H240),""))</f>
        <v/>
      </c>
      <c r="E240" s="25" t="str">
        <f t="shared" si="3"/>
        <v/>
      </c>
      <c r="F240" s="25" t="str">
        <f t="array" ref="F240">IF($H240="","",IF(OR(NOT(_xlfn.ISFORMULA(INDEX('Game Records'!$N:$N,$H240))),NOT(_xlfn.ISFORMULA(INDEX('Game Records'!$O:$O,$H240))),NOT(_xlfn.ISFORMULA(INDEX('Game Records'!$P:$P,$H240))),NOT(_xlfn.ISFORMULA(INDEX('Game Records'!$Q:$Q,$H240))),NOT(_xlfn.ISFORMULA(INDEX('Game Records'!$R:$R,$H240))),NOT(_xlfn.ISFORMULA(INDEX('Game Records'!$S:$S,$H240))),NOT(_xlfn.ISFORMULA(INDEX('Game Records'!$T:$T,$H240))),NOT(_xlfn.ISFORMULA(INDEX('Game Records'!$U:$U,$H240))),NOT(_xlfn.ISFORMULA(INDEX('Game Records'!$V:$V,$H240))),NOT(_xlfn.ISFORMULA(INDEX('Game Records'!$W:$W,$H240))),NOT(_xlfn.ISFORMULA(INDEX('Game Records'!$X:$X,$H240))),NOT(_xlfn.ISFORMULA(INDEX('Game Records'!$Y:$Y,$H240))),NOT(_xlfn.ISFORMULA(INDEX('Game Records'!$Z:$Z,$H240)))),"","")&amp;IF(INDEX('Game Records'!$B:$B,$H240)="","Start Date; ","")&amp;IF(INDEX('Game Records'!$C:$C,$H240)="","End Date; ","")&amp;IF(AND(INDEX('Game Records'!$U:$U,$H240)&lt;&gt;"Subscription",INDEX('Game Records'!$U:$U,$H240)&lt;&gt;"Free Game",INDEX('Game Records'!$U:$U,$H240)&lt;&gt;"Disqualified — Free Game",OR(INDEX('Game Records'!$D:$D,$H240)="",LOWER(INDEX('Game Records'!$D:$D,$H240)&amp;"")="n/a")),"Entry Mode; ","")&amp;IF(AND(INDEX('Game Records'!$U:$U,$H240)&lt;&gt;"Subscription",INDEX('Game Records'!$U:$U,$H240)&lt;&gt;"Free Game",INDEX('Game Records'!$U:$U,$H240)&lt;&gt;"Disqualified — Free Game",OR(INDEX('Game Records'!$E:$E,$H240)="",LOWER(INDEX('Game Records'!$E:$E,$H240)&amp;"")="n/a")),"Game Type; ","")&amp;IF(INDEX('Game Records'!$F:$F,$H240)="","Payment Type; ","")&amp;IF(AND(INDEX('Game Records'!$U:$U,$H240)&lt;&gt;"Subscription",INDEX('Game Records'!$U:$U,$H240)&lt;&gt;"Free Game",INDEX('Game Records'!$U:$U,$H240)&lt;&gt;"Disqualified — Free Game",INDEX('Game Records'!$G:$G,$H240)=""),"Gross Pot; ","")&amp;IF(AND(INDEX('Game Records'!$U:$U,$H240)&lt;&gt;"Free Game",INDEX('Game Records'!$U:$U,$H240)&lt;&gt;"Disqualified — Free Game",INDEX('Game Records'!$H:$H,$H240)=""),"Entry Fee; ","")&amp;IF(AND(INDEX('Game Records'!$U:$U,$H240)&lt;&gt;"Subscription",INDEX('Game Records'!$U:$U,$H240)&lt;&gt;"Free Game",INDEX('Game Records'!$U:$U,$H240)&lt;&gt;"Disqualified — Free Game",INDEX('Game Records'!$I:$I,$H240)=""),"Eligible Players; ","")&amp;IF(AND(INDEX('Game Records'!$U:$U,$H240)&lt;&gt;"Subscription",INDEX('Game Records'!$U:$U,$H240)&lt;&gt;"Free Game",INDEX('Game Records'!$U:$U,$H240)&lt;&gt;"Disqualified — Free Game",INDEX('Game Records'!$J:$J,$H240)=""),"Total Players; ","")&amp;IF(AND(LOWER(INDEX('Game Records'!$D:$D,$H240)&amp;"")="finalized",LOWER(INDEX('Game Records'!$L:$L,$H240)&amp;"")&lt;&gt;"yes",INDEX('Game Records'!$U:$U,$H240)&lt;&gt;"Subscription",INDEX('Game Records'!$U:$U,$H240)&lt;&gt;"Free Game",INDEX('Game Records'!$U:$U,$H240)&lt;&gt;"Disqualified — Free Game",INDEX('Game Records'!$K:$K,$H240)=""),"Final Payout; ","")&amp;IF(AND(LOWER(INDEX('Game Records'!$D:$D,$H240)&amp;"")="finalized",INDEX('Game Records'!$U:$U,$H240)&lt;&gt;"Subscription",INDEX('Game Records'!$U:$U,$H240)&lt;&gt;"Free Game",INDEX('Game Records'!$U:$U,$H240)&lt;&gt;"Disqualified — Free Game",OR(INDEX('Game Records'!$L:$L,$H240)="",LOWER(INDEX('Game Records'!$L:$L,$H240)&amp;"")="n/a")),"Disqualified Status; ",""))</f>
        <v/>
      </c>
      <c r="G240" s="25" t="str">
        <f t="array" ref="G240">IF($H240="","",IFERROR(INDEX('Game Records'!$M:$M,$H240),""))</f>
        <v/>
      </c>
      <c r="H240" s="8"/>
    </row>
    <row r="241" ht="24.0" customHeight="1">
      <c r="A241" s="21" t="str">
        <f t="shared" si="1"/>
        <v/>
      </c>
      <c r="B241" s="21" t="str">
        <f t="shared" si="2"/>
        <v/>
      </c>
      <c r="C241" s="25" t="str">
        <f t="array" ref="C241">IF($H241="","",IFERROR(INDEX('Game Records'!$A:$A,$H241),""))</f>
        <v/>
      </c>
      <c r="D241" s="25" t="str">
        <f t="array" ref="D241">IF($H241="","",IFERROR(INDEX('Game Records'!$U:$U,$H241),""))</f>
        <v/>
      </c>
      <c r="E241" s="25" t="str">
        <f t="shared" si="3"/>
        <v/>
      </c>
      <c r="F241" s="25" t="str">
        <f t="array" ref="F241">IF($H241="","",IF(OR(NOT(_xlfn.ISFORMULA(INDEX('Game Records'!$N:$N,$H241))),NOT(_xlfn.ISFORMULA(INDEX('Game Records'!$O:$O,$H241))),NOT(_xlfn.ISFORMULA(INDEX('Game Records'!$P:$P,$H241))),NOT(_xlfn.ISFORMULA(INDEX('Game Records'!$Q:$Q,$H241))),NOT(_xlfn.ISFORMULA(INDEX('Game Records'!$R:$R,$H241))),NOT(_xlfn.ISFORMULA(INDEX('Game Records'!$S:$S,$H241))),NOT(_xlfn.ISFORMULA(INDEX('Game Records'!$T:$T,$H241))),NOT(_xlfn.ISFORMULA(INDEX('Game Records'!$U:$U,$H241))),NOT(_xlfn.ISFORMULA(INDEX('Game Records'!$V:$V,$H241))),NOT(_xlfn.ISFORMULA(INDEX('Game Records'!$W:$W,$H241))),NOT(_xlfn.ISFORMULA(INDEX('Game Records'!$X:$X,$H241))),NOT(_xlfn.ISFORMULA(INDEX('Game Records'!$Y:$Y,$H241))),NOT(_xlfn.ISFORMULA(INDEX('Game Records'!$Z:$Z,$H241)))),"","")&amp;IF(INDEX('Game Records'!$B:$B,$H241)="","Start Date; ","")&amp;IF(INDEX('Game Records'!$C:$C,$H241)="","End Date; ","")&amp;IF(AND(INDEX('Game Records'!$U:$U,$H241)&lt;&gt;"Subscription",INDEX('Game Records'!$U:$U,$H241)&lt;&gt;"Free Game",INDEX('Game Records'!$U:$U,$H241)&lt;&gt;"Disqualified — Free Game",OR(INDEX('Game Records'!$D:$D,$H241)="",LOWER(INDEX('Game Records'!$D:$D,$H241)&amp;"")="n/a")),"Entry Mode; ","")&amp;IF(AND(INDEX('Game Records'!$U:$U,$H241)&lt;&gt;"Subscription",INDEX('Game Records'!$U:$U,$H241)&lt;&gt;"Free Game",INDEX('Game Records'!$U:$U,$H241)&lt;&gt;"Disqualified — Free Game",OR(INDEX('Game Records'!$E:$E,$H241)="",LOWER(INDEX('Game Records'!$E:$E,$H241)&amp;"")="n/a")),"Game Type; ","")&amp;IF(INDEX('Game Records'!$F:$F,$H241)="","Payment Type; ","")&amp;IF(AND(INDEX('Game Records'!$U:$U,$H241)&lt;&gt;"Subscription",INDEX('Game Records'!$U:$U,$H241)&lt;&gt;"Free Game",INDEX('Game Records'!$U:$U,$H241)&lt;&gt;"Disqualified — Free Game",INDEX('Game Records'!$G:$G,$H241)=""),"Gross Pot; ","")&amp;IF(AND(INDEX('Game Records'!$U:$U,$H241)&lt;&gt;"Free Game",INDEX('Game Records'!$U:$U,$H241)&lt;&gt;"Disqualified — Free Game",INDEX('Game Records'!$H:$H,$H241)=""),"Entry Fee; ","")&amp;IF(AND(INDEX('Game Records'!$U:$U,$H241)&lt;&gt;"Subscription",INDEX('Game Records'!$U:$U,$H241)&lt;&gt;"Free Game",INDEX('Game Records'!$U:$U,$H241)&lt;&gt;"Disqualified — Free Game",INDEX('Game Records'!$I:$I,$H241)=""),"Eligible Players; ","")&amp;IF(AND(INDEX('Game Records'!$U:$U,$H241)&lt;&gt;"Subscription",INDEX('Game Records'!$U:$U,$H241)&lt;&gt;"Free Game",INDEX('Game Records'!$U:$U,$H241)&lt;&gt;"Disqualified — Free Game",INDEX('Game Records'!$J:$J,$H241)=""),"Total Players; ","")&amp;IF(AND(LOWER(INDEX('Game Records'!$D:$D,$H241)&amp;"")="finalized",LOWER(INDEX('Game Records'!$L:$L,$H241)&amp;"")&lt;&gt;"yes",INDEX('Game Records'!$U:$U,$H241)&lt;&gt;"Subscription",INDEX('Game Records'!$U:$U,$H241)&lt;&gt;"Free Game",INDEX('Game Records'!$U:$U,$H241)&lt;&gt;"Disqualified — Free Game",INDEX('Game Records'!$K:$K,$H241)=""),"Final Payout; ","")&amp;IF(AND(LOWER(INDEX('Game Records'!$D:$D,$H241)&amp;"")="finalized",INDEX('Game Records'!$U:$U,$H241)&lt;&gt;"Subscription",INDEX('Game Records'!$U:$U,$H241)&lt;&gt;"Free Game",INDEX('Game Records'!$U:$U,$H241)&lt;&gt;"Disqualified — Free Game",OR(INDEX('Game Records'!$L:$L,$H241)="",LOWER(INDEX('Game Records'!$L:$L,$H241)&amp;"")="n/a")),"Disqualified Status; ",""))</f>
        <v/>
      </c>
      <c r="G241" s="25" t="str">
        <f t="array" ref="G241">IF($H241="","",IFERROR(INDEX('Game Records'!$M:$M,$H241),""))</f>
        <v/>
      </c>
      <c r="H241" s="8"/>
    </row>
    <row r="242" ht="24.0" customHeight="1">
      <c r="A242" s="21" t="str">
        <f t="shared" si="1"/>
        <v/>
      </c>
      <c r="B242" s="21" t="str">
        <f t="shared" si="2"/>
        <v/>
      </c>
      <c r="C242" s="25" t="str">
        <f t="array" ref="C242">IF($H242="","",IFERROR(INDEX('Game Records'!$A:$A,$H242),""))</f>
        <v/>
      </c>
      <c r="D242" s="25" t="str">
        <f t="array" ref="D242">IF($H242="","",IFERROR(INDEX('Game Records'!$U:$U,$H242),""))</f>
        <v/>
      </c>
      <c r="E242" s="25" t="str">
        <f t="shared" si="3"/>
        <v/>
      </c>
      <c r="F242" s="25" t="str">
        <f t="array" ref="F242">IF($H242="","",IF(OR(NOT(_xlfn.ISFORMULA(INDEX('Game Records'!$N:$N,$H242))),NOT(_xlfn.ISFORMULA(INDEX('Game Records'!$O:$O,$H242))),NOT(_xlfn.ISFORMULA(INDEX('Game Records'!$P:$P,$H242))),NOT(_xlfn.ISFORMULA(INDEX('Game Records'!$Q:$Q,$H242))),NOT(_xlfn.ISFORMULA(INDEX('Game Records'!$R:$R,$H242))),NOT(_xlfn.ISFORMULA(INDEX('Game Records'!$S:$S,$H242))),NOT(_xlfn.ISFORMULA(INDEX('Game Records'!$T:$T,$H242))),NOT(_xlfn.ISFORMULA(INDEX('Game Records'!$U:$U,$H242))),NOT(_xlfn.ISFORMULA(INDEX('Game Records'!$V:$V,$H242))),NOT(_xlfn.ISFORMULA(INDEX('Game Records'!$W:$W,$H242))),NOT(_xlfn.ISFORMULA(INDEX('Game Records'!$X:$X,$H242))),NOT(_xlfn.ISFORMULA(INDEX('Game Records'!$Y:$Y,$H242))),NOT(_xlfn.ISFORMULA(INDEX('Game Records'!$Z:$Z,$H242)))),"","")&amp;IF(INDEX('Game Records'!$B:$B,$H242)="","Start Date; ","")&amp;IF(INDEX('Game Records'!$C:$C,$H242)="","End Date; ","")&amp;IF(AND(INDEX('Game Records'!$U:$U,$H242)&lt;&gt;"Subscription",INDEX('Game Records'!$U:$U,$H242)&lt;&gt;"Free Game",INDEX('Game Records'!$U:$U,$H242)&lt;&gt;"Disqualified — Free Game",OR(INDEX('Game Records'!$D:$D,$H242)="",LOWER(INDEX('Game Records'!$D:$D,$H242)&amp;"")="n/a")),"Entry Mode; ","")&amp;IF(AND(INDEX('Game Records'!$U:$U,$H242)&lt;&gt;"Subscription",INDEX('Game Records'!$U:$U,$H242)&lt;&gt;"Free Game",INDEX('Game Records'!$U:$U,$H242)&lt;&gt;"Disqualified — Free Game",OR(INDEX('Game Records'!$E:$E,$H242)="",LOWER(INDEX('Game Records'!$E:$E,$H242)&amp;"")="n/a")),"Game Type; ","")&amp;IF(INDEX('Game Records'!$F:$F,$H242)="","Payment Type; ","")&amp;IF(AND(INDEX('Game Records'!$U:$U,$H242)&lt;&gt;"Subscription",INDEX('Game Records'!$U:$U,$H242)&lt;&gt;"Free Game",INDEX('Game Records'!$U:$U,$H242)&lt;&gt;"Disqualified — Free Game",INDEX('Game Records'!$G:$G,$H242)=""),"Gross Pot; ","")&amp;IF(AND(INDEX('Game Records'!$U:$U,$H242)&lt;&gt;"Free Game",INDEX('Game Records'!$U:$U,$H242)&lt;&gt;"Disqualified — Free Game",INDEX('Game Records'!$H:$H,$H242)=""),"Entry Fee; ","")&amp;IF(AND(INDEX('Game Records'!$U:$U,$H242)&lt;&gt;"Subscription",INDEX('Game Records'!$U:$U,$H242)&lt;&gt;"Free Game",INDEX('Game Records'!$U:$U,$H242)&lt;&gt;"Disqualified — Free Game",INDEX('Game Records'!$I:$I,$H242)=""),"Eligible Players; ","")&amp;IF(AND(INDEX('Game Records'!$U:$U,$H242)&lt;&gt;"Subscription",INDEX('Game Records'!$U:$U,$H242)&lt;&gt;"Free Game",INDEX('Game Records'!$U:$U,$H242)&lt;&gt;"Disqualified — Free Game",INDEX('Game Records'!$J:$J,$H242)=""),"Total Players; ","")&amp;IF(AND(LOWER(INDEX('Game Records'!$D:$D,$H242)&amp;"")="finalized",LOWER(INDEX('Game Records'!$L:$L,$H242)&amp;"")&lt;&gt;"yes",INDEX('Game Records'!$U:$U,$H242)&lt;&gt;"Subscription",INDEX('Game Records'!$U:$U,$H242)&lt;&gt;"Free Game",INDEX('Game Records'!$U:$U,$H242)&lt;&gt;"Disqualified — Free Game",INDEX('Game Records'!$K:$K,$H242)=""),"Final Payout; ","")&amp;IF(AND(LOWER(INDEX('Game Records'!$D:$D,$H242)&amp;"")="finalized",INDEX('Game Records'!$U:$U,$H242)&lt;&gt;"Subscription",INDEX('Game Records'!$U:$U,$H242)&lt;&gt;"Free Game",INDEX('Game Records'!$U:$U,$H242)&lt;&gt;"Disqualified — Free Game",OR(INDEX('Game Records'!$L:$L,$H242)="",LOWER(INDEX('Game Records'!$L:$L,$H242)&amp;"")="n/a")),"Disqualified Status; ",""))</f>
        <v/>
      </c>
      <c r="G242" s="25" t="str">
        <f t="array" ref="G242">IF($H242="","",IFERROR(INDEX('Game Records'!$M:$M,$H242),""))</f>
        <v/>
      </c>
      <c r="H242" s="8"/>
    </row>
    <row r="243" ht="24.0" customHeight="1">
      <c r="A243" s="21" t="str">
        <f t="shared" si="1"/>
        <v/>
      </c>
      <c r="B243" s="21" t="str">
        <f t="shared" si="2"/>
        <v/>
      </c>
      <c r="C243" s="25" t="str">
        <f t="array" ref="C243">IF($H243="","",IFERROR(INDEX('Game Records'!$A:$A,$H243),""))</f>
        <v/>
      </c>
      <c r="D243" s="25" t="str">
        <f t="array" ref="D243">IF($H243="","",IFERROR(INDEX('Game Records'!$U:$U,$H243),""))</f>
        <v/>
      </c>
      <c r="E243" s="25" t="str">
        <f t="shared" si="3"/>
        <v/>
      </c>
      <c r="F243" s="25" t="str">
        <f t="array" ref="F243">IF($H243="","",IF(OR(NOT(_xlfn.ISFORMULA(INDEX('Game Records'!$N:$N,$H243))),NOT(_xlfn.ISFORMULA(INDEX('Game Records'!$O:$O,$H243))),NOT(_xlfn.ISFORMULA(INDEX('Game Records'!$P:$P,$H243))),NOT(_xlfn.ISFORMULA(INDEX('Game Records'!$Q:$Q,$H243))),NOT(_xlfn.ISFORMULA(INDEX('Game Records'!$R:$R,$H243))),NOT(_xlfn.ISFORMULA(INDEX('Game Records'!$S:$S,$H243))),NOT(_xlfn.ISFORMULA(INDEX('Game Records'!$T:$T,$H243))),NOT(_xlfn.ISFORMULA(INDEX('Game Records'!$U:$U,$H243))),NOT(_xlfn.ISFORMULA(INDEX('Game Records'!$V:$V,$H243))),NOT(_xlfn.ISFORMULA(INDEX('Game Records'!$W:$W,$H243))),NOT(_xlfn.ISFORMULA(INDEX('Game Records'!$X:$X,$H243))),NOT(_xlfn.ISFORMULA(INDEX('Game Records'!$Y:$Y,$H243))),NOT(_xlfn.ISFORMULA(INDEX('Game Records'!$Z:$Z,$H243)))),"","")&amp;IF(INDEX('Game Records'!$B:$B,$H243)="","Start Date; ","")&amp;IF(INDEX('Game Records'!$C:$C,$H243)="","End Date; ","")&amp;IF(AND(INDEX('Game Records'!$U:$U,$H243)&lt;&gt;"Subscription",INDEX('Game Records'!$U:$U,$H243)&lt;&gt;"Free Game",INDEX('Game Records'!$U:$U,$H243)&lt;&gt;"Disqualified — Free Game",OR(INDEX('Game Records'!$D:$D,$H243)="",LOWER(INDEX('Game Records'!$D:$D,$H243)&amp;"")="n/a")),"Entry Mode; ","")&amp;IF(AND(INDEX('Game Records'!$U:$U,$H243)&lt;&gt;"Subscription",INDEX('Game Records'!$U:$U,$H243)&lt;&gt;"Free Game",INDEX('Game Records'!$U:$U,$H243)&lt;&gt;"Disqualified — Free Game",OR(INDEX('Game Records'!$E:$E,$H243)="",LOWER(INDEX('Game Records'!$E:$E,$H243)&amp;"")="n/a")),"Game Type; ","")&amp;IF(INDEX('Game Records'!$F:$F,$H243)="","Payment Type; ","")&amp;IF(AND(INDEX('Game Records'!$U:$U,$H243)&lt;&gt;"Subscription",INDEX('Game Records'!$U:$U,$H243)&lt;&gt;"Free Game",INDEX('Game Records'!$U:$U,$H243)&lt;&gt;"Disqualified — Free Game",INDEX('Game Records'!$G:$G,$H243)=""),"Gross Pot; ","")&amp;IF(AND(INDEX('Game Records'!$U:$U,$H243)&lt;&gt;"Free Game",INDEX('Game Records'!$U:$U,$H243)&lt;&gt;"Disqualified — Free Game",INDEX('Game Records'!$H:$H,$H243)=""),"Entry Fee; ","")&amp;IF(AND(INDEX('Game Records'!$U:$U,$H243)&lt;&gt;"Subscription",INDEX('Game Records'!$U:$U,$H243)&lt;&gt;"Free Game",INDEX('Game Records'!$U:$U,$H243)&lt;&gt;"Disqualified — Free Game",INDEX('Game Records'!$I:$I,$H243)=""),"Eligible Players; ","")&amp;IF(AND(INDEX('Game Records'!$U:$U,$H243)&lt;&gt;"Subscription",INDEX('Game Records'!$U:$U,$H243)&lt;&gt;"Free Game",INDEX('Game Records'!$U:$U,$H243)&lt;&gt;"Disqualified — Free Game",INDEX('Game Records'!$J:$J,$H243)=""),"Total Players; ","")&amp;IF(AND(LOWER(INDEX('Game Records'!$D:$D,$H243)&amp;"")="finalized",LOWER(INDEX('Game Records'!$L:$L,$H243)&amp;"")&lt;&gt;"yes",INDEX('Game Records'!$U:$U,$H243)&lt;&gt;"Subscription",INDEX('Game Records'!$U:$U,$H243)&lt;&gt;"Free Game",INDEX('Game Records'!$U:$U,$H243)&lt;&gt;"Disqualified — Free Game",INDEX('Game Records'!$K:$K,$H243)=""),"Final Payout; ","")&amp;IF(AND(LOWER(INDEX('Game Records'!$D:$D,$H243)&amp;"")="finalized",INDEX('Game Records'!$U:$U,$H243)&lt;&gt;"Subscription",INDEX('Game Records'!$U:$U,$H243)&lt;&gt;"Free Game",INDEX('Game Records'!$U:$U,$H243)&lt;&gt;"Disqualified — Free Game",OR(INDEX('Game Records'!$L:$L,$H243)="",LOWER(INDEX('Game Records'!$L:$L,$H243)&amp;"")="n/a")),"Disqualified Status; ",""))</f>
        <v/>
      </c>
      <c r="G243" s="25" t="str">
        <f t="array" ref="G243">IF($H243="","",IFERROR(INDEX('Game Records'!$M:$M,$H243),""))</f>
        <v/>
      </c>
      <c r="H243" s="8"/>
    </row>
    <row r="244" ht="24.0" customHeight="1">
      <c r="A244" s="21" t="str">
        <f t="shared" si="1"/>
        <v/>
      </c>
      <c r="B244" s="21" t="str">
        <f t="shared" si="2"/>
        <v/>
      </c>
      <c r="C244" s="25" t="str">
        <f t="array" ref="C244">IF($H244="","",IFERROR(INDEX('Game Records'!$A:$A,$H244),""))</f>
        <v/>
      </c>
      <c r="D244" s="25" t="str">
        <f t="array" ref="D244">IF($H244="","",IFERROR(INDEX('Game Records'!$U:$U,$H244),""))</f>
        <v/>
      </c>
      <c r="E244" s="25" t="str">
        <f t="shared" si="3"/>
        <v/>
      </c>
      <c r="F244" s="25" t="str">
        <f t="array" ref="F244">IF($H244="","",IF(OR(NOT(_xlfn.ISFORMULA(INDEX('Game Records'!$N:$N,$H244))),NOT(_xlfn.ISFORMULA(INDEX('Game Records'!$O:$O,$H244))),NOT(_xlfn.ISFORMULA(INDEX('Game Records'!$P:$P,$H244))),NOT(_xlfn.ISFORMULA(INDEX('Game Records'!$Q:$Q,$H244))),NOT(_xlfn.ISFORMULA(INDEX('Game Records'!$R:$R,$H244))),NOT(_xlfn.ISFORMULA(INDEX('Game Records'!$S:$S,$H244))),NOT(_xlfn.ISFORMULA(INDEX('Game Records'!$T:$T,$H244))),NOT(_xlfn.ISFORMULA(INDEX('Game Records'!$U:$U,$H244))),NOT(_xlfn.ISFORMULA(INDEX('Game Records'!$V:$V,$H244))),NOT(_xlfn.ISFORMULA(INDEX('Game Records'!$W:$W,$H244))),NOT(_xlfn.ISFORMULA(INDEX('Game Records'!$X:$X,$H244))),NOT(_xlfn.ISFORMULA(INDEX('Game Records'!$Y:$Y,$H244))),NOT(_xlfn.ISFORMULA(INDEX('Game Records'!$Z:$Z,$H244)))),"","")&amp;IF(INDEX('Game Records'!$B:$B,$H244)="","Start Date; ","")&amp;IF(INDEX('Game Records'!$C:$C,$H244)="","End Date; ","")&amp;IF(AND(INDEX('Game Records'!$U:$U,$H244)&lt;&gt;"Subscription",INDEX('Game Records'!$U:$U,$H244)&lt;&gt;"Free Game",INDEX('Game Records'!$U:$U,$H244)&lt;&gt;"Disqualified — Free Game",OR(INDEX('Game Records'!$D:$D,$H244)="",LOWER(INDEX('Game Records'!$D:$D,$H244)&amp;"")="n/a")),"Entry Mode; ","")&amp;IF(AND(INDEX('Game Records'!$U:$U,$H244)&lt;&gt;"Subscription",INDEX('Game Records'!$U:$U,$H244)&lt;&gt;"Free Game",INDEX('Game Records'!$U:$U,$H244)&lt;&gt;"Disqualified — Free Game",OR(INDEX('Game Records'!$E:$E,$H244)="",LOWER(INDEX('Game Records'!$E:$E,$H244)&amp;"")="n/a")),"Game Type; ","")&amp;IF(INDEX('Game Records'!$F:$F,$H244)="","Payment Type; ","")&amp;IF(AND(INDEX('Game Records'!$U:$U,$H244)&lt;&gt;"Subscription",INDEX('Game Records'!$U:$U,$H244)&lt;&gt;"Free Game",INDEX('Game Records'!$U:$U,$H244)&lt;&gt;"Disqualified — Free Game",INDEX('Game Records'!$G:$G,$H244)=""),"Gross Pot; ","")&amp;IF(AND(INDEX('Game Records'!$U:$U,$H244)&lt;&gt;"Free Game",INDEX('Game Records'!$U:$U,$H244)&lt;&gt;"Disqualified — Free Game",INDEX('Game Records'!$H:$H,$H244)=""),"Entry Fee; ","")&amp;IF(AND(INDEX('Game Records'!$U:$U,$H244)&lt;&gt;"Subscription",INDEX('Game Records'!$U:$U,$H244)&lt;&gt;"Free Game",INDEX('Game Records'!$U:$U,$H244)&lt;&gt;"Disqualified — Free Game",INDEX('Game Records'!$I:$I,$H244)=""),"Eligible Players; ","")&amp;IF(AND(INDEX('Game Records'!$U:$U,$H244)&lt;&gt;"Subscription",INDEX('Game Records'!$U:$U,$H244)&lt;&gt;"Free Game",INDEX('Game Records'!$U:$U,$H244)&lt;&gt;"Disqualified — Free Game",INDEX('Game Records'!$J:$J,$H244)=""),"Total Players; ","")&amp;IF(AND(LOWER(INDEX('Game Records'!$D:$D,$H244)&amp;"")="finalized",LOWER(INDEX('Game Records'!$L:$L,$H244)&amp;"")&lt;&gt;"yes",INDEX('Game Records'!$U:$U,$H244)&lt;&gt;"Subscription",INDEX('Game Records'!$U:$U,$H244)&lt;&gt;"Free Game",INDEX('Game Records'!$U:$U,$H244)&lt;&gt;"Disqualified — Free Game",INDEX('Game Records'!$K:$K,$H244)=""),"Final Payout; ","")&amp;IF(AND(LOWER(INDEX('Game Records'!$D:$D,$H244)&amp;"")="finalized",INDEX('Game Records'!$U:$U,$H244)&lt;&gt;"Subscription",INDEX('Game Records'!$U:$U,$H244)&lt;&gt;"Free Game",INDEX('Game Records'!$U:$U,$H244)&lt;&gt;"Disqualified — Free Game",OR(INDEX('Game Records'!$L:$L,$H244)="",LOWER(INDEX('Game Records'!$L:$L,$H244)&amp;"")="n/a")),"Disqualified Status; ",""))</f>
        <v/>
      </c>
      <c r="G244" s="25" t="str">
        <f t="array" ref="G244">IF($H244="","",IFERROR(INDEX('Game Records'!$M:$M,$H244),""))</f>
        <v/>
      </c>
      <c r="H244" s="8"/>
    </row>
    <row r="245" ht="24.0" customHeight="1">
      <c r="A245" s="21" t="str">
        <f t="shared" si="1"/>
        <v/>
      </c>
      <c r="B245" s="21" t="str">
        <f t="shared" si="2"/>
        <v/>
      </c>
      <c r="C245" s="25" t="str">
        <f t="array" ref="C245">IF($H245="","",IFERROR(INDEX('Game Records'!$A:$A,$H245),""))</f>
        <v/>
      </c>
      <c r="D245" s="25" t="str">
        <f t="array" ref="D245">IF($H245="","",IFERROR(INDEX('Game Records'!$U:$U,$H245),""))</f>
        <v/>
      </c>
      <c r="E245" s="25" t="str">
        <f t="shared" si="3"/>
        <v/>
      </c>
      <c r="F245" s="25" t="str">
        <f t="array" ref="F245">IF($H245="","",IF(OR(NOT(_xlfn.ISFORMULA(INDEX('Game Records'!$N:$N,$H245))),NOT(_xlfn.ISFORMULA(INDEX('Game Records'!$O:$O,$H245))),NOT(_xlfn.ISFORMULA(INDEX('Game Records'!$P:$P,$H245))),NOT(_xlfn.ISFORMULA(INDEX('Game Records'!$Q:$Q,$H245))),NOT(_xlfn.ISFORMULA(INDEX('Game Records'!$R:$R,$H245))),NOT(_xlfn.ISFORMULA(INDEX('Game Records'!$S:$S,$H245))),NOT(_xlfn.ISFORMULA(INDEX('Game Records'!$T:$T,$H245))),NOT(_xlfn.ISFORMULA(INDEX('Game Records'!$U:$U,$H245))),NOT(_xlfn.ISFORMULA(INDEX('Game Records'!$V:$V,$H245))),NOT(_xlfn.ISFORMULA(INDEX('Game Records'!$W:$W,$H245))),NOT(_xlfn.ISFORMULA(INDEX('Game Records'!$X:$X,$H245))),NOT(_xlfn.ISFORMULA(INDEX('Game Records'!$Y:$Y,$H245))),NOT(_xlfn.ISFORMULA(INDEX('Game Records'!$Z:$Z,$H245)))),"","")&amp;IF(INDEX('Game Records'!$B:$B,$H245)="","Start Date; ","")&amp;IF(INDEX('Game Records'!$C:$C,$H245)="","End Date; ","")&amp;IF(AND(INDEX('Game Records'!$U:$U,$H245)&lt;&gt;"Subscription",INDEX('Game Records'!$U:$U,$H245)&lt;&gt;"Free Game",INDEX('Game Records'!$U:$U,$H245)&lt;&gt;"Disqualified — Free Game",OR(INDEX('Game Records'!$D:$D,$H245)="",LOWER(INDEX('Game Records'!$D:$D,$H245)&amp;"")="n/a")),"Entry Mode; ","")&amp;IF(AND(INDEX('Game Records'!$U:$U,$H245)&lt;&gt;"Subscription",INDEX('Game Records'!$U:$U,$H245)&lt;&gt;"Free Game",INDEX('Game Records'!$U:$U,$H245)&lt;&gt;"Disqualified — Free Game",OR(INDEX('Game Records'!$E:$E,$H245)="",LOWER(INDEX('Game Records'!$E:$E,$H245)&amp;"")="n/a")),"Game Type; ","")&amp;IF(INDEX('Game Records'!$F:$F,$H245)="","Payment Type; ","")&amp;IF(AND(INDEX('Game Records'!$U:$U,$H245)&lt;&gt;"Subscription",INDEX('Game Records'!$U:$U,$H245)&lt;&gt;"Free Game",INDEX('Game Records'!$U:$U,$H245)&lt;&gt;"Disqualified — Free Game",INDEX('Game Records'!$G:$G,$H245)=""),"Gross Pot; ","")&amp;IF(AND(INDEX('Game Records'!$U:$U,$H245)&lt;&gt;"Free Game",INDEX('Game Records'!$U:$U,$H245)&lt;&gt;"Disqualified — Free Game",INDEX('Game Records'!$H:$H,$H245)=""),"Entry Fee; ","")&amp;IF(AND(INDEX('Game Records'!$U:$U,$H245)&lt;&gt;"Subscription",INDEX('Game Records'!$U:$U,$H245)&lt;&gt;"Free Game",INDEX('Game Records'!$U:$U,$H245)&lt;&gt;"Disqualified — Free Game",INDEX('Game Records'!$I:$I,$H245)=""),"Eligible Players; ","")&amp;IF(AND(INDEX('Game Records'!$U:$U,$H245)&lt;&gt;"Subscription",INDEX('Game Records'!$U:$U,$H245)&lt;&gt;"Free Game",INDEX('Game Records'!$U:$U,$H245)&lt;&gt;"Disqualified — Free Game",INDEX('Game Records'!$J:$J,$H245)=""),"Total Players; ","")&amp;IF(AND(LOWER(INDEX('Game Records'!$D:$D,$H245)&amp;"")="finalized",LOWER(INDEX('Game Records'!$L:$L,$H245)&amp;"")&lt;&gt;"yes",INDEX('Game Records'!$U:$U,$H245)&lt;&gt;"Subscription",INDEX('Game Records'!$U:$U,$H245)&lt;&gt;"Free Game",INDEX('Game Records'!$U:$U,$H245)&lt;&gt;"Disqualified — Free Game",INDEX('Game Records'!$K:$K,$H245)=""),"Final Payout; ","")&amp;IF(AND(LOWER(INDEX('Game Records'!$D:$D,$H245)&amp;"")="finalized",INDEX('Game Records'!$U:$U,$H245)&lt;&gt;"Subscription",INDEX('Game Records'!$U:$U,$H245)&lt;&gt;"Free Game",INDEX('Game Records'!$U:$U,$H245)&lt;&gt;"Disqualified — Free Game",OR(INDEX('Game Records'!$L:$L,$H245)="",LOWER(INDEX('Game Records'!$L:$L,$H245)&amp;"")="n/a")),"Disqualified Status; ",""))</f>
        <v/>
      </c>
      <c r="G245" s="25" t="str">
        <f t="array" ref="G245">IF($H245="","",IFERROR(INDEX('Game Records'!$M:$M,$H245),""))</f>
        <v/>
      </c>
      <c r="H245" s="8"/>
    </row>
    <row r="246" ht="24.0" customHeight="1">
      <c r="A246" s="21" t="str">
        <f t="shared" si="1"/>
        <v/>
      </c>
      <c r="B246" s="21" t="str">
        <f t="shared" si="2"/>
        <v/>
      </c>
      <c r="C246" s="25" t="str">
        <f t="array" ref="C246">IF($H246="","",IFERROR(INDEX('Game Records'!$A:$A,$H246),""))</f>
        <v/>
      </c>
      <c r="D246" s="25" t="str">
        <f t="array" ref="D246">IF($H246="","",IFERROR(INDEX('Game Records'!$U:$U,$H246),""))</f>
        <v/>
      </c>
      <c r="E246" s="25" t="str">
        <f t="shared" si="3"/>
        <v/>
      </c>
      <c r="F246" s="25" t="str">
        <f t="array" ref="F246">IF($H246="","",IF(OR(NOT(_xlfn.ISFORMULA(INDEX('Game Records'!$N:$N,$H246))),NOT(_xlfn.ISFORMULA(INDEX('Game Records'!$O:$O,$H246))),NOT(_xlfn.ISFORMULA(INDEX('Game Records'!$P:$P,$H246))),NOT(_xlfn.ISFORMULA(INDEX('Game Records'!$Q:$Q,$H246))),NOT(_xlfn.ISFORMULA(INDEX('Game Records'!$R:$R,$H246))),NOT(_xlfn.ISFORMULA(INDEX('Game Records'!$S:$S,$H246))),NOT(_xlfn.ISFORMULA(INDEX('Game Records'!$T:$T,$H246))),NOT(_xlfn.ISFORMULA(INDEX('Game Records'!$U:$U,$H246))),NOT(_xlfn.ISFORMULA(INDEX('Game Records'!$V:$V,$H246))),NOT(_xlfn.ISFORMULA(INDEX('Game Records'!$W:$W,$H246))),NOT(_xlfn.ISFORMULA(INDEX('Game Records'!$X:$X,$H246))),NOT(_xlfn.ISFORMULA(INDEX('Game Records'!$Y:$Y,$H246))),NOT(_xlfn.ISFORMULA(INDEX('Game Records'!$Z:$Z,$H246)))),"","")&amp;IF(INDEX('Game Records'!$B:$B,$H246)="","Start Date; ","")&amp;IF(INDEX('Game Records'!$C:$C,$H246)="","End Date; ","")&amp;IF(AND(INDEX('Game Records'!$U:$U,$H246)&lt;&gt;"Subscription",INDEX('Game Records'!$U:$U,$H246)&lt;&gt;"Free Game",INDEX('Game Records'!$U:$U,$H246)&lt;&gt;"Disqualified — Free Game",OR(INDEX('Game Records'!$D:$D,$H246)="",LOWER(INDEX('Game Records'!$D:$D,$H246)&amp;"")="n/a")),"Entry Mode; ","")&amp;IF(AND(INDEX('Game Records'!$U:$U,$H246)&lt;&gt;"Subscription",INDEX('Game Records'!$U:$U,$H246)&lt;&gt;"Free Game",INDEX('Game Records'!$U:$U,$H246)&lt;&gt;"Disqualified — Free Game",OR(INDEX('Game Records'!$E:$E,$H246)="",LOWER(INDEX('Game Records'!$E:$E,$H246)&amp;"")="n/a")),"Game Type; ","")&amp;IF(INDEX('Game Records'!$F:$F,$H246)="","Payment Type; ","")&amp;IF(AND(INDEX('Game Records'!$U:$U,$H246)&lt;&gt;"Subscription",INDEX('Game Records'!$U:$U,$H246)&lt;&gt;"Free Game",INDEX('Game Records'!$U:$U,$H246)&lt;&gt;"Disqualified — Free Game",INDEX('Game Records'!$G:$G,$H246)=""),"Gross Pot; ","")&amp;IF(AND(INDEX('Game Records'!$U:$U,$H246)&lt;&gt;"Free Game",INDEX('Game Records'!$U:$U,$H246)&lt;&gt;"Disqualified — Free Game",INDEX('Game Records'!$H:$H,$H246)=""),"Entry Fee; ","")&amp;IF(AND(INDEX('Game Records'!$U:$U,$H246)&lt;&gt;"Subscription",INDEX('Game Records'!$U:$U,$H246)&lt;&gt;"Free Game",INDEX('Game Records'!$U:$U,$H246)&lt;&gt;"Disqualified — Free Game",INDEX('Game Records'!$I:$I,$H246)=""),"Eligible Players; ","")&amp;IF(AND(INDEX('Game Records'!$U:$U,$H246)&lt;&gt;"Subscription",INDEX('Game Records'!$U:$U,$H246)&lt;&gt;"Free Game",INDEX('Game Records'!$U:$U,$H246)&lt;&gt;"Disqualified — Free Game",INDEX('Game Records'!$J:$J,$H246)=""),"Total Players; ","")&amp;IF(AND(LOWER(INDEX('Game Records'!$D:$D,$H246)&amp;"")="finalized",LOWER(INDEX('Game Records'!$L:$L,$H246)&amp;"")&lt;&gt;"yes",INDEX('Game Records'!$U:$U,$H246)&lt;&gt;"Subscription",INDEX('Game Records'!$U:$U,$H246)&lt;&gt;"Free Game",INDEX('Game Records'!$U:$U,$H246)&lt;&gt;"Disqualified — Free Game",INDEX('Game Records'!$K:$K,$H246)=""),"Final Payout; ","")&amp;IF(AND(LOWER(INDEX('Game Records'!$D:$D,$H246)&amp;"")="finalized",INDEX('Game Records'!$U:$U,$H246)&lt;&gt;"Subscription",INDEX('Game Records'!$U:$U,$H246)&lt;&gt;"Free Game",INDEX('Game Records'!$U:$U,$H246)&lt;&gt;"Disqualified — Free Game",OR(INDEX('Game Records'!$L:$L,$H246)="",LOWER(INDEX('Game Records'!$L:$L,$H246)&amp;"")="n/a")),"Disqualified Status; ",""))</f>
        <v/>
      </c>
      <c r="G246" s="25" t="str">
        <f t="array" ref="G246">IF($H246="","",IFERROR(INDEX('Game Records'!$M:$M,$H246),""))</f>
        <v/>
      </c>
      <c r="H246" s="8"/>
    </row>
    <row r="247" ht="24.0" customHeight="1">
      <c r="A247" s="21" t="str">
        <f t="shared" si="1"/>
        <v/>
      </c>
      <c r="B247" s="21" t="str">
        <f t="shared" si="2"/>
        <v/>
      </c>
      <c r="C247" s="25" t="str">
        <f t="array" ref="C247">IF($H247="","",IFERROR(INDEX('Game Records'!$A:$A,$H247),""))</f>
        <v/>
      </c>
      <c r="D247" s="25" t="str">
        <f t="array" ref="D247">IF($H247="","",IFERROR(INDEX('Game Records'!$U:$U,$H247),""))</f>
        <v/>
      </c>
      <c r="E247" s="25" t="str">
        <f t="shared" si="3"/>
        <v/>
      </c>
      <c r="F247" s="25" t="str">
        <f t="array" ref="F247">IF($H247="","",IF(OR(NOT(_xlfn.ISFORMULA(INDEX('Game Records'!$N:$N,$H247))),NOT(_xlfn.ISFORMULA(INDEX('Game Records'!$O:$O,$H247))),NOT(_xlfn.ISFORMULA(INDEX('Game Records'!$P:$P,$H247))),NOT(_xlfn.ISFORMULA(INDEX('Game Records'!$Q:$Q,$H247))),NOT(_xlfn.ISFORMULA(INDEX('Game Records'!$R:$R,$H247))),NOT(_xlfn.ISFORMULA(INDEX('Game Records'!$S:$S,$H247))),NOT(_xlfn.ISFORMULA(INDEX('Game Records'!$T:$T,$H247))),NOT(_xlfn.ISFORMULA(INDEX('Game Records'!$U:$U,$H247))),NOT(_xlfn.ISFORMULA(INDEX('Game Records'!$V:$V,$H247))),NOT(_xlfn.ISFORMULA(INDEX('Game Records'!$W:$W,$H247))),NOT(_xlfn.ISFORMULA(INDEX('Game Records'!$X:$X,$H247))),NOT(_xlfn.ISFORMULA(INDEX('Game Records'!$Y:$Y,$H247))),NOT(_xlfn.ISFORMULA(INDEX('Game Records'!$Z:$Z,$H247)))),"","")&amp;IF(INDEX('Game Records'!$B:$B,$H247)="","Start Date; ","")&amp;IF(INDEX('Game Records'!$C:$C,$H247)="","End Date; ","")&amp;IF(AND(INDEX('Game Records'!$U:$U,$H247)&lt;&gt;"Subscription",INDEX('Game Records'!$U:$U,$H247)&lt;&gt;"Free Game",INDEX('Game Records'!$U:$U,$H247)&lt;&gt;"Disqualified — Free Game",OR(INDEX('Game Records'!$D:$D,$H247)="",LOWER(INDEX('Game Records'!$D:$D,$H247)&amp;"")="n/a")),"Entry Mode; ","")&amp;IF(AND(INDEX('Game Records'!$U:$U,$H247)&lt;&gt;"Subscription",INDEX('Game Records'!$U:$U,$H247)&lt;&gt;"Free Game",INDEX('Game Records'!$U:$U,$H247)&lt;&gt;"Disqualified — Free Game",OR(INDEX('Game Records'!$E:$E,$H247)="",LOWER(INDEX('Game Records'!$E:$E,$H247)&amp;"")="n/a")),"Game Type; ","")&amp;IF(INDEX('Game Records'!$F:$F,$H247)="","Payment Type; ","")&amp;IF(AND(INDEX('Game Records'!$U:$U,$H247)&lt;&gt;"Subscription",INDEX('Game Records'!$U:$U,$H247)&lt;&gt;"Free Game",INDEX('Game Records'!$U:$U,$H247)&lt;&gt;"Disqualified — Free Game",INDEX('Game Records'!$G:$G,$H247)=""),"Gross Pot; ","")&amp;IF(AND(INDEX('Game Records'!$U:$U,$H247)&lt;&gt;"Free Game",INDEX('Game Records'!$U:$U,$H247)&lt;&gt;"Disqualified — Free Game",INDEX('Game Records'!$H:$H,$H247)=""),"Entry Fee; ","")&amp;IF(AND(INDEX('Game Records'!$U:$U,$H247)&lt;&gt;"Subscription",INDEX('Game Records'!$U:$U,$H247)&lt;&gt;"Free Game",INDEX('Game Records'!$U:$U,$H247)&lt;&gt;"Disqualified — Free Game",INDEX('Game Records'!$I:$I,$H247)=""),"Eligible Players; ","")&amp;IF(AND(INDEX('Game Records'!$U:$U,$H247)&lt;&gt;"Subscription",INDEX('Game Records'!$U:$U,$H247)&lt;&gt;"Free Game",INDEX('Game Records'!$U:$U,$H247)&lt;&gt;"Disqualified — Free Game",INDEX('Game Records'!$J:$J,$H247)=""),"Total Players; ","")&amp;IF(AND(LOWER(INDEX('Game Records'!$D:$D,$H247)&amp;"")="finalized",LOWER(INDEX('Game Records'!$L:$L,$H247)&amp;"")&lt;&gt;"yes",INDEX('Game Records'!$U:$U,$H247)&lt;&gt;"Subscription",INDEX('Game Records'!$U:$U,$H247)&lt;&gt;"Free Game",INDEX('Game Records'!$U:$U,$H247)&lt;&gt;"Disqualified — Free Game",INDEX('Game Records'!$K:$K,$H247)=""),"Final Payout; ","")&amp;IF(AND(LOWER(INDEX('Game Records'!$D:$D,$H247)&amp;"")="finalized",INDEX('Game Records'!$U:$U,$H247)&lt;&gt;"Subscription",INDEX('Game Records'!$U:$U,$H247)&lt;&gt;"Free Game",INDEX('Game Records'!$U:$U,$H247)&lt;&gt;"Disqualified — Free Game",OR(INDEX('Game Records'!$L:$L,$H247)="",LOWER(INDEX('Game Records'!$L:$L,$H247)&amp;"")="n/a")),"Disqualified Status; ",""))</f>
        <v/>
      </c>
      <c r="G247" s="25" t="str">
        <f t="array" ref="G247">IF($H247="","",IFERROR(INDEX('Game Records'!$M:$M,$H247),""))</f>
        <v/>
      </c>
      <c r="H247" s="8"/>
    </row>
    <row r="248" ht="24.0" customHeight="1">
      <c r="A248" s="21" t="str">
        <f t="shared" si="1"/>
        <v/>
      </c>
      <c r="B248" s="21" t="str">
        <f t="shared" si="2"/>
        <v/>
      </c>
      <c r="C248" s="25" t="str">
        <f t="array" ref="C248">IF($H248="","",IFERROR(INDEX('Game Records'!$A:$A,$H248),""))</f>
        <v/>
      </c>
      <c r="D248" s="25" t="str">
        <f t="array" ref="D248">IF($H248="","",IFERROR(INDEX('Game Records'!$U:$U,$H248),""))</f>
        <v/>
      </c>
      <c r="E248" s="25" t="str">
        <f t="shared" si="3"/>
        <v/>
      </c>
      <c r="F248" s="25" t="str">
        <f t="array" ref="F248">IF($H248="","",IF(OR(NOT(_xlfn.ISFORMULA(INDEX('Game Records'!$N:$N,$H248))),NOT(_xlfn.ISFORMULA(INDEX('Game Records'!$O:$O,$H248))),NOT(_xlfn.ISFORMULA(INDEX('Game Records'!$P:$P,$H248))),NOT(_xlfn.ISFORMULA(INDEX('Game Records'!$Q:$Q,$H248))),NOT(_xlfn.ISFORMULA(INDEX('Game Records'!$R:$R,$H248))),NOT(_xlfn.ISFORMULA(INDEX('Game Records'!$S:$S,$H248))),NOT(_xlfn.ISFORMULA(INDEX('Game Records'!$T:$T,$H248))),NOT(_xlfn.ISFORMULA(INDEX('Game Records'!$U:$U,$H248))),NOT(_xlfn.ISFORMULA(INDEX('Game Records'!$V:$V,$H248))),NOT(_xlfn.ISFORMULA(INDEX('Game Records'!$W:$W,$H248))),NOT(_xlfn.ISFORMULA(INDEX('Game Records'!$X:$X,$H248))),NOT(_xlfn.ISFORMULA(INDEX('Game Records'!$Y:$Y,$H248))),NOT(_xlfn.ISFORMULA(INDEX('Game Records'!$Z:$Z,$H248)))),"","")&amp;IF(INDEX('Game Records'!$B:$B,$H248)="","Start Date; ","")&amp;IF(INDEX('Game Records'!$C:$C,$H248)="","End Date; ","")&amp;IF(AND(INDEX('Game Records'!$U:$U,$H248)&lt;&gt;"Subscription",INDEX('Game Records'!$U:$U,$H248)&lt;&gt;"Free Game",INDEX('Game Records'!$U:$U,$H248)&lt;&gt;"Disqualified — Free Game",OR(INDEX('Game Records'!$D:$D,$H248)="",LOWER(INDEX('Game Records'!$D:$D,$H248)&amp;"")="n/a")),"Entry Mode; ","")&amp;IF(AND(INDEX('Game Records'!$U:$U,$H248)&lt;&gt;"Subscription",INDEX('Game Records'!$U:$U,$H248)&lt;&gt;"Free Game",INDEX('Game Records'!$U:$U,$H248)&lt;&gt;"Disqualified — Free Game",OR(INDEX('Game Records'!$E:$E,$H248)="",LOWER(INDEX('Game Records'!$E:$E,$H248)&amp;"")="n/a")),"Game Type; ","")&amp;IF(INDEX('Game Records'!$F:$F,$H248)="","Payment Type; ","")&amp;IF(AND(INDEX('Game Records'!$U:$U,$H248)&lt;&gt;"Subscription",INDEX('Game Records'!$U:$U,$H248)&lt;&gt;"Free Game",INDEX('Game Records'!$U:$U,$H248)&lt;&gt;"Disqualified — Free Game",INDEX('Game Records'!$G:$G,$H248)=""),"Gross Pot; ","")&amp;IF(AND(INDEX('Game Records'!$U:$U,$H248)&lt;&gt;"Free Game",INDEX('Game Records'!$U:$U,$H248)&lt;&gt;"Disqualified — Free Game",INDEX('Game Records'!$H:$H,$H248)=""),"Entry Fee; ","")&amp;IF(AND(INDEX('Game Records'!$U:$U,$H248)&lt;&gt;"Subscription",INDEX('Game Records'!$U:$U,$H248)&lt;&gt;"Free Game",INDEX('Game Records'!$U:$U,$H248)&lt;&gt;"Disqualified — Free Game",INDEX('Game Records'!$I:$I,$H248)=""),"Eligible Players; ","")&amp;IF(AND(INDEX('Game Records'!$U:$U,$H248)&lt;&gt;"Subscription",INDEX('Game Records'!$U:$U,$H248)&lt;&gt;"Free Game",INDEX('Game Records'!$U:$U,$H248)&lt;&gt;"Disqualified — Free Game",INDEX('Game Records'!$J:$J,$H248)=""),"Total Players; ","")&amp;IF(AND(LOWER(INDEX('Game Records'!$D:$D,$H248)&amp;"")="finalized",LOWER(INDEX('Game Records'!$L:$L,$H248)&amp;"")&lt;&gt;"yes",INDEX('Game Records'!$U:$U,$H248)&lt;&gt;"Subscription",INDEX('Game Records'!$U:$U,$H248)&lt;&gt;"Free Game",INDEX('Game Records'!$U:$U,$H248)&lt;&gt;"Disqualified — Free Game",INDEX('Game Records'!$K:$K,$H248)=""),"Final Payout; ","")&amp;IF(AND(LOWER(INDEX('Game Records'!$D:$D,$H248)&amp;"")="finalized",INDEX('Game Records'!$U:$U,$H248)&lt;&gt;"Subscription",INDEX('Game Records'!$U:$U,$H248)&lt;&gt;"Free Game",INDEX('Game Records'!$U:$U,$H248)&lt;&gt;"Disqualified — Free Game",OR(INDEX('Game Records'!$L:$L,$H248)="",LOWER(INDEX('Game Records'!$L:$L,$H248)&amp;"")="n/a")),"Disqualified Status; ",""))</f>
        <v/>
      </c>
      <c r="G248" s="25" t="str">
        <f t="array" ref="G248">IF($H248="","",IFERROR(INDEX('Game Records'!$M:$M,$H248),""))</f>
        <v/>
      </c>
      <c r="H248" s="8"/>
    </row>
    <row r="249" ht="24.0" customHeight="1">
      <c r="A249" s="21" t="str">
        <f t="shared" si="1"/>
        <v/>
      </c>
      <c r="B249" s="21" t="str">
        <f t="shared" si="2"/>
        <v/>
      </c>
      <c r="C249" s="25" t="str">
        <f t="array" ref="C249">IF($H249="","",IFERROR(INDEX('Game Records'!$A:$A,$H249),""))</f>
        <v/>
      </c>
      <c r="D249" s="25" t="str">
        <f t="array" ref="D249">IF($H249="","",IFERROR(INDEX('Game Records'!$U:$U,$H249),""))</f>
        <v/>
      </c>
      <c r="E249" s="25" t="str">
        <f t="shared" si="3"/>
        <v/>
      </c>
      <c r="F249" s="25" t="str">
        <f t="array" ref="F249">IF($H249="","",IF(OR(NOT(_xlfn.ISFORMULA(INDEX('Game Records'!$N:$N,$H249))),NOT(_xlfn.ISFORMULA(INDEX('Game Records'!$O:$O,$H249))),NOT(_xlfn.ISFORMULA(INDEX('Game Records'!$P:$P,$H249))),NOT(_xlfn.ISFORMULA(INDEX('Game Records'!$Q:$Q,$H249))),NOT(_xlfn.ISFORMULA(INDEX('Game Records'!$R:$R,$H249))),NOT(_xlfn.ISFORMULA(INDEX('Game Records'!$S:$S,$H249))),NOT(_xlfn.ISFORMULA(INDEX('Game Records'!$T:$T,$H249))),NOT(_xlfn.ISFORMULA(INDEX('Game Records'!$U:$U,$H249))),NOT(_xlfn.ISFORMULA(INDEX('Game Records'!$V:$V,$H249))),NOT(_xlfn.ISFORMULA(INDEX('Game Records'!$W:$W,$H249))),NOT(_xlfn.ISFORMULA(INDEX('Game Records'!$X:$X,$H249))),NOT(_xlfn.ISFORMULA(INDEX('Game Records'!$Y:$Y,$H249))),NOT(_xlfn.ISFORMULA(INDEX('Game Records'!$Z:$Z,$H249)))),"","")&amp;IF(INDEX('Game Records'!$B:$B,$H249)="","Start Date; ","")&amp;IF(INDEX('Game Records'!$C:$C,$H249)="","End Date; ","")&amp;IF(AND(INDEX('Game Records'!$U:$U,$H249)&lt;&gt;"Subscription",INDEX('Game Records'!$U:$U,$H249)&lt;&gt;"Free Game",INDEX('Game Records'!$U:$U,$H249)&lt;&gt;"Disqualified — Free Game",OR(INDEX('Game Records'!$D:$D,$H249)="",LOWER(INDEX('Game Records'!$D:$D,$H249)&amp;"")="n/a")),"Entry Mode; ","")&amp;IF(AND(INDEX('Game Records'!$U:$U,$H249)&lt;&gt;"Subscription",INDEX('Game Records'!$U:$U,$H249)&lt;&gt;"Free Game",INDEX('Game Records'!$U:$U,$H249)&lt;&gt;"Disqualified — Free Game",OR(INDEX('Game Records'!$E:$E,$H249)="",LOWER(INDEX('Game Records'!$E:$E,$H249)&amp;"")="n/a")),"Game Type; ","")&amp;IF(INDEX('Game Records'!$F:$F,$H249)="","Payment Type; ","")&amp;IF(AND(INDEX('Game Records'!$U:$U,$H249)&lt;&gt;"Subscription",INDEX('Game Records'!$U:$U,$H249)&lt;&gt;"Free Game",INDEX('Game Records'!$U:$U,$H249)&lt;&gt;"Disqualified — Free Game",INDEX('Game Records'!$G:$G,$H249)=""),"Gross Pot; ","")&amp;IF(AND(INDEX('Game Records'!$U:$U,$H249)&lt;&gt;"Free Game",INDEX('Game Records'!$U:$U,$H249)&lt;&gt;"Disqualified — Free Game",INDEX('Game Records'!$H:$H,$H249)=""),"Entry Fee; ","")&amp;IF(AND(INDEX('Game Records'!$U:$U,$H249)&lt;&gt;"Subscription",INDEX('Game Records'!$U:$U,$H249)&lt;&gt;"Free Game",INDEX('Game Records'!$U:$U,$H249)&lt;&gt;"Disqualified — Free Game",INDEX('Game Records'!$I:$I,$H249)=""),"Eligible Players; ","")&amp;IF(AND(INDEX('Game Records'!$U:$U,$H249)&lt;&gt;"Subscription",INDEX('Game Records'!$U:$U,$H249)&lt;&gt;"Free Game",INDEX('Game Records'!$U:$U,$H249)&lt;&gt;"Disqualified — Free Game",INDEX('Game Records'!$J:$J,$H249)=""),"Total Players; ","")&amp;IF(AND(LOWER(INDEX('Game Records'!$D:$D,$H249)&amp;"")="finalized",LOWER(INDEX('Game Records'!$L:$L,$H249)&amp;"")&lt;&gt;"yes",INDEX('Game Records'!$U:$U,$H249)&lt;&gt;"Subscription",INDEX('Game Records'!$U:$U,$H249)&lt;&gt;"Free Game",INDEX('Game Records'!$U:$U,$H249)&lt;&gt;"Disqualified — Free Game",INDEX('Game Records'!$K:$K,$H249)=""),"Final Payout; ","")&amp;IF(AND(LOWER(INDEX('Game Records'!$D:$D,$H249)&amp;"")="finalized",INDEX('Game Records'!$U:$U,$H249)&lt;&gt;"Subscription",INDEX('Game Records'!$U:$U,$H249)&lt;&gt;"Free Game",INDEX('Game Records'!$U:$U,$H249)&lt;&gt;"Disqualified — Free Game",OR(INDEX('Game Records'!$L:$L,$H249)="",LOWER(INDEX('Game Records'!$L:$L,$H249)&amp;"")="n/a")),"Disqualified Status; ",""))</f>
        <v/>
      </c>
      <c r="G249" s="25" t="str">
        <f t="array" ref="G249">IF($H249="","",IFERROR(INDEX('Game Records'!$M:$M,$H249),""))</f>
        <v/>
      </c>
      <c r="H249" s="8"/>
    </row>
    <row r="250" ht="24.0" customHeight="1">
      <c r="A250" s="21" t="str">
        <f t="shared" si="1"/>
        <v/>
      </c>
      <c r="B250" s="21" t="str">
        <f t="shared" si="2"/>
        <v/>
      </c>
      <c r="C250" s="25" t="str">
        <f t="array" ref="C250">IF($H250="","",IFERROR(INDEX('Game Records'!$A:$A,$H250),""))</f>
        <v/>
      </c>
      <c r="D250" s="25" t="str">
        <f t="array" ref="D250">IF($H250="","",IFERROR(INDEX('Game Records'!$U:$U,$H250),""))</f>
        <v/>
      </c>
      <c r="E250" s="25" t="str">
        <f t="shared" si="3"/>
        <v/>
      </c>
      <c r="F250" s="25" t="str">
        <f t="array" ref="F250">IF($H250="","",IF(OR(NOT(_xlfn.ISFORMULA(INDEX('Game Records'!$N:$N,$H250))),NOT(_xlfn.ISFORMULA(INDEX('Game Records'!$O:$O,$H250))),NOT(_xlfn.ISFORMULA(INDEX('Game Records'!$P:$P,$H250))),NOT(_xlfn.ISFORMULA(INDEX('Game Records'!$Q:$Q,$H250))),NOT(_xlfn.ISFORMULA(INDEX('Game Records'!$R:$R,$H250))),NOT(_xlfn.ISFORMULA(INDEX('Game Records'!$S:$S,$H250))),NOT(_xlfn.ISFORMULA(INDEX('Game Records'!$T:$T,$H250))),NOT(_xlfn.ISFORMULA(INDEX('Game Records'!$U:$U,$H250))),NOT(_xlfn.ISFORMULA(INDEX('Game Records'!$V:$V,$H250))),NOT(_xlfn.ISFORMULA(INDEX('Game Records'!$W:$W,$H250))),NOT(_xlfn.ISFORMULA(INDEX('Game Records'!$X:$X,$H250))),NOT(_xlfn.ISFORMULA(INDEX('Game Records'!$Y:$Y,$H250))),NOT(_xlfn.ISFORMULA(INDEX('Game Records'!$Z:$Z,$H250)))),"","")&amp;IF(INDEX('Game Records'!$B:$B,$H250)="","Start Date; ","")&amp;IF(INDEX('Game Records'!$C:$C,$H250)="","End Date; ","")&amp;IF(AND(INDEX('Game Records'!$U:$U,$H250)&lt;&gt;"Subscription",INDEX('Game Records'!$U:$U,$H250)&lt;&gt;"Free Game",INDEX('Game Records'!$U:$U,$H250)&lt;&gt;"Disqualified — Free Game",OR(INDEX('Game Records'!$D:$D,$H250)="",LOWER(INDEX('Game Records'!$D:$D,$H250)&amp;"")="n/a")),"Entry Mode; ","")&amp;IF(AND(INDEX('Game Records'!$U:$U,$H250)&lt;&gt;"Subscription",INDEX('Game Records'!$U:$U,$H250)&lt;&gt;"Free Game",INDEX('Game Records'!$U:$U,$H250)&lt;&gt;"Disqualified — Free Game",OR(INDEX('Game Records'!$E:$E,$H250)="",LOWER(INDEX('Game Records'!$E:$E,$H250)&amp;"")="n/a")),"Game Type; ","")&amp;IF(INDEX('Game Records'!$F:$F,$H250)="","Payment Type; ","")&amp;IF(AND(INDEX('Game Records'!$U:$U,$H250)&lt;&gt;"Subscription",INDEX('Game Records'!$U:$U,$H250)&lt;&gt;"Free Game",INDEX('Game Records'!$U:$U,$H250)&lt;&gt;"Disqualified — Free Game",INDEX('Game Records'!$G:$G,$H250)=""),"Gross Pot; ","")&amp;IF(AND(INDEX('Game Records'!$U:$U,$H250)&lt;&gt;"Free Game",INDEX('Game Records'!$U:$U,$H250)&lt;&gt;"Disqualified — Free Game",INDEX('Game Records'!$H:$H,$H250)=""),"Entry Fee; ","")&amp;IF(AND(INDEX('Game Records'!$U:$U,$H250)&lt;&gt;"Subscription",INDEX('Game Records'!$U:$U,$H250)&lt;&gt;"Free Game",INDEX('Game Records'!$U:$U,$H250)&lt;&gt;"Disqualified — Free Game",INDEX('Game Records'!$I:$I,$H250)=""),"Eligible Players; ","")&amp;IF(AND(INDEX('Game Records'!$U:$U,$H250)&lt;&gt;"Subscription",INDEX('Game Records'!$U:$U,$H250)&lt;&gt;"Free Game",INDEX('Game Records'!$U:$U,$H250)&lt;&gt;"Disqualified — Free Game",INDEX('Game Records'!$J:$J,$H250)=""),"Total Players; ","")&amp;IF(AND(LOWER(INDEX('Game Records'!$D:$D,$H250)&amp;"")="finalized",LOWER(INDEX('Game Records'!$L:$L,$H250)&amp;"")&lt;&gt;"yes",INDEX('Game Records'!$U:$U,$H250)&lt;&gt;"Subscription",INDEX('Game Records'!$U:$U,$H250)&lt;&gt;"Free Game",INDEX('Game Records'!$U:$U,$H250)&lt;&gt;"Disqualified — Free Game",INDEX('Game Records'!$K:$K,$H250)=""),"Final Payout; ","")&amp;IF(AND(LOWER(INDEX('Game Records'!$D:$D,$H250)&amp;"")="finalized",INDEX('Game Records'!$U:$U,$H250)&lt;&gt;"Subscription",INDEX('Game Records'!$U:$U,$H250)&lt;&gt;"Free Game",INDEX('Game Records'!$U:$U,$H250)&lt;&gt;"Disqualified — Free Game",OR(INDEX('Game Records'!$L:$L,$H250)="",LOWER(INDEX('Game Records'!$L:$L,$H250)&amp;"")="n/a")),"Disqualified Status; ",""))</f>
        <v/>
      </c>
      <c r="G250" s="25" t="str">
        <f t="array" ref="G250">IF($H250="","",IFERROR(INDEX('Game Records'!$M:$M,$H250),""))</f>
        <v/>
      </c>
      <c r="H250" s="8"/>
    </row>
    <row r="251" ht="24.0" customHeight="1">
      <c r="A251" s="21" t="str">
        <f t="shared" si="1"/>
        <v/>
      </c>
      <c r="B251" s="21" t="str">
        <f t="shared" si="2"/>
        <v/>
      </c>
      <c r="C251" s="25" t="str">
        <f t="array" ref="C251">IF($H251="","",IFERROR(INDEX('Game Records'!$A:$A,$H251),""))</f>
        <v/>
      </c>
      <c r="D251" s="25" t="str">
        <f t="array" ref="D251">IF($H251="","",IFERROR(INDEX('Game Records'!$U:$U,$H251),""))</f>
        <v/>
      </c>
      <c r="E251" s="25" t="str">
        <f t="shared" si="3"/>
        <v/>
      </c>
      <c r="F251" s="25" t="str">
        <f t="array" ref="F251">IF($H251="","",IF(OR(NOT(_xlfn.ISFORMULA(INDEX('Game Records'!$N:$N,$H251))),NOT(_xlfn.ISFORMULA(INDEX('Game Records'!$O:$O,$H251))),NOT(_xlfn.ISFORMULA(INDEX('Game Records'!$P:$P,$H251))),NOT(_xlfn.ISFORMULA(INDEX('Game Records'!$Q:$Q,$H251))),NOT(_xlfn.ISFORMULA(INDEX('Game Records'!$R:$R,$H251))),NOT(_xlfn.ISFORMULA(INDEX('Game Records'!$S:$S,$H251))),NOT(_xlfn.ISFORMULA(INDEX('Game Records'!$T:$T,$H251))),NOT(_xlfn.ISFORMULA(INDEX('Game Records'!$U:$U,$H251))),NOT(_xlfn.ISFORMULA(INDEX('Game Records'!$V:$V,$H251))),NOT(_xlfn.ISFORMULA(INDEX('Game Records'!$W:$W,$H251))),NOT(_xlfn.ISFORMULA(INDEX('Game Records'!$X:$X,$H251))),NOT(_xlfn.ISFORMULA(INDEX('Game Records'!$Y:$Y,$H251))),NOT(_xlfn.ISFORMULA(INDEX('Game Records'!$Z:$Z,$H251)))),"","")&amp;IF(INDEX('Game Records'!$B:$B,$H251)="","Start Date; ","")&amp;IF(INDEX('Game Records'!$C:$C,$H251)="","End Date; ","")&amp;IF(AND(INDEX('Game Records'!$U:$U,$H251)&lt;&gt;"Subscription",INDEX('Game Records'!$U:$U,$H251)&lt;&gt;"Free Game",INDEX('Game Records'!$U:$U,$H251)&lt;&gt;"Disqualified — Free Game",OR(INDEX('Game Records'!$D:$D,$H251)="",LOWER(INDEX('Game Records'!$D:$D,$H251)&amp;"")="n/a")),"Entry Mode; ","")&amp;IF(AND(INDEX('Game Records'!$U:$U,$H251)&lt;&gt;"Subscription",INDEX('Game Records'!$U:$U,$H251)&lt;&gt;"Free Game",INDEX('Game Records'!$U:$U,$H251)&lt;&gt;"Disqualified — Free Game",OR(INDEX('Game Records'!$E:$E,$H251)="",LOWER(INDEX('Game Records'!$E:$E,$H251)&amp;"")="n/a")),"Game Type; ","")&amp;IF(INDEX('Game Records'!$F:$F,$H251)="","Payment Type; ","")&amp;IF(AND(INDEX('Game Records'!$U:$U,$H251)&lt;&gt;"Subscription",INDEX('Game Records'!$U:$U,$H251)&lt;&gt;"Free Game",INDEX('Game Records'!$U:$U,$H251)&lt;&gt;"Disqualified — Free Game",INDEX('Game Records'!$G:$G,$H251)=""),"Gross Pot; ","")&amp;IF(AND(INDEX('Game Records'!$U:$U,$H251)&lt;&gt;"Free Game",INDEX('Game Records'!$U:$U,$H251)&lt;&gt;"Disqualified — Free Game",INDEX('Game Records'!$H:$H,$H251)=""),"Entry Fee; ","")&amp;IF(AND(INDEX('Game Records'!$U:$U,$H251)&lt;&gt;"Subscription",INDEX('Game Records'!$U:$U,$H251)&lt;&gt;"Free Game",INDEX('Game Records'!$U:$U,$H251)&lt;&gt;"Disqualified — Free Game",INDEX('Game Records'!$I:$I,$H251)=""),"Eligible Players; ","")&amp;IF(AND(INDEX('Game Records'!$U:$U,$H251)&lt;&gt;"Subscription",INDEX('Game Records'!$U:$U,$H251)&lt;&gt;"Free Game",INDEX('Game Records'!$U:$U,$H251)&lt;&gt;"Disqualified — Free Game",INDEX('Game Records'!$J:$J,$H251)=""),"Total Players; ","")&amp;IF(AND(LOWER(INDEX('Game Records'!$D:$D,$H251)&amp;"")="finalized",LOWER(INDEX('Game Records'!$L:$L,$H251)&amp;"")&lt;&gt;"yes",INDEX('Game Records'!$U:$U,$H251)&lt;&gt;"Subscription",INDEX('Game Records'!$U:$U,$H251)&lt;&gt;"Free Game",INDEX('Game Records'!$U:$U,$H251)&lt;&gt;"Disqualified — Free Game",INDEX('Game Records'!$K:$K,$H251)=""),"Final Payout; ","")&amp;IF(AND(LOWER(INDEX('Game Records'!$D:$D,$H251)&amp;"")="finalized",INDEX('Game Records'!$U:$U,$H251)&lt;&gt;"Subscription",INDEX('Game Records'!$U:$U,$H251)&lt;&gt;"Free Game",INDEX('Game Records'!$U:$U,$H251)&lt;&gt;"Disqualified — Free Game",OR(INDEX('Game Records'!$L:$L,$H251)="",LOWER(INDEX('Game Records'!$L:$L,$H251)&amp;"")="n/a")),"Disqualified Status; ",""))</f>
        <v/>
      </c>
      <c r="G251" s="25" t="str">
        <f t="array" ref="G251">IF($H251="","",IFERROR(INDEX('Game Records'!$M:$M,$H251),""))</f>
        <v/>
      </c>
      <c r="H251" s="8"/>
    </row>
    <row r="252" ht="24.0" customHeight="1">
      <c r="A252" s="21" t="str">
        <f t="shared" si="1"/>
        <v/>
      </c>
      <c r="B252" s="21" t="str">
        <f t="shared" si="2"/>
        <v/>
      </c>
      <c r="C252" s="25" t="str">
        <f t="array" ref="C252">IF($H252="","",IFERROR(INDEX('Game Records'!$A:$A,$H252),""))</f>
        <v/>
      </c>
      <c r="D252" s="25" t="str">
        <f t="array" ref="D252">IF($H252="","",IFERROR(INDEX('Game Records'!$U:$U,$H252),""))</f>
        <v/>
      </c>
      <c r="E252" s="25" t="str">
        <f t="shared" si="3"/>
        <v/>
      </c>
      <c r="F252" s="25" t="str">
        <f t="array" ref="F252">IF($H252="","",IF(OR(NOT(_xlfn.ISFORMULA(INDEX('Game Records'!$N:$N,$H252))),NOT(_xlfn.ISFORMULA(INDEX('Game Records'!$O:$O,$H252))),NOT(_xlfn.ISFORMULA(INDEX('Game Records'!$P:$P,$H252))),NOT(_xlfn.ISFORMULA(INDEX('Game Records'!$Q:$Q,$H252))),NOT(_xlfn.ISFORMULA(INDEX('Game Records'!$R:$R,$H252))),NOT(_xlfn.ISFORMULA(INDEX('Game Records'!$S:$S,$H252))),NOT(_xlfn.ISFORMULA(INDEX('Game Records'!$T:$T,$H252))),NOT(_xlfn.ISFORMULA(INDEX('Game Records'!$U:$U,$H252))),NOT(_xlfn.ISFORMULA(INDEX('Game Records'!$V:$V,$H252))),NOT(_xlfn.ISFORMULA(INDEX('Game Records'!$W:$W,$H252))),NOT(_xlfn.ISFORMULA(INDEX('Game Records'!$X:$X,$H252))),NOT(_xlfn.ISFORMULA(INDEX('Game Records'!$Y:$Y,$H252))),NOT(_xlfn.ISFORMULA(INDEX('Game Records'!$Z:$Z,$H252)))),"","")&amp;IF(INDEX('Game Records'!$B:$B,$H252)="","Start Date; ","")&amp;IF(INDEX('Game Records'!$C:$C,$H252)="","End Date; ","")&amp;IF(AND(INDEX('Game Records'!$U:$U,$H252)&lt;&gt;"Subscription",INDEX('Game Records'!$U:$U,$H252)&lt;&gt;"Free Game",INDEX('Game Records'!$U:$U,$H252)&lt;&gt;"Disqualified — Free Game",OR(INDEX('Game Records'!$D:$D,$H252)="",LOWER(INDEX('Game Records'!$D:$D,$H252)&amp;"")="n/a")),"Entry Mode; ","")&amp;IF(AND(INDEX('Game Records'!$U:$U,$H252)&lt;&gt;"Subscription",INDEX('Game Records'!$U:$U,$H252)&lt;&gt;"Free Game",INDEX('Game Records'!$U:$U,$H252)&lt;&gt;"Disqualified — Free Game",OR(INDEX('Game Records'!$E:$E,$H252)="",LOWER(INDEX('Game Records'!$E:$E,$H252)&amp;"")="n/a")),"Game Type; ","")&amp;IF(INDEX('Game Records'!$F:$F,$H252)="","Payment Type; ","")&amp;IF(AND(INDEX('Game Records'!$U:$U,$H252)&lt;&gt;"Subscription",INDEX('Game Records'!$U:$U,$H252)&lt;&gt;"Free Game",INDEX('Game Records'!$U:$U,$H252)&lt;&gt;"Disqualified — Free Game",INDEX('Game Records'!$G:$G,$H252)=""),"Gross Pot; ","")&amp;IF(AND(INDEX('Game Records'!$U:$U,$H252)&lt;&gt;"Free Game",INDEX('Game Records'!$U:$U,$H252)&lt;&gt;"Disqualified — Free Game",INDEX('Game Records'!$H:$H,$H252)=""),"Entry Fee; ","")&amp;IF(AND(INDEX('Game Records'!$U:$U,$H252)&lt;&gt;"Subscription",INDEX('Game Records'!$U:$U,$H252)&lt;&gt;"Free Game",INDEX('Game Records'!$U:$U,$H252)&lt;&gt;"Disqualified — Free Game",INDEX('Game Records'!$I:$I,$H252)=""),"Eligible Players; ","")&amp;IF(AND(INDEX('Game Records'!$U:$U,$H252)&lt;&gt;"Subscription",INDEX('Game Records'!$U:$U,$H252)&lt;&gt;"Free Game",INDEX('Game Records'!$U:$U,$H252)&lt;&gt;"Disqualified — Free Game",INDEX('Game Records'!$J:$J,$H252)=""),"Total Players; ","")&amp;IF(AND(LOWER(INDEX('Game Records'!$D:$D,$H252)&amp;"")="finalized",LOWER(INDEX('Game Records'!$L:$L,$H252)&amp;"")&lt;&gt;"yes",INDEX('Game Records'!$U:$U,$H252)&lt;&gt;"Subscription",INDEX('Game Records'!$U:$U,$H252)&lt;&gt;"Free Game",INDEX('Game Records'!$U:$U,$H252)&lt;&gt;"Disqualified — Free Game",INDEX('Game Records'!$K:$K,$H252)=""),"Final Payout; ","")&amp;IF(AND(LOWER(INDEX('Game Records'!$D:$D,$H252)&amp;"")="finalized",INDEX('Game Records'!$U:$U,$H252)&lt;&gt;"Subscription",INDEX('Game Records'!$U:$U,$H252)&lt;&gt;"Free Game",INDEX('Game Records'!$U:$U,$H252)&lt;&gt;"Disqualified — Free Game",OR(INDEX('Game Records'!$L:$L,$H252)="",LOWER(INDEX('Game Records'!$L:$L,$H252)&amp;"")="n/a")),"Disqualified Status; ",""))</f>
        <v/>
      </c>
      <c r="G252" s="25" t="str">
        <f t="array" ref="G252">IF($H252="","",IFERROR(INDEX('Game Records'!$M:$M,$H252),""))</f>
        <v/>
      </c>
      <c r="H252" s="8"/>
    </row>
    <row r="253" ht="24.0" customHeight="1">
      <c r="A253" s="21" t="str">
        <f t="shared" si="1"/>
        <v/>
      </c>
      <c r="B253" s="21" t="str">
        <f t="shared" si="2"/>
        <v/>
      </c>
      <c r="C253" s="25" t="str">
        <f t="array" ref="C253">IF($H253="","",IFERROR(INDEX('Game Records'!$A:$A,$H253),""))</f>
        <v/>
      </c>
      <c r="D253" s="25" t="str">
        <f t="array" ref="D253">IF($H253="","",IFERROR(INDEX('Game Records'!$U:$U,$H253),""))</f>
        <v/>
      </c>
      <c r="E253" s="25" t="str">
        <f t="shared" si="3"/>
        <v/>
      </c>
      <c r="F253" s="25" t="str">
        <f t="array" ref="F253">IF($H253="","",IF(OR(NOT(_xlfn.ISFORMULA(INDEX('Game Records'!$N:$N,$H253))),NOT(_xlfn.ISFORMULA(INDEX('Game Records'!$O:$O,$H253))),NOT(_xlfn.ISFORMULA(INDEX('Game Records'!$P:$P,$H253))),NOT(_xlfn.ISFORMULA(INDEX('Game Records'!$Q:$Q,$H253))),NOT(_xlfn.ISFORMULA(INDEX('Game Records'!$R:$R,$H253))),NOT(_xlfn.ISFORMULA(INDEX('Game Records'!$S:$S,$H253))),NOT(_xlfn.ISFORMULA(INDEX('Game Records'!$T:$T,$H253))),NOT(_xlfn.ISFORMULA(INDEX('Game Records'!$U:$U,$H253))),NOT(_xlfn.ISFORMULA(INDEX('Game Records'!$V:$V,$H253))),NOT(_xlfn.ISFORMULA(INDEX('Game Records'!$W:$W,$H253))),NOT(_xlfn.ISFORMULA(INDEX('Game Records'!$X:$X,$H253))),NOT(_xlfn.ISFORMULA(INDEX('Game Records'!$Y:$Y,$H253))),NOT(_xlfn.ISFORMULA(INDEX('Game Records'!$Z:$Z,$H253)))),"","")&amp;IF(INDEX('Game Records'!$B:$B,$H253)="","Start Date; ","")&amp;IF(INDEX('Game Records'!$C:$C,$H253)="","End Date; ","")&amp;IF(AND(INDEX('Game Records'!$U:$U,$H253)&lt;&gt;"Subscription",INDEX('Game Records'!$U:$U,$H253)&lt;&gt;"Free Game",INDEX('Game Records'!$U:$U,$H253)&lt;&gt;"Disqualified — Free Game",OR(INDEX('Game Records'!$D:$D,$H253)="",LOWER(INDEX('Game Records'!$D:$D,$H253)&amp;"")="n/a")),"Entry Mode; ","")&amp;IF(AND(INDEX('Game Records'!$U:$U,$H253)&lt;&gt;"Subscription",INDEX('Game Records'!$U:$U,$H253)&lt;&gt;"Free Game",INDEX('Game Records'!$U:$U,$H253)&lt;&gt;"Disqualified — Free Game",OR(INDEX('Game Records'!$E:$E,$H253)="",LOWER(INDEX('Game Records'!$E:$E,$H253)&amp;"")="n/a")),"Game Type; ","")&amp;IF(INDEX('Game Records'!$F:$F,$H253)="","Payment Type; ","")&amp;IF(AND(INDEX('Game Records'!$U:$U,$H253)&lt;&gt;"Subscription",INDEX('Game Records'!$U:$U,$H253)&lt;&gt;"Free Game",INDEX('Game Records'!$U:$U,$H253)&lt;&gt;"Disqualified — Free Game",INDEX('Game Records'!$G:$G,$H253)=""),"Gross Pot; ","")&amp;IF(AND(INDEX('Game Records'!$U:$U,$H253)&lt;&gt;"Free Game",INDEX('Game Records'!$U:$U,$H253)&lt;&gt;"Disqualified — Free Game",INDEX('Game Records'!$H:$H,$H253)=""),"Entry Fee; ","")&amp;IF(AND(INDEX('Game Records'!$U:$U,$H253)&lt;&gt;"Subscription",INDEX('Game Records'!$U:$U,$H253)&lt;&gt;"Free Game",INDEX('Game Records'!$U:$U,$H253)&lt;&gt;"Disqualified — Free Game",INDEX('Game Records'!$I:$I,$H253)=""),"Eligible Players; ","")&amp;IF(AND(INDEX('Game Records'!$U:$U,$H253)&lt;&gt;"Subscription",INDEX('Game Records'!$U:$U,$H253)&lt;&gt;"Free Game",INDEX('Game Records'!$U:$U,$H253)&lt;&gt;"Disqualified — Free Game",INDEX('Game Records'!$J:$J,$H253)=""),"Total Players; ","")&amp;IF(AND(LOWER(INDEX('Game Records'!$D:$D,$H253)&amp;"")="finalized",LOWER(INDEX('Game Records'!$L:$L,$H253)&amp;"")&lt;&gt;"yes",INDEX('Game Records'!$U:$U,$H253)&lt;&gt;"Subscription",INDEX('Game Records'!$U:$U,$H253)&lt;&gt;"Free Game",INDEX('Game Records'!$U:$U,$H253)&lt;&gt;"Disqualified — Free Game",INDEX('Game Records'!$K:$K,$H253)=""),"Final Payout; ","")&amp;IF(AND(LOWER(INDEX('Game Records'!$D:$D,$H253)&amp;"")="finalized",INDEX('Game Records'!$U:$U,$H253)&lt;&gt;"Subscription",INDEX('Game Records'!$U:$U,$H253)&lt;&gt;"Free Game",INDEX('Game Records'!$U:$U,$H253)&lt;&gt;"Disqualified — Free Game",OR(INDEX('Game Records'!$L:$L,$H253)="",LOWER(INDEX('Game Records'!$L:$L,$H253)&amp;"")="n/a")),"Disqualified Status; ",""))</f>
        <v/>
      </c>
      <c r="G253" s="25" t="str">
        <f t="array" ref="G253">IF($H253="","",IFERROR(INDEX('Game Records'!$M:$M,$H253),""))</f>
        <v/>
      </c>
      <c r="H253" s="8"/>
    </row>
    <row r="254" ht="24.0" customHeight="1">
      <c r="A254" s="21" t="str">
        <f t="shared" si="1"/>
        <v/>
      </c>
      <c r="B254" s="21" t="str">
        <f t="shared" si="2"/>
        <v/>
      </c>
      <c r="C254" s="25" t="str">
        <f t="array" ref="C254">IF($H254="","",IFERROR(INDEX('Game Records'!$A:$A,$H254),""))</f>
        <v/>
      </c>
      <c r="D254" s="25" t="str">
        <f t="array" ref="D254">IF($H254="","",IFERROR(INDEX('Game Records'!$U:$U,$H254),""))</f>
        <v/>
      </c>
      <c r="E254" s="25" t="str">
        <f t="shared" si="3"/>
        <v/>
      </c>
      <c r="F254" s="25" t="str">
        <f t="array" ref="F254">IF($H254="","",IF(OR(NOT(_xlfn.ISFORMULA(INDEX('Game Records'!$N:$N,$H254))),NOT(_xlfn.ISFORMULA(INDEX('Game Records'!$O:$O,$H254))),NOT(_xlfn.ISFORMULA(INDEX('Game Records'!$P:$P,$H254))),NOT(_xlfn.ISFORMULA(INDEX('Game Records'!$Q:$Q,$H254))),NOT(_xlfn.ISFORMULA(INDEX('Game Records'!$R:$R,$H254))),NOT(_xlfn.ISFORMULA(INDEX('Game Records'!$S:$S,$H254))),NOT(_xlfn.ISFORMULA(INDEX('Game Records'!$T:$T,$H254))),NOT(_xlfn.ISFORMULA(INDEX('Game Records'!$U:$U,$H254))),NOT(_xlfn.ISFORMULA(INDEX('Game Records'!$V:$V,$H254))),NOT(_xlfn.ISFORMULA(INDEX('Game Records'!$W:$W,$H254))),NOT(_xlfn.ISFORMULA(INDEX('Game Records'!$X:$X,$H254))),NOT(_xlfn.ISFORMULA(INDEX('Game Records'!$Y:$Y,$H254))),NOT(_xlfn.ISFORMULA(INDEX('Game Records'!$Z:$Z,$H254)))),"","")&amp;IF(INDEX('Game Records'!$B:$B,$H254)="","Start Date; ","")&amp;IF(INDEX('Game Records'!$C:$C,$H254)="","End Date; ","")&amp;IF(AND(INDEX('Game Records'!$U:$U,$H254)&lt;&gt;"Subscription",INDEX('Game Records'!$U:$U,$H254)&lt;&gt;"Free Game",INDEX('Game Records'!$U:$U,$H254)&lt;&gt;"Disqualified — Free Game",OR(INDEX('Game Records'!$D:$D,$H254)="",LOWER(INDEX('Game Records'!$D:$D,$H254)&amp;"")="n/a")),"Entry Mode; ","")&amp;IF(AND(INDEX('Game Records'!$U:$U,$H254)&lt;&gt;"Subscription",INDEX('Game Records'!$U:$U,$H254)&lt;&gt;"Free Game",INDEX('Game Records'!$U:$U,$H254)&lt;&gt;"Disqualified — Free Game",OR(INDEX('Game Records'!$E:$E,$H254)="",LOWER(INDEX('Game Records'!$E:$E,$H254)&amp;"")="n/a")),"Game Type; ","")&amp;IF(INDEX('Game Records'!$F:$F,$H254)="","Payment Type; ","")&amp;IF(AND(INDEX('Game Records'!$U:$U,$H254)&lt;&gt;"Subscription",INDEX('Game Records'!$U:$U,$H254)&lt;&gt;"Free Game",INDEX('Game Records'!$U:$U,$H254)&lt;&gt;"Disqualified — Free Game",INDEX('Game Records'!$G:$G,$H254)=""),"Gross Pot; ","")&amp;IF(AND(INDEX('Game Records'!$U:$U,$H254)&lt;&gt;"Free Game",INDEX('Game Records'!$U:$U,$H254)&lt;&gt;"Disqualified — Free Game",INDEX('Game Records'!$H:$H,$H254)=""),"Entry Fee; ","")&amp;IF(AND(INDEX('Game Records'!$U:$U,$H254)&lt;&gt;"Subscription",INDEX('Game Records'!$U:$U,$H254)&lt;&gt;"Free Game",INDEX('Game Records'!$U:$U,$H254)&lt;&gt;"Disqualified — Free Game",INDEX('Game Records'!$I:$I,$H254)=""),"Eligible Players; ","")&amp;IF(AND(INDEX('Game Records'!$U:$U,$H254)&lt;&gt;"Subscription",INDEX('Game Records'!$U:$U,$H254)&lt;&gt;"Free Game",INDEX('Game Records'!$U:$U,$H254)&lt;&gt;"Disqualified — Free Game",INDEX('Game Records'!$J:$J,$H254)=""),"Total Players; ","")&amp;IF(AND(LOWER(INDEX('Game Records'!$D:$D,$H254)&amp;"")="finalized",LOWER(INDEX('Game Records'!$L:$L,$H254)&amp;"")&lt;&gt;"yes",INDEX('Game Records'!$U:$U,$H254)&lt;&gt;"Subscription",INDEX('Game Records'!$U:$U,$H254)&lt;&gt;"Free Game",INDEX('Game Records'!$U:$U,$H254)&lt;&gt;"Disqualified — Free Game",INDEX('Game Records'!$K:$K,$H254)=""),"Final Payout; ","")&amp;IF(AND(LOWER(INDEX('Game Records'!$D:$D,$H254)&amp;"")="finalized",INDEX('Game Records'!$U:$U,$H254)&lt;&gt;"Subscription",INDEX('Game Records'!$U:$U,$H254)&lt;&gt;"Free Game",INDEX('Game Records'!$U:$U,$H254)&lt;&gt;"Disqualified — Free Game",OR(INDEX('Game Records'!$L:$L,$H254)="",LOWER(INDEX('Game Records'!$L:$L,$H254)&amp;"")="n/a")),"Disqualified Status; ",""))</f>
        <v/>
      </c>
      <c r="G254" s="25" t="str">
        <f t="array" ref="G254">IF($H254="","",IFERROR(INDEX('Game Records'!$M:$M,$H254),""))</f>
        <v/>
      </c>
      <c r="H254" s="8"/>
    </row>
    <row r="255" ht="24.0" customHeight="1">
      <c r="A255" s="21" t="str">
        <f t="shared" si="1"/>
        <v/>
      </c>
      <c r="B255" s="21" t="str">
        <f t="shared" si="2"/>
        <v/>
      </c>
      <c r="C255" s="25" t="str">
        <f t="array" ref="C255">IF($H255="","",IFERROR(INDEX('Game Records'!$A:$A,$H255),""))</f>
        <v/>
      </c>
      <c r="D255" s="25" t="str">
        <f t="array" ref="D255">IF($H255="","",IFERROR(INDEX('Game Records'!$U:$U,$H255),""))</f>
        <v/>
      </c>
      <c r="E255" s="25" t="str">
        <f t="shared" si="3"/>
        <v/>
      </c>
      <c r="F255" s="25" t="str">
        <f t="array" ref="F255">IF($H255="","",IF(OR(NOT(_xlfn.ISFORMULA(INDEX('Game Records'!$N:$N,$H255))),NOT(_xlfn.ISFORMULA(INDEX('Game Records'!$O:$O,$H255))),NOT(_xlfn.ISFORMULA(INDEX('Game Records'!$P:$P,$H255))),NOT(_xlfn.ISFORMULA(INDEX('Game Records'!$Q:$Q,$H255))),NOT(_xlfn.ISFORMULA(INDEX('Game Records'!$R:$R,$H255))),NOT(_xlfn.ISFORMULA(INDEX('Game Records'!$S:$S,$H255))),NOT(_xlfn.ISFORMULA(INDEX('Game Records'!$T:$T,$H255))),NOT(_xlfn.ISFORMULA(INDEX('Game Records'!$U:$U,$H255))),NOT(_xlfn.ISFORMULA(INDEX('Game Records'!$V:$V,$H255))),NOT(_xlfn.ISFORMULA(INDEX('Game Records'!$W:$W,$H255))),NOT(_xlfn.ISFORMULA(INDEX('Game Records'!$X:$X,$H255))),NOT(_xlfn.ISFORMULA(INDEX('Game Records'!$Y:$Y,$H255))),NOT(_xlfn.ISFORMULA(INDEX('Game Records'!$Z:$Z,$H255)))),"","")&amp;IF(INDEX('Game Records'!$B:$B,$H255)="","Start Date; ","")&amp;IF(INDEX('Game Records'!$C:$C,$H255)="","End Date; ","")&amp;IF(AND(INDEX('Game Records'!$U:$U,$H255)&lt;&gt;"Subscription",INDEX('Game Records'!$U:$U,$H255)&lt;&gt;"Free Game",INDEX('Game Records'!$U:$U,$H255)&lt;&gt;"Disqualified — Free Game",OR(INDEX('Game Records'!$D:$D,$H255)="",LOWER(INDEX('Game Records'!$D:$D,$H255)&amp;"")="n/a")),"Entry Mode; ","")&amp;IF(AND(INDEX('Game Records'!$U:$U,$H255)&lt;&gt;"Subscription",INDEX('Game Records'!$U:$U,$H255)&lt;&gt;"Free Game",INDEX('Game Records'!$U:$U,$H255)&lt;&gt;"Disqualified — Free Game",OR(INDEX('Game Records'!$E:$E,$H255)="",LOWER(INDEX('Game Records'!$E:$E,$H255)&amp;"")="n/a")),"Game Type; ","")&amp;IF(INDEX('Game Records'!$F:$F,$H255)="","Payment Type; ","")&amp;IF(AND(INDEX('Game Records'!$U:$U,$H255)&lt;&gt;"Subscription",INDEX('Game Records'!$U:$U,$H255)&lt;&gt;"Free Game",INDEX('Game Records'!$U:$U,$H255)&lt;&gt;"Disqualified — Free Game",INDEX('Game Records'!$G:$G,$H255)=""),"Gross Pot; ","")&amp;IF(AND(INDEX('Game Records'!$U:$U,$H255)&lt;&gt;"Free Game",INDEX('Game Records'!$U:$U,$H255)&lt;&gt;"Disqualified — Free Game",INDEX('Game Records'!$H:$H,$H255)=""),"Entry Fee; ","")&amp;IF(AND(INDEX('Game Records'!$U:$U,$H255)&lt;&gt;"Subscription",INDEX('Game Records'!$U:$U,$H255)&lt;&gt;"Free Game",INDEX('Game Records'!$U:$U,$H255)&lt;&gt;"Disqualified — Free Game",INDEX('Game Records'!$I:$I,$H255)=""),"Eligible Players; ","")&amp;IF(AND(INDEX('Game Records'!$U:$U,$H255)&lt;&gt;"Subscription",INDEX('Game Records'!$U:$U,$H255)&lt;&gt;"Free Game",INDEX('Game Records'!$U:$U,$H255)&lt;&gt;"Disqualified — Free Game",INDEX('Game Records'!$J:$J,$H255)=""),"Total Players; ","")&amp;IF(AND(LOWER(INDEX('Game Records'!$D:$D,$H255)&amp;"")="finalized",LOWER(INDEX('Game Records'!$L:$L,$H255)&amp;"")&lt;&gt;"yes",INDEX('Game Records'!$U:$U,$H255)&lt;&gt;"Subscription",INDEX('Game Records'!$U:$U,$H255)&lt;&gt;"Free Game",INDEX('Game Records'!$U:$U,$H255)&lt;&gt;"Disqualified — Free Game",INDEX('Game Records'!$K:$K,$H255)=""),"Final Payout; ","")&amp;IF(AND(LOWER(INDEX('Game Records'!$D:$D,$H255)&amp;"")="finalized",INDEX('Game Records'!$U:$U,$H255)&lt;&gt;"Subscription",INDEX('Game Records'!$U:$U,$H255)&lt;&gt;"Free Game",INDEX('Game Records'!$U:$U,$H255)&lt;&gt;"Disqualified — Free Game",OR(INDEX('Game Records'!$L:$L,$H255)="",LOWER(INDEX('Game Records'!$L:$L,$H255)&amp;"")="n/a")),"Disqualified Status; ",""))</f>
        <v/>
      </c>
      <c r="G255" s="25" t="str">
        <f t="array" ref="G255">IF($H255="","",IFERROR(INDEX('Game Records'!$M:$M,$H255),""))</f>
        <v/>
      </c>
      <c r="H255" s="8"/>
    </row>
    <row r="256" ht="24.0" customHeight="1">
      <c r="A256" s="21" t="str">
        <f t="shared" si="1"/>
        <v/>
      </c>
      <c r="B256" s="21" t="str">
        <f t="shared" si="2"/>
        <v/>
      </c>
      <c r="C256" s="25" t="str">
        <f t="array" ref="C256">IF($H256="","",IFERROR(INDEX('Game Records'!$A:$A,$H256),""))</f>
        <v/>
      </c>
      <c r="D256" s="25" t="str">
        <f t="array" ref="D256">IF($H256="","",IFERROR(INDEX('Game Records'!$U:$U,$H256),""))</f>
        <v/>
      </c>
      <c r="E256" s="25" t="str">
        <f t="shared" si="3"/>
        <v/>
      </c>
      <c r="F256" s="25" t="str">
        <f t="array" ref="F256">IF($H256="","",IF(OR(NOT(_xlfn.ISFORMULA(INDEX('Game Records'!$N:$N,$H256))),NOT(_xlfn.ISFORMULA(INDEX('Game Records'!$O:$O,$H256))),NOT(_xlfn.ISFORMULA(INDEX('Game Records'!$P:$P,$H256))),NOT(_xlfn.ISFORMULA(INDEX('Game Records'!$Q:$Q,$H256))),NOT(_xlfn.ISFORMULA(INDEX('Game Records'!$R:$R,$H256))),NOT(_xlfn.ISFORMULA(INDEX('Game Records'!$S:$S,$H256))),NOT(_xlfn.ISFORMULA(INDEX('Game Records'!$T:$T,$H256))),NOT(_xlfn.ISFORMULA(INDEX('Game Records'!$U:$U,$H256))),NOT(_xlfn.ISFORMULA(INDEX('Game Records'!$V:$V,$H256))),NOT(_xlfn.ISFORMULA(INDEX('Game Records'!$W:$W,$H256))),NOT(_xlfn.ISFORMULA(INDEX('Game Records'!$X:$X,$H256))),NOT(_xlfn.ISFORMULA(INDEX('Game Records'!$Y:$Y,$H256))),NOT(_xlfn.ISFORMULA(INDEX('Game Records'!$Z:$Z,$H256)))),"","")&amp;IF(INDEX('Game Records'!$B:$B,$H256)="","Start Date; ","")&amp;IF(INDEX('Game Records'!$C:$C,$H256)="","End Date; ","")&amp;IF(AND(INDEX('Game Records'!$U:$U,$H256)&lt;&gt;"Subscription",INDEX('Game Records'!$U:$U,$H256)&lt;&gt;"Free Game",INDEX('Game Records'!$U:$U,$H256)&lt;&gt;"Disqualified — Free Game",OR(INDEX('Game Records'!$D:$D,$H256)="",LOWER(INDEX('Game Records'!$D:$D,$H256)&amp;"")="n/a")),"Entry Mode; ","")&amp;IF(AND(INDEX('Game Records'!$U:$U,$H256)&lt;&gt;"Subscription",INDEX('Game Records'!$U:$U,$H256)&lt;&gt;"Free Game",INDEX('Game Records'!$U:$U,$H256)&lt;&gt;"Disqualified — Free Game",OR(INDEX('Game Records'!$E:$E,$H256)="",LOWER(INDEX('Game Records'!$E:$E,$H256)&amp;"")="n/a")),"Game Type; ","")&amp;IF(INDEX('Game Records'!$F:$F,$H256)="","Payment Type; ","")&amp;IF(AND(INDEX('Game Records'!$U:$U,$H256)&lt;&gt;"Subscription",INDEX('Game Records'!$U:$U,$H256)&lt;&gt;"Free Game",INDEX('Game Records'!$U:$U,$H256)&lt;&gt;"Disqualified — Free Game",INDEX('Game Records'!$G:$G,$H256)=""),"Gross Pot; ","")&amp;IF(AND(INDEX('Game Records'!$U:$U,$H256)&lt;&gt;"Free Game",INDEX('Game Records'!$U:$U,$H256)&lt;&gt;"Disqualified — Free Game",INDEX('Game Records'!$H:$H,$H256)=""),"Entry Fee; ","")&amp;IF(AND(INDEX('Game Records'!$U:$U,$H256)&lt;&gt;"Subscription",INDEX('Game Records'!$U:$U,$H256)&lt;&gt;"Free Game",INDEX('Game Records'!$U:$U,$H256)&lt;&gt;"Disqualified — Free Game",INDEX('Game Records'!$I:$I,$H256)=""),"Eligible Players; ","")&amp;IF(AND(INDEX('Game Records'!$U:$U,$H256)&lt;&gt;"Subscription",INDEX('Game Records'!$U:$U,$H256)&lt;&gt;"Free Game",INDEX('Game Records'!$U:$U,$H256)&lt;&gt;"Disqualified — Free Game",INDEX('Game Records'!$J:$J,$H256)=""),"Total Players; ","")&amp;IF(AND(LOWER(INDEX('Game Records'!$D:$D,$H256)&amp;"")="finalized",LOWER(INDEX('Game Records'!$L:$L,$H256)&amp;"")&lt;&gt;"yes",INDEX('Game Records'!$U:$U,$H256)&lt;&gt;"Subscription",INDEX('Game Records'!$U:$U,$H256)&lt;&gt;"Free Game",INDEX('Game Records'!$U:$U,$H256)&lt;&gt;"Disqualified — Free Game",INDEX('Game Records'!$K:$K,$H256)=""),"Final Payout; ","")&amp;IF(AND(LOWER(INDEX('Game Records'!$D:$D,$H256)&amp;"")="finalized",INDEX('Game Records'!$U:$U,$H256)&lt;&gt;"Subscription",INDEX('Game Records'!$U:$U,$H256)&lt;&gt;"Free Game",INDEX('Game Records'!$U:$U,$H256)&lt;&gt;"Disqualified — Free Game",OR(INDEX('Game Records'!$L:$L,$H256)="",LOWER(INDEX('Game Records'!$L:$L,$H256)&amp;"")="n/a")),"Disqualified Status; ",""))</f>
        <v/>
      </c>
      <c r="G256" s="25" t="str">
        <f t="array" ref="G256">IF($H256="","",IFERROR(INDEX('Game Records'!$M:$M,$H256),""))</f>
        <v/>
      </c>
      <c r="H256" s="8"/>
    </row>
    <row r="257" ht="24.0" customHeight="1">
      <c r="A257" s="21" t="str">
        <f t="shared" si="1"/>
        <v/>
      </c>
      <c r="B257" s="21" t="str">
        <f t="shared" si="2"/>
        <v/>
      </c>
      <c r="C257" s="25" t="str">
        <f t="array" ref="C257">IF($H257="","",IFERROR(INDEX('Game Records'!$A:$A,$H257),""))</f>
        <v/>
      </c>
      <c r="D257" s="25" t="str">
        <f t="array" ref="D257">IF($H257="","",IFERROR(INDEX('Game Records'!$U:$U,$H257),""))</f>
        <v/>
      </c>
      <c r="E257" s="25" t="str">
        <f t="shared" si="3"/>
        <v/>
      </c>
      <c r="F257" s="25" t="str">
        <f t="array" ref="F257">IF($H257="","",IF(OR(NOT(_xlfn.ISFORMULA(INDEX('Game Records'!$N:$N,$H257))),NOT(_xlfn.ISFORMULA(INDEX('Game Records'!$O:$O,$H257))),NOT(_xlfn.ISFORMULA(INDEX('Game Records'!$P:$P,$H257))),NOT(_xlfn.ISFORMULA(INDEX('Game Records'!$Q:$Q,$H257))),NOT(_xlfn.ISFORMULA(INDEX('Game Records'!$R:$R,$H257))),NOT(_xlfn.ISFORMULA(INDEX('Game Records'!$S:$S,$H257))),NOT(_xlfn.ISFORMULA(INDEX('Game Records'!$T:$T,$H257))),NOT(_xlfn.ISFORMULA(INDEX('Game Records'!$U:$U,$H257))),NOT(_xlfn.ISFORMULA(INDEX('Game Records'!$V:$V,$H257))),NOT(_xlfn.ISFORMULA(INDEX('Game Records'!$W:$W,$H257))),NOT(_xlfn.ISFORMULA(INDEX('Game Records'!$X:$X,$H257))),NOT(_xlfn.ISFORMULA(INDEX('Game Records'!$Y:$Y,$H257))),NOT(_xlfn.ISFORMULA(INDEX('Game Records'!$Z:$Z,$H257)))),"","")&amp;IF(INDEX('Game Records'!$B:$B,$H257)="","Start Date; ","")&amp;IF(INDEX('Game Records'!$C:$C,$H257)="","End Date; ","")&amp;IF(AND(INDEX('Game Records'!$U:$U,$H257)&lt;&gt;"Subscription",INDEX('Game Records'!$U:$U,$H257)&lt;&gt;"Free Game",INDEX('Game Records'!$U:$U,$H257)&lt;&gt;"Disqualified — Free Game",OR(INDEX('Game Records'!$D:$D,$H257)="",LOWER(INDEX('Game Records'!$D:$D,$H257)&amp;"")="n/a")),"Entry Mode; ","")&amp;IF(AND(INDEX('Game Records'!$U:$U,$H257)&lt;&gt;"Subscription",INDEX('Game Records'!$U:$U,$H257)&lt;&gt;"Free Game",INDEX('Game Records'!$U:$U,$H257)&lt;&gt;"Disqualified — Free Game",OR(INDEX('Game Records'!$E:$E,$H257)="",LOWER(INDEX('Game Records'!$E:$E,$H257)&amp;"")="n/a")),"Game Type; ","")&amp;IF(INDEX('Game Records'!$F:$F,$H257)="","Payment Type; ","")&amp;IF(AND(INDEX('Game Records'!$U:$U,$H257)&lt;&gt;"Subscription",INDEX('Game Records'!$U:$U,$H257)&lt;&gt;"Free Game",INDEX('Game Records'!$U:$U,$H257)&lt;&gt;"Disqualified — Free Game",INDEX('Game Records'!$G:$G,$H257)=""),"Gross Pot; ","")&amp;IF(AND(INDEX('Game Records'!$U:$U,$H257)&lt;&gt;"Free Game",INDEX('Game Records'!$U:$U,$H257)&lt;&gt;"Disqualified — Free Game",INDEX('Game Records'!$H:$H,$H257)=""),"Entry Fee; ","")&amp;IF(AND(INDEX('Game Records'!$U:$U,$H257)&lt;&gt;"Subscription",INDEX('Game Records'!$U:$U,$H257)&lt;&gt;"Free Game",INDEX('Game Records'!$U:$U,$H257)&lt;&gt;"Disqualified — Free Game",INDEX('Game Records'!$I:$I,$H257)=""),"Eligible Players; ","")&amp;IF(AND(INDEX('Game Records'!$U:$U,$H257)&lt;&gt;"Subscription",INDEX('Game Records'!$U:$U,$H257)&lt;&gt;"Free Game",INDEX('Game Records'!$U:$U,$H257)&lt;&gt;"Disqualified — Free Game",INDEX('Game Records'!$J:$J,$H257)=""),"Total Players; ","")&amp;IF(AND(LOWER(INDEX('Game Records'!$D:$D,$H257)&amp;"")="finalized",LOWER(INDEX('Game Records'!$L:$L,$H257)&amp;"")&lt;&gt;"yes",INDEX('Game Records'!$U:$U,$H257)&lt;&gt;"Subscription",INDEX('Game Records'!$U:$U,$H257)&lt;&gt;"Free Game",INDEX('Game Records'!$U:$U,$H257)&lt;&gt;"Disqualified — Free Game",INDEX('Game Records'!$K:$K,$H257)=""),"Final Payout; ","")&amp;IF(AND(LOWER(INDEX('Game Records'!$D:$D,$H257)&amp;"")="finalized",INDEX('Game Records'!$U:$U,$H257)&lt;&gt;"Subscription",INDEX('Game Records'!$U:$U,$H257)&lt;&gt;"Free Game",INDEX('Game Records'!$U:$U,$H257)&lt;&gt;"Disqualified — Free Game",OR(INDEX('Game Records'!$L:$L,$H257)="",LOWER(INDEX('Game Records'!$L:$L,$H257)&amp;"")="n/a")),"Disqualified Status; ",""))</f>
        <v/>
      </c>
      <c r="G257" s="25" t="str">
        <f t="array" ref="G257">IF($H257="","",IFERROR(INDEX('Game Records'!$M:$M,$H257),""))</f>
        <v/>
      </c>
      <c r="H257" s="8"/>
    </row>
    <row r="258" ht="24.0" customHeight="1">
      <c r="A258" s="21" t="str">
        <f t="shared" si="1"/>
        <v/>
      </c>
      <c r="B258" s="21" t="str">
        <f t="shared" si="2"/>
        <v/>
      </c>
      <c r="C258" s="25" t="str">
        <f t="array" ref="C258">IF($H258="","",IFERROR(INDEX('Game Records'!$A:$A,$H258),""))</f>
        <v/>
      </c>
      <c r="D258" s="25" t="str">
        <f t="array" ref="D258">IF($H258="","",IFERROR(INDEX('Game Records'!$U:$U,$H258),""))</f>
        <v/>
      </c>
      <c r="E258" s="25" t="str">
        <f t="shared" si="3"/>
        <v/>
      </c>
      <c r="F258" s="25" t="str">
        <f t="array" ref="F258">IF($H258="","",IF(OR(NOT(_xlfn.ISFORMULA(INDEX('Game Records'!$N:$N,$H258))),NOT(_xlfn.ISFORMULA(INDEX('Game Records'!$O:$O,$H258))),NOT(_xlfn.ISFORMULA(INDEX('Game Records'!$P:$P,$H258))),NOT(_xlfn.ISFORMULA(INDEX('Game Records'!$Q:$Q,$H258))),NOT(_xlfn.ISFORMULA(INDEX('Game Records'!$R:$R,$H258))),NOT(_xlfn.ISFORMULA(INDEX('Game Records'!$S:$S,$H258))),NOT(_xlfn.ISFORMULA(INDEX('Game Records'!$T:$T,$H258))),NOT(_xlfn.ISFORMULA(INDEX('Game Records'!$U:$U,$H258))),NOT(_xlfn.ISFORMULA(INDEX('Game Records'!$V:$V,$H258))),NOT(_xlfn.ISFORMULA(INDEX('Game Records'!$W:$W,$H258))),NOT(_xlfn.ISFORMULA(INDEX('Game Records'!$X:$X,$H258))),NOT(_xlfn.ISFORMULA(INDEX('Game Records'!$Y:$Y,$H258))),NOT(_xlfn.ISFORMULA(INDEX('Game Records'!$Z:$Z,$H258)))),"","")&amp;IF(INDEX('Game Records'!$B:$B,$H258)="","Start Date; ","")&amp;IF(INDEX('Game Records'!$C:$C,$H258)="","End Date; ","")&amp;IF(AND(INDEX('Game Records'!$U:$U,$H258)&lt;&gt;"Subscription",INDEX('Game Records'!$U:$U,$H258)&lt;&gt;"Free Game",INDEX('Game Records'!$U:$U,$H258)&lt;&gt;"Disqualified — Free Game",OR(INDEX('Game Records'!$D:$D,$H258)="",LOWER(INDEX('Game Records'!$D:$D,$H258)&amp;"")="n/a")),"Entry Mode; ","")&amp;IF(AND(INDEX('Game Records'!$U:$U,$H258)&lt;&gt;"Subscription",INDEX('Game Records'!$U:$U,$H258)&lt;&gt;"Free Game",INDEX('Game Records'!$U:$U,$H258)&lt;&gt;"Disqualified — Free Game",OR(INDEX('Game Records'!$E:$E,$H258)="",LOWER(INDEX('Game Records'!$E:$E,$H258)&amp;"")="n/a")),"Game Type; ","")&amp;IF(INDEX('Game Records'!$F:$F,$H258)="","Payment Type; ","")&amp;IF(AND(INDEX('Game Records'!$U:$U,$H258)&lt;&gt;"Subscription",INDEX('Game Records'!$U:$U,$H258)&lt;&gt;"Free Game",INDEX('Game Records'!$U:$U,$H258)&lt;&gt;"Disqualified — Free Game",INDEX('Game Records'!$G:$G,$H258)=""),"Gross Pot; ","")&amp;IF(AND(INDEX('Game Records'!$U:$U,$H258)&lt;&gt;"Free Game",INDEX('Game Records'!$U:$U,$H258)&lt;&gt;"Disqualified — Free Game",INDEX('Game Records'!$H:$H,$H258)=""),"Entry Fee; ","")&amp;IF(AND(INDEX('Game Records'!$U:$U,$H258)&lt;&gt;"Subscription",INDEX('Game Records'!$U:$U,$H258)&lt;&gt;"Free Game",INDEX('Game Records'!$U:$U,$H258)&lt;&gt;"Disqualified — Free Game",INDEX('Game Records'!$I:$I,$H258)=""),"Eligible Players; ","")&amp;IF(AND(INDEX('Game Records'!$U:$U,$H258)&lt;&gt;"Subscription",INDEX('Game Records'!$U:$U,$H258)&lt;&gt;"Free Game",INDEX('Game Records'!$U:$U,$H258)&lt;&gt;"Disqualified — Free Game",INDEX('Game Records'!$J:$J,$H258)=""),"Total Players; ","")&amp;IF(AND(LOWER(INDEX('Game Records'!$D:$D,$H258)&amp;"")="finalized",LOWER(INDEX('Game Records'!$L:$L,$H258)&amp;"")&lt;&gt;"yes",INDEX('Game Records'!$U:$U,$H258)&lt;&gt;"Subscription",INDEX('Game Records'!$U:$U,$H258)&lt;&gt;"Free Game",INDEX('Game Records'!$U:$U,$H258)&lt;&gt;"Disqualified — Free Game",INDEX('Game Records'!$K:$K,$H258)=""),"Final Payout; ","")&amp;IF(AND(LOWER(INDEX('Game Records'!$D:$D,$H258)&amp;"")="finalized",INDEX('Game Records'!$U:$U,$H258)&lt;&gt;"Subscription",INDEX('Game Records'!$U:$U,$H258)&lt;&gt;"Free Game",INDEX('Game Records'!$U:$U,$H258)&lt;&gt;"Disqualified — Free Game",OR(INDEX('Game Records'!$L:$L,$H258)="",LOWER(INDEX('Game Records'!$L:$L,$H258)&amp;"")="n/a")),"Disqualified Status; ",""))</f>
        <v/>
      </c>
      <c r="G258" s="25" t="str">
        <f t="array" ref="G258">IF($H258="","",IFERROR(INDEX('Game Records'!$M:$M,$H258),""))</f>
        <v/>
      </c>
      <c r="H258" s="8"/>
    </row>
    <row r="259" ht="24.0" customHeight="1">
      <c r="A259" s="21" t="str">
        <f t="shared" si="1"/>
        <v/>
      </c>
      <c r="B259" s="21" t="str">
        <f t="shared" si="2"/>
        <v/>
      </c>
      <c r="C259" s="25" t="str">
        <f t="array" ref="C259">IF($H259="","",IFERROR(INDEX('Game Records'!$A:$A,$H259),""))</f>
        <v/>
      </c>
      <c r="D259" s="25" t="str">
        <f t="array" ref="D259">IF($H259="","",IFERROR(INDEX('Game Records'!$U:$U,$H259),""))</f>
        <v/>
      </c>
      <c r="E259" s="25" t="str">
        <f t="shared" si="3"/>
        <v/>
      </c>
      <c r="F259" s="25" t="str">
        <f t="array" ref="F259">IF($H259="","",IF(OR(NOT(_xlfn.ISFORMULA(INDEX('Game Records'!$N:$N,$H259))),NOT(_xlfn.ISFORMULA(INDEX('Game Records'!$O:$O,$H259))),NOT(_xlfn.ISFORMULA(INDEX('Game Records'!$P:$P,$H259))),NOT(_xlfn.ISFORMULA(INDEX('Game Records'!$Q:$Q,$H259))),NOT(_xlfn.ISFORMULA(INDEX('Game Records'!$R:$R,$H259))),NOT(_xlfn.ISFORMULA(INDEX('Game Records'!$S:$S,$H259))),NOT(_xlfn.ISFORMULA(INDEX('Game Records'!$T:$T,$H259))),NOT(_xlfn.ISFORMULA(INDEX('Game Records'!$U:$U,$H259))),NOT(_xlfn.ISFORMULA(INDEX('Game Records'!$V:$V,$H259))),NOT(_xlfn.ISFORMULA(INDEX('Game Records'!$W:$W,$H259))),NOT(_xlfn.ISFORMULA(INDEX('Game Records'!$X:$X,$H259))),NOT(_xlfn.ISFORMULA(INDEX('Game Records'!$Y:$Y,$H259))),NOT(_xlfn.ISFORMULA(INDEX('Game Records'!$Z:$Z,$H259)))),"","")&amp;IF(INDEX('Game Records'!$B:$B,$H259)="","Start Date; ","")&amp;IF(INDEX('Game Records'!$C:$C,$H259)="","End Date; ","")&amp;IF(AND(INDEX('Game Records'!$U:$U,$H259)&lt;&gt;"Subscription",INDEX('Game Records'!$U:$U,$H259)&lt;&gt;"Free Game",INDEX('Game Records'!$U:$U,$H259)&lt;&gt;"Disqualified — Free Game",OR(INDEX('Game Records'!$D:$D,$H259)="",LOWER(INDEX('Game Records'!$D:$D,$H259)&amp;"")="n/a")),"Entry Mode; ","")&amp;IF(AND(INDEX('Game Records'!$U:$U,$H259)&lt;&gt;"Subscription",INDEX('Game Records'!$U:$U,$H259)&lt;&gt;"Free Game",INDEX('Game Records'!$U:$U,$H259)&lt;&gt;"Disqualified — Free Game",OR(INDEX('Game Records'!$E:$E,$H259)="",LOWER(INDEX('Game Records'!$E:$E,$H259)&amp;"")="n/a")),"Game Type; ","")&amp;IF(INDEX('Game Records'!$F:$F,$H259)="","Payment Type; ","")&amp;IF(AND(INDEX('Game Records'!$U:$U,$H259)&lt;&gt;"Subscription",INDEX('Game Records'!$U:$U,$H259)&lt;&gt;"Free Game",INDEX('Game Records'!$U:$U,$H259)&lt;&gt;"Disqualified — Free Game",INDEX('Game Records'!$G:$G,$H259)=""),"Gross Pot; ","")&amp;IF(AND(INDEX('Game Records'!$U:$U,$H259)&lt;&gt;"Free Game",INDEX('Game Records'!$U:$U,$H259)&lt;&gt;"Disqualified — Free Game",INDEX('Game Records'!$H:$H,$H259)=""),"Entry Fee; ","")&amp;IF(AND(INDEX('Game Records'!$U:$U,$H259)&lt;&gt;"Subscription",INDEX('Game Records'!$U:$U,$H259)&lt;&gt;"Free Game",INDEX('Game Records'!$U:$U,$H259)&lt;&gt;"Disqualified — Free Game",INDEX('Game Records'!$I:$I,$H259)=""),"Eligible Players; ","")&amp;IF(AND(INDEX('Game Records'!$U:$U,$H259)&lt;&gt;"Subscription",INDEX('Game Records'!$U:$U,$H259)&lt;&gt;"Free Game",INDEX('Game Records'!$U:$U,$H259)&lt;&gt;"Disqualified — Free Game",INDEX('Game Records'!$J:$J,$H259)=""),"Total Players; ","")&amp;IF(AND(LOWER(INDEX('Game Records'!$D:$D,$H259)&amp;"")="finalized",LOWER(INDEX('Game Records'!$L:$L,$H259)&amp;"")&lt;&gt;"yes",INDEX('Game Records'!$U:$U,$H259)&lt;&gt;"Subscription",INDEX('Game Records'!$U:$U,$H259)&lt;&gt;"Free Game",INDEX('Game Records'!$U:$U,$H259)&lt;&gt;"Disqualified — Free Game",INDEX('Game Records'!$K:$K,$H259)=""),"Final Payout; ","")&amp;IF(AND(LOWER(INDEX('Game Records'!$D:$D,$H259)&amp;"")="finalized",INDEX('Game Records'!$U:$U,$H259)&lt;&gt;"Subscription",INDEX('Game Records'!$U:$U,$H259)&lt;&gt;"Free Game",INDEX('Game Records'!$U:$U,$H259)&lt;&gt;"Disqualified — Free Game",OR(INDEX('Game Records'!$L:$L,$H259)="",LOWER(INDEX('Game Records'!$L:$L,$H259)&amp;"")="n/a")),"Disqualified Status; ",""))</f>
        <v/>
      </c>
      <c r="G259" s="25" t="str">
        <f t="array" ref="G259">IF($H259="","",IFERROR(INDEX('Game Records'!$M:$M,$H259),""))</f>
        <v/>
      </c>
      <c r="H259" s="8"/>
    </row>
    <row r="260" ht="24.0" customHeight="1">
      <c r="A260" s="21" t="str">
        <f t="shared" si="1"/>
        <v/>
      </c>
      <c r="B260" s="21" t="str">
        <f t="shared" si="2"/>
        <v/>
      </c>
      <c r="C260" s="25" t="str">
        <f t="array" ref="C260">IF($H260="","",IFERROR(INDEX('Game Records'!$A:$A,$H260),""))</f>
        <v/>
      </c>
      <c r="D260" s="25" t="str">
        <f t="array" ref="D260">IF($H260="","",IFERROR(INDEX('Game Records'!$U:$U,$H260),""))</f>
        <v/>
      </c>
      <c r="E260" s="25" t="str">
        <f t="shared" si="3"/>
        <v/>
      </c>
      <c r="F260" s="25" t="str">
        <f t="array" ref="F260">IF($H260="","",IF(OR(NOT(_xlfn.ISFORMULA(INDEX('Game Records'!$N:$N,$H260))),NOT(_xlfn.ISFORMULA(INDEX('Game Records'!$O:$O,$H260))),NOT(_xlfn.ISFORMULA(INDEX('Game Records'!$P:$P,$H260))),NOT(_xlfn.ISFORMULA(INDEX('Game Records'!$Q:$Q,$H260))),NOT(_xlfn.ISFORMULA(INDEX('Game Records'!$R:$R,$H260))),NOT(_xlfn.ISFORMULA(INDEX('Game Records'!$S:$S,$H260))),NOT(_xlfn.ISFORMULA(INDEX('Game Records'!$T:$T,$H260))),NOT(_xlfn.ISFORMULA(INDEX('Game Records'!$U:$U,$H260))),NOT(_xlfn.ISFORMULA(INDEX('Game Records'!$V:$V,$H260))),NOT(_xlfn.ISFORMULA(INDEX('Game Records'!$W:$W,$H260))),NOT(_xlfn.ISFORMULA(INDEX('Game Records'!$X:$X,$H260))),NOT(_xlfn.ISFORMULA(INDEX('Game Records'!$Y:$Y,$H260))),NOT(_xlfn.ISFORMULA(INDEX('Game Records'!$Z:$Z,$H260)))),"","")&amp;IF(INDEX('Game Records'!$B:$B,$H260)="","Start Date; ","")&amp;IF(INDEX('Game Records'!$C:$C,$H260)="","End Date; ","")&amp;IF(AND(INDEX('Game Records'!$U:$U,$H260)&lt;&gt;"Subscription",INDEX('Game Records'!$U:$U,$H260)&lt;&gt;"Free Game",INDEX('Game Records'!$U:$U,$H260)&lt;&gt;"Disqualified — Free Game",OR(INDEX('Game Records'!$D:$D,$H260)="",LOWER(INDEX('Game Records'!$D:$D,$H260)&amp;"")="n/a")),"Entry Mode; ","")&amp;IF(AND(INDEX('Game Records'!$U:$U,$H260)&lt;&gt;"Subscription",INDEX('Game Records'!$U:$U,$H260)&lt;&gt;"Free Game",INDEX('Game Records'!$U:$U,$H260)&lt;&gt;"Disqualified — Free Game",OR(INDEX('Game Records'!$E:$E,$H260)="",LOWER(INDEX('Game Records'!$E:$E,$H260)&amp;"")="n/a")),"Game Type; ","")&amp;IF(INDEX('Game Records'!$F:$F,$H260)="","Payment Type; ","")&amp;IF(AND(INDEX('Game Records'!$U:$U,$H260)&lt;&gt;"Subscription",INDEX('Game Records'!$U:$U,$H260)&lt;&gt;"Free Game",INDEX('Game Records'!$U:$U,$H260)&lt;&gt;"Disqualified — Free Game",INDEX('Game Records'!$G:$G,$H260)=""),"Gross Pot; ","")&amp;IF(AND(INDEX('Game Records'!$U:$U,$H260)&lt;&gt;"Free Game",INDEX('Game Records'!$U:$U,$H260)&lt;&gt;"Disqualified — Free Game",INDEX('Game Records'!$H:$H,$H260)=""),"Entry Fee; ","")&amp;IF(AND(INDEX('Game Records'!$U:$U,$H260)&lt;&gt;"Subscription",INDEX('Game Records'!$U:$U,$H260)&lt;&gt;"Free Game",INDEX('Game Records'!$U:$U,$H260)&lt;&gt;"Disqualified — Free Game",INDEX('Game Records'!$I:$I,$H260)=""),"Eligible Players; ","")&amp;IF(AND(INDEX('Game Records'!$U:$U,$H260)&lt;&gt;"Subscription",INDEX('Game Records'!$U:$U,$H260)&lt;&gt;"Free Game",INDEX('Game Records'!$U:$U,$H260)&lt;&gt;"Disqualified — Free Game",INDEX('Game Records'!$J:$J,$H260)=""),"Total Players; ","")&amp;IF(AND(LOWER(INDEX('Game Records'!$D:$D,$H260)&amp;"")="finalized",LOWER(INDEX('Game Records'!$L:$L,$H260)&amp;"")&lt;&gt;"yes",INDEX('Game Records'!$U:$U,$H260)&lt;&gt;"Subscription",INDEX('Game Records'!$U:$U,$H260)&lt;&gt;"Free Game",INDEX('Game Records'!$U:$U,$H260)&lt;&gt;"Disqualified — Free Game",INDEX('Game Records'!$K:$K,$H260)=""),"Final Payout; ","")&amp;IF(AND(LOWER(INDEX('Game Records'!$D:$D,$H260)&amp;"")="finalized",INDEX('Game Records'!$U:$U,$H260)&lt;&gt;"Subscription",INDEX('Game Records'!$U:$U,$H260)&lt;&gt;"Free Game",INDEX('Game Records'!$U:$U,$H260)&lt;&gt;"Disqualified — Free Game",OR(INDEX('Game Records'!$L:$L,$H260)="",LOWER(INDEX('Game Records'!$L:$L,$H260)&amp;"")="n/a")),"Disqualified Status; ",""))</f>
        <v/>
      </c>
      <c r="G260" s="25" t="str">
        <f t="array" ref="G260">IF($H260="","",IFERROR(INDEX('Game Records'!$M:$M,$H260),""))</f>
        <v/>
      </c>
      <c r="H260" s="8"/>
    </row>
    <row r="261" ht="24.0" customHeight="1">
      <c r="A261" s="21" t="str">
        <f t="shared" si="1"/>
        <v/>
      </c>
      <c r="B261" s="21" t="str">
        <f t="shared" si="2"/>
        <v/>
      </c>
      <c r="C261" s="25" t="str">
        <f t="array" ref="C261">IF($H261="","",IFERROR(INDEX('Game Records'!$A:$A,$H261),""))</f>
        <v/>
      </c>
      <c r="D261" s="25" t="str">
        <f t="array" ref="D261">IF($H261="","",IFERROR(INDEX('Game Records'!$U:$U,$H261),""))</f>
        <v/>
      </c>
      <c r="E261" s="25" t="str">
        <f t="shared" si="3"/>
        <v/>
      </c>
      <c r="F261" s="25" t="str">
        <f t="array" ref="F261">IF($H261="","",IF(OR(NOT(_xlfn.ISFORMULA(INDEX('Game Records'!$N:$N,$H261))),NOT(_xlfn.ISFORMULA(INDEX('Game Records'!$O:$O,$H261))),NOT(_xlfn.ISFORMULA(INDEX('Game Records'!$P:$P,$H261))),NOT(_xlfn.ISFORMULA(INDEX('Game Records'!$Q:$Q,$H261))),NOT(_xlfn.ISFORMULA(INDEX('Game Records'!$R:$R,$H261))),NOT(_xlfn.ISFORMULA(INDEX('Game Records'!$S:$S,$H261))),NOT(_xlfn.ISFORMULA(INDEX('Game Records'!$T:$T,$H261))),NOT(_xlfn.ISFORMULA(INDEX('Game Records'!$U:$U,$H261))),NOT(_xlfn.ISFORMULA(INDEX('Game Records'!$V:$V,$H261))),NOT(_xlfn.ISFORMULA(INDEX('Game Records'!$W:$W,$H261))),NOT(_xlfn.ISFORMULA(INDEX('Game Records'!$X:$X,$H261))),NOT(_xlfn.ISFORMULA(INDEX('Game Records'!$Y:$Y,$H261))),NOT(_xlfn.ISFORMULA(INDEX('Game Records'!$Z:$Z,$H261)))),"","")&amp;IF(INDEX('Game Records'!$B:$B,$H261)="","Start Date; ","")&amp;IF(INDEX('Game Records'!$C:$C,$H261)="","End Date; ","")&amp;IF(AND(INDEX('Game Records'!$U:$U,$H261)&lt;&gt;"Subscription",INDEX('Game Records'!$U:$U,$H261)&lt;&gt;"Free Game",INDEX('Game Records'!$U:$U,$H261)&lt;&gt;"Disqualified — Free Game",OR(INDEX('Game Records'!$D:$D,$H261)="",LOWER(INDEX('Game Records'!$D:$D,$H261)&amp;"")="n/a")),"Entry Mode; ","")&amp;IF(AND(INDEX('Game Records'!$U:$U,$H261)&lt;&gt;"Subscription",INDEX('Game Records'!$U:$U,$H261)&lt;&gt;"Free Game",INDEX('Game Records'!$U:$U,$H261)&lt;&gt;"Disqualified — Free Game",OR(INDEX('Game Records'!$E:$E,$H261)="",LOWER(INDEX('Game Records'!$E:$E,$H261)&amp;"")="n/a")),"Game Type; ","")&amp;IF(INDEX('Game Records'!$F:$F,$H261)="","Payment Type; ","")&amp;IF(AND(INDEX('Game Records'!$U:$U,$H261)&lt;&gt;"Subscription",INDEX('Game Records'!$U:$U,$H261)&lt;&gt;"Free Game",INDEX('Game Records'!$U:$U,$H261)&lt;&gt;"Disqualified — Free Game",INDEX('Game Records'!$G:$G,$H261)=""),"Gross Pot; ","")&amp;IF(AND(INDEX('Game Records'!$U:$U,$H261)&lt;&gt;"Free Game",INDEX('Game Records'!$U:$U,$H261)&lt;&gt;"Disqualified — Free Game",INDEX('Game Records'!$H:$H,$H261)=""),"Entry Fee; ","")&amp;IF(AND(INDEX('Game Records'!$U:$U,$H261)&lt;&gt;"Subscription",INDEX('Game Records'!$U:$U,$H261)&lt;&gt;"Free Game",INDEX('Game Records'!$U:$U,$H261)&lt;&gt;"Disqualified — Free Game",INDEX('Game Records'!$I:$I,$H261)=""),"Eligible Players; ","")&amp;IF(AND(INDEX('Game Records'!$U:$U,$H261)&lt;&gt;"Subscription",INDEX('Game Records'!$U:$U,$H261)&lt;&gt;"Free Game",INDEX('Game Records'!$U:$U,$H261)&lt;&gt;"Disqualified — Free Game",INDEX('Game Records'!$J:$J,$H261)=""),"Total Players; ","")&amp;IF(AND(LOWER(INDEX('Game Records'!$D:$D,$H261)&amp;"")="finalized",LOWER(INDEX('Game Records'!$L:$L,$H261)&amp;"")&lt;&gt;"yes",INDEX('Game Records'!$U:$U,$H261)&lt;&gt;"Subscription",INDEX('Game Records'!$U:$U,$H261)&lt;&gt;"Free Game",INDEX('Game Records'!$U:$U,$H261)&lt;&gt;"Disqualified — Free Game",INDEX('Game Records'!$K:$K,$H261)=""),"Final Payout; ","")&amp;IF(AND(LOWER(INDEX('Game Records'!$D:$D,$H261)&amp;"")="finalized",INDEX('Game Records'!$U:$U,$H261)&lt;&gt;"Subscription",INDEX('Game Records'!$U:$U,$H261)&lt;&gt;"Free Game",INDEX('Game Records'!$U:$U,$H261)&lt;&gt;"Disqualified — Free Game",OR(INDEX('Game Records'!$L:$L,$H261)="",LOWER(INDEX('Game Records'!$L:$L,$H261)&amp;"")="n/a")),"Disqualified Status; ",""))</f>
        <v/>
      </c>
      <c r="G261" s="25" t="str">
        <f t="array" ref="G261">IF($H261="","",IFERROR(INDEX('Game Records'!$M:$M,$H261),""))</f>
        <v/>
      </c>
      <c r="H261" s="8"/>
    </row>
    <row r="262" ht="24.0" customHeight="1">
      <c r="A262" s="21" t="str">
        <f t="shared" si="1"/>
        <v/>
      </c>
      <c r="B262" s="21" t="str">
        <f t="shared" si="2"/>
        <v/>
      </c>
      <c r="C262" s="25" t="str">
        <f t="array" ref="C262">IF($H262="","",IFERROR(INDEX('Game Records'!$A:$A,$H262),""))</f>
        <v/>
      </c>
      <c r="D262" s="25" t="str">
        <f t="array" ref="D262">IF($H262="","",IFERROR(INDEX('Game Records'!$U:$U,$H262),""))</f>
        <v/>
      </c>
      <c r="E262" s="25" t="str">
        <f t="shared" si="3"/>
        <v/>
      </c>
      <c r="F262" s="25" t="str">
        <f t="array" ref="F262">IF($H262="","",IF(OR(NOT(_xlfn.ISFORMULA(INDEX('Game Records'!$N:$N,$H262))),NOT(_xlfn.ISFORMULA(INDEX('Game Records'!$O:$O,$H262))),NOT(_xlfn.ISFORMULA(INDEX('Game Records'!$P:$P,$H262))),NOT(_xlfn.ISFORMULA(INDEX('Game Records'!$Q:$Q,$H262))),NOT(_xlfn.ISFORMULA(INDEX('Game Records'!$R:$R,$H262))),NOT(_xlfn.ISFORMULA(INDEX('Game Records'!$S:$S,$H262))),NOT(_xlfn.ISFORMULA(INDEX('Game Records'!$T:$T,$H262))),NOT(_xlfn.ISFORMULA(INDEX('Game Records'!$U:$U,$H262))),NOT(_xlfn.ISFORMULA(INDEX('Game Records'!$V:$V,$H262))),NOT(_xlfn.ISFORMULA(INDEX('Game Records'!$W:$W,$H262))),NOT(_xlfn.ISFORMULA(INDEX('Game Records'!$X:$X,$H262))),NOT(_xlfn.ISFORMULA(INDEX('Game Records'!$Y:$Y,$H262))),NOT(_xlfn.ISFORMULA(INDEX('Game Records'!$Z:$Z,$H262)))),"","")&amp;IF(INDEX('Game Records'!$B:$B,$H262)="","Start Date; ","")&amp;IF(INDEX('Game Records'!$C:$C,$H262)="","End Date; ","")&amp;IF(AND(INDEX('Game Records'!$U:$U,$H262)&lt;&gt;"Subscription",INDEX('Game Records'!$U:$U,$H262)&lt;&gt;"Free Game",INDEX('Game Records'!$U:$U,$H262)&lt;&gt;"Disqualified — Free Game",OR(INDEX('Game Records'!$D:$D,$H262)="",LOWER(INDEX('Game Records'!$D:$D,$H262)&amp;"")="n/a")),"Entry Mode; ","")&amp;IF(AND(INDEX('Game Records'!$U:$U,$H262)&lt;&gt;"Subscription",INDEX('Game Records'!$U:$U,$H262)&lt;&gt;"Free Game",INDEX('Game Records'!$U:$U,$H262)&lt;&gt;"Disqualified — Free Game",OR(INDEX('Game Records'!$E:$E,$H262)="",LOWER(INDEX('Game Records'!$E:$E,$H262)&amp;"")="n/a")),"Game Type; ","")&amp;IF(INDEX('Game Records'!$F:$F,$H262)="","Payment Type; ","")&amp;IF(AND(INDEX('Game Records'!$U:$U,$H262)&lt;&gt;"Subscription",INDEX('Game Records'!$U:$U,$H262)&lt;&gt;"Free Game",INDEX('Game Records'!$U:$U,$H262)&lt;&gt;"Disqualified — Free Game",INDEX('Game Records'!$G:$G,$H262)=""),"Gross Pot; ","")&amp;IF(AND(INDEX('Game Records'!$U:$U,$H262)&lt;&gt;"Free Game",INDEX('Game Records'!$U:$U,$H262)&lt;&gt;"Disqualified — Free Game",INDEX('Game Records'!$H:$H,$H262)=""),"Entry Fee; ","")&amp;IF(AND(INDEX('Game Records'!$U:$U,$H262)&lt;&gt;"Subscription",INDEX('Game Records'!$U:$U,$H262)&lt;&gt;"Free Game",INDEX('Game Records'!$U:$U,$H262)&lt;&gt;"Disqualified — Free Game",INDEX('Game Records'!$I:$I,$H262)=""),"Eligible Players; ","")&amp;IF(AND(INDEX('Game Records'!$U:$U,$H262)&lt;&gt;"Subscription",INDEX('Game Records'!$U:$U,$H262)&lt;&gt;"Free Game",INDEX('Game Records'!$U:$U,$H262)&lt;&gt;"Disqualified — Free Game",INDEX('Game Records'!$J:$J,$H262)=""),"Total Players; ","")&amp;IF(AND(LOWER(INDEX('Game Records'!$D:$D,$H262)&amp;"")="finalized",LOWER(INDEX('Game Records'!$L:$L,$H262)&amp;"")&lt;&gt;"yes",INDEX('Game Records'!$U:$U,$H262)&lt;&gt;"Subscription",INDEX('Game Records'!$U:$U,$H262)&lt;&gt;"Free Game",INDEX('Game Records'!$U:$U,$H262)&lt;&gt;"Disqualified — Free Game",INDEX('Game Records'!$K:$K,$H262)=""),"Final Payout; ","")&amp;IF(AND(LOWER(INDEX('Game Records'!$D:$D,$H262)&amp;"")="finalized",INDEX('Game Records'!$U:$U,$H262)&lt;&gt;"Subscription",INDEX('Game Records'!$U:$U,$H262)&lt;&gt;"Free Game",INDEX('Game Records'!$U:$U,$H262)&lt;&gt;"Disqualified — Free Game",OR(INDEX('Game Records'!$L:$L,$H262)="",LOWER(INDEX('Game Records'!$L:$L,$H262)&amp;"")="n/a")),"Disqualified Status; ",""))</f>
        <v/>
      </c>
      <c r="G262" s="25" t="str">
        <f t="array" ref="G262">IF($H262="","",IFERROR(INDEX('Game Records'!$M:$M,$H262),""))</f>
        <v/>
      </c>
      <c r="H262" s="8"/>
    </row>
    <row r="263" ht="24.0" customHeight="1">
      <c r="A263" s="21" t="str">
        <f t="shared" si="1"/>
        <v/>
      </c>
      <c r="B263" s="21" t="str">
        <f t="shared" si="2"/>
        <v/>
      </c>
      <c r="C263" s="25" t="str">
        <f t="array" ref="C263">IF($H263="","",IFERROR(INDEX('Game Records'!$A:$A,$H263),""))</f>
        <v/>
      </c>
      <c r="D263" s="25" t="str">
        <f t="array" ref="D263">IF($H263="","",IFERROR(INDEX('Game Records'!$U:$U,$H263),""))</f>
        <v/>
      </c>
      <c r="E263" s="25" t="str">
        <f t="shared" si="3"/>
        <v/>
      </c>
      <c r="F263" s="25" t="str">
        <f t="array" ref="F263">IF($H263="","",IF(OR(NOT(_xlfn.ISFORMULA(INDEX('Game Records'!$N:$N,$H263))),NOT(_xlfn.ISFORMULA(INDEX('Game Records'!$O:$O,$H263))),NOT(_xlfn.ISFORMULA(INDEX('Game Records'!$P:$P,$H263))),NOT(_xlfn.ISFORMULA(INDEX('Game Records'!$Q:$Q,$H263))),NOT(_xlfn.ISFORMULA(INDEX('Game Records'!$R:$R,$H263))),NOT(_xlfn.ISFORMULA(INDEX('Game Records'!$S:$S,$H263))),NOT(_xlfn.ISFORMULA(INDEX('Game Records'!$T:$T,$H263))),NOT(_xlfn.ISFORMULA(INDEX('Game Records'!$U:$U,$H263))),NOT(_xlfn.ISFORMULA(INDEX('Game Records'!$V:$V,$H263))),NOT(_xlfn.ISFORMULA(INDEX('Game Records'!$W:$W,$H263))),NOT(_xlfn.ISFORMULA(INDEX('Game Records'!$X:$X,$H263))),NOT(_xlfn.ISFORMULA(INDEX('Game Records'!$Y:$Y,$H263))),NOT(_xlfn.ISFORMULA(INDEX('Game Records'!$Z:$Z,$H263)))),"","")&amp;IF(INDEX('Game Records'!$B:$B,$H263)="","Start Date; ","")&amp;IF(INDEX('Game Records'!$C:$C,$H263)="","End Date; ","")&amp;IF(AND(INDEX('Game Records'!$U:$U,$H263)&lt;&gt;"Subscription",INDEX('Game Records'!$U:$U,$H263)&lt;&gt;"Free Game",INDEX('Game Records'!$U:$U,$H263)&lt;&gt;"Disqualified — Free Game",OR(INDEX('Game Records'!$D:$D,$H263)="",LOWER(INDEX('Game Records'!$D:$D,$H263)&amp;"")="n/a")),"Entry Mode; ","")&amp;IF(AND(INDEX('Game Records'!$U:$U,$H263)&lt;&gt;"Subscription",INDEX('Game Records'!$U:$U,$H263)&lt;&gt;"Free Game",INDEX('Game Records'!$U:$U,$H263)&lt;&gt;"Disqualified — Free Game",OR(INDEX('Game Records'!$E:$E,$H263)="",LOWER(INDEX('Game Records'!$E:$E,$H263)&amp;"")="n/a")),"Game Type; ","")&amp;IF(INDEX('Game Records'!$F:$F,$H263)="","Payment Type; ","")&amp;IF(AND(INDEX('Game Records'!$U:$U,$H263)&lt;&gt;"Subscription",INDEX('Game Records'!$U:$U,$H263)&lt;&gt;"Free Game",INDEX('Game Records'!$U:$U,$H263)&lt;&gt;"Disqualified — Free Game",INDEX('Game Records'!$G:$G,$H263)=""),"Gross Pot; ","")&amp;IF(AND(INDEX('Game Records'!$U:$U,$H263)&lt;&gt;"Free Game",INDEX('Game Records'!$U:$U,$H263)&lt;&gt;"Disqualified — Free Game",INDEX('Game Records'!$H:$H,$H263)=""),"Entry Fee; ","")&amp;IF(AND(INDEX('Game Records'!$U:$U,$H263)&lt;&gt;"Subscription",INDEX('Game Records'!$U:$U,$H263)&lt;&gt;"Free Game",INDEX('Game Records'!$U:$U,$H263)&lt;&gt;"Disqualified — Free Game",INDEX('Game Records'!$I:$I,$H263)=""),"Eligible Players; ","")&amp;IF(AND(INDEX('Game Records'!$U:$U,$H263)&lt;&gt;"Subscription",INDEX('Game Records'!$U:$U,$H263)&lt;&gt;"Free Game",INDEX('Game Records'!$U:$U,$H263)&lt;&gt;"Disqualified — Free Game",INDEX('Game Records'!$J:$J,$H263)=""),"Total Players; ","")&amp;IF(AND(LOWER(INDEX('Game Records'!$D:$D,$H263)&amp;"")="finalized",LOWER(INDEX('Game Records'!$L:$L,$H263)&amp;"")&lt;&gt;"yes",INDEX('Game Records'!$U:$U,$H263)&lt;&gt;"Subscription",INDEX('Game Records'!$U:$U,$H263)&lt;&gt;"Free Game",INDEX('Game Records'!$U:$U,$H263)&lt;&gt;"Disqualified — Free Game",INDEX('Game Records'!$K:$K,$H263)=""),"Final Payout; ","")&amp;IF(AND(LOWER(INDEX('Game Records'!$D:$D,$H263)&amp;"")="finalized",INDEX('Game Records'!$U:$U,$H263)&lt;&gt;"Subscription",INDEX('Game Records'!$U:$U,$H263)&lt;&gt;"Free Game",INDEX('Game Records'!$U:$U,$H263)&lt;&gt;"Disqualified — Free Game",OR(INDEX('Game Records'!$L:$L,$H263)="",LOWER(INDEX('Game Records'!$L:$L,$H263)&amp;"")="n/a")),"Disqualified Status; ",""))</f>
        <v/>
      </c>
      <c r="G263" s="25" t="str">
        <f t="array" ref="G263">IF($H263="","",IFERROR(INDEX('Game Records'!$M:$M,$H263),""))</f>
        <v/>
      </c>
      <c r="H263" s="8"/>
    </row>
    <row r="264" ht="24.0" customHeight="1">
      <c r="A264" s="21" t="str">
        <f t="shared" si="1"/>
        <v/>
      </c>
      <c r="B264" s="21" t="str">
        <f t="shared" si="2"/>
        <v/>
      </c>
      <c r="C264" s="25" t="str">
        <f t="array" ref="C264">IF($H264="","",IFERROR(INDEX('Game Records'!$A:$A,$H264),""))</f>
        <v/>
      </c>
      <c r="D264" s="25" t="str">
        <f t="array" ref="D264">IF($H264="","",IFERROR(INDEX('Game Records'!$U:$U,$H264),""))</f>
        <v/>
      </c>
      <c r="E264" s="25" t="str">
        <f t="shared" si="3"/>
        <v/>
      </c>
      <c r="F264" s="25" t="str">
        <f t="array" ref="F264">IF($H264="","",IF(OR(NOT(_xlfn.ISFORMULA(INDEX('Game Records'!$N:$N,$H264))),NOT(_xlfn.ISFORMULA(INDEX('Game Records'!$O:$O,$H264))),NOT(_xlfn.ISFORMULA(INDEX('Game Records'!$P:$P,$H264))),NOT(_xlfn.ISFORMULA(INDEX('Game Records'!$Q:$Q,$H264))),NOT(_xlfn.ISFORMULA(INDEX('Game Records'!$R:$R,$H264))),NOT(_xlfn.ISFORMULA(INDEX('Game Records'!$S:$S,$H264))),NOT(_xlfn.ISFORMULA(INDEX('Game Records'!$T:$T,$H264))),NOT(_xlfn.ISFORMULA(INDEX('Game Records'!$U:$U,$H264))),NOT(_xlfn.ISFORMULA(INDEX('Game Records'!$V:$V,$H264))),NOT(_xlfn.ISFORMULA(INDEX('Game Records'!$W:$W,$H264))),NOT(_xlfn.ISFORMULA(INDEX('Game Records'!$X:$X,$H264))),NOT(_xlfn.ISFORMULA(INDEX('Game Records'!$Y:$Y,$H264))),NOT(_xlfn.ISFORMULA(INDEX('Game Records'!$Z:$Z,$H264)))),"","")&amp;IF(INDEX('Game Records'!$B:$B,$H264)="","Start Date; ","")&amp;IF(INDEX('Game Records'!$C:$C,$H264)="","End Date; ","")&amp;IF(AND(INDEX('Game Records'!$U:$U,$H264)&lt;&gt;"Subscription",INDEX('Game Records'!$U:$U,$H264)&lt;&gt;"Free Game",INDEX('Game Records'!$U:$U,$H264)&lt;&gt;"Disqualified — Free Game",OR(INDEX('Game Records'!$D:$D,$H264)="",LOWER(INDEX('Game Records'!$D:$D,$H264)&amp;"")="n/a")),"Entry Mode; ","")&amp;IF(AND(INDEX('Game Records'!$U:$U,$H264)&lt;&gt;"Subscription",INDEX('Game Records'!$U:$U,$H264)&lt;&gt;"Free Game",INDEX('Game Records'!$U:$U,$H264)&lt;&gt;"Disqualified — Free Game",OR(INDEX('Game Records'!$E:$E,$H264)="",LOWER(INDEX('Game Records'!$E:$E,$H264)&amp;"")="n/a")),"Game Type; ","")&amp;IF(INDEX('Game Records'!$F:$F,$H264)="","Payment Type; ","")&amp;IF(AND(INDEX('Game Records'!$U:$U,$H264)&lt;&gt;"Subscription",INDEX('Game Records'!$U:$U,$H264)&lt;&gt;"Free Game",INDEX('Game Records'!$U:$U,$H264)&lt;&gt;"Disqualified — Free Game",INDEX('Game Records'!$G:$G,$H264)=""),"Gross Pot; ","")&amp;IF(AND(INDEX('Game Records'!$U:$U,$H264)&lt;&gt;"Free Game",INDEX('Game Records'!$U:$U,$H264)&lt;&gt;"Disqualified — Free Game",INDEX('Game Records'!$H:$H,$H264)=""),"Entry Fee; ","")&amp;IF(AND(INDEX('Game Records'!$U:$U,$H264)&lt;&gt;"Subscription",INDEX('Game Records'!$U:$U,$H264)&lt;&gt;"Free Game",INDEX('Game Records'!$U:$U,$H264)&lt;&gt;"Disqualified — Free Game",INDEX('Game Records'!$I:$I,$H264)=""),"Eligible Players; ","")&amp;IF(AND(INDEX('Game Records'!$U:$U,$H264)&lt;&gt;"Subscription",INDEX('Game Records'!$U:$U,$H264)&lt;&gt;"Free Game",INDEX('Game Records'!$U:$U,$H264)&lt;&gt;"Disqualified — Free Game",INDEX('Game Records'!$J:$J,$H264)=""),"Total Players; ","")&amp;IF(AND(LOWER(INDEX('Game Records'!$D:$D,$H264)&amp;"")="finalized",LOWER(INDEX('Game Records'!$L:$L,$H264)&amp;"")&lt;&gt;"yes",INDEX('Game Records'!$U:$U,$H264)&lt;&gt;"Subscription",INDEX('Game Records'!$U:$U,$H264)&lt;&gt;"Free Game",INDEX('Game Records'!$U:$U,$H264)&lt;&gt;"Disqualified — Free Game",INDEX('Game Records'!$K:$K,$H264)=""),"Final Payout; ","")&amp;IF(AND(LOWER(INDEX('Game Records'!$D:$D,$H264)&amp;"")="finalized",INDEX('Game Records'!$U:$U,$H264)&lt;&gt;"Subscription",INDEX('Game Records'!$U:$U,$H264)&lt;&gt;"Free Game",INDEX('Game Records'!$U:$U,$H264)&lt;&gt;"Disqualified — Free Game",OR(INDEX('Game Records'!$L:$L,$H264)="",LOWER(INDEX('Game Records'!$L:$L,$H264)&amp;"")="n/a")),"Disqualified Status; ",""))</f>
        <v/>
      </c>
      <c r="G264" s="25" t="str">
        <f t="array" ref="G264">IF($H264="","",IFERROR(INDEX('Game Records'!$M:$M,$H264),""))</f>
        <v/>
      </c>
      <c r="H264" s="8"/>
    </row>
    <row r="265" ht="24.0" customHeight="1">
      <c r="A265" s="21" t="str">
        <f t="shared" si="1"/>
        <v/>
      </c>
      <c r="B265" s="21" t="str">
        <f t="shared" si="2"/>
        <v/>
      </c>
      <c r="C265" s="25" t="str">
        <f t="array" ref="C265">IF($H265="","",IFERROR(INDEX('Game Records'!$A:$A,$H265),""))</f>
        <v/>
      </c>
      <c r="D265" s="25" t="str">
        <f t="array" ref="D265">IF($H265="","",IFERROR(INDEX('Game Records'!$U:$U,$H265),""))</f>
        <v/>
      </c>
      <c r="E265" s="25" t="str">
        <f t="shared" si="3"/>
        <v/>
      </c>
      <c r="F265" s="25" t="str">
        <f t="array" ref="F265">IF($H265="","",IF(OR(NOT(_xlfn.ISFORMULA(INDEX('Game Records'!$N:$N,$H265))),NOT(_xlfn.ISFORMULA(INDEX('Game Records'!$O:$O,$H265))),NOT(_xlfn.ISFORMULA(INDEX('Game Records'!$P:$P,$H265))),NOT(_xlfn.ISFORMULA(INDEX('Game Records'!$Q:$Q,$H265))),NOT(_xlfn.ISFORMULA(INDEX('Game Records'!$R:$R,$H265))),NOT(_xlfn.ISFORMULA(INDEX('Game Records'!$S:$S,$H265))),NOT(_xlfn.ISFORMULA(INDEX('Game Records'!$T:$T,$H265))),NOT(_xlfn.ISFORMULA(INDEX('Game Records'!$U:$U,$H265))),NOT(_xlfn.ISFORMULA(INDEX('Game Records'!$V:$V,$H265))),NOT(_xlfn.ISFORMULA(INDEX('Game Records'!$W:$W,$H265))),NOT(_xlfn.ISFORMULA(INDEX('Game Records'!$X:$X,$H265))),NOT(_xlfn.ISFORMULA(INDEX('Game Records'!$Y:$Y,$H265))),NOT(_xlfn.ISFORMULA(INDEX('Game Records'!$Z:$Z,$H265)))),"","")&amp;IF(INDEX('Game Records'!$B:$B,$H265)="","Start Date; ","")&amp;IF(INDEX('Game Records'!$C:$C,$H265)="","End Date; ","")&amp;IF(AND(INDEX('Game Records'!$U:$U,$H265)&lt;&gt;"Subscription",INDEX('Game Records'!$U:$U,$H265)&lt;&gt;"Free Game",INDEX('Game Records'!$U:$U,$H265)&lt;&gt;"Disqualified — Free Game",OR(INDEX('Game Records'!$D:$D,$H265)="",LOWER(INDEX('Game Records'!$D:$D,$H265)&amp;"")="n/a")),"Entry Mode; ","")&amp;IF(AND(INDEX('Game Records'!$U:$U,$H265)&lt;&gt;"Subscription",INDEX('Game Records'!$U:$U,$H265)&lt;&gt;"Free Game",INDEX('Game Records'!$U:$U,$H265)&lt;&gt;"Disqualified — Free Game",OR(INDEX('Game Records'!$E:$E,$H265)="",LOWER(INDEX('Game Records'!$E:$E,$H265)&amp;"")="n/a")),"Game Type; ","")&amp;IF(INDEX('Game Records'!$F:$F,$H265)="","Payment Type; ","")&amp;IF(AND(INDEX('Game Records'!$U:$U,$H265)&lt;&gt;"Subscription",INDEX('Game Records'!$U:$U,$H265)&lt;&gt;"Free Game",INDEX('Game Records'!$U:$U,$H265)&lt;&gt;"Disqualified — Free Game",INDEX('Game Records'!$G:$G,$H265)=""),"Gross Pot; ","")&amp;IF(AND(INDEX('Game Records'!$U:$U,$H265)&lt;&gt;"Free Game",INDEX('Game Records'!$U:$U,$H265)&lt;&gt;"Disqualified — Free Game",INDEX('Game Records'!$H:$H,$H265)=""),"Entry Fee; ","")&amp;IF(AND(INDEX('Game Records'!$U:$U,$H265)&lt;&gt;"Subscription",INDEX('Game Records'!$U:$U,$H265)&lt;&gt;"Free Game",INDEX('Game Records'!$U:$U,$H265)&lt;&gt;"Disqualified — Free Game",INDEX('Game Records'!$I:$I,$H265)=""),"Eligible Players; ","")&amp;IF(AND(INDEX('Game Records'!$U:$U,$H265)&lt;&gt;"Subscription",INDEX('Game Records'!$U:$U,$H265)&lt;&gt;"Free Game",INDEX('Game Records'!$U:$U,$H265)&lt;&gt;"Disqualified — Free Game",INDEX('Game Records'!$J:$J,$H265)=""),"Total Players; ","")&amp;IF(AND(LOWER(INDEX('Game Records'!$D:$D,$H265)&amp;"")="finalized",LOWER(INDEX('Game Records'!$L:$L,$H265)&amp;"")&lt;&gt;"yes",INDEX('Game Records'!$U:$U,$H265)&lt;&gt;"Subscription",INDEX('Game Records'!$U:$U,$H265)&lt;&gt;"Free Game",INDEX('Game Records'!$U:$U,$H265)&lt;&gt;"Disqualified — Free Game",INDEX('Game Records'!$K:$K,$H265)=""),"Final Payout; ","")&amp;IF(AND(LOWER(INDEX('Game Records'!$D:$D,$H265)&amp;"")="finalized",INDEX('Game Records'!$U:$U,$H265)&lt;&gt;"Subscription",INDEX('Game Records'!$U:$U,$H265)&lt;&gt;"Free Game",INDEX('Game Records'!$U:$U,$H265)&lt;&gt;"Disqualified — Free Game",OR(INDEX('Game Records'!$L:$L,$H265)="",LOWER(INDEX('Game Records'!$L:$L,$H265)&amp;"")="n/a")),"Disqualified Status; ",""))</f>
        <v/>
      </c>
      <c r="G265" s="25" t="str">
        <f t="array" ref="G265">IF($H265="","",IFERROR(INDEX('Game Records'!$M:$M,$H265),""))</f>
        <v/>
      </c>
      <c r="H265" s="8"/>
    </row>
    <row r="266" ht="24.0" customHeight="1">
      <c r="A266" s="21" t="str">
        <f t="shared" si="1"/>
        <v/>
      </c>
      <c r="B266" s="21" t="str">
        <f t="shared" si="2"/>
        <v/>
      </c>
      <c r="C266" s="25" t="str">
        <f t="array" ref="C266">IF($H266="","",IFERROR(INDEX('Game Records'!$A:$A,$H266),""))</f>
        <v/>
      </c>
      <c r="D266" s="25" t="str">
        <f t="array" ref="D266">IF($H266="","",IFERROR(INDEX('Game Records'!$U:$U,$H266),""))</f>
        <v/>
      </c>
      <c r="E266" s="25" t="str">
        <f t="shared" si="3"/>
        <v/>
      </c>
      <c r="F266" s="25" t="str">
        <f t="array" ref="F266">IF($H266="","",IF(OR(NOT(_xlfn.ISFORMULA(INDEX('Game Records'!$N:$N,$H266))),NOT(_xlfn.ISFORMULA(INDEX('Game Records'!$O:$O,$H266))),NOT(_xlfn.ISFORMULA(INDEX('Game Records'!$P:$P,$H266))),NOT(_xlfn.ISFORMULA(INDEX('Game Records'!$Q:$Q,$H266))),NOT(_xlfn.ISFORMULA(INDEX('Game Records'!$R:$R,$H266))),NOT(_xlfn.ISFORMULA(INDEX('Game Records'!$S:$S,$H266))),NOT(_xlfn.ISFORMULA(INDEX('Game Records'!$T:$T,$H266))),NOT(_xlfn.ISFORMULA(INDEX('Game Records'!$U:$U,$H266))),NOT(_xlfn.ISFORMULA(INDEX('Game Records'!$V:$V,$H266))),NOT(_xlfn.ISFORMULA(INDEX('Game Records'!$W:$W,$H266))),NOT(_xlfn.ISFORMULA(INDEX('Game Records'!$X:$X,$H266))),NOT(_xlfn.ISFORMULA(INDEX('Game Records'!$Y:$Y,$H266))),NOT(_xlfn.ISFORMULA(INDEX('Game Records'!$Z:$Z,$H266)))),"","")&amp;IF(INDEX('Game Records'!$B:$B,$H266)="","Start Date; ","")&amp;IF(INDEX('Game Records'!$C:$C,$H266)="","End Date; ","")&amp;IF(AND(INDEX('Game Records'!$U:$U,$H266)&lt;&gt;"Subscription",INDEX('Game Records'!$U:$U,$H266)&lt;&gt;"Free Game",INDEX('Game Records'!$U:$U,$H266)&lt;&gt;"Disqualified — Free Game",OR(INDEX('Game Records'!$D:$D,$H266)="",LOWER(INDEX('Game Records'!$D:$D,$H266)&amp;"")="n/a")),"Entry Mode; ","")&amp;IF(AND(INDEX('Game Records'!$U:$U,$H266)&lt;&gt;"Subscription",INDEX('Game Records'!$U:$U,$H266)&lt;&gt;"Free Game",INDEX('Game Records'!$U:$U,$H266)&lt;&gt;"Disqualified — Free Game",OR(INDEX('Game Records'!$E:$E,$H266)="",LOWER(INDEX('Game Records'!$E:$E,$H266)&amp;"")="n/a")),"Game Type; ","")&amp;IF(INDEX('Game Records'!$F:$F,$H266)="","Payment Type; ","")&amp;IF(AND(INDEX('Game Records'!$U:$U,$H266)&lt;&gt;"Subscription",INDEX('Game Records'!$U:$U,$H266)&lt;&gt;"Free Game",INDEX('Game Records'!$U:$U,$H266)&lt;&gt;"Disqualified — Free Game",INDEX('Game Records'!$G:$G,$H266)=""),"Gross Pot; ","")&amp;IF(AND(INDEX('Game Records'!$U:$U,$H266)&lt;&gt;"Free Game",INDEX('Game Records'!$U:$U,$H266)&lt;&gt;"Disqualified — Free Game",INDEX('Game Records'!$H:$H,$H266)=""),"Entry Fee; ","")&amp;IF(AND(INDEX('Game Records'!$U:$U,$H266)&lt;&gt;"Subscription",INDEX('Game Records'!$U:$U,$H266)&lt;&gt;"Free Game",INDEX('Game Records'!$U:$U,$H266)&lt;&gt;"Disqualified — Free Game",INDEX('Game Records'!$I:$I,$H266)=""),"Eligible Players; ","")&amp;IF(AND(INDEX('Game Records'!$U:$U,$H266)&lt;&gt;"Subscription",INDEX('Game Records'!$U:$U,$H266)&lt;&gt;"Free Game",INDEX('Game Records'!$U:$U,$H266)&lt;&gt;"Disqualified — Free Game",INDEX('Game Records'!$J:$J,$H266)=""),"Total Players; ","")&amp;IF(AND(LOWER(INDEX('Game Records'!$D:$D,$H266)&amp;"")="finalized",LOWER(INDEX('Game Records'!$L:$L,$H266)&amp;"")&lt;&gt;"yes",INDEX('Game Records'!$U:$U,$H266)&lt;&gt;"Subscription",INDEX('Game Records'!$U:$U,$H266)&lt;&gt;"Free Game",INDEX('Game Records'!$U:$U,$H266)&lt;&gt;"Disqualified — Free Game",INDEX('Game Records'!$K:$K,$H266)=""),"Final Payout; ","")&amp;IF(AND(LOWER(INDEX('Game Records'!$D:$D,$H266)&amp;"")="finalized",INDEX('Game Records'!$U:$U,$H266)&lt;&gt;"Subscription",INDEX('Game Records'!$U:$U,$H266)&lt;&gt;"Free Game",INDEX('Game Records'!$U:$U,$H266)&lt;&gt;"Disqualified — Free Game",OR(INDEX('Game Records'!$L:$L,$H266)="",LOWER(INDEX('Game Records'!$L:$L,$H266)&amp;"")="n/a")),"Disqualified Status; ",""))</f>
        <v/>
      </c>
      <c r="G266" s="25" t="str">
        <f t="array" ref="G266">IF($H266="","",IFERROR(INDEX('Game Records'!$M:$M,$H266),""))</f>
        <v/>
      </c>
      <c r="H266" s="8"/>
    </row>
    <row r="267" ht="24.0" customHeight="1">
      <c r="A267" s="21" t="str">
        <f t="shared" si="1"/>
        <v/>
      </c>
      <c r="B267" s="21" t="str">
        <f t="shared" si="2"/>
        <v/>
      </c>
      <c r="C267" s="25" t="str">
        <f t="array" ref="C267">IF($H267="","",IFERROR(INDEX('Game Records'!$A:$A,$H267),""))</f>
        <v/>
      </c>
      <c r="D267" s="25" t="str">
        <f t="array" ref="D267">IF($H267="","",IFERROR(INDEX('Game Records'!$U:$U,$H267),""))</f>
        <v/>
      </c>
      <c r="E267" s="25" t="str">
        <f t="shared" si="3"/>
        <v/>
      </c>
      <c r="F267" s="25" t="str">
        <f t="array" ref="F267">IF($H267="","",IF(OR(NOT(_xlfn.ISFORMULA(INDEX('Game Records'!$N:$N,$H267))),NOT(_xlfn.ISFORMULA(INDEX('Game Records'!$O:$O,$H267))),NOT(_xlfn.ISFORMULA(INDEX('Game Records'!$P:$P,$H267))),NOT(_xlfn.ISFORMULA(INDEX('Game Records'!$Q:$Q,$H267))),NOT(_xlfn.ISFORMULA(INDEX('Game Records'!$R:$R,$H267))),NOT(_xlfn.ISFORMULA(INDEX('Game Records'!$S:$S,$H267))),NOT(_xlfn.ISFORMULA(INDEX('Game Records'!$T:$T,$H267))),NOT(_xlfn.ISFORMULA(INDEX('Game Records'!$U:$U,$H267))),NOT(_xlfn.ISFORMULA(INDEX('Game Records'!$V:$V,$H267))),NOT(_xlfn.ISFORMULA(INDEX('Game Records'!$W:$W,$H267))),NOT(_xlfn.ISFORMULA(INDEX('Game Records'!$X:$X,$H267))),NOT(_xlfn.ISFORMULA(INDEX('Game Records'!$Y:$Y,$H267))),NOT(_xlfn.ISFORMULA(INDEX('Game Records'!$Z:$Z,$H267)))),"","")&amp;IF(INDEX('Game Records'!$B:$B,$H267)="","Start Date; ","")&amp;IF(INDEX('Game Records'!$C:$C,$H267)="","End Date; ","")&amp;IF(AND(INDEX('Game Records'!$U:$U,$H267)&lt;&gt;"Subscription",INDEX('Game Records'!$U:$U,$H267)&lt;&gt;"Free Game",INDEX('Game Records'!$U:$U,$H267)&lt;&gt;"Disqualified — Free Game",OR(INDEX('Game Records'!$D:$D,$H267)="",LOWER(INDEX('Game Records'!$D:$D,$H267)&amp;"")="n/a")),"Entry Mode; ","")&amp;IF(AND(INDEX('Game Records'!$U:$U,$H267)&lt;&gt;"Subscription",INDEX('Game Records'!$U:$U,$H267)&lt;&gt;"Free Game",INDEX('Game Records'!$U:$U,$H267)&lt;&gt;"Disqualified — Free Game",OR(INDEX('Game Records'!$E:$E,$H267)="",LOWER(INDEX('Game Records'!$E:$E,$H267)&amp;"")="n/a")),"Game Type; ","")&amp;IF(INDEX('Game Records'!$F:$F,$H267)="","Payment Type; ","")&amp;IF(AND(INDEX('Game Records'!$U:$U,$H267)&lt;&gt;"Subscription",INDEX('Game Records'!$U:$U,$H267)&lt;&gt;"Free Game",INDEX('Game Records'!$U:$U,$H267)&lt;&gt;"Disqualified — Free Game",INDEX('Game Records'!$G:$G,$H267)=""),"Gross Pot; ","")&amp;IF(AND(INDEX('Game Records'!$U:$U,$H267)&lt;&gt;"Free Game",INDEX('Game Records'!$U:$U,$H267)&lt;&gt;"Disqualified — Free Game",INDEX('Game Records'!$H:$H,$H267)=""),"Entry Fee; ","")&amp;IF(AND(INDEX('Game Records'!$U:$U,$H267)&lt;&gt;"Subscription",INDEX('Game Records'!$U:$U,$H267)&lt;&gt;"Free Game",INDEX('Game Records'!$U:$U,$H267)&lt;&gt;"Disqualified — Free Game",INDEX('Game Records'!$I:$I,$H267)=""),"Eligible Players; ","")&amp;IF(AND(INDEX('Game Records'!$U:$U,$H267)&lt;&gt;"Subscription",INDEX('Game Records'!$U:$U,$H267)&lt;&gt;"Free Game",INDEX('Game Records'!$U:$U,$H267)&lt;&gt;"Disqualified — Free Game",INDEX('Game Records'!$J:$J,$H267)=""),"Total Players; ","")&amp;IF(AND(LOWER(INDEX('Game Records'!$D:$D,$H267)&amp;"")="finalized",LOWER(INDEX('Game Records'!$L:$L,$H267)&amp;"")&lt;&gt;"yes",INDEX('Game Records'!$U:$U,$H267)&lt;&gt;"Subscription",INDEX('Game Records'!$U:$U,$H267)&lt;&gt;"Free Game",INDEX('Game Records'!$U:$U,$H267)&lt;&gt;"Disqualified — Free Game",INDEX('Game Records'!$K:$K,$H267)=""),"Final Payout; ","")&amp;IF(AND(LOWER(INDEX('Game Records'!$D:$D,$H267)&amp;"")="finalized",INDEX('Game Records'!$U:$U,$H267)&lt;&gt;"Subscription",INDEX('Game Records'!$U:$U,$H267)&lt;&gt;"Free Game",INDEX('Game Records'!$U:$U,$H267)&lt;&gt;"Disqualified — Free Game",OR(INDEX('Game Records'!$L:$L,$H267)="",LOWER(INDEX('Game Records'!$L:$L,$H267)&amp;"")="n/a")),"Disqualified Status; ",""))</f>
        <v/>
      </c>
      <c r="G267" s="25" t="str">
        <f t="array" ref="G267">IF($H267="","",IFERROR(INDEX('Game Records'!$M:$M,$H267),""))</f>
        <v/>
      </c>
      <c r="H267" s="8"/>
    </row>
    <row r="268" ht="24.0" customHeight="1">
      <c r="A268" s="21" t="str">
        <f t="shared" si="1"/>
        <v/>
      </c>
      <c r="B268" s="21" t="str">
        <f t="shared" si="2"/>
        <v/>
      </c>
      <c r="C268" s="25" t="str">
        <f t="array" ref="C268">IF($H268="","",IFERROR(INDEX('Game Records'!$A:$A,$H268),""))</f>
        <v/>
      </c>
      <c r="D268" s="25" t="str">
        <f t="array" ref="D268">IF($H268="","",IFERROR(INDEX('Game Records'!$U:$U,$H268),""))</f>
        <v/>
      </c>
      <c r="E268" s="25" t="str">
        <f t="shared" si="3"/>
        <v/>
      </c>
      <c r="F268" s="25" t="str">
        <f t="array" ref="F268">IF($H268="","",IF(OR(NOT(_xlfn.ISFORMULA(INDEX('Game Records'!$N:$N,$H268))),NOT(_xlfn.ISFORMULA(INDEX('Game Records'!$O:$O,$H268))),NOT(_xlfn.ISFORMULA(INDEX('Game Records'!$P:$P,$H268))),NOT(_xlfn.ISFORMULA(INDEX('Game Records'!$Q:$Q,$H268))),NOT(_xlfn.ISFORMULA(INDEX('Game Records'!$R:$R,$H268))),NOT(_xlfn.ISFORMULA(INDEX('Game Records'!$S:$S,$H268))),NOT(_xlfn.ISFORMULA(INDEX('Game Records'!$T:$T,$H268))),NOT(_xlfn.ISFORMULA(INDEX('Game Records'!$U:$U,$H268))),NOT(_xlfn.ISFORMULA(INDEX('Game Records'!$V:$V,$H268))),NOT(_xlfn.ISFORMULA(INDEX('Game Records'!$W:$W,$H268))),NOT(_xlfn.ISFORMULA(INDEX('Game Records'!$X:$X,$H268))),NOT(_xlfn.ISFORMULA(INDEX('Game Records'!$Y:$Y,$H268))),NOT(_xlfn.ISFORMULA(INDEX('Game Records'!$Z:$Z,$H268)))),"","")&amp;IF(INDEX('Game Records'!$B:$B,$H268)="","Start Date; ","")&amp;IF(INDEX('Game Records'!$C:$C,$H268)="","End Date; ","")&amp;IF(AND(INDEX('Game Records'!$U:$U,$H268)&lt;&gt;"Subscription",INDEX('Game Records'!$U:$U,$H268)&lt;&gt;"Free Game",INDEX('Game Records'!$U:$U,$H268)&lt;&gt;"Disqualified — Free Game",OR(INDEX('Game Records'!$D:$D,$H268)="",LOWER(INDEX('Game Records'!$D:$D,$H268)&amp;"")="n/a")),"Entry Mode; ","")&amp;IF(AND(INDEX('Game Records'!$U:$U,$H268)&lt;&gt;"Subscription",INDEX('Game Records'!$U:$U,$H268)&lt;&gt;"Free Game",INDEX('Game Records'!$U:$U,$H268)&lt;&gt;"Disqualified — Free Game",OR(INDEX('Game Records'!$E:$E,$H268)="",LOWER(INDEX('Game Records'!$E:$E,$H268)&amp;"")="n/a")),"Game Type; ","")&amp;IF(INDEX('Game Records'!$F:$F,$H268)="","Payment Type; ","")&amp;IF(AND(INDEX('Game Records'!$U:$U,$H268)&lt;&gt;"Subscription",INDEX('Game Records'!$U:$U,$H268)&lt;&gt;"Free Game",INDEX('Game Records'!$U:$U,$H268)&lt;&gt;"Disqualified — Free Game",INDEX('Game Records'!$G:$G,$H268)=""),"Gross Pot; ","")&amp;IF(AND(INDEX('Game Records'!$U:$U,$H268)&lt;&gt;"Free Game",INDEX('Game Records'!$U:$U,$H268)&lt;&gt;"Disqualified — Free Game",INDEX('Game Records'!$H:$H,$H268)=""),"Entry Fee; ","")&amp;IF(AND(INDEX('Game Records'!$U:$U,$H268)&lt;&gt;"Subscription",INDEX('Game Records'!$U:$U,$H268)&lt;&gt;"Free Game",INDEX('Game Records'!$U:$U,$H268)&lt;&gt;"Disqualified — Free Game",INDEX('Game Records'!$I:$I,$H268)=""),"Eligible Players; ","")&amp;IF(AND(INDEX('Game Records'!$U:$U,$H268)&lt;&gt;"Subscription",INDEX('Game Records'!$U:$U,$H268)&lt;&gt;"Free Game",INDEX('Game Records'!$U:$U,$H268)&lt;&gt;"Disqualified — Free Game",INDEX('Game Records'!$J:$J,$H268)=""),"Total Players; ","")&amp;IF(AND(LOWER(INDEX('Game Records'!$D:$D,$H268)&amp;"")="finalized",LOWER(INDEX('Game Records'!$L:$L,$H268)&amp;"")&lt;&gt;"yes",INDEX('Game Records'!$U:$U,$H268)&lt;&gt;"Subscription",INDEX('Game Records'!$U:$U,$H268)&lt;&gt;"Free Game",INDEX('Game Records'!$U:$U,$H268)&lt;&gt;"Disqualified — Free Game",INDEX('Game Records'!$K:$K,$H268)=""),"Final Payout; ","")&amp;IF(AND(LOWER(INDEX('Game Records'!$D:$D,$H268)&amp;"")="finalized",INDEX('Game Records'!$U:$U,$H268)&lt;&gt;"Subscription",INDEX('Game Records'!$U:$U,$H268)&lt;&gt;"Free Game",INDEX('Game Records'!$U:$U,$H268)&lt;&gt;"Disqualified — Free Game",OR(INDEX('Game Records'!$L:$L,$H268)="",LOWER(INDEX('Game Records'!$L:$L,$H268)&amp;"")="n/a")),"Disqualified Status; ",""))</f>
        <v/>
      </c>
      <c r="G268" s="25" t="str">
        <f t="array" ref="G268">IF($H268="","",IFERROR(INDEX('Game Records'!$M:$M,$H268),""))</f>
        <v/>
      </c>
      <c r="H268" s="8"/>
    </row>
    <row r="269" ht="24.0" customHeight="1">
      <c r="A269" s="21" t="str">
        <f t="shared" si="1"/>
        <v/>
      </c>
      <c r="B269" s="21" t="str">
        <f t="shared" si="2"/>
        <v/>
      </c>
      <c r="C269" s="25" t="str">
        <f t="array" ref="C269">IF($H269="","",IFERROR(INDEX('Game Records'!$A:$A,$H269),""))</f>
        <v/>
      </c>
      <c r="D269" s="25" t="str">
        <f t="array" ref="D269">IF($H269="","",IFERROR(INDEX('Game Records'!$U:$U,$H269),""))</f>
        <v/>
      </c>
      <c r="E269" s="25" t="str">
        <f t="shared" si="3"/>
        <v/>
      </c>
      <c r="F269" s="25" t="str">
        <f t="array" ref="F269">IF($H269="","",IF(OR(NOT(_xlfn.ISFORMULA(INDEX('Game Records'!$N:$N,$H269))),NOT(_xlfn.ISFORMULA(INDEX('Game Records'!$O:$O,$H269))),NOT(_xlfn.ISFORMULA(INDEX('Game Records'!$P:$P,$H269))),NOT(_xlfn.ISFORMULA(INDEX('Game Records'!$Q:$Q,$H269))),NOT(_xlfn.ISFORMULA(INDEX('Game Records'!$R:$R,$H269))),NOT(_xlfn.ISFORMULA(INDEX('Game Records'!$S:$S,$H269))),NOT(_xlfn.ISFORMULA(INDEX('Game Records'!$T:$T,$H269))),NOT(_xlfn.ISFORMULA(INDEX('Game Records'!$U:$U,$H269))),NOT(_xlfn.ISFORMULA(INDEX('Game Records'!$V:$V,$H269))),NOT(_xlfn.ISFORMULA(INDEX('Game Records'!$W:$W,$H269))),NOT(_xlfn.ISFORMULA(INDEX('Game Records'!$X:$X,$H269))),NOT(_xlfn.ISFORMULA(INDEX('Game Records'!$Y:$Y,$H269))),NOT(_xlfn.ISFORMULA(INDEX('Game Records'!$Z:$Z,$H269)))),"","")&amp;IF(INDEX('Game Records'!$B:$B,$H269)="","Start Date; ","")&amp;IF(INDEX('Game Records'!$C:$C,$H269)="","End Date; ","")&amp;IF(AND(INDEX('Game Records'!$U:$U,$H269)&lt;&gt;"Subscription",INDEX('Game Records'!$U:$U,$H269)&lt;&gt;"Free Game",INDEX('Game Records'!$U:$U,$H269)&lt;&gt;"Disqualified — Free Game",OR(INDEX('Game Records'!$D:$D,$H269)="",LOWER(INDEX('Game Records'!$D:$D,$H269)&amp;"")="n/a")),"Entry Mode; ","")&amp;IF(AND(INDEX('Game Records'!$U:$U,$H269)&lt;&gt;"Subscription",INDEX('Game Records'!$U:$U,$H269)&lt;&gt;"Free Game",INDEX('Game Records'!$U:$U,$H269)&lt;&gt;"Disqualified — Free Game",OR(INDEX('Game Records'!$E:$E,$H269)="",LOWER(INDEX('Game Records'!$E:$E,$H269)&amp;"")="n/a")),"Game Type; ","")&amp;IF(INDEX('Game Records'!$F:$F,$H269)="","Payment Type; ","")&amp;IF(AND(INDEX('Game Records'!$U:$U,$H269)&lt;&gt;"Subscription",INDEX('Game Records'!$U:$U,$H269)&lt;&gt;"Free Game",INDEX('Game Records'!$U:$U,$H269)&lt;&gt;"Disqualified — Free Game",INDEX('Game Records'!$G:$G,$H269)=""),"Gross Pot; ","")&amp;IF(AND(INDEX('Game Records'!$U:$U,$H269)&lt;&gt;"Free Game",INDEX('Game Records'!$U:$U,$H269)&lt;&gt;"Disqualified — Free Game",INDEX('Game Records'!$H:$H,$H269)=""),"Entry Fee; ","")&amp;IF(AND(INDEX('Game Records'!$U:$U,$H269)&lt;&gt;"Subscription",INDEX('Game Records'!$U:$U,$H269)&lt;&gt;"Free Game",INDEX('Game Records'!$U:$U,$H269)&lt;&gt;"Disqualified — Free Game",INDEX('Game Records'!$I:$I,$H269)=""),"Eligible Players; ","")&amp;IF(AND(INDEX('Game Records'!$U:$U,$H269)&lt;&gt;"Subscription",INDEX('Game Records'!$U:$U,$H269)&lt;&gt;"Free Game",INDEX('Game Records'!$U:$U,$H269)&lt;&gt;"Disqualified — Free Game",INDEX('Game Records'!$J:$J,$H269)=""),"Total Players; ","")&amp;IF(AND(LOWER(INDEX('Game Records'!$D:$D,$H269)&amp;"")="finalized",LOWER(INDEX('Game Records'!$L:$L,$H269)&amp;"")&lt;&gt;"yes",INDEX('Game Records'!$U:$U,$H269)&lt;&gt;"Subscription",INDEX('Game Records'!$U:$U,$H269)&lt;&gt;"Free Game",INDEX('Game Records'!$U:$U,$H269)&lt;&gt;"Disqualified — Free Game",INDEX('Game Records'!$K:$K,$H269)=""),"Final Payout; ","")&amp;IF(AND(LOWER(INDEX('Game Records'!$D:$D,$H269)&amp;"")="finalized",INDEX('Game Records'!$U:$U,$H269)&lt;&gt;"Subscription",INDEX('Game Records'!$U:$U,$H269)&lt;&gt;"Free Game",INDEX('Game Records'!$U:$U,$H269)&lt;&gt;"Disqualified — Free Game",OR(INDEX('Game Records'!$L:$L,$H269)="",LOWER(INDEX('Game Records'!$L:$L,$H269)&amp;"")="n/a")),"Disqualified Status; ",""))</f>
        <v/>
      </c>
      <c r="G269" s="25" t="str">
        <f t="array" ref="G269">IF($H269="","",IFERROR(INDEX('Game Records'!$M:$M,$H269),""))</f>
        <v/>
      </c>
      <c r="H269" s="8"/>
    </row>
    <row r="270" ht="24.0" customHeight="1">
      <c r="A270" s="21" t="str">
        <f t="shared" si="1"/>
        <v/>
      </c>
      <c r="B270" s="21" t="str">
        <f t="shared" si="2"/>
        <v/>
      </c>
      <c r="C270" s="25" t="str">
        <f t="array" ref="C270">IF($H270="","",IFERROR(INDEX('Game Records'!$A:$A,$H270),""))</f>
        <v/>
      </c>
      <c r="D270" s="25" t="str">
        <f t="array" ref="D270">IF($H270="","",IFERROR(INDEX('Game Records'!$U:$U,$H270),""))</f>
        <v/>
      </c>
      <c r="E270" s="25" t="str">
        <f t="shared" si="3"/>
        <v/>
      </c>
      <c r="F270" s="25" t="str">
        <f t="array" ref="F270">IF($H270="","",IF(OR(NOT(_xlfn.ISFORMULA(INDEX('Game Records'!$N:$N,$H270))),NOT(_xlfn.ISFORMULA(INDEX('Game Records'!$O:$O,$H270))),NOT(_xlfn.ISFORMULA(INDEX('Game Records'!$P:$P,$H270))),NOT(_xlfn.ISFORMULA(INDEX('Game Records'!$Q:$Q,$H270))),NOT(_xlfn.ISFORMULA(INDEX('Game Records'!$R:$R,$H270))),NOT(_xlfn.ISFORMULA(INDEX('Game Records'!$S:$S,$H270))),NOT(_xlfn.ISFORMULA(INDEX('Game Records'!$T:$T,$H270))),NOT(_xlfn.ISFORMULA(INDEX('Game Records'!$U:$U,$H270))),NOT(_xlfn.ISFORMULA(INDEX('Game Records'!$V:$V,$H270))),NOT(_xlfn.ISFORMULA(INDEX('Game Records'!$W:$W,$H270))),NOT(_xlfn.ISFORMULA(INDEX('Game Records'!$X:$X,$H270))),NOT(_xlfn.ISFORMULA(INDEX('Game Records'!$Y:$Y,$H270))),NOT(_xlfn.ISFORMULA(INDEX('Game Records'!$Z:$Z,$H270)))),"","")&amp;IF(INDEX('Game Records'!$B:$B,$H270)="","Start Date; ","")&amp;IF(INDEX('Game Records'!$C:$C,$H270)="","End Date; ","")&amp;IF(AND(INDEX('Game Records'!$U:$U,$H270)&lt;&gt;"Subscription",INDEX('Game Records'!$U:$U,$H270)&lt;&gt;"Free Game",INDEX('Game Records'!$U:$U,$H270)&lt;&gt;"Disqualified — Free Game",OR(INDEX('Game Records'!$D:$D,$H270)="",LOWER(INDEX('Game Records'!$D:$D,$H270)&amp;"")="n/a")),"Entry Mode; ","")&amp;IF(AND(INDEX('Game Records'!$U:$U,$H270)&lt;&gt;"Subscription",INDEX('Game Records'!$U:$U,$H270)&lt;&gt;"Free Game",INDEX('Game Records'!$U:$U,$H270)&lt;&gt;"Disqualified — Free Game",OR(INDEX('Game Records'!$E:$E,$H270)="",LOWER(INDEX('Game Records'!$E:$E,$H270)&amp;"")="n/a")),"Game Type; ","")&amp;IF(INDEX('Game Records'!$F:$F,$H270)="","Payment Type; ","")&amp;IF(AND(INDEX('Game Records'!$U:$U,$H270)&lt;&gt;"Subscription",INDEX('Game Records'!$U:$U,$H270)&lt;&gt;"Free Game",INDEX('Game Records'!$U:$U,$H270)&lt;&gt;"Disqualified — Free Game",INDEX('Game Records'!$G:$G,$H270)=""),"Gross Pot; ","")&amp;IF(AND(INDEX('Game Records'!$U:$U,$H270)&lt;&gt;"Free Game",INDEX('Game Records'!$U:$U,$H270)&lt;&gt;"Disqualified — Free Game",INDEX('Game Records'!$H:$H,$H270)=""),"Entry Fee; ","")&amp;IF(AND(INDEX('Game Records'!$U:$U,$H270)&lt;&gt;"Subscription",INDEX('Game Records'!$U:$U,$H270)&lt;&gt;"Free Game",INDEX('Game Records'!$U:$U,$H270)&lt;&gt;"Disqualified — Free Game",INDEX('Game Records'!$I:$I,$H270)=""),"Eligible Players; ","")&amp;IF(AND(INDEX('Game Records'!$U:$U,$H270)&lt;&gt;"Subscription",INDEX('Game Records'!$U:$U,$H270)&lt;&gt;"Free Game",INDEX('Game Records'!$U:$U,$H270)&lt;&gt;"Disqualified — Free Game",INDEX('Game Records'!$J:$J,$H270)=""),"Total Players; ","")&amp;IF(AND(LOWER(INDEX('Game Records'!$D:$D,$H270)&amp;"")="finalized",LOWER(INDEX('Game Records'!$L:$L,$H270)&amp;"")&lt;&gt;"yes",INDEX('Game Records'!$U:$U,$H270)&lt;&gt;"Subscription",INDEX('Game Records'!$U:$U,$H270)&lt;&gt;"Free Game",INDEX('Game Records'!$U:$U,$H270)&lt;&gt;"Disqualified — Free Game",INDEX('Game Records'!$K:$K,$H270)=""),"Final Payout; ","")&amp;IF(AND(LOWER(INDEX('Game Records'!$D:$D,$H270)&amp;"")="finalized",INDEX('Game Records'!$U:$U,$H270)&lt;&gt;"Subscription",INDEX('Game Records'!$U:$U,$H270)&lt;&gt;"Free Game",INDEX('Game Records'!$U:$U,$H270)&lt;&gt;"Disqualified — Free Game",OR(INDEX('Game Records'!$L:$L,$H270)="",LOWER(INDEX('Game Records'!$L:$L,$H270)&amp;"")="n/a")),"Disqualified Status; ",""))</f>
        <v/>
      </c>
      <c r="G270" s="25" t="str">
        <f t="array" ref="G270">IF($H270="","",IFERROR(INDEX('Game Records'!$M:$M,$H270),""))</f>
        <v/>
      </c>
      <c r="H270" s="8"/>
    </row>
    <row r="271" ht="24.0" customHeight="1">
      <c r="A271" s="21" t="str">
        <f t="shared" si="1"/>
        <v/>
      </c>
      <c r="B271" s="21" t="str">
        <f t="shared" si="2"/>
        <v/>
      </c>
      <c r="C271" s="25" t="str">
        <f t="array" ref="C271">IF($H271="","",IFERROR(INDEX('Game Records'!$A:$A,$H271),""))</f>
        <v/>
      </c>
      <c r="D271" s="25" t="str">
        <f t="array" ref="D271">IF($H271="","",IFERROR(INDEX('Game Records'!$U:$U,$H271),""))</f>
        <v/>
      </c>
      <c r="E271" s="25" t="str">
        <f t="shared" si="3"/>
        <v/>
      </c>
      <c r="F271" s="25" t="str">
        <f t="array" ref="F271">IF($H271="","",IF(OR(NOT(_xlfn.ISFORMULA(INDEX('Game Records'!$N:$N,$H271))),NOT(_xlfn.ISFORMULA(INDEX('Game Records'!$O:$O,$H271))),NOT(_xlfn.ISFORMULA(INDEX('Game Records'!$P:$P,$H271))),NOT(_xlfn.ISFORMULA(INDEX('Game Records'!$Q:$Q,$H271))),NOT(_xlfn.ISFORMULA(INDEX('Game Records'!$R:$R,$H271))),NOT(_xlfn.ISFORMULA(INDEX('Game Records'!$S:$S,$H271))),NOT(_xlfn.ISFORMULA(INDEX('Game Records'!$T:$T,$H271))),NOT(_xlfn.ISFORMULA(INDEX('Game Records'!$U:$U,$H271))),NOT(_xlfn.ISFORMULA(INDEX('Game Records'!$V:$V,$H271))),NOT(_xlfn.ISFORMULA(INDEX('Game Records'!$W:$W,$H271))),NOT(_xlfn.ISFORMULA(INDEX('Game Records'!$X:$X,$H271))),NOT(_xlfn.ISFORMULA(INDEX('Game Records'!$Y:$Y,$H271))),NOT(_xlfn.ISFORMULA(INDEX('Game Records'!$Z:$Z,$H271)))),"","")&amp;IF(INDEX('Game Records'!$B:$B,$H271)="","Start Date; ","")&amp;IF(INDEX('Game Records'!$C:$C,$H271)="","End Date; ","")&amp;IF(AND(INDEX('Game Records'!$U:$U,$H271)&lt;&gt;"Subscription",INDEX('Game Records'!$U:$U,$H271)&lt;&gt;"Free Game",INDEX('Game Records'!$U:$U,$H271)&lt;&gt;"Disqualified — Free Game",OR(INDEX('Game Records'!$D:$D,$H271)="",LOWER(INDEX('Game Records'!$D:$D,$H271)&amp;"")="n/a")),"Entry Mode; ","")&amp;IF(AND(INDEX('Game Records'!$U:$U,$H271)&lt;&gt;"Subscription",INDEX('Game Records'!$U:$U,$H271)&lt;&gt;"Free Game",INDEX('Game Records'!$U:$U,$H271)&lt;&gt;"Disqualified — Free Game",OR(INDEX('Game Records'!$E:$E,$H271)="",LOWER(INDEX('Game Records'!$E:$E,$H271)&amp;"")="n/a")),"Game Type; ","")&amp;IF(INDEX('Game Records'!$F:$F,$H271)="","Payment Type; ","")&amp;IF(AND(INDEX('Game Records'!$U:$U,$H271)&lt;&gt;"Subscription",INDEX('Game Records'!$U:$U,$H271)&lt;&gt;"Free Game",INDEX('Game Records'!$U:$U,$H271)&lt;&gt;"Disqualified — Free Game",INDEX('Game Records'!$G:$G,$H271)=""),"Gross Pot; ","")&amp;IF(AND(INDEX('Game Records'!$U:$U,$H271)&lt;&gt;"Free Game",INDEX('Game Records'!$U:$U,$H271)&lt;&gt;"Disqualified — Free Game",INDEX('Game Records'!$H:$H,$H271)=""),"Entry Fee; ","")&amp;IF(AND(INDEX('Game Records'!$U:$U,$H271)&lt;&gt;"Subscription",INDEX('Game Records'!$U:$U,$H271)&lt;&gt;"Free Game",INDEX('Game Records'!$U:$U,$H271)&lt;&gt;"Disqualified — Free Game",INDEX('Game Records'!$I:$I,$H271)=""),"Eligible Players; ","")&amp;IF(AND(INDEX('Game Records'!$U:$U,$H271)&lt;&gt;"Subscription",INDEX('Game Records'!$U:$U,$H271)&lt;&gt;"Free Game",INDEX('Game Records'!$U:$U,$H271)&lt;&gt;"Disqualified — Free Game",INDEX('Game Records'!$J:$J,$H271)=""),"Total Players; ","")&amp;IF(AND(LOWER(INDEX('Game Records'!$D:$D,$H271)&amp;"")="finalized",LOWER(INDEX('Game Records'!$L:$L,$H271)&amp;"")&lt;&gt;"yes",INDEX('Game Records'!$U:$U,$H271)&lt;&gt;"Subscription",INDEX('Game Records'!$U:$U,$H271)&lt;&gt;"Free Game",INDEX('Game Records'!$U:$U,$H271)&lt;&gt;"Disqualified — Free Game",INDEX('Game Records'!$K:$K,$H271)=""),"Final Payout; ","")&amp;IF(AND(LOWER(INDEX('Game Records'!$D:$D,$H271)&amp;"")="finalized",INDEX('Game Records'!$U:$U,$H271)&lt;&gt;"Subscription",INDEX('Game Records'!$U:$U,$H271)&lt;&gt;"Free Game",INDEX('Game Records'!$U:$U,$H271)&lt;&gt;"Disqualified — Free Game",OR(INDEX('Game Records'!$L:$L,$H271)="",LOWER(INDEX('Game Records'!$L:$L,$H271)&amp;"")="n/a")),"Disqualified Status; ",""))</f>
        <v/>
      </c>
      <c r="G271" s="25" t="str">
        <f t="array" ref="G271">IF($H271="","",IFERROR(INDEX('Game Records'!$M:$M,$H271),""))</f>
        <v/>
      </c>
      <c r="H271" s="8"/>
    </row>
    <row r="272" ht="24.0" customHeight="1">
      <c r="A272" s="21" t="str">
        <f t="shared" si="1"/>
        <v/>
      </c>
      <c r="B272" s="21" t="str">
        <f t="shared" si="2"/>
        <v/>
      </c>
      <c r="C272" s="25" t="str">
        <f t="array" ref="C272">IF($H272="","",IFERROR(INDEX('Game Records'!$A:$A,$H272),""))</f>
        <v/>
      </c>
      <c r="D272" s="25" t="str">
        <f t="array" ref="D272">IF($H272="","",IFERROR(INDEX('Game Records'!$U:$U,$H272),""))</f>
        <v/>
      </c>
      <c r="E272" s="25" t="str">
        <f t="shared" si="3"/>
        <v/>
      </c>
      <c r="F272" s="25" t="str">
        <f t="array" ref="F272">IF($H272="","",IF(OR(NOT(_xlfn.ISFORMULA(INDEX('Game Records'!$N:$N,$H272))),NOT(_xlfn.ISFORMULA(INDEX('Game Records'!$O:$O,$H272))),NOT(_xlfn.ISFORMULA(INDEX('Game Records'!$P:$P,$H272))),NOT(_xlfn.ISFORMULA(INDEX('Game Records'!$Q:$Q,$H272))),NOT(_xlfn.ISFORMULA(INDEX('Game Records'!$R:$R,$H272))),NOT(_xlfn.ISFORMULA(INDEX('Game Records'!$S:$S,$H272))),NOT(_xlfn.ISFORMULA(INDEX('Game Records'!$T:$T,$H272))),NOT(_xlfn.ISFORMULA(INDEX('Game Records'!$U:$U,$H272))),NOT(_xlfn.ISFORMULA(INDEX('Game Records'!$V:$V,$H272))),NOT(_xlfn.ISFORMULA(INDEX('Game Records'!$W:$W,$H272))),NOT(_xlfn.ISFORMULA(INDEX('Game Records'!$X:$X,$H272))),NOT(_xlfn.ISFORMULA(INDEX('Game Records'!$Y:$Y,$H272))),NOT(_xlfn.ISFORMULA(INDEX('Game Records'!$Z:$Z,$H272)))),"","")&amp;IF(INDEX('Game Records'!$B:$B,$H272)="","Start Date; ","")&amp;IF(INDEX('Game Records'!$C:$C,$H272)="","End Date; ","")&amp;IF(AND(INDEX('Game Records'!$U:$U,$H272)&lt;&gt;"Subscription",INDEX('Game Records'!$U:$U,$H272)&lt;&gt;"Free Game",INDEX('Game Records'!$U:$U,$H272)&lt;&gt;"Disqualified — Free Game",OR(INDEX('Game Records'!$D:$D,$H272)="",LOWER(INDEX('Game Records'!$D:$D,$H272)&amp;"")="n/a")),"Entry Mode; ","")&amp;IF(AND(INDEX('Game Records'!$U:$U,$H272)&lt;&gt;"Subscription",INDEX('Game Records'!$U:$U,$H272)&lt;&gt;"Free Game",INDEX('Game Records'!$U:$U,$H272)&lt;&gt;"Disqualified — Free Game",OR(INDEX('Game Records'!$E:$E,$H272)="",LOWER(INDEX('Game Records'!$E:$E,$H272)&amp;"")="n/a")),"Game Type; ","")&amp;IF(INDEX('Game Records'!$F:$F,$H272)="","Payment Type; ","")&amp;IF(AND(INDEX('Game Records'!$U:$U,$H272)&lt;&gt;"Subscription",INDEX('Game Records'!$U:$U,$H272)&lt;&gt;"Free Game",INDEX('Game Records'!$U:$U,$H272)&lt;&gt;"Disqualified — Free Game",INDEX('Game Records'!$G:$G,$H272)=""),"Gross Pot; ","")&amp;IF(AND(INDEX('Game Records'!$U:$U,$H272)&lt;&gt;"Free Game",INDEX('Game Records'!$U:$U,$H272)&lt;&gt;"Disqualified — Free Game",INDEX('Game Records'!$H:$H,$H272)=""),"Entry Fee; ","")&amp;IF(AND(INDEX('Game Records'!$U:$U,$H272)&lt;&gt;"Subscription",INDEX('Game Records'!$U:$U,$H272)&lt;&gt;"Free Game",INDEX('Game Records'!$U:$U,$H272)&lt;&gt;"Disqualified — Free Game",INDEX('Game Records'!$I:$I,$H272)=""),"Eligible Players; ","")&amp;IF(AND(INDEX('Game Records'!$U:$U,$H272)&lt;&gt;"Subscription",INDEX('Game Records'!$U:$U,$H272)&lt;&gt;"Free Game",INDEX('Game Records'!$U:$U,$H272)&lt;&gt;"Disqualified — Free Game",INDEX('Game Records'!$J:$J,$H272)=""),"Total Players; ","")&amp;IF(AND(LOWER(INDEX('Game Records'!$D:$D,$H272)&amp;"")="finalized",LOWER(INDEX('Game Records'!$L:$L,$H272)&amp;"")&lt;&gt;"yes",INDEX('Game Records'!$U:$U,$H272)&lt;&gt;"Subscription",INDEX('Game Records'!$U:$U,$H272)&lt;&gt;"Free Game",INDEX('Game Records'!$U:$U,$H272)&lt;&gt;"Disqualified — Free Game",INDEX('Game Records'!$K:$K,$H272)=""),"Final Payout; ","")&amp;IF(AND(LOWER(INDEX('Game Records'!$D:$D,$H272)&amp;"")="finalized",INDEX('Game Records'!$U:$U,$H272)&lt;&gt;"Subscription",INDEX('Game Records'!$U:$U,$H272)&lt;&gt;"Free Game",INDEX('Game Records'!$U:$U,$H272)&lt;&gt;"Disqualified — Free Game",OR(INDEX('Game Records'!$L:$L,$H272)="",LOWER(INDEX('Game Records'!$L:$L,$H272)&amp;"")="n/a")),"Disqualified Status; ",""))</f>
        <v/>
      </c>
      <c r="G272" s="25" t="str">
        <f t="array" ref="G272">IF($H272="","",IFERROR(INDEX('Game Records'!$M:$M,$H272),""))</f>
        <v/>
      </c>
      <c r="H272" s="8"/>
    </row>
    <row r="273" ht="24.0" customHeight="1">
      <c r="A273" s="21" t="str">
        <f t="shared" si="1"/>
        <v/>
      </c>
      <c r="B273" s="21" t="str">
        <f t="shared" si="2"/>
        <v/>
      </c>
      <c r="C273" s="25" t="str">
        <f t="array" ref="C273">IF($H273="","",IFERROR(INDEX('Game Records'!$A:$A,$H273),""))</f>
        <v/>
      </c>
      <c r="D273" s="25" t="str">
        <f t="array" ref="D273">IF($H273="","",IFERROR(INDEX('Game Records'!$U:$U,$H273),""))</f>
        <v/>
      </c>
      <c r="E273" s="25" t="str">
        <f t="shared" si="3"/>
        <v/>
      </c>
      <c r="F273" s="25" t="str">
        <f t="array" ref="F273">IF($H273="","",IF(OR(NOT(_xlfn.ISFORMULA(INDEX('Game Records'!$N:$N,$H273))),NOT(_xlfn.ISFORMULA(INDEX('Game Records'!$O:$O,$H273))),NOT(_xlfn.ISFORMULA(INDEX('Game Records'!$P:$P,$H273))),NOT(_xlfn.ISFORMULA(INDEX('Game Records'!$Q:$Q,$H273))),NOT(_xlfn.ISFORMULA(INDEX('Game Records'!$R:$R,$H273))),NOT(_xlfn.ISFORMULA(INDEX('Game Records'!$S:$S,$H273))),NOT(_xlfn.ISFORMULA(INDEX('Game Records'!$T:$T,$H273))),NOT(_xlfn.ISFORMULA(INDEX('Game Records'!$U:$U,$H273))),NOT(_xlfn.ISFORMULA(INDEX('Game Records'!$V:$V,$H273))),NOT(_xlfn.ISFORMULA(INDEX('Game Records'!$W:$W,$H273))),NOT(_xlfn.ISFORMULA(INDEX('Game Records'!$X:$X,$H273))),NOT(_xlfn.ISFORMULA(INDEX('Game Records'!$Y:$Y,$H273))),NOT(_xlfn.ISFORMULA(INDEX('Game Records'!$Z:$Z,$H273)))),"","")&amp;IF(INDEX('Game Records'!$B:$B,$H273)="","Start Date; ","")&amp;IF(INDEX('Game Records'!$C:$C,$H273)="","End Date; ","")&amp;IF(AND(INDEX('Game Records'!$U:$U,$H273)&lt;&gt;"Subscription",INDEX('Game Records'!$U:$U,$H273)&lt;&gt;"Free Game",INDEX('Game Records'!$U:$U,$H273)&lt;&gt;"Disqualified — Free Game",OR(INDEX('Game Records'!$D:$D,$H273)="",LOWER(INDEX('Game Records'!$D:$D,$H273)&amp;"")="n/a")),"Entry Mode; ","")&amp;IF(AND(INDEX('Game Records'!$U:$U,$H273)&lt;&gt;"Subscription",INDEX('Game Records'!$U:$U,$H273)&lt;&gt;"Free Game",INDEX('Game Records'!$U:$U,$H273)&lt;&gt;"Disqualified — Free Game",OR(INDEX('Game Records'!$E:$E,$H273)="",LOWER(INDEX('Game Records'!$E:$E,$H273)&amp;"")="n/a")),"Game Type; ","")&amp;IF(INDEX('Game Records'!$F:$F,$H273)="","Payment Type; ","")&amp;IF(AND(INDEX('Game Records'!$U:$U,$H273)&lt;&gt;"Subscription",INDEX('Game Records'!$U:$U,$H273)&lt;&gt;"Free Game",INDEX('Game Records'!$U:$U,$H273)&lt;&gt;"Disqualified — Free Game",INDEX('Game Records'!$G:$G,$H273)=""),"Gross Pot; ","")&amp;IF(AND(INDEX('Game Records'!$U:$U,$H273)&lt;&gt;"Free Game",INDEX('Game Records'!$U:$U,$H273)&lt;&gt;"Disqualified — Free Game",INDEX('Game Records'!$H:$H,$H273)=""),"Entry Fee; ","")&amp;IF(AND(INDEX('Game Records'!$U:$U,$H273)&lt;&gt;"Subscription",INDEX('Game Records'!$U:$U,$H273)&lt;&gt;"Free Game",INDEX('Game Records'!$U:$U,$H273)&lt;&gt;"Disqualified — Free Game",INDEX('Game Records'!$I:$I,$H273)=""),"Eligible Players; ","")&amp;IF(AND(INDEX('Game Records'!$U:$U,$H273)&lt;&gt;"Subscription",INDEX('Game Records'!$U:$U,$H273)&lt;&gt;"Free Game",INDEX('Game Records'!$U:$U,$H273)&lt;&gt;"Disqualified — Free Game",INDEX('Game Records'!$J:$J,$H273)=""),"Total Players; ","")&amp;IF(AND(LOWER(INDEX('Game Records'!$D:$D,$H273)&amp;"")="finalized",LOWER(INDEX('Game Records'!$L:$L,$H273)&amp;"")&lt;&gt;"yes",INDEX('Game Records'!$U:$U,$H273)&lt;&gt;"Subscription",INDEX('Game Records'!$U:$U,$H273)&lt;&gt;"Free Game",INDEX('Game Records'!$U:$U,$H273)&lt;&gt;"Disqualified — Free Game",INDEX('Game Records'!$K:$K,$H273)=""),"Final Payout; ","")&amp;IF(AND(LOWER(INDEX('Game Records'!$D:$D,$H273)&amp;"")="finalized",INDEX('Game Records'!$U:$U,$H273)&lt;&gt;"Subscription",INDEX('Game Records'!$U:$U,$H273)&lt;&gt;"Free Game",INDEX('Game Records'!$U:$U,$H273)&lt;&gt;"Disqualified — Free Game",OR(INDEX('Game Records'!$L:$L,$H273)="",LOWER(INDEX('Game Records'!$L:$L,$H273)&amp;"")="n/a")),"Disqualified Status; ",""))</f>
        <v/>
      </c>
      <c r="G273" s="25" t="str">
        <f t="array" ref="G273">IF($H273="","",IFERROR(INDEX('Game Records'!$M:$M,$H273),""))</f>
        <v/>
      </c>
      <c r="H273" s="8"/>
    </row>
    <row r="274" ht="24.0" customHeight="1">
      <c r="A274" s="21" t="str">
        <f t="shared" si="1"/>
        <v/>
      </c>
      <c r="B274" s="21" t="str">
        <f t="shared" si="2"/>
        <v/>
      </c>
      <c r="C274" s="25" t="str">
        <f t="array" ref="C274">IF($H274="","",IFERROR(INDEX('Game Records'!$A:$A,$H274),""))</f>
        <v/>
      </c>
      <c r="D274" s="25" t="str">
        <f t="array" ref="D274">IF($H274="","",IFERROR(INDEX('Game Records'!$U:$U,$H274),""))</f>
        <v/>
      </c>
      <c r="E274" s="25" t="str">
        <f t="shared" si="3"/>
        <v/>
      </c>
      <c r="F274" s="25" t="str">
        <f t="array" ref="F274">IF($H274="","",IF(OR(NOT(_xlfn.ISFORMULA(INDEX('Game Records'!$N:$N,$H274))),NOT(_xlfn.ISFORMULA(INDEX('Game Records'!$O:$O,$H274))),NOT(_xlfn.ISFORMULA(INDEX('Game Records'!$P:$P,$H274))),NOT(_xlfn.ISFORMULA(INDEX('Game Records'!$Q:$Q,$H274))),NOT(_xlfn.ISFORMULA(INDEX('Game Records'!$R:$R,$H274))),NOT(_xlfn.ISFORMULA(INDEX('Game Records'!$S:$S,$H274))),NOT(_xlfn.ISFORMULA(INDEX('Game Records'!$T:$T,$H274))),NOT(_xlfn.ISFORMULA(INDEX('Game Records'!$U:$U,$H274))),NOT(_xlfn.ISFORMULA(INDEX('Game Records'!$V:$V,$H274))),NOT(_xlfn.ISFORMULA(INDEX('Game Records'!$W:$W,$H274))),NOT(_xlfn.ISFORMULA(INDEX('Game Records'!$X:$X,$H274))),NOT(_xlfn.ISFORMULA(INDEX('Game Records'!$Y:$Y,$H274))),NOT(_xlfn.ISFORMULA(INDEX('Game Records'!$Z:$Z,$H274)))),"","")&amp;IF(INDEX('Game Records'!$B:$B,$H274)="","Start Date; ","")&amp;IF(INDEX('Game Records'!$C:$C,$H274)="","End Date; ","")&amp;IF(AND(INDEX('Game Records'!$U:$U,$H274)&lt;&gt;"Subscription",INDEX('Game Records'!$U:$U,$H274)&lt;&gt;"Free Game",INDEX('Game Records'!$U:$U,$H274)&lt;&gt;"Disqualified — Free Game",OR(INDEX('Game Records'!$D:$D,$H274)="",LOWER(INDEX('Game Records'!$D:$D,$H274)&amp;"")="n/a")),"Entry Mode; ","")&amp;IF(AND(INDEX('Game Records'!$U:$U,$H274)&lt;&gt;"Subscription",INDEX('Game Records'!$U:$U,$H274)&lt;&gt;"Free Game",INDEX('Game Records'!$U:$U,$H274)&lt;&gt;"Disqualified — Free Game",OR(INDEX('Game Records'!$E:$E,$H274)="",LOWER(INDEX('Game Records'!$E:$E,$H274)&amp;"")="n/a")),"Game Type; ","")&amp;IF(INDEX('Game Records'!$F:$F,$H274)="","Payment Type; ","")&amp;IF(AND(INDEX('Game Records'!$U:$U,$H274)&lt;&gt;"Subscription",INDEX('Game Records'!$U:$U,$H274)&lt;&gt;"Free Game",INDEX('Game Records'!$U:$U,$H274)&lt;&gt;"Disqualified — Free Game",INDEX('Game Records'!$G:$G,$H274)=""),"Gross Pot; ","")&amp;IF(AND(INDEX('Game Records'!$U:$U,$H274)&lt;&gt;"Free Game",INDEX('Game Records'!$U:$U,$H274)&lt;&gt;"Disqualified — Free Game",INDEX('Game Records'!$H:$H,$H274)=""),"Entry Fee; ","")&amp;IF(AND(INDEX('Game Records'!$U:$U,$H274)&lt;&gt;"Subscription",INDEX('Game Records'!$U:$U,$H274)&lt;&gt;"Free Game",INDEX('Game Records'!$U:$U,$H274)&lt;&gt;"Disqualified — Free Game",INDEX('Game Records'!$I:$I,$H274)=""),"Eligible Players; ","")&amp;IF(AND(INDEX('Game Records'!$U:$U,$H274)&lt;&gt;"Subscription",INDEX('Game Records'!$U:$U,$H274)&lt;&gt;"Free Game",INDEX('Game Records'!$U:$U,$H274)&lt;&gt;"Disqualified — Free Game",INDEX('Game Records'!$J:$J,$H274)=""),"Total Players; ","")&amp;IF(AND(LOWER(INDEX('Game Records'!$D:$D,$H274)&amp;"")="finalized",LOWER(INDEX('Game Records'!$L:$L,$H274)&amp;"")&lt;&gt;"yes",INDEX('Game Records'!$U:$U,$H274)&lt;&gt;"Subscription",INDEX('Game Records'!$U:$U,$H274)&lt;&gt;"Free Game",INDEX('Game Records'!$U:$U,$H274)&lt;&gt;"Disqualified — Free Game",INDEX('Game Records'!$K:$K,$H274)=""),"Final Payout; ","")&amp;IF(AND(LOWER(INDEX('Game Records'!$D:$D,$H274)&amp;"")="finalized",INDEX('Game Records'!$U:$U,$H274)&lt;&gt;"Subscription",INDEX('Game Records'!$U:$U,$H274)&lt;&gt;"Free Game",INDEX('Game Records'!$U:$U,$H274)&lt;&gt;"Disqualified — Free Game",OR(INDEX('Game Records'!$L:$L,$H274)="",LOWER(INDEX('Game Records'!$L:$L,$H274)&amp;"")="n/a")),"Disqualified Status; ",""))</f>
        <v/>
      </c>
      <c r="G274" s="25" t="str">
        <f t="array" ref="G274">IF($H274="","",IFERROR(INDEX('Game Records'!$M:$M,$H274),""))</f>
        <v/>
      </c>
      <c r="H274" s="8"/>
    </row>
    <row r="275" ht="24.0" customHeight="1">
      <c r="A275" s="21" t="str">
        <f t="shared" si="1"/>
        <v/>
      </c>
      <c r="B275" s="21" t="str">
        <f t="shared" si="2"/>
        <v/>
      </c>
      <c r="C275" s="25" t="str">
        <f t="array" ref="C275">IF($H275="","",IFERROR(INDEX('Game Records'!$A:$A,$H275),""))</f>
        <v/>
      </c>
      <c r="D275" s="25" t="str">
        <f t="array" ref="D275">IF($H275="","",IFERROR(INDEX('Game Records'!$U:$U,$H275),""))</f>
        <v/>
      </c>
      <c r="E275" s="25" t="str">
        <f t="shared" si="3"/>
        <v/>
      </c>
      <c r="F275" s="25" t="str">
        <f t="array" ref="F275">IF($H275="","",IF(OR(NOT(_xlfn.ISFORMULA(INDEX('Game Records'!$N:$N,$H275))),NOT(_xlfn.ISFORMULA(INDEX('Game Records'!$O:$O,$H275))),NOT(_xlfn.ISFORMULA(INDEX('Game Records'!$P:$P,$H275))),NOT(_xlfn.ISFORMULA(INDEX('Game Records'!$Q:$Q,$H275))),NOT(_xlfn.ISFORMULA(INDEX('Game Records'!$R:$R,$H275))),NOT(_xlfn.ISFORMULA(INDEX('Game Records'!$S:$S,$H275))),NOT(_xlfn.ISFORMULA(INDEX('Game Records'!$T:$T,$H275))),NOT(_xlfn.ISFORMULA(INDEX('Game Records'!$U:$U,$H275))),NOT(_xlfn.ISFORMULA(INDEX('Game Records'!$V:$V,$H275))),NOT(_xlfn.ISFORMULA(INDEX('Game Records'!$W:$W,$H275))),NOT(_xlfn.ISFORMULA(INDEX('Game Records'!$X:$X,$H275))),NOT(_xlfn.ISFORMULA(INDEX('Game Records'!$Y:$Y,$H275))),NOT(_xlfn.ISFORMULA(INDEX('Game Records'!$Z:$Z,$H275)))),"","")&amp;IF(INDEX('Game Records'!$B:$B,$H275)="","Start Date; ","")&amp;IF(INDEX('Game Records'!$C:$C,$H275)="","End Date; ","")&amp;IF(AND(INDEX('Game Records'!$U:$U,$H275)&lt;&gt;"Subscription",INDEX('Game Records'!$U:$U,$H275)&lt;&gt;"Free Game",INDEX('Game Records'!$U:$U,$H275)&lt;&gt;"Disqualified — Free Game",OR(INDEX('Game Records'!$D:$D,$H275)="",LOWER(INDEX('Game Records'!$D:$D,$H275)&amp;"")="n/a")),"Entry Mode; ","")&amp;IF(AND(INDEX('Game Records'!$U:$U,$H275)&lt;&gt;"Subscription",INDEX('Game Records'!$U:$U,$H275)&lt;&gt;"Free Game",INDEX('Game Records'!$U:$U,$H275)&lt;&gt;"Disqualified — Free Game",OR(INDEX('Game Records'!$E:$E,$H275)="",LOWER(INDEX('Game Records'!$E:$E,$H275)&amp;"")="n/a")),"Game Type; ","")&amp;IF(INDEX('Game Records'!$F:$F,$H275)="","Payment Type; ","")&amp;IF(AND(INDEX('Game Records'!$U:$U,$H275)&lt;&gt;"Subscription",INDEX('Game Records'!$U:$U,$H275)&lt;&gt;"Free Game",INDEX('Game Records'!$U:$U,$H275)&lt;&gt;"Disqualified — Free Game",INDEX('Game Records'!$G:$G,$H275)=""),"Gross Pot; ","")&amp;IF(AND(INDEX('Game Records'!$U:$U,$H275)&lt;&gt;"Free Game",INDEX('Game Records'!$U:$U,$H275)&lt;&gt;"Disqualified — Free Game",INDEX('Game Records'!$H:$H,$H275)=""),"Entry Fee; ","")&amp;IF(AND(INDEX('Game Records'!$U:$U,$H275)&lt;&gt;"Subscription",INDEX('Game Records'!$U:$U,$H275)&lt;&gt;"Free Game",INDEX('Game Records'!$U:$U,$H275)&lt;&gt;"Disqualified — Free Game",INDEX('Game Records'!$I:$I,$H275)=""),"Eligible Players; ","")&amp;IF(AND(INDEX('Game Records'!$U:$U,$H275)&lt;&gt;"Subscription",INDEX('Game Records'!$U:$U,$H275)&lt;&gt;"Free Game",INDEX('Game Records'!$U:$U,$H275)&lt;&gt;"Disqualified — Free Game",INDEX('Game Records'!$J:$J,$H275)=""),"Total Players; ","")&amp;IF(AND(LOWER(INDEX('Game Records'!$D:$D,$H275)&amp;"")="finalized",LOWER(INDEX('Game Records'!$L:$L,$H275)&amp;"")&lt;&gt;"yes",INDEX('Game Records'!$U:$U,$H275)&lt;&gt;"Subscription",INDEX('Game Records'!$U:$U,$H275)&lt;&gt;"Free Game",INDEX('Game Records'!$U:$U,$H275)&lt;&gt;"Disqualified — Free Game",INDEX('Game Records'!$K:$K,$H275)=""),"Final Payout; ","")&amp;IF(AND(LOWER(INDEX('Game Records'!$D:$D,$H275)&amp;"")="finalized",INDEX('Game Records'!$U:$U,$H275)&lt;&gt;"Subscription",INDEX('Game Records'!$U:$U,$H275)&lt;&gt;"Free Game",INDEX('Game Records'!$U:$U,$H275)&lt;&gt;"Disqualified — Free Game",OR(INDEX('Game Records'!$L:$L,$H275)="",LOWER(INDEX('Game Records'!$L:$L,$H275)&amp;"")="n/a")),"Disqualified Status; ",""))</f>
        <v/>
      </c>
      <c r="G275" s="25" t="str">
        <f t="array" ref="G275">IF($H275="","",IFERROR(INDEX('Game Records'!$M:$M,$H275),""))</f>
        <v/>
      </c>
      <c r="H275" s="8"/>
    </row>
    <row r="276" ht="24.0" customHeight="1">
      <c r="A276" s="21" t="str">
        <f t="shared" si="1"/>
        <v/>
      </c>
      <c r="B276" s="21" t="str">
        <f t="shared" si="2"/>
        <v/>
      </c>
      <c r="C276" s="25" t="str">
        <f t="array" ref="C276">IF($H276="","",IFERROR(INDEX('Game Records'!$A:$A,$H276),""))</f>
        <v/>
      </c>
      <c r="D276" s="25" t="str">
        <f t="array" ref="D276">IF($H276="","",IFERROR(INDEX('Game Records'!$U:$U,$H276),""))</f>
        <v/>
      </c>
      <c r="E276" s="25" t="str">
        <f t="shared" si="3"/>
        <v/>
      </c>
      <c r="F276" s="25" t="str">
        <f t="array" ref="F276">IF($H276="","",IF(OR(NOT(_xlfn.ISFORMULA(INDEX('Game Records'!$N:$N,$H276))),NOT(_xlfn.ISFORMULA(INDEX('Game Records'!$O:$O,$H276))),NOT(_xlfn.ISFORMULA(INDEX('Game Records'!$P:$P,$H276))),NOT(_xlfn.ISFORMULA(INDEX('Game Records'!$Q:$Q,$H276))),NOT(_xlfn.ISFORMULA(INDEX('Game Records'!$R:$R,$H276))),NOT(_xlfn.ISFORMULA(INDEX('Game Records'!$S:$S,$H276))),NOT(_xlfn.ISFORMULA(INDEX('Game Records'!$T:$T,$H276))),NOT(_xlfn.ISFORMULA(INDEX('Game Records'!$U:$U,$H276))),NOT(_xlfn.ISFORMULA(INDEX('Game Records'!$V:$V,$H276))),NOT(_xlfn.ISFORMULA(INDEX('Game Records'!$W:$W,$H276))),NOT(_xlfn.ISFORMULA(INDEX('Game Records'!$X:$X,$H276))),NOT(_xlfn.ISFORMULA(INDEX('Game Records'!$Y:$Y,$H276))),NOT(_xlfn.ISFORMULA(INDEX('Game Records'!$Z:$Z,$H276)))),"","")&amp;IF(INDEX('Game Records'!$B:$B,$H276)="","Start Date; ","")&amp;IF(INDEX('Game Records'!$C:$C,$H276)="","End Date; ","")&amp;IF(AND(INDEX('Game Records'!$U:$U,$H276)&lt;&gt;"Subscription",INDEX('Game Records'!$U:$U,$H276)&lt;&gt;"Free Game",INDEX('Game Records'!$U:$U,$H276)&lt;&gt;"Disqualified — Free Game",OR(INDEX('Game Records'!$D:$D,$H276)="",LOWER(INDEX('Game Records'!$D:$D,$H276)&amp;"")="n/a")),"Entry Mode; ","")&amp;IF(AND(INDEX('Game Records'!$U:$U,$H276)&lt;&gt;"Subscription",INDEX('Game Records'!$U:$U,$H276)&lt;&gt;"Free Game",INDEX('Game Records'!$U:$U,$H276)&lt;&gt;"Disqualified — Free Game",OR(INDEX('Game Records'!$E:$E,$H276)="",LOWER(INDEX('Game Records'!$E:$E,$H276)&amp;"")="n/a")),"Game Type; ","")&amp;IF(INDEX('Game Records'!$F:$F,$H276)="","Payment Type; ","")&amp;IF(AND(INDEX('Game Records'!$U:$U,$H276)&lt;&gt;"Subscription",INDEX('Game Records'!$U:$U,$H276)&lt;&gt;"Free Game",INDEX('Game Records'!$U:$U,$H276)&lt;&gt;"Disqualified — Free Game",INDEX('Game Records'!$G:$G,$H276)=""),"Gross Pot; ","")&amp;IF(AND(INDEX('Game Records'!$U:$U,$H276)&lt;&gt;"Free Game",INDEX('Game Records'!$U:$U,$H276)&lt;&gt;"Disqualified — Free Game",INDEX('Game Records'!$H:$H,$H276)=""),"Entry Fee; ","")&amp;IF(AND(INDEX('Game Records'!$U:$U,$H276)&lt;&gt;"Subscription",INDEX('Game Records'!$U:$U,$H276)&lt;&gt;"Free Game",INDEX('Game Records'!$U:$U,$H276)&lt;&gt;"Disqualified — Free Game",INDEX('Game Records'!$I:$I,$H276)=""),"Eligible Players; ","")&amp;IF(AND(INDEX('Game Records'!$U:$U,$H276)&lt;&gt;"Subscription",INDEX('Game Records'!$U:$U,$H276)&lt;&gt;"Free Game",INDEX('Game Records'!$U:$U,$H276)&lt;&gt;"Disqualified — Free Game",INDEX('Game Records'!$J:$J,$H276)=""),"Total Players; ","")&amp;IF(AND(LOWER(INDEX('Game Records'!$D:$D,$H276)&amp;"")="finalized",LOWER(INDEX('Game Records'!$L:$L,$H276)&amp;"")&lt;&gt;"yes",INDEX('Game Records'!$U:$U,$H276)&lt;&gt;"Subscription",INDEX('Game Records'!$U:$U,$H276)&lt;&gt;"Free Game",INDEX('Game Records'!$U:$U,$H276)&lt;&gt;"Disqualified — Free Game",INDEX('Game Records'!$K:$K,$H276)=""),"Final Payout; ","")&amp;IF(AND(LOWER(INDEX('Game Records'!$D:$D,$H276)&amp;"")="finalized",INDEX('Game Records'!$U:$U,$H276)&lt;&gt;"Subscription",INDEX('Game Records'!$U:$U,$H276)&lt;&gt;"Free Game",INDEX('Game Records'!$U:$U,$H276)&lt;&gt;"Disqualified — Free Game",OR(INDEX('Game Records'!$L:$L,$H276)="",LOWER(INDEX('Game Records'!$L:$L,$H276)&amp;"")="n/a")),"Disqualified Status; ",""))</f>
        <v/>
      </c>
      <c r="G276" s="25" t="str">
        <f t="array" ref="G276">IF($H276="","",IFERROR(INDEX('Game Records'!$M:$M,$H276),""))</f>
        <v/>
      </c>
      <c r="H276" s="8"/>
    </row>
    <row r="277" ht="24.0" customHeight="1">
      <c r="A277" s="21" t="str">
        <f t="shared" si="1"/>
        <v/>
      </c>
      <c r="B277" s="21" t="str">
        <f t="shared" si="2"/>
        <v/>
      </c>
      <c r="C277" s="25" t="str">
        <f t="array" ref="C277">IF($H277="","",IFERROR(INDEX('Game Records'!$A:$A,$H277),""))</f>
        <v/>
      </c>
      <c r="D277" s="25" t="str">
        <f t="array" ref="D277">IF($H277="","",IFERROR(INDEX('Game Records'!$U:$U,$H277),""))</f>
        <v/>
      </c>
      <c r="E277" s="25" t="str">
        <f t="shared" si="3"/>
        <v/>
      </c>
      <c r="F277" s="25" t="str">
        <f t="array" ref="F277">IF($H277="","",IF(OR(NOT(_xlfn.ISFORMULA(INDEX('Game Records'!$N:$N,$H277))),NOT(_xlfn.ISFORMULA(INDEX('Game Records'!$O:$O,$H277))),NOT(_xlfn.ISFORMULA(INDEX('Game Records'!$P:$P,$H277))),NOT(_xlfn.ISFORMULA(INDEX('Game Records'!$Q:$Q,$H277))),NOT(_xlfn.ISFORMULA(INDEX('Game Records'!$R:$R,$H277))),NOT(_xlfn.ISFORMULA(INDEX('Game Records'!$S:$S,$H277))),NOT(_xlfn.ISFORMULA(INDEX('Game Records'!$T:$T,$H277))),NOT(_xlfn.ISFORMULA(INDEX('Game Records'!$U:$U,$H277))),NOT(_xlfn.ISFORMULA(INDEX('Game Records'!$V:$V,$H277))),NOT(_xlfn.ISFORMULA(INDEX('Game Records'!$W:$W,$H277))),NOT(_xlfn.ISFORMULA(INDEX('Game Records'!$X:$X,$H277))),NOT(_xlfn.ISFORMULA(INDEX('Game Records'!$Y:$Y,$H277))),NOT(_xlfn.ISFORMULA(INDEX('Game Records'!$Z:$Z,$H277)))),"","")&amp;IF(INDEX('Game Records'!$B:$B,$H277)="","Start Date; ","")&amp;IF(INDEX('Game Records'!$C:$C,$H277)="","End Date; ","")&amp;IF(AND(INDEX('Game Records'!$U:$U,$H277)&lt;&gt;"Subscription",INDEX('Game Records'!$U:$U,$H277)&lt;&gt;"Free Game",INDEX('Game Records'!$U:$U,$H277)&lt;&gt;"Disqualified — Free Game",OR(INDEX('Game Records'!$D:$D,$H277)="",LOWER(INDEX('Game Records'!$D:$D,$H277)&amp;"")="n/a")),"Entry Mode; ","")&amp;IF(AND(INDEX('Game Records'!$U:$U,$H277)&lt;&gt;"Subscription",INDEX('Game Records'!$U:$U,$H277)&lt;&gt;"Free Game",INDEX('Game Records'!$U:$U,$H277)&lt;&gt;"Disqualified — Free Game",OR(INDEX('Game Records'!$E:$E,$H277)="",LOWER(INDEX('Game Records'!$E:$E,$H277)&amp;"")="n/a")),"Game Type; ","")&amp;IF(INDEX('Game Records'!$F:$F,$H277)="","Payment Type; ","")&amp;IF(AND(INDEX('Game Records'!$U:$U,$H277)&lt;&gt;"Subscription",INDEX('Game Records'!$U:$U,$H277)&lt;&gt;"Free Game",INDEX('Game Records'!$U:$U,$H277)&lt;&gt;"Disqualified — Free Game",INDEX('Game Records'!$G:$G,$H277)=""),"Gross Pot; ","")&amp;IF(AND(INDEX('Game Records'!$U:$U,$H277)&lt;&gt;"Free Game",INDEX('Game Records'!$U:$U,$H277)&lt;&gt;"Disqualified — Free Game",INDEX('Game Records'!$H:$H,$H277)=""),"Entry Fee; ","")&amp;IF(AND(INDEX('Game Records'!$U:$U,$H277)&lt;&gt;"Subscription",INDEX('Game Records'!$U:$U,$H277)&lt;&gt;"Free Game",INDEX('Game Records'!$U:$U,$H277)&lt;&gt;"Disqualified — Free Game",INDEX('Game Records'!$I:$I,$H277)=""),"Eligible Players; ","")&amp;IF(AND(INDEX('Game Records'!$U:$U,$H277)&lt;&gt;"Subscription",INDEX('Game Records'!$U:$U,$H277)&lt;&gt;"Free Game",INDEX('Game Records'!$U:$U,$H277)&lt;&gt;"Disqualified — Free Game",INDEX('Game Records'!$J:$J,$H277)=""),"Total Players; ","")&amp;IF(AND(LOWER(INDEX('Game Records'!$D:$D,$H277)&amp;"")="finalized",LOWER(INDEX('Game Records'!$L:$L,$H277)&amp;"")&lt;&gt;"yes",INDEX('Game Records'!$U:$U,$H277)&lt;&gt;"Subscription",INDEX('Game Records'!$U:$U,$H277)&lt;&gt;"Free Game",INDEX('Game Records'!$U:$U,$H277)&lt;&gt;"Disqualified — Free Game",INDEX('Game Records'!$K:$K,$H277)=""),"Final Payout; ","")&amp;IF(AND(LOWER(INDEX('Game Records'!$D:$D,$H277)&amp;"")="finalized",INDEX('Game Records'!$U:$U,$H277)&lt;&gt;"Subscription",INDEX('Game Records'!$U:$U,$H277)&lt;&gt;"Free Game",INDEX('Game Records'!$U:$U,$H277)&lt;&gt;"Disqualified — Free Game",OR(INDEX('Game Records'!$L:$L,$H277)="",LOWER(INDEX('Game Records'!$L:$L,$H277)&amp;"")="n/a")),"Disqualified Status; ",""))</f>
        <v/>
      </c>
      <c r="G277" s="25" t="str">
        <f t="array" ref="G277">IF($H277="","",IFERROR(INDEX('Game Records'!$M:$M,$H277),""))</f>
        <v/>
      </c>
      <c r="H277" s="8"/>
    </row>
    <row r="278" ht="24.0" customHeight="1">
      <c r="A278" s="21" t="str">
        <f t="shared" si="1"/>
        <v/>
      </c>
      <c r="B278" s="21" t="str">
        <f t="shared" si="2"/>
        <v/>
      </c>
      <c r="C278" s="25" t="str">
        <f t="array" ref="C278">IF($H278="","",IFERROR(INDEX('Game Records'!$A:$A,$H278),""))</f>
        <v/>
      </c>
      <c r="D278" s="25" t="str">
        <f t="array" ref="D278">IF($H278="","",IFERROR(INDEX('Game Records'!$U:$U,$H278),""))</f>
        <v/>
      </c>
      <c r="E278" s="25" t="str">
        <f t="shared" si="3"/>
        <v/>
      </c>
      <c r="F278" s="25" t="str">
        <f t="array" ref="F278">IF($H278="","",IF(OR(NOT(_xlfn.ISFORMULA(INDEX('Game Records'!$N:$N,$H278))),NOT(_xlfn.ISFORMULA(INDEX('Game Records'!$O:$O,$H278))),NOT(_xlfn.ISFORMULA(INDEX('Game Records'!$P:$P,$H278))),NOT(_xlfn.ISFORMULA(INDEX('Game Records'!$Q:$Q,$H278))),NOT(_xlfn.ISFORMULA(INDEX('Game Records'!$R:$R,$H278))),NOT(_xlfn.ISFORMULA(INDEX('Game Records'!$S:$S,$H278))),NOT(_xlfn.ISFORMULA(INDEX('Game Records'!$T:$T,$H278))),NOT(_xlfn.ISFORMULA(INDEX('Game Records'!$U:$U,$H278))),NOT(_xlfn.ISFORMULA(INDEX('Game Records'!$V:$V,$H278))),NOT(_xlfn.ISFORMULA(INDEX('Game Records'!$W:$W,$H278))),NOT(_xlfn.ISFORMULA(INDEX('Game Records'!$X:$X,$H278))),NOT(_xlfn.ISFORMULA(INDEX('Game Records'!$Y:$Y,$H278))),NOT(_xlfn.ISFORMULA(INDEX('Game Records'!$Z:$Z,$H278)))),"","")&amp;IF(INDEX('Game Records'!$B:$B,$H278)="","Start Date; ","")&amp;IF(INDEX('Game Records'!$C:$C,$H278)="","End Date; ","")&amp;IF(AND(INDEX('Game Records'!$U:$U,$H278)&lt;&gt;"Subscription",INDEX('Game Records'!$U:$U,$H278)&lt;&gt;"Free Game",INDEX('Game Records'!$U:$U,$H278)&lt;&gt;"Disqualified — Free Game",OR(INDEX('Game Records'!$D:$D,$H278)="",LOWER(INDEX('Game Records'!$D:$D,$H278)&amp;"")="n/a")),"Entry Mode; ","")&amp;IF(AND(INDEX('Game Records'!$U:$U,$H278)&lt;&gt;"Subscription",INDEX('Game Records'!$U:$U,$H278)&lt;&gt;"Free Game",INDEX('Game Records'!$U:$U,$H278)&lt;&gt;"Disqualified — Free Game",OR(INDEX('Game Records'!$E:$E,$H278)="",LOWER(INDEX('Game Records'!$E:$E,$H278)&amp;"")="n/a")),"Game Type; ","")&amp;IF(INDEX('Game Records'!$F:$F,$H278)="","Payment Type; ","")&amp;IF(AND(INDEX('Game Records'!$U:$U,$H278)&lt;&gt;"Subscription",INDEX('Game Records'!$U:$U,$H278)&lt;&gt;"Free Game",INDEX('Game Records'!$U:$U,$H278)&lt;&gt;"Disqualified — Free Game",INDEX('Game Records'!$G:$G,$H278)=""),"Gross Pot; ","")&amp;IF(AND(INDEX('Game Records'!$U:$U,$H278)&lt;&gt;"Free Game",INDEX('Game Records'!$U:$U,$H278)&lt;&gt;"Disqualified — Free Game",INDEX('Game Records'!$H:$H,$H278)=""),"Entry Fee; ","")&amp;IF(AND(INDEX('Game Records'!$U:$U,$H278)&lt;&gt;"Subscription",INDEX('Game Records'!$U:$U,$H278)&lt;&gt;"Free Game",INDEX('Game Records'!$U:$U,$H278)&lt;&gt;"Disqualified — Free Game",INDEX('Game Records'!$I:$I,$H278)=""),"Eligible Players; ","")&amp;IF(AND(INDEX('Game Records'!$U:$U,$H278)&lt;&gt;"Subscription",INDEX('Game Records'!$U:$U,$H278)&lt;&gt;"Free Game",INDEX('Game Records'!$U:$U,$H278)&lt;&gt;"Disqualified — Free Game",INDEX('Game Records'!$J:$J,$H278)=""),"Total Players; ","")&amp;IF(AND(LOWER(INDEX('Game Records'!$D:$D,$H278)&amp;"")="finalized",LOWER(INDEX('Game Records'!$L:$L,$H278)&amp;"")&lt;&gt;"yes",INDEX('Game Records'!$U:$U,$H278)&lt;&gt;"Subscription",INDEX('Game Records'!$U:$U,$H278)&lt;&gt;"Free Game",INDEX('Game Records'!$U:$U,$H278)&lt;&gt;"Disqualified — Free Game",INDEX('Game Records'!$K:$K,$H278)=""),"Final Payout; ","")&amp;IF(AND(LOWER(INDEX('Game Records'!$D:$D,$H278)&amp;"")="finalized",INDEX('Game Records'!$U:$U,$H278)&lt;&gt;"Subscription",INDEX('Game Records'!$U:$U,$H278)&lt;&gt;"Free Game",INDEX('Game Records'!$U:$U,$H278)&lt;&gt;"Disqualified — Free Game",OR(INDEX('Game Records'!$L:$L,$H278)="",LOWER(INDEX('Game Records'!$L:$L,$H278)&amp;"")="n/a")),"Disqualified Status; ",""))</f>
        <v/>
      </c>
      <c r="G278" s="25" t="str">
        <f t="array" ref="G278">IF($H278="","",IFERROR(INDEX('Game Records'!$M:$M,$H278),""))</f>
        <v/>
      </c>
      <c r="H278" s="8"/>
    </row>
    <row r="279" ht="24.0" customHeight="1">
      <c r="A279" s="21" t="str">
        <f t="shared" si="1"/>
        <v/>
      </c>
      <c r="B279" s="21" t="str">
        <f t="shared" si="2"/>
        <v/>
      </c>
      <c r="C279" s="25" t="str">
        <f t="array" ref="C279">IF($H279="","",IFERROR(INDEX('Game Records'!$A:$A,$H279),""))</f>
        <v/>
      </c>
      <c r="D279" s="25" t="str">
        <f t="array" ref="D279">IF($H279="","",IFERROR(INDEX('Game Records'!$U:$U,$H279),""))</f>
        <v/>
      </c>
      <c r="E279" s="25" t="str">
        <f t="shared" si="3"/>
        <v/>
      </c>
      <c r="F279" s="25" t="str">
        <f t="array" ref="F279">IF($H279="","",IF(OR(NOT(_xlfn.ISFORMULA(INDEX('Game Records'!$N:$N,$H279))),NOT(_xlfn.ISFORMULA(INDEX('Game Records'!$O:$O,$H279))),NOT(_xlfn.ISFORMULA(INDEX('Game Records'!$P:$P,$H279))),NOT(_xlfn.ISFORMULA(INDEX('Game Records'!$Q:$Q,$H279))),NOT(_xlfn.ISFORMULA(INDEX('Game Records'!$R:$R,$H279))),NOT(_xlfn.ISFORMULA(INDEX('Game Records'!$S:$S,$H279))),NOT(_xlfn.ISFORMULA(INDEX('Game Records'!$T:$T,$H279))),NOT(_xlfn.ISFORMULA(INDEX('Game Records'!$U:$U,$H279))),NOT(_xlfn.ISFORMULA(INDEX('Game Records'!$V:$V,$H279))),NOT(_xlfn.ISFORMULA(INDEX('Game Records'!$W:$W,$H279))),NOT(_xlfn.ISFORMULA(INDEX('Game Records'!$X:$X,$H279))),NOT(_xlfn.ISFORMULA(INDEX('Game Records'!$Y:$Y,$H279))),NOT(_xlfn.ISFORMULA(INDEX('Game Records'!$Z:$Z,$H279)))),"","")&amp;IF(INDEX('Game Records'!$B:$B,$H279)="","Start Date; ","")&amp;IF(INDEX('Game Records'!$C:$C,$H279)="","End Date; ","")&amp;IF(AND(INDEX('Game Records'!$U:$U,$H279)&lt;&gt;"Subscription",INDEX('Game Records'!$U:$U,$H279)&lt;&gt;"Free Game",INDEX('Game Records'!$U:$U,$H279)&lt;&gt;"Disqualified — Free Game",OR(INDEX('Game Records'!$D:$D,$H279)="",LOWER(INDEX('Game Records'!$D:$D,$H279)&amp;"")="n/a")),"Entry Mode; ","")&amp;IF(AND(INDEX('Game Records'!$U:$U,$H279)&lt;&gt;"Subscription",INDEX('Game Records'!$U:$U,$H279)&lt;&gt;"Free Game",INDEX('Game Records'!$U:$U,$H279)&lt;&gt;"Disqualified — Free Game",OR(INDEX('Game Records'!$E:$E,$H279)="",LOWER(INDEX('Game Records'!$E:$E,$H279)&amp;"")="n/a")),"Game Type; ","")&amp;IF(INDEX('Game Records'!$F:$F,$H279)="","Payment Type; ","")&amp;IF(AND(INDEX('Game Records'!$U:$U,$H279)&lt;&gt;"Subscription",INDEX('Game Records'!$U:$U,$H279)&lt;&gt;"Free Game",INDEX('Game Records'!$U:$U,$H279)&lt;&gt;"Disqualified — Free Game",INDEX('Game Records'!$G:$G,$H279)=""),"Gross Pot; ","")&amp;IF(AND(INDEX('Game Records'!$U:$U,$H279)&lt;&gt;"Free Game",INDEX('Game Records'!$U:$U,$H279)&lt;&gt;"Disqualified — Free Game",INDEX('Game Records'!$H:$H,$H279)=""),"Entry Fee; ","")&amp;IF(AND(INDEX('Game Records'!$U:$U,$H279)&lt;&gt;"Subscription",INDEX('Game Records'!$U:$U,$H279)&lt;&gt;"Free Game",INDEX('Game Records'!$U:$U,$H279)&lt;&gt;"Disqualified — Free Game",INDEX('Game Records'!$I:$I,$H279)=""),"Eligible Players; ","")&amp;IF(AND(INDEX('Game Records'!$U:$U,$H279)&lt;&gt;"Subscription",INDEX('Game Records'!$U:$U,$H279)&lt;&gt;"Free Game",INDEX('Game Records'!$U:$U,$H279)&lt;&gt;"Disqualified — Free Game",INDEX('Game Records'!$J:$J,$H279)=""),"Total Players; ","")&amp;IF(AND(LOWER(INDEX('Game Records'!$D:$D,$H279)&amp;"")="finalized",LOWER(INDEX('Game Records'!$L:$L,$H279)&amp;"")&lt;&gt;"yes",INDEX('Game Records'!$U:$U,$H279)&lt;&gt;"Subscription",INDEX('Game Records'!$U:$U,$H279)&lt;&gt;"Free Game",INDEX('Game Records'!$U:$U,$H279)&lt;&gt;"Disqualified — Free Game",INDEX('Game Records'!$K:$K,$H279)=""),"Final Payout; ","")&amp;IF(AND(LOWER(INDEX('Game Records'!$D:$D,$H279)&amp;"")="finalized",INDEX('Game Records'!$U:$U,$H279)&lt;&gt;"Subscription",INDEX('Game Records'!$U:$U,$H279)&lt;&gt;"Free Game",INDEX('Game Records'!$U:$U,$H279)&lt;&gt;"Disqualified — Free Game",OR(INDEX('Game Records'!$L:$L,$H279)="",LOWER(INDEX('Game Records'!$L:$L,$H279)&amp;"")="n/a")),"Disqualified Status; ",""))</f>
        <v/>
      </c>
      <c r="G279" s="25" t="str">
        <f t="array" ref="G279">IF($H279="","",IFERROR(INDEX('Game Records'!$M:$M,$H279),""))</f>
        <v/>
      </c>
      <c r="H279" s="8"/>
    </row>
    <row r="280" ht="24.0" customHeight="1">
      <c r="A280" s="21" t="str">
        <f t="shared" si="1"/>
        <v/>
      </c>
      <c r="B280" s="21" t="str">
        <f t="shared" si="2"/>
        <v/>
      </c>
      <c r="C280" s="25" t="str">
        <f t="array" ref="C280">IF($H280="","",IFERROR(INDEX('Game Records'!$A:$A,$H280),""))</f>
        <v/>
      </c>
      <c r="D280" s="25" t="str">
        <f t="array" ref="D280">IF($H280="","",IFERROR(INDEX('Game Records'!$U:$U,$H280),""))</f>
        <v/>
      </c>
      <c r="E280" s="25" t="str">
        <f t="shared" si="3"/>
        <v/>
      </c>
      <c r="F280" s="25" t="str">
        <f t="array" ref="F280">IF($H280="","",IF(OR(NOT(_xlfn.ISFORMULA(INDEX('Game Records'!$N:$N,$H280))),NOT(_xlfn.ISFORMULA(INDEX('Game Records'!$O:$O,$H280))),NOT(_xlfn.ISFORMULA(INDEX('Game Records'!$P:$P,$H280))),NOT(_xlfn.ISFORMULA(INDEX('Game Records'!$Q:$Q,$H280))),NOT(_xlfn.ISFORMULA(INDEX('Game Records'!$R:$R,$H280))),NOT(_xlfn.ISFORMULA(INDEX('Game Records'!$S:$S,$H280))),NOT(_xlfn.ISFORMULA(INDEX('Game Records'!$T:$T,$H280))),NOT(_xlfn.ISFORMULA(INDEX('Game Records'!$U:$U,$H280))),NOT(_xlfn.ISFORMULA(INDEX('Game Records'!$V:$V,$H280))),NOT(_xlfn.ISFORMULA(INDEX('Game Records'!$W:$W,$H280))),NOT(_xlfn.ISFORMULA(INDEX('Game Records'!$X:$X,$H280))),NOT(_xlfn.ISFORMULA(INDEX('Game Records'!$Y:$Y,$H280))),NOT(_xlfn.ISFORMULA(INDEX('Game Records'!$Z:$Z,$H280)))),"","")&amp;IF(INDEX('Game Records'!$B:$B,$H280)="","Start Date; ","")&amp;IF(INDEX('Game Records'!$C:$C,$H280)="","End Date; ","")&amp;IF(AND(INDEX('Game Records'!$U:$U,$H280)&lt;&gt;"Subscription",INDEX('Game Records'!$U:$U,$H280)&lt;&gt;"Free Game",INDEX('Game Records'!$U:$U,$H280)&lt;&gt;"Disqualified — Free Game",OR(INDEX('Game Records'!$D:$D,$H280)="",LOWER(INDEX('Game Records'!$D:$D,$H280)&amp;"")="n/a")),"Entry Mode; ","")&amp;IF(AND(INDEX('Game Records'!$U:$U,$H280)&lt;&gt;"Subscription",INDEX('Game Records'!$U:$U,$H280)&lt;&gt;"Free Game",INDEX('Game Records'!$U:$U,$H280)&lt;&gt;"Disqualified — Free Game",OR(INDEX('Game Records'!$E:$E,$H280)="",LOWER(INDEX('Game Records'!$E:$E,$H280)&amp;"")="n/a")),"Game Type; ","")&amp;IF(INDEX('Game Records'!$F:$F,$H280)="","Payment Type; ","")&amp;IF(AND(INDEX('Game Records'!$U:$U,$H280)&lt;&gt;"Subscription",INDEX('Game Records'!$U:$U,$H280)&lt;&gt;"Free Game",INDEX('Game Records'!$U:$U,$H280)&lt;&gt;"Disqualified — Free Game",INDEX('Game Records'!$G:$G,$H280)=""),"Gross Pot; ","")&amp;IF(AND(INDEX('Game Records'!$U:$U,$H280)&lt;&gt;"Free Game",INDEX('Game Records'!$U:$U,$H280)&lt;&gt;"Disqualified — Free Game",INDEX('Game Records'!$H:$H,$H280)=""),"Entry Fee; ","")&amp;IF(AND(INDEX('Game Records'!$U:$U,$H280)&lt;&gt;"Subscription",INDEX('Game Records'!$U:$U,$H280)&lt;&gt;"Free Game",INDEX('Game Records'!$U:$U,$H280)&lt;&gt;"Disqualified — Free Game",INDEX('Game Records'!$I:$I,$H280)=""),"Eligible Players; ","")&amp;IF(AND(INDEX('Game Records'!$U:$U,$H280)&lt;&gt;"Subscription",INDEX('Game Records'!$U:$U,$H280)&lt;&gt;"Free Game",INDEX('Game Records'!$U:$U,$H280)&lt;&gt;"Disqualified — Free Game",INDEX('Game Records'!$J:$J,$H280)=""),"Total Players; ","")&amp;IF(AND(LOWER(INDEX('Game Records'!$D:$D,$H280)&amp;"")="finalized",LOWER(INDEX('Game Records'!$L:$L,$H280)&amp;"")&lt;&gt;"yes",INDEX('Game Records'!$U:$U,$H280)&lt;&gt;"Subscription",INDEX('Game Records'!$U:$U,$H280)&lt;&gt;"Free Game",INDEX('Game Records'!$U:$U,$H280)&lt;&gt;"Disqualified — Free Game",INDEX('Game Records'!$K:$K,$H280)=""),"Final Payout; ","")&amp;IF(AND(LOWER(INDEX('Game Records'!$D:$D,$H280)&amp;"")="finalized",INDEX('Game Records'!$U:$U,$H280)&lt;&gt;"Subscription",INDEX('Game Records'!$U:$U,$H280)&lt;&gt;"Free Game",INDEX('Game Records'!$U:$U,$H280)&lt;&gt;"Disqualified — Free Game",OR(INDEX('Game Records'!$L:$L,$H280)="",LOWER(INDEX('Game Records'!$L:$L,$H280)&amp;"")="n/a")),"Disqualified Status; ",""))</f>
        <v/>
      </c>
      <c r="G280" s="25" t="str">
        <f t="array" ref="G280">IF($H280="","",IFERROR(INDEX('Game Records'!$M:$M,$H280),""))</f>
        <v/>
      </c>
      <c r="H280" s="8"/>
    </row>
    <row r="281" ht="24.0" customHeight="1">
      <c r="A281" s="21" t="str">
        <f t="shared" si="1"/>
        <v/>
      </c>
      <c r="B281" s="21" t="str">
        <f t="shared" si="2"/>
        <v/>
      </c>
      <c r="C281" s="25" t="str">
        <f t="array" ref="C281">IF($H281="","",IFERROR(INDEX('Game Records'!$A:$A,$H281),""))</f>
        <v/>
      </c>
      <c r="D281" s="25" t="str">
        <f t="array" ref="D281">IF($H281="","",IFERROR(INDEX('Game Records'!$U:$U,$H281),""))</f>
        <v/>
      </c>
      <c r="E281" s="25" t="str">
        <f t="shared" si="3"/>
        <v/>
      </c>
      <c r="F281" s="25" t="str">
        <f t="array" ref="F281">IF($H281="","",IF(OR(NOT(_xlfn.ISFORMULA(INDEX('Game Records'!$N:$N,$H281))),NOT(_xlfn.ISFORMULA(INDEX('Game Records'!$O:$O,$H281))),NOT(_xlfn.ISFORMULA(INDEX('Game Records'!$P:$P,$H281))),NOT(_xlfn.ISFORMULA(INDEX('Game Records'!$Q:$Q,$H281))),NOT(_xlfn.ISFORMULA(INDEX('Game Records'!$R:$R,$H281))),NOT(_xlfn.ISFORMULA(INDEX('Game Records'!$S:$S,$H281))),NOT(_xlfn.ISFORMULA(INDEX('Game Records'!$T:$T,$H281))),NOT(_xlfn.ISFORMULA(INDEX('Game Records'!$U:$U,$H281))),NOT(_xlfn.ISFORMULA(INDEX('Game Records'!$V:$V,$H281))),NOT(_xlfn.ISFORMULA(INDEX('Game Records'!$W:$W,$H281))),NOT(_xlfn.ISFORMULA(INDEX('Game Records'!$X:$X,$H281))),NOT(_xlfn.ISFORMULA(INDEX('Game Records'!$Y:$Y,$H281))),NOT(_xlfn.ISFORMULA(INDEX('Game Records'!$Z:$Z,$H281)))),"","")&amp;IF(INDEX('Game Records'!$B:$B,$H281)="","Start Date; ","")&amp;IF(INDEX('Game Records'!$C:$C,$H281)="","End Date; ","")&amp;IF(AND(INDEX('Game Records'!$U:$U,$H281)&lt;&gt;"Subscription",INDEX('Game Records'!$U:$U,$H281)&lt;&gt;"Free Game",INDEX('Game Records'!$U:$U,$H281)&lt;&gt;"Disqualified — Free Game",OR(INDEX('Game Records'!$D:$D,$H281)="",LOWER(INDEX('Game Records'!$D:$D,$H281)&amp;"")="n/a")),"Entry Mode; ","")&amp;IF(AND(INDEX('Game Records'!$U:$U,$H281)&lt;&gt;"Subscription",INDEX('Game Records'!$U:$U,$H281)&lt;&gt;"Free Game",INDEX('Game Records'!$U:$U,$H281)&lt;&gt;"Disqualified — Free Game",OR(INDEX('Game Records'!$E:$E,$H281)="",LOWER(INDEX('Game Records'!$E:$E,$H281)&amp;"")="n/a")),"Game Type; ","")&amp;IF(INDEX('Game Records'!$F:$F,$H281)="","Payment Type; ","")&amp;IF(AND(INDEX('Game Records'!$U:$U,$H281)&lt;&gt;"Subscription",INDEX('Game Records'!$U:$U,$H281)&lt;&gt;"Free Game",INDEX('Game Records'!$U:$U,$H281)&lt;&gt;"Disqualified — Free Game",INDEX('Game Records'!$G:$G,$H281)=""),"Gross Pot; ","")&amp;IF(AND(INDEX('Game Records'!$U:$U,$H281)&lt;&gt;"Free Game",INDEX('Game Records'!$U:$U,$H281)&lt;&gt;"Disqualified — Free Game",INDEX('Game Records'!$H:$H,$H281)=""),"Entry Fee; ","")&amp;IF(AND(INDEX('Game Records'!$U:$U,$H281)&lt;&gt;"Subscription",INDEX('Game Records'!$U:$U,$H281)&lt;&gt;"Free Game",INDEX('Game Records'!$U:$U,$H281)&lt;&gt;"Disqualified — Free Game",INDEX('Game Records'!$I:$I,$H281)=""),"Eligible Players; ","")&amp;IF(AND(INDEX('Game Records'!$U:$U,$H281)&lt;&gt;"Subscription",INDEX('Game Records'!$U:$U,$H281)&lt;&gt;"Free Game",INDEX('Game Records'!$U:$U,$H281)&lt;&gt;"Disqualified — Free Game",INDEX('Game Records'!$J:$J,$H281)=""),"Total Players; ","")&amp;IF(AND(LOWER(INDEX('Game Records'!$D:$D,$H281)&amp;"")="finalized",LOWER(INDEX('Game Records'!$L:$L,$H281)&amp;"")&lt;&gt;"yes",INDEX('Game Records'!$U:$U,$H281)&lt;&gt;"Subscription",INDEX('Game Records'!$U:$U,$H281)&lt;&gt;"Free Game",INDEX('Game Records'!$U:$U,$H281)&lt;&gt;"Disqualified — Free Game",INDEX('Game Records'!$K:$K,$H281)=""),"Final Payout; ","")&amp;IF(AND(LOWER(INDEX('Game Records'!$D:$D,$H281)&amp;"")="finalized",INDEX('Game Records'!$U:$U,$H281)&lt;&gt;"Subscription",INDEX('Game Records'!$U:$U,$H281)&lt;&gt;"Free Game",INDEX('Game Records'!$U:$U,$H281)&lt;&gt;"Disqualified — Free Game",OR(INDEX('Game Records'!$L:$L,$H281)="",LOWER(INDEX('Game Records'!$L:$L,$H281)&amp;"")="n/a")),"Disqualified Status; ",""))</f>
        <v/>
      </c>
      <c r="G281" s="25" t="str">
        <f t="array" ref="G281">IF($H281="","",IFERROR(INDEX('Game Records'!$M:$M,$H281),""))</f>
        <v/>
      </c>
      <c r="H281" s="8"/>
    </row>
    <row r="282" ht="24.0" customHeight="1">
      <c r="A282" s="21" t="str">
        <f t="shared" si="1"/>
        <v/>
      </c>
      <c r="B282" s="21" t="str">
        <f t="shared" si="2"/>
        <v/>
      </c>
      <c r="C282" s="25" t="str">
        <f t="array" ref="C282">IF($H282="","",IFERROR(INDEX('Game Records'!$A:$A,$H282),""))</f>
        <v/>
      </c>
      <c r="D282" s="25" t="str">
        <f t="array" ref="D282">IF($H282="","",IFERROR(INDEX('Game Records'!$U:$U,$H282),""))</f>
        <v/>
      </c>
      <c r="E282" s="25" t="str">
        <f t="shared" si="3"/>
        <v/>
      </c>
      <c r="F282" s="25" t="str">
        <f t="array" ref="F282">IF($H282="","",IF(OR(NOT(_xlfn.ISFORMULA(INDEX('Game Records'!$N:$N,$H282))),NOT(_xlfn.ISFORMULA(INDEX('Game Records'!$O:$O,$H282))),NOT(_xlfn.ISFORMULA(INDEX('Game Records'!$P:$P,$H282))),NOT(_xlfn.ISFORMULA(INDEX('Game Records'!$Q:$Q,$H282))),NOT(_xlfn.ISFORMULA(INDEX('Game Records'!$R:$R,$H282))),NOT(_xlfn.ISFORMULA(INDEX('Game Records'!$S:$S,$H282))),NOT(_xlfn.ISFORMULA(INDEX('Game Records'!$T:$T,$H282))),NOT(_xlfn.ISFORMULA(INDEX('Game Records'!$U:$U,$H282))),NOT(_xlfn.ISFORMULA(INDEX('Game Records'!$V:$V,$H282))),NOT(_xlfn.ISFORMULA(INDEX('Game Records'!$W:$W,$H282))),NOT(_xlfn.ISFORMULA(INDEX('Game Records'!$X:$X,$H282))),NOT(_xlfn.ISFORMULA(INDEX('Game Records'!$Y:$Y,$H282))),NOT(_xlfn.ISFORMULA(INDEX('Game Records'!$Z:$Z,$H282)))),"","")&amp;IF(INDEX('Game Records'!$B:$B,$H282)="","Start Date; ","")&amp;IF(INDEX('Game Records'!$C:$C,$H282)="","End Date; ","")&amp;IF(AND(INDEX('Game Records'!$U:$U,$H282)&lt;&gt;"Subscription",INDEX('Game Records'!$U:$U,$H282)&lt;&gt;"Free Game",INDEX('Game Records'!$U:$U,$H282)&lt;&gt;"Disqualified — Free Game",OR(INDEX('Game Records'!$D:$D,$H282)="",LOWER(INDEX('Game Records'!$D:$D,$H282)&amp;"")="n/a")),"Entry Mode; ","")&amp;IF(AND(INDEX('Game Records'!$U:$U,$H282)&lt;&gt;"Subscription",INDEX('Game Records'!$U:$U,$H282)&lt;&gt;"Free Game",INDEX('Game Records'!$U:$U,$H282)&lt;&gt;"Disqualified — Free Game",OR(INDEX('Game Records'!$E:$E,$H282)="",LOWER(INDEX('Game Records'!$E:$E,$H282)&amp;"")="n/a")),"Game Type; ","")&amp;IF(INDEX('Game Records'!$F:$F,$H282)="","Payment Type; ","")&amp;IF(AND(INDEX('Game Records'!$U:$U,$H282)&lt;&gt;"Subscription",INDEX('Game Records'!$U:$U,$H282)&lt;&gt;"Free Game",INDEX('Game Records'!$U:$U,$H282)&lt;&gt;"Disqualified — Free Game",INDEX('Game Records'!$G:$G,$H282)=""),"Gross Pot; ","")&amp;IF(AND(INDEX('Game Records'!$U:$U,$H282)&lt;&gt;"Free Game",INDEX('Game Records'!$U:$U,$H282)&lt;&gt;"Disqualified — Free Game",INDEX('Game Records'!$H:$H,$H282)=""),"Entry Fee; ","")&amp;IF(AND(INDEX('Game Records'!$U:$U,$H282)&lt;&gt;"Subscription",INDEX('Game Records'!$U:$U,$H282)&lt;&gt;"Free Game",INDEX('Game Records'!$U:$U,$H282)&lt;&gt;"Disqualified — Free Game",INDEX('Game Records'!$I:$I,$H282)=""),"Eligible Players; ","")&amp;IF(AND(INDEX('Game Records'!$U:$U,$H282)&lt;&gt;"Subscription",INDEX('Game Records'!$U:$U,$H282)&lt;&gt;"Free Game",INDEX('Game Records'!$U:$U,$H282)&lt;&gt;"Disqualified — Free Game",INDEX('Game Records'!$J:$J,$H282)=""),"Total Players; ","")&amp;IF(AND(LOWER(INDEX('Game Records'!$D:$D,$H282)&amp;"")="finalized",LOWER(INDEX('Game Records'!$L:$L,$H282)&amp;"")&lt;&gt;"yes",INDEX('Game Records'!$U:$U,$H282)&lt;&gt;"Subscription",INDEX('Game Records'!$U:$U,$H282)&lt;&gt;"Free Game",INDEX('Game Records'!$U:$U,$H282)&lt;&gt;"Disqualified — Free Game",INDEX('Game Records'!$K:$K,$H282)=""),"Final Payout; ","")&amp;IF(AND(LOWER(INDEX('Game Records'!$D:$D,$H282)&amp;"")="finalized",INDEX('Game Records'!$U:$U,$H282)&lt;&gt;"Subscription",INDEX('Game Records'!$U:$U,$H282)&lt;&gt;"Free Game",INDEX('Game Records'!$U:$U,$H282)&lt;&gt;"Disqualified — Free Game",OR(INDEX('Game Records'!$L:$L,$H282)="",LOWER(INDEX('Game Records'!$L:$L,$H282)&amp;"")="n/a")),"Disqualified Status; ",""))</f>
        <v/>
      </c>
      <c r="G282" s="25" t="str">
        <f t="array" ref="G282">IF($H282="","",IFERROR(INDEX('Game Records'!$M:$M,$H282),""))</f>
        <v/>
      </c>
      <c r="H282" s="8"/>
    </row>
    <row r="283" ht="24.0" customHeight="1">
      <c r="A283" s="21" t="str">
        <f t="shared" si="1"/>
        <v/>
      </c>
      <c r="B283" s="21" t="str">
        <f t="shared" si="2"/>
        <v/>
      </c>
      <c r="C283" s="25" t="str">
        <f t="array" ref="C283">IF($H283="","",IFERROR(INDEX('Game Records'!$A:$A,$H283),""))</f>
        <v/>
      </c>
      <c r="D283" s="25" t="str">
        <f t="array" ref="D283">IF($H283="","",IFERROR(INDEX('Game Records'!$U:$U,$H283),""))</f>
        <v/>
      </c>
      <c r="E283" s="25" t="str">
        <f t="shared" si="3"/>
        <v/>
      </c>
      <c r="F283" s="25" t="str">
        <f t="array" ref="F283">IF($H283="","",IF(OR(NOT(_xlfn.ISFORMULA(INDEX('Game Records'!$N:$N,$H283))),NOT(_xlfn.ISFORMULA(INDEX('Game Records'!$O:$O,$H283))),NOT(_xlfn.ISFORMULA(INDEX('Game Records'!$P:$P,$H283))),NOT(_xlfn.ISFORMULA(INDEX('Game Records'!$Q:$Q,$H283))),NOT(_xlfn.ISFORMULA(INDEX('Game Records'!$R:$R,$H283))),NOT(_xlfn.ISFORMULA(INDEX('Game Records'!$S:$S,$H283))),NOT(_xlfn.ISFORMULA(INDEX('Game Records'!$T:$T,$H283))),NOT(_xlfn.ISFORMULA(INDEX('Game Records'!$U:$U,$H283))),NOT(_xlfn.ISFORMULA(INDEX('Game Records'!$V:$V,$H283))),NOT(_xlfn.ISFORMULA(INDEX('Game Records'!$W:$W,$H283))),NOT(_xlfn.ISFORMULA(INDEX('Game Records'!$X:$X,$H283))),NOT(_xlfn.ISFORMULA(INDEX('Game Records'!$Y:$Y,$H283))),NOT(_xlfn.ISFORMULA(INDEX('Game Records'!$Z:$Z,$H283)))),"","")&amp;IF(INDEX('Game Records'!$B:$B,$H283)="","Start Date; ","")&amp;IF(INDEX('Game Records'!$C:$C,$H283)="","End Date; ","")&amp;IF(AND(INDEX('Game Records'!$U:$U,$H283)&lt;&gt;"Subscription",INDEX('Game Records'!$U:$U,$H283)&lt;&gt;"Free Game",INDEX('Game Records'!$U:$U,$H283)&lt;&gt;"Disqualified — Free Game",OR(INDEX('Game Records'!$D:$D,$H283)="",LOWER(INDEX('Game Records'!$D:$D,$H283)&amp;"")="n/a")),"Entry Mode; ","")&amp;IF(AND(INDEX('Game Records'!$U:$U,$H283)&lt;&gt;"Subscription",INDEX('Game Records'!$U:$U,$H283)&lt;&gt;"Free Game",INDEX('Game Records'!$U:$U,$H283)&lt;&gt;"Disqualified — Free Game",OR(INDEX('Game Records'!$E:$E,$H283)="",LOWER(INDEX('Game Records'!$E:$E,$H283)&amp;"")="n/a")),"Game Type; ","")&amp;IF(INDEX('Game Records'!$F:$F,$H283)="","Payment Type; ","")&amp;IF(AND(INDEX('Game Records'!$U:$U,$H283)&lt;&gt;"Subscription",INDEX('Game Records'!$U:$U,$H283)&lt;&gt;"Free Game",INDEX('Game Records'!$U:$U,$H283)&lt;&gt;"Disqualified — Free Game",INDEX('Game Records'!$G:$G,$H283)=""),"Gross Pot; ","")&amp;IF(AND(INDEX('Game Records'!$U:$U,$H283)&lt;&gt;"Free Game",INDEX('Game Records'!$U:$U,$H283)&lt;&gt;"Disqualified — Free Game",INDEX('Game Records'!$H:$H,$H283)=""),"Entry Fee; ","")&amp;IF(AND(INDEX('Game Records'!$U:$U,$H283)&lt;&gt;"Subscription",INDEX('Game Records'!$U:$U,$H283)&lt;&gt;"Free Game",INDEX('Game Records'!$U:$U,$H283)&lt;&gt;"Disqualified — Free Game",INDEX('Game Records'!$I:$I,$H283)=""),"Eligible Players; ","")&amp;IF(AND(INDEX('Game Records'!$U:$U,$H283)&lt;&gt;"Subscription",INDEX('Game Records'!$U:$U,$H283)&lt;&gt;"Free Game",INDEX('Game Records'!$U:$U,$H283)&lt;&gt;"Disqualified — Free Game",INDEX('Game Records'!$J:$J,$H283)=""),"Total Players; ","")&amp;IF(AND(LOWER(INDEX('Game Records'!$D:$D,$H283)&amp;"")="finalized",LOWER(INDEX('Game Records'!$L:$L,$H283)&amp;"")&lt;&gt;"yes",INDEX('Game Records'!$U:$U,$H283)&lt;&gt;"Subscription",INDEX('Game Records'!$U:$U,$H283)&lt;&gt;"Free Game",INDEX('Game Records'!$U:$U,$H283)&lt;&gt;"Disqualified — Free Game",INDEX('Game Records'!$K:$K,$H283)=""),"Final Payout; ","")&amp;IF(AND(LOWER(INDEX('Game Records'!$D:$D,$H283)&amp;"")="finalized",INDEX('Game Records'!$U:$U,$H283)&lt;&gt;"Subscription",INDEX('Game Records'!$U:$U,$H283)&lt;&gt;"Free Game",INDEX('Game Records'!$U:$U,$H283)&lt;&gt;"Disqualified — Free Game",OR(INDEX('Game Records'!$L:$L,$H283)="",LOWER(INDEX('Game Records'!$L:$L,$H283)&amp;"")="n/a")),"Disqualified Status; ",""))</f>
        <v/>
      </c>
      <c r="G283" s="25" t="str">
        <f t="array" ref="G283">IF($H283="","",IFERROR(INDEX('Game Records'!$M:$M,$H283),""))</f>
        <v/>
      </c>
      <c r="H283" s="8"/>
    </row>
    <row r="284" ht="24.0" customHeight="1">
      <c r="A284" s="21" t="str">
        <f t="shared" si="1"/>
        <v/>
      </c>
      <c r="B284" s="21" t="str">
        <f t="shared" si="2"/>
        <v/>
      </c>
      <c r="C284" s="25" t="str">
        <f t="array" ref="C284">IF($H284="","",IFERROR(INDEX('Game Records'!$A:$A,$H284),""))</f>
        <v/>
      </c>
      <c r="D284" s="25" t="str">
        <f t="array" ref="D284">IF($H284="","",IFERROR(INDEX('Game Records'!$U:$U,$H284),""))</f>
        <v/>
      </c>
      <c r="E284" s="25" t="str">
        <f t="shared" si="3"/>
        <v/>
      </c>
      <c r="F284" s="25" t="str">
        <f t="array" ref="F284">IF($H284="","",IF(OR(NOT(_xlfn.ISFORMULA(INDEX('Game Records'!$N:$N,$H284))),NOT(_xlfn.ISFORMULA(INDEX('Game Records'!$O:$O,$H284))),NOT(_xlfn.ISFORMULA(INDEX('Game Records'!$P:$P,$H284))),NOT(_xlfn.ISFORMULA(INDEX('Game Records'!$Q:$Q,$H284))),NOT(_xlfn.ISFORMULA(INDEX('Game Records'!$R:$R,$H284))),NOT(_xlfn.ISFORMULA(INDEX('Game Records'!$S:$S,$H284))),NOT(_xlfn.ISFORMULA(INDEX('Game Records'!$T:$T,$H284))),NOT(_xlfn.ISFORMULA(INDEX('Game Records'!$U:$U,$H284))),NOT(_xlfn.ISFORMULA(INDEX('Game Records'!$V:$V,$H284))),NOT(_xlfn.ISFORMULA(INDEX('Game Records'!$W:$W,$H284))),NOT(_xlfn.ISFORMULA(INDEX('Game Records'!$X:$X,$H284))),NOT(_xlfn.ISFORMULA(INDEX('Game Records'!$Y:$Y,$H284))),NOT(_xlfn.ISFORMULA(INDEX('Game Records'!$Z:$Z,$H284)))),"","")&amp;IF(INDEX('Game Records'!$B:$B,$H284)="","Start Date; ","")&amp;IF(INDEX('Game Records'!$C:$C,$H284)="","End Date; ","")&amp;IF(AND(INDEX('Game Records'!$U:$U,$H284)&lt;&gt;"Subscription",INDEX('Game Records'!$U:$U,$H284)&lt;&gt;"Free Game",INDEX('Game Records'!$U:$U,$H284)&lt;&gt;"Disqualified — Free Game",OR(INDEX('Game Records'!$D:$D,$H284)="",LOWER(INDEX('Game Records'!$D:$D,$H284)&amp;"")="n/a")),"Entry Mode; ","")&amp;IF(AND(INDEX('Game Records'!$U:$U,$H284)&lt;&gt;"Subscription",INDEX('Game Records'!$U:$U,$H284)&lt;&gt;"Free Game",INDEX('Game Records'!$U:$U,$H284)&lt;&gt;"Disqualified — Free Game",OR(INDEX('Game Records'!$E:$E,$H284)="",LOWER(INDEX('Game Records'!$E:$E,$H284)&amp;"")="n/a")),"Game Type; ","")&amp;IF(INDEX('Game Records'!$F:$F,$H284)="","Payment Type; ","")&amp;IF(AND(INDEX('Game Records'!$U:$U,$H284)&lt;&gt;"Subscription",INDEX('Game Records'!$U:$U,$H284)&lt;&gt;"Free Game",INDEX('Game Records'!$U:$U,$H284)&lt;&gt;"Disqualified — Free Game",INDEX('Game Records'!$G:$G,$H284)=""),"Gross Pot; ","")&amp;IF(AND(INDEX('Game Records'!$U:$U,$H284)&lt;&gt;"Free Game",INDEX('Game Records'!$U:$U,$H284)&lt;&gt;"Disqualified — Free Game",INDEX('Game Records'!$H:$H,$H284)=""),"Entry Fee; ","")&amp;IF(AND(INDEX('Game Records'!$U:$U,$H284)&lt;&gt;"Subscription",INDEX('Game Records'!$U:$U,$H284)&lt;&gt;"Free Game",INDEX('Game Records'!$U:$U,$H284)&lt;&gt;"Disqualified — Free Game",INDEX('Game Records'!$I:$I,$H284)=""),"Eligible Players; ","")&amp;IF(AND(INDEX('Game Records'!$U:$U,$H284)&lt;&gt;"Subscription",INDEX('Game Records'!$U:$U,$H284)&lt;&gt;"Free Game",INDEX('Game Records'!$U:$U,$H284)&lt;&gt;"Disqualified — Free Game",INDEX('Game Records'!$J:$J,$H284)=""),"Total Players; ","")&amp;IF(AND(LOWER(INDEX('Game Records'!$D:$D,$H284)&amp;"")="finalized",LOWER(INDEX('Game Records'!$L:$L,$H284)&amp;"")&lt;&gt;"yes",INDEX('Game Records'!$U:$U,$H284)&lt;&gt;"Subscription",INDEX('Game Records'!$U:$U,$H284)&lt;&gt;"Free Game",INDEX('Game Records'!$U:$U,$H284)&lt;&gt;"Disqualified — Free Game",INDEX('Game Records'!$K:$K,$H284)=""),"Final Payout; ","")&amp;IF(AND(LOWER(INDEX('Game Records'!$D:$D,$H284)&amp;"")="finalized",INDEX('Game Records'!$U:$U,$H284)&lt;&gt;"Subscription",INDEX('Game Records'!$U:$U,$H284)&lt;&gt;"Free Game",INDEX('Game Records'!$U:$U,$H284)&lt;&gt;"Disqualified — Free Game",OR(INDEX('Game Records'!$L:$L,$H284)="",LOWER(INDEX('Game Records'!$L:$L,$H284)&amp;"")="n/a")),"Disqualified Status; ",""))</f>
        <v/>
      </c>
      <c r="G284" s="25" t="str">
        <f t="array" ref="G284">IF($H284="","",IFERROR(INDEX('Game Records'!$M:$M,$H284),""))</f>
        <v/>
      </c>
      <c r="H284" s="8"/>
    </row>
    <row r="285" ht="24.0" customHeight="1">
      <c r="A285" s="21" t="str">
        <f t="shared" si="1"/>
        <v/>
      </c>
      <c r="B285" s="21" t="str">
        <f t="shared" si="2"/>
        <v/>
      </c>
      <c r="C285" s="25" t="str">
        <f t="array" ref="C285">IF($H285="","",IFERROR(INDEX('Game Records'!$A:$A,$H285),""))</f>
        <v/>
      </c>
      <c r="D285" s="25" t="str">
        <f t="array" ref="D285">IF($H285="","",IFERROR(INDEX('Game Records'!$U:$U,$H285),""))</f>
        <v/>
      </c>
      <c r="E285" s="25" t="str">
        <f t="shared" si="3"/>
        <v/>
      </c>
      <c r="F285" s="25" t="str">
        <f t="array" ref="F285">IF($H285="","",IF(OR(NOT(_xlfn.ISFORMULA(INDEX('Game Records'!$N:$N,$H285))),NOT(_xlfn.ISFORMULA(INDEX('Game Records'!$O:$O,$H285))),NOT(_xlfn.ISFORMULA(INDEX('Game Records'!$P:$P,$H285))),NOT(_xlfn.ISFORMULA(INDEX('Game Records'!$Q:$Q,$H285))),NOT(_xlfn.ISFORMULA(INDEX('Game Records'!$R:$R,$H285))),NOT(_xlfn.ISFORMULA(INDEX('Game Records'!$S:$S,$H285))),NOT(_xlfn.ISFORMULA(INDEX('Game Records'!$T:$T,$H285))),NOT(_xlfn.ISFORMULA(INDEX('Game Records'!$U:$U,$H285))),NOT(_xlfn.ISFORMULA(INDEX('Game Records'!$V:$V,$H285))),NOT(_xlfn.ISFORMULA(INDEX('Game Records'!$W:$W,$H285))),NOT(_xlfn.ISFORMULA(INDEX('Game Records'!$X:$X,$H285))),NOT(_xlfn.ISFORMULA(INDEX('Game Records'!$Y:$Y,$H285))),NOT(_xlfn.ISFORMULA(INDEX('Game Records'!$Z:$Z,$H285)))),"","")&amp;IF(INDEX('Game Records'!$B:$B,$H285)="","Start Date; ","")&amp;IF(INDEX('Game Records'!$C:$C,$H285)="","End Date; ","")&amp;IF(AND(INDEX('Game Records'!$U:$U,$H285)&lt;&gt;"Subscription",INDEX('Game Records'!$U:$U,$H285)&lt;&gt;"Free Game",INDEX('Game Records'!$U:$U,$H285)&lt;&gt;"Disqualified — Free Game",OR(INDEX('Game Records'!$D:$D,$H285)="",LOWER(INDEX('Game Records'!$D:$D,$H285)&amp;"")="n/a")),"Entry Mode; ","")&amp;IF(AND(INDEX('Game Records'!$U:$U,$H285)&lt;&gt;"Subscription",INDEX('Game Records'!$U:$U,$H285)&lt;&gt;"Free Game",INDEX('Game Records'!$U:$U,$H285)&lt;&gt;"Disqualified — Free Game",OR(INDEX('Game Records'!$E:$E,$H285)="",LOWER(INDEX('Game Records'!$E:$E,$H285)&amp;"")="n/a")),"Game Type; ","")&amp;IF(INDEX('Game Records'!$F:$F,$H285)="","Payment Type; ","")&amp;IF(AND(INDEX('Game Records'!$U:$U,$H285)&lt;&gt;"Subscription",INDEX('Game Records'!$U:$U,$H285)&lt;&gt;"Free Game",INDEX('Game Records'!$U:$U,$H285)&lt;&gt;"Disqualified — Free Game",INDEX('Game Records'!$G:$G,$H285)=""),"Gross Pot; ","")&amp;IF(AND(INDEX('Game Records'!$U:$U,$H285)&lt;&gt;"Free Game",INDEX('Game Records'!$U:$U,$H285)&lt;&gt;"Disqualified — Free Game",INDEX('Game Records'!$H:$H,$H285)=""),"Entry Fee; ","")&amp;IF(AND(INDEX('Game Records'!$U:$U,$H285)&lt;&gt;"Subscription",INDEX('Game Records'!$U:$U,$H285)&lt;&gt;"Free Game",INDEX('Game Records'!$U:$U,$H285)&lt;&gt;"Disqualified — Free Game",INDEX('Game Records'!$I:$I,$H285)=""),"Eligible Players; ","")&amp;IF(AND(INDEX('Game Records'!$U:$U,$H285)&lt;&gt;"Subscription",INDEX('Game Records'!$U:$U,$H285)&lt;&gt;"Free Game",INDEX('Game Records'!$U:$U,$H285)&lt;&gt;"Disqualified — Free Game",INDEX('Game Records'!$J:$J,$H285)=""),"Total Players; ","")&amp;IF(AND(LOWER(INDEX('Game Records'!$D:$D,$H285)&amp;"")="finalized",LOWER(INDEX('Game Records'!$L:$L,$H285)&amp;"")&lt;&gt;"yes",INDEX('Game Records'!$U:$U,$H285)&lt;&gt;"Subscription",INDEX('Game Records'!$U:$U,$H285)&lt;&gt;"Free Game",INDEX('Game Records'!$U:$U,$H285)&lt;&gt;"Disqualified — Free Game",INDEX('Game Records'!$K:$K,$H285)=""),"Final Payout; ","")&amp;IF(AND(LOWER(INDEX('Game Records'!$D:$D,$H285)&amp;"")="finalized",INDEX('Game Records'!$U:$U,$H285)&lt;&gt;"Subscription",INDEX('Game Records'!$U:$U,$H285)&lt;&gt;"Free Game",INDEX('Game Records'!$U:$U,$H285)&lt;&gt;"Disqualified — Free Game",OR(INDEX('Game Records'!$L:$L,$H285)="",LOWER(INDEX('Game Records'!$L:$L,$H285)&amp;"")="n/a")),"Disqualified Status; ",""))</f>
        <v/>
      </c>
      <c r="G285" s="25" t="str">
        <f t="array" ref="G285">IF($H285="","",IFERROR(INDEX('Game Records'!$M:$M,$H285),""))</f>
        <v/>
      </c>
      <c r="H285" s="8"/>
    </row>
    <row r="286" ht="24.0" customHeight="1">
      <c r="A286" s="21" t="str">
        <f t="shared" si="1"/>
        <v/>
      </c>
      <c r="B286" s="21" t="str">
        <f t="shared" si="2"/>
        <v/>
      </c>
      <c r="C286" s="25" t="str">
        <f t="array" ref="C286">IF($H286="","",IFERROR(INDEX('Game Records'!$A:$A,$H286),""))</f>
        <v/>
      </c>
      <c r="D286" s="25" t="str">
        <f t="array" ref="D286">IF($H286="","",IFERROR(INDEX('Game Records'!$U:$U,$H286),""))</f>
        <v/>
      </c>
      <c r="E286" s="25" t="str">
        <f t="shared" si="3"/>
        <v/>
      </c>
      <c r="F286" s="25" t="str">
        <f t="array" ref="F286">IF($H286="","",IF(OR(NOT(_xlfn.ISFORMULA(INDEX('Game Records'!$N:$N,$H286))),NOT(_xlfn.ISFORMULA(INDEX('Game Records'!$O:$O,$H286))),NOT(_xlfn.ISFORMULA(INDEX('Game Records'!$P:$P,$H286))),NOT(_xlfn.ISFORMULA(INDEX('Game Records'!$Q:$Q,$H286))),NOT(_xlfn.ISFORMULA(INDEX('Game Records'!$R:$R,$H286))),NOT(_xlfn.ISFORMULA(INDEX('Game Records'!$S:$S,$H286))),NOT(_xlfn.ISFORMULA(INDEX('Game Records'!$T:$T,$H286))),NOT(_xlfn.ISFORMULA(INDEX('Game Records'!$U:$U,$H286))),NOT(_xlfn.ISFORMULA(INDEX('Game Records'!$V:$V,$H286))),NOT(_xlfn.ISFORMULA(INDEX('Game Records'!$W:$W,$H286))),NOT(_xlfn.ISFORMULA(INDEX('Game Records'!$X:$X,$H286))),NOT(_xlfn.ISFORMULA(INDEX('Game Records'!$Y:$Y,$H286))),NOT(_xlfn.ISFORMULA(INDEX('Game Records'!$Z:$Z,$H286)))),"","")&amp;IF(INDEX('Game Records'!$B:$B,$H286)="","Start Date; ","")&amp;IF(INDEX('Game Records'!$C:$C,$H286)="","End Date; ","")&amp;IF(AND(INDEX('Game Records'!$U:$U,$H286)&lt;&gt;"Subscription",INDEX('Game Records'!$U:$U,$H286)&lt;&gt;"Free Game",INDEX('Game Records'!$U:$U,$H286)&lt;&gt;"Disqualified — Free Game",OR(INDEX('Game Records'!$D:$D,$H286)="",LOWER(INDEX('Game Records'!$D:$D,$H286)&amp;"")="n/a")),"Entry Mode; ","")&amp;IF(AND(INDEX('Game Records'!$U:$U,$H286)&lt;&gt;"Subscription",INDEX('Game Records'!$U:$U,$H286)&lt;&gt;"Free Game",INDEX('Game Records'!$U:$U,$H286)&lt;&gt;"Disqualified — Free Game",OR(INDEX('Game Records'!$E:$E,$H286)="",LOWER(INDEX('Game Records'!$E:$E,$H286)&amp;"")="n/a")),"Game Type; ","")&amp;IF(INDEX('Game Records'!$F:$F,$H286)="","Payment Type; ","")&amp;IF(AND(INDEX('Game Records'!$U:$U,$H286)&lt;&gt;"Subscription",INDEX('Game Records'!$U:$U,$H286)&lt;&gt;"Free Game",INDEX('Game Records'!$U:$U,$H286)&lt;&gt;"Disqualified — Free Game",INDEX('Game Records'!$G:$G,$H286)=""),"Gross Pot; ","")&amp;IF(AND(INDEX('Game Records'!$U:$U,$H286)&lt;&gt;"Free Game",INDEX('Game Records'!$U:$U,$H286)&lt;&gt;"Disqualified — Free Game",INDEX('Game Records'!$H:$H,$H286)=""),"Entry Fee; ","")&amp;IF(AND(INDEX('Game Records'!$U:$U,$H286)&lt;&gt;"Subscription",INDEX('Game Records'!$U:$U,$H286)&lt;&gt;"Free Game",INDEX('Game Records'!$U:$U,$H286)&lt;&gt;"Disqualified — Free Game",INDEX('Game Records'!$I:$I,$H286)=""),"Eligible Players; ","")&amp;IF(AND(INDEX('Game Records'!$U:$U,$H286)&lt;&gt;"Subscription",INDEX('Game Records'!$U:$U,$H286)&lt;&gt;"Free Game",INDEX('Game Records'!$U:$U,$H286)&lt;&gt;"Disqualified — Free Game",INDEX('Game Records'!$J:$J,$H286)=""),"Total Players; ","")&amp;IF(AND(LOWER(INDEX('Game Records'!$D:$D,$H286)&amp;"")="finalized",LOWER(INDEX('Game Records'!$L:$L,$H286)&amp;"")&lt;&gt;"yes",INDEX('Game Records'!$U:$U,$H286)&lt;&gt;"Subscription",INDEX('Game Records'!$U:$U,$H286)&lt;&gt;"Free Game",INDEX('Game Records'!$U:$U,$H286)&lt;&gt;"Disqualified — Free Game",INDEX('Game Records'!$K:$K,$H286)=""),"Final Payout; ","")&amp;IF(AND(LOWER(INDEX('Game Records'!$D:$D,$H286)&amp;"")="finalized",INDEX('Game Records'!$U:$U,$H286)&lt;&gt;"Subscription",INDEX('Game Records'!$U:$U,$H286)&lt;&gt;"Free Game",INDEX('Game Records'!$U:$U,$H286)&lt;&gt;"Disqualified — Free Game",OR(INDEX('Game Records'!$L:$L,$H286)="",LOWER(INDEX('Game Records'!$L:$L,$H286)&amp;"")="n/a")),"Disqualified Status; ",""))</f>
        <v/>
      </c>
      <c r="G286" s="25" t="str">
        <f t="array" ref="G286">IF($H286="","",IFERROR(INDEX('Game Records'!$M:$M,$H286),""))</f>
        <v/>
      </c>
      <c r="H286" s="8"/>
    </row>
    <row r="287" ht="24.0" customHeight="1">
      <c r="A287" s="21" t="str">
        <f t="shared" si="1"/>
        <v/>
      </c>
      <c r="B287" s="21" t="str">
        <f t="shared" si="2"/>
        <v/>
      </c>
      <c r="C287" s="25" t="str">
        <f t="array" ref="C287">IF($H287="","",IFERROR(INDEX('Game Records'!$A:$A,$H287),""))</f>
        <v/>
      </c>
      <c r="D287" s="25" t="str">
        <f t="array" ref="D287">IF($H287="","",IFERROR(INDEX('Game Records'!$U:$U,$H287),""))</f>
        <v/>
      </c>
      <c r="E287" s="25" t="str">
        <f t="shared" si="3"/>
        <v/>
      </c>
      <c r="F287" s="25" t="str">
        <f t="array" ref="F287">IF($H287="","",IF(OR(NOT(_xlfn.ISFORMULA(INDEX('Game Records'!$N:$N,$H287))),NOT(_xlfn.ISFORMULA(INDEX('Game Records'!$O:$O,$H287))),NOT(_xlfn.ISFORMULA(INDEX('Game Records'!$P:$P,$H287))),NOT(_xlfn.ISFORMULA(INDEX('Game Records'!$Q:$Q,$H287))),NOT(_xlfn.ISFORMULA(INDEX('Game Records'!$R:$R,$H287))),NOT(_xlfn.ISFORMULA(INDEX('Game Records'!$S:$S,$H287))),NOT(_xlfn.ISFORMULA(INDEX('Game Records'!$T:$T,$H287))),NOT(_xlfn.ISFORMULA(INDEX('Game Records'!$U:$U,$H287))),NOT(_xlfn.ISFORMULA(INDEX('Game Records'!$V:$V,$H287))),NOT(_xlfn.ISFORMULA(INDEX('Game Records'!$W:$W,$H287))),NOT(_xlfn.ISFORMULA(INDEX('Game Records'!$X:$X,$H287))),NOT(_xlfn.ISFORMULA(INDEX('Game Records'!$Y:$Y,$H287))),NOT(_xlfn.ISFORMULA(INDEX('Game Records'!$Z:$Z,$H287)))),"","")&amp;IF(INDEX('Game Records'!$B:$B,$H287)="","Start Date; ","")&amp;IF(INDEX('Game Records'!$C:$C,$H287)="","End Date; ","")&amp;IF(AND(INDEX('Game Records'!$U:$U,$H287)&lt;&gt;"Subscription",INDEX('Game Records'!$U:$U,$H287)&lt;&gt;"Free Game",INDEX('Game Records'!$U:$U,$H287)&lt;&gt;"Disqualified — Free Game",OR(INDEX('Game Records'!$D:$D,$H287)="",LOWER(INDEX('Game Records'!$D:$D,$H287)&amp;"")="n/a")),"Entry Mode; ","")&amp;IF(AND(INDEX('Game Records'!$U:$U,$H287)&lt;&gt;"Subscription",INDEX('Game Records'!$U:$U,$H287)&lt;&gt;"Free Game",INDEX('Game Records'!$U:$U,$H287)&lt;&gt;"Disqualified — Free Game",OR(INDEX('Game Records'!$E:$E,$H287)="",LOWER(INDEX('Game Records'!$E:$E,$H287)&amp;"")="n/a")),"Game Type; ","")&amp;IF(INDEX('Game Records'!$F:$F,$H287)="","Payment Type; ","")&amp;IF(AND(INDEX('Game Records'!$U:$U,$H287)&lt;&gt;"Subscription",INDEX('Game Records'!$U:$U,$H287)&lt;&gt;"Free Game",INDEX('Game Records'!$U:$U,$H287)&lt;&gt;"Disqualified — Free Game",INDEX('Game Records'!$G:$G,$H287)=""),"Gross Pot; ","")&amp;IF(AND(INDEX('Game Records'!$U:$U,$H287)&lt;&gt;"Free Game",INDEX('Game Records'!$U:$U,$H287)&lt;&gt;"Disqualified — Free Game",INDEX('Game Records'!$H:$H,$H287)=""),"Entry Fee; ","")&amp;IF(AND(INDEX('Game Records'!$U:$U,$H287)&lt;&gt;"Subscription",INDEX('Game Records'!$U:$U,$H287)&lt;&gt;"Free Game",INDEX('Game Records'!$U:$U,$H287)&lt;&gt;"Disqualified — Free Game",INDEX('Game Records'!$I:$I,$H287)=""),"Eligible Players; ","")&amp;IF(AND(INDEX('Game Records'!$U:$U,$H287)&lt;&gt;"Subscription",INDEX('Game Records'!$U:$U,$H287)&lt;&gt;"Free Game",INDEX('Game Records'!$U:$U,$H287)&lt;&gt;"Disqualified — Free Game",INDEX('Game Records'!$J:$J,$H287)=""),"Total Players; ","")&amp;IF(AND(LOWER(INDEX('Game Records'!$D:$D,$H287)&amp;"")="finalized",LOWER(INDEX('Game Records'!$L:$L,$H287)&amp;"")&lt;&gt;"yes",INDEX('Game Records'!$U:$U,$H287)&lt;&gt;"Subscription",INDEX('Game Records'!$U:$U,$H287)&lt;&gt;"Free Game",INDEX('Game Records'!$U:$U,$H287)&lt;&gt;"Disqualified — Free Game",INDEX('Game Records'!$K:$K,$H287)=""),"Final Payout; ","")&amp;IF(AND(LOWER(INDEX('Game Records'!$D:$D,$H287)&amp;"")="finalized",INDEX('Game Records'!$U:$U,$H287)&lt;&gt;"Subscription",INDEX('Game Records'!$U:$U,$H287)&lt;&gt;"Free Game",INDEX('Game Records'!$U:$U,$H287)&lt;&gt;"Disqualified — Free Game",OR(INDEX('Game Records'!$L:$L,$H287)="",LOWER(INDEX('Game Records'!$L:$L,$H287)&amp;"")="n/a")),"Disqualified Status; ",""))</f>
        <v/>
      </c>
      <c r="G287" s="25" t="str">
        <f t="array" ref="G287">IF($H287="","",IFERROR(INDEX('Game Records'!$M:$M,$H287),""))</f>
        <v/>
      </c>
      <c r="H287" s="8"/>
    </row>
    <row r="288" ht="24.0" customHeight="1">
      <c r="A288" s="21" t="str">
        <f t="shared" si="1"/>
        <v/>
      </c>
      <c r="B288" s="21" t="str">
        <f t="shared" si="2"/>
        <v/>
      </c>
      <c r="C288" s="25" t="str">
        <f t="array" ref="C288">IF($H288="","",IFERROR(INDEX('Game Records'!$A:$A,$H288),""))</f>
        <v/>
      </c>
      <c r="D288" s="25" t="str">
        <f t="array" ref="D288">IF($H288="","",IFERROR(INDEX('Game Records'!$U:$U,$H288),""))</f>
        <v/>
      </c>
      <c r="E288" s="25" t="str">
        <f t="shared" si="3"/>
        <v/>
      </c>
      <c r="F288" s="25" t="str">
        <f t="array" ref="F288">IF($H288="","",IF(OR(NOT(_xlfn.ISFORMULA(INDEX('Game Records'!$N:$N,$H288))),NOT(_xlfn.ISFORMULA(INDEX('Game Records'!$O:$O,$H288))),NOT(_xlfn.ISFORMULA(INDEX('Game Records'!$P:$P,$H288))),NOT(_xlfn.ISFORMULA(INDEX('Game Records'!$Q:$Q,$H288))),NOT(_xlfn.ISFORMULA(INDEX('Game Records'!$R:$R,$H288))),NOT(_xlfn.ISFORMULA(INDEX('Game Records'!$S:$S,$H288))),NOT(_xlfn.ISFORMULA(INDEX('Game Records'!$T:$T,$H288))),NOT(_xlfn.ISFORMULA(INDEX('Game Records'!$U:$U,$H288))),NOT(_xlfn.ISFORMULA(INDEX('Game Records'!$V:$V,$H288))),NOT(_xlfn.ISFORMULA(INDEX('Game Records'!$W:$W,$H288))),NOT(_xlfn.ISFORMULA(INDEX('Game Records'!$X:$X,$H288))),NOT(_xlfn.ISFORMULA(INDEX('Game Records'!$Y:$Y,$H288))),NOT(_xlfn.ISFORMULA(INDEX('Game Records'!$Z:$Z,$H288)))),"","")&amp;IF(INDEX('Game Records'!$B:$B,$H288)="","Start Date; ","")&amp;IF(INDEX('Game Records'!$C:$C,$H288)="","End Date; ","")&amp;IF(AND(INDEX('Game Records'!$U:$U,$H288)&lt;&gt;"Subscription",INDEX('Game Records'!$U:$U,$H288)&lt;&gt;"Free Game",INDEX('Game Records'!$U:$U,$H288)&lt;&gt;"Disqualified — Free Game",OR(INDEX('Game Records'!$D:$D,$H288)="",LOWER(INDEX('Game Records'!$D:$D,$H288)&amp;"")="n/a")),"Entry Mode; ","")&amp;IF(AND(INDEX('Game Records'!$U:$U,$H288)&lt;&gt;"Subscription",INDEX('Game Records'!$U:$U,$H288)&lt;&gt;"Free Game",INDEX('Game Records'!$U:$U,$H288)&lt;&gt;"Disqualified — Free Game",OR(INDEX('Game Records'!$E:$E,$H288)="",LOWER(INDEX('Game Records'!$E:$E,$H288)&amp;"")="n/a")),"Game Type; ","")&amp;IF(INDEX('Game Records'!$F:$F,$H288)="","Payment Type; ","")&amp;IF(AND(INDEX('Game Records'!$U:$U,$H288)&lt;&gt;"Subscription",INDEX('Game Records'!$U:$U,$H288)&lt;&gt;"Free Game",INDEX('Game Records'!$U:$U,$H288)&lt;&gt;"Disqualified — Free Game",INDEX('Game Records'!$G:$G,$H288)=""),"Gross Pot; ","")&amp;IF(AND(INDEX('Game Records'!$U:$U,$H288)&lt;&gt;"Free Game",INDEX('Game Records'!$U:$U,$H288)&lt;&gt;"Disqualified — Free Game",INDEX('Game Records'!$H:$H,$H288)=""),"Entry Fee; ","")&amp;IF(AND(INDEX('Game Records'!$U:$U,$H288)&lt;&gt;"Subscription",INDEX('Game Records'!$U:$U,$H288)&lt;&gt;"Free Game",INDEX('Game Records'!$U:$U,$H288)&lt;&gt;"Disqualified — Free Game",INDEX('Game Records'!$I:$I,$H288)=""),"Eligible Players; ","")&amp;IF(AND(INDEX('Game Records'!$U:$U,$H288)&lt;&gt;"Subscription",INDEX('Game Records'!$U:$U,$H288)&lt;&gt;"Free Game",INDEX('Game Records'!$U:$U,$H288)&lt;&gt;"Disqualified — Free Game",INDEX('Game Records'!$J:$J,$H288)=""),"Total Players; ","")&amp;IF(AND(LOWER(INDEX('Game Records'!$D:$D,$H288)&amp;"")="finalized",LOWER(INDEX('Game Records'!$L:$L,$H288)&amp;"")&lt;&gt;"yes",INDEX('Game Records'!$U:$U,$H288)&lt;&gt;"Subscription",INDEX('Game Records'!$U:$U,$H288)&lt;&gt;"Free Game",INDEX('Game Records'!$U:$U,$H288)&lt;&gt;"Disqualified — Free Game",INDEX('Game Records'!$K:$K,$H288)=""),"Final Payout; ","")&amp;IF(AND(LOWER(INDEX('Game Records'!$D:$D,$H288)&amp;"")="finalized",INDEX('Game Records'!$U:$U,$H288)&lt;&gt;"Subscription",INDEX('Game Records'!$U:$U,$H288)&lt;&gt;"Free Game",INDEX('Game Records'!$U:$U,$H288)&lt;&gt;"Disqualified — Free Game",OR(INDEX('Game Records'!$L:$L,$H288)="",LOWER(INDEX('Game Records'!$L:$L,$H288)&amp;"")="n/a")),"Disqualified Status; ",""))</f>
        <v/>
      </c>
      <c r="G288" s="25" t="str">
        <f t="array" ref="G288">IF($H288="","",IFERROR(INDEX('Game Records'!$M:$M,$H288),""))</f>
        <v/>
      </c>
      <c r="H288" s="8"/>
    </row>
    <row r="289" ht="24.0" customHeight="1">
      <c r="A289" s="21" t="str">
        <f t="shared" si="1"/>
        <v/>
      </c>
      <c r="B289" s="21" t="str">
        <f t="shared" si="2"/>
        <v/>
      </c>
      <c r="C289" s="25" t="str">
        <f t="array" ref="C289">IF($H289="","",IFERROR(INDEX('Game Records'!$A:$A,$H289),""))</f>
        <v/>
      </c>
      <c r="D289" s="25" t="str">
        <f t="array" ref="D289">IF($H289="","",IFERROR(INDEX('Game Records'!$U:$U,$H289),""))</f>
        <v/>
      </c>
      <c r="E289" s="25" t="str">
        <f t="shared" si="3"/>
        <v/>
      </c>
      <c r="F289" s="25" t="str">
        <f t="array" ref="F289">IF($H289="","",IF(OR(NOT(_xlfn.ISFORMULA(INDEX('Game Records'!$N:$N,$H289))),NOT(_xlfn.ISFORMULA(INDEX('Game Records'!$O:$O,$H289))),NOT(_xlfn.ISFORMULA(INDEX('Game Records'!$P:$P,$H289))),NOT(_xlfn.ISFORMULA(INDEX('Game Records'!$Q:$Q,$H289))),NOT(_xlfn.ISFORMULA(INDEX('Game Records'!$R:$R,$H289))),NOT(_xlfn.ISFORMULA(INDEX('Game Records'!$S:$S,$H289))),NOT(_xlfn.ISFORMULA(INDEX('Game Records'!$T:$T,$H289))),NOT(_xlfn.ISFORMULA(INDEX('Game Records'!$U:$U,$H289))),NOT(_xlfn.ISFORMULA(INDEX('Game Records'!$V:$V,$H289))),NOT(_xlfn.ISFORMULA(INDEX('Game Records'!$W:$W,$H289))),NOT(_xlfn.ISFORMULA(INDEX('Game Records'!$X:$X,$H289))),NOT(_xlfn.ISFORMULA(INDEX('Game Records'!$Y:$Y,$H289))),NOT(_xlfn.ISFORMULA(INDEX('Game Records'!$Z:$Z,$H289)))),"","")&amp;IF(INDEX('Game Records'!$B:$B,$H289)="","Start Date; ","")&amp;IF(INDEX('Game Records'!$C:$C,$H289)="","End Date; ","")&amp;IF(AND(INDEX('Game Records'!$U:$U,$H289)&lt;&gt;"Subscription",INDEX('Game Records'!$U:$U,$H289)&lt;&gt;"Free Game",INDEX('Game Records'!$U:$U,$H289)&lt;&gt;"Disqualified — Free Game",OR(INDEX('Game Records'!$D:$D,$H289)="",LOWER(INDEX('Game Records'!$D:$D,$H289)&amp;"")="n/a")),"Entry Mode; ","")&amp;IF(AND(INDEX('Game Records'!$U:$U,$H289)&lt;&gt;"Subscription",INDEX('Game Records'!$U:$U,$H289)&lt;&gt;"Free Game",INDEX('Game Records'!$U:$U,$H289)&lt;&gt;"Disqualified — Free Game",OR(INDEX('Game Records'!$E:$E,$H289)="",LOWER(INDEX('Game Records'!$E:$E,$H289)&amp;"")="n/a")),"Game Type; ","")&amp;IF(INDEX('Game Records'!$F:$F,$H289)="","Payment Type; ","")&amp;IF(AND(INDEX('Game Records'!$U:$U,$H289)&lt;&gt;"Subscription",INDEX('Game Records'!$U:$U,$H289)&lt;&gt;"Free Game",INDEX('Game Records'!$U:$U,$H289)&lt;&gt;"Disqualified — Free Game",INDEX('Game Records'!$G:$G,$H289)=""),"Gross Pot; ","")&amp;IF(AND(INDEX('Game Records'!$U:$U,$H289)&lt;&gt;"Free Game",INDEX('Game Records'!$U:$U,$H289)&lt;&gt;"Disqualified — Free Game",INDEX('Game Records'!$H:$H,$H289)=""),"Entry Fee; ","")&amp;IF(AND(INDEX('Game Records'!$U:$U,$H289)&lt;&gt;"Subscription",INDEX('Game Records'!$U:$U,$H289)&lt;&gt;"Free Game",INDEX('Game Records'!$U:$U,$H289)&lt;&gt;"Disqualified — Free Game",INDEX('Game Records'!$I:$I,$H289)=""),"Eligible Players; ","")&amp;IF(AND(INDEX('Game Records'!$U:$U,$H289)&lt;&gt;"Subscription",INDEX('Game Records'!$U:$U,$H289)&lt;&gt;"Free Game",INDEX('Game Records'!$U:$U,$H289)&lt;&gt;"Disqualified — Free Game",INDEX('Game Records'!$J:$J,$H289)=""),"Total Players; ","")&amp;IF(AND(LOWER(INDEX('Game Records'!$D:$D,$H289)&amp;"")="finalized",LOWER(INDEX('Game Records'!$L:$L,$H289)&amp;"")&lt;&gt;"yes",INDEX('Game Records'!$U:$U,$H289)&lt;&gt;"Subscription",INDEX('Game Records'!$U:$U,$H289)&lt;&gt;"Free Game",INDEX('Game Records'!$U:$U,$H289)&lt;&gt;"Disqualified — Free Game",INDEX('Game Records'!$K:$K,$H289)=""),"Final Payout; ","")&amp;IF(AND(LOWER(INDEX('Game Records'!$D:$D,$H289)&amp;"")="finalized",INDEX('Game Records'!$U:$U,$H289)&lt;&gt;"Subscription",INDEX('Game Records'!$U:$U,$H289)&lt;&gt;"Free Game",INDEX('Game Records'!$U:$U,$H289)&lt;&gt;"Disqualified — Free Game",OR(INDEX('Game Records'!$L:$L,$H289)="",LOWER(INDEX('Game Records'!$L:$L,$H289)&amp;"")="n/a")),"Disqualified Status; ",""))</f>
        <v/>
      </c>
      <c r="G289" s="25" t="str">
        <f t="array" ref="G289">IF($H289="","",IFERROR(INDEX('Game Records'!$M:$M,$H289),""))</f>
        <v/>
      </c>
      <c r="H289" s="8"/>
    </row>
    <row r="290" ht="24.0" customHeight="1">
      <c r="A290" s="21" t="str">
        <f t="shared" si="1"/>
        <v/>
      </c>
      <c r="B290" s="21" t="str">
        <f t="shared" si="2"/>
        <v/>
      </c>
      <c r="C290" s="25" t="str">
        <f t="array" ref="C290">IF($H290="","",IFERROR(INDEX('Game Records'!$A:$A,$H290),""))</f>
        <v/>
      </c>
      <c r="D290" s="25" t="str">
        <f t="array" ref="D290">IF($H290="","",IFERROR(INDEX('Game Records'!$U:$U,$H290),""))</f>
        <v/>
      </c>
      <c r="E290" s="25" t="str">
        <f t="shared" si="3"/>
        <v/>
      </c>
      <c r="F290" s="25" t="str">
        <f t="array" ref="F290">IF($H290="","",IF(OR(NOT(_xlfn.ISFORMULA(INDEX('Game Records'!$N:$N,$H290))),NOT(_xlfn.ISFORMULA(INDEX('Game Records'!$O:$O,$H290))),NOT(_xlfn.ISFORMULA(INDEX('Game Records'!$P:$P,$H290))),NOT(_xlfn.ISFORMULA(INDEX('Game Records'!$Q:$Q,$H290))),NOT(_xlfn.ISFORMULA(INDEX('Game Records'!$R:$R,$H290))),NOT(_xlfn.ISFORMULA(INDEX('Game Records'!$S:$S,$H290))),NOT(_xlfn.ISFORMULA(INDEX('Game Records'!$T:$T,$H290))),NOT(_xlfn.ISFORMULA(INDEX('Game Records'!$U:$U,$H290))),NOT(_xlfn.ISFORMULA(INDEX('Game Records'!$V:$V,$H290))),NOT(_xlfn.ISFORMULA(INDEX('Game Records'!$W:$W,$H290))),NOT(_xlfn.ISFORMULA(INDEX('Game Records'!$X:$X,$H290))),NOT(_xlfn.ISFORMULA(INDEX('Game Records'!$Y:$Y,$H290))),NOT(_xlfn.ISFORMULA(INDEX('Game Records'!$Z:$Z,$H290)))),"","")&amp;IF(INDEX('Game Records'!$B:$B,$H290)="","Start Date; ","")&amp;IF(INDEX('Game Records'!$C:$C,$H290)="","End Date; ","")&amp;IF(AND(INDEX('Game Records'!$U:$U,$H290)&lt;&gt;"Subscription",INDEX('Game Records'!$U:$U,$H290)&lt;&gt;"Free Game",INDEX('Game Records'!$U:$U,$H290)&lt;&gt;"Disqualified — Free Game",OR(INDEX('Game Records'!$D:$D,$H290)="",LOWER(INDEX('Game Records'!$D:$D,$H290)&amp;"")="n/a")),"Entry Mode; ","")&amp;IF(AND(INDEX('Game Records'!$U:$U,$H290)&lt;&gt;"Subscription",INDEX('Game Records'!$U:$U,$H290)&lt;&gt;"Free Game",INDEX('Game Records'!$U:$U,$H290)&lt;&gt;"Disqualified — Free Game",OR(INDEX('Game Records'!$E:$E,$H290)="",LOWER(INDEX('Game Records'!$E:$E,$H290)&amp;"")="n/a")),"Game Type; ","")&amp;IF(INDEX('Game Records'!$F:$F,$H290)="","Payment Type; ","")&amp;IF(AND(INDEX('Game Records'!$U:$U,$H290)&lt;&gt;"Subscription",INDEX('Game Records'!$U:$U,$H290)&lt;&gt;"Free Game",INDEX('Game Records'!$U:$U,$H290)&lt;&gt;"Disqualified — Free Game",INDEX('Game Records'!$G:$G,$H290)=""),"Gross Pot; ","")&amp;IF(AND(INDEX('Game Records'!$U:$U,$H290)&lt;&gt;"Free Game",INDEX('Game Records'!$U:$U,$H290)&lt;&gt;"Disqualified — Free Game",INDEX('Game Records'!$H:$H,$H290)=""),"Entry Fee; ","")&amp;IF(AND(INDEX('Game Records'!$U:$U,$H290)&lt;&gt;"Subscription",INDEX('Game Records'!$U:$U,$H290)&lt;&gt;"Free Game",INDEX('Game Records'!$U:$U,$H290)&lt;&gt;"Disqualified — Free Game",INDEX('Game Records'!$I:$I,$H290)=""),"Eligible Players; ","")&amp;IF(AND(INDEX('Game Records'!$U:$U,$H290)&lt;&gt;"Subscription",INDEX('Game Records'!$U:$U,$H290)&lt;&gt;"Free Game",INDEX('Game Records'!$U:$U,$H290)&lt;&gt;"Disqualified — Free Game",INDEX('Game Records'!$J:$J,$H290)=""),"Total Players; ","")&amp;IF(AND(LOWER(INDEX('Game Records'!$D:$D,$H290)&amp;"")="finalized",LOWER(INDEX('Game Records'!$L:$L,$H290)&amp;"")&lt;&gt;"yes",INDEX('Game Records'!$U:$U,$H290)&lt;&gt;"Subscription",INDEX('Game Records'!$U:$U,$H290)&lt;&gt;"Free Game",INDEX('Game Records'!$U:$U,$H290)&lt;&gt;"Disqualified — Free Game",INDEX('Game Records'!$K:$K,$H290)=""),"Final Payout; ","")&amp;IF(AND(LOWER(INDEX('Game Records'!$D:$D,$H290)&amp;"")="finalized",INDEX('Game Records'!$U:$U,$H290)&lt;&gt;"Subscription",INDEX('Game Records'!$U:$U,$H290)&lt;&gt;"Free Game",INDEX('Game Records'!$U:$U,$H290)&lt;&gt;"Disqualified — Free Game",OR(INDEX('Game Records'!$L:$L,$H290)="",LOWER(INDEX('Game Records'!$L:$L,$H290)&amp;"")="n/a")),"Disqualified Status; ",""))</f>
        <v/>
      </c>
      <c r="G290" s="25" t="str">
        <f t="array" ref="G290">IF($H290="","",IFERROR(INDEX('Game Records'!$M:$M,$H290),""))</f>
        <v/>
      </c>
      <c r="H290" s="8"/>
    </row>
    <row r="291" ht="24.0" customHeight="1">
      <c r="A291" s="21" t="str">
        <f t="shared" si="1"/>
        <v/>
      </c>
      <c r="B291" s="21" t="str">
        <f t="shared" si="2"/>
        <v/>
      </c>
      <c r="C291" s="25" t="str">
        <f t="array" ref="C291">IF($H291="","",IFERROR(INDEX('Game Records'!$A:$A,$H291),""))</f>
        <v/>
      </c>
      <c r="D291" s="25" t="str">
        <f t="array" ref="D291">IF($H291="","",IFERROR(INDEX('Game Records'!$U:$U,$H291),""))</f>
        <v/>
      </c>
      <c r="E291" s="25" t="str">
        <f t="shared" si="3"/>
        <v/>
      </c>
      <c r="F291" s="25" t="str">
        <f t="array" ref="F291">IF($H291="","",IF(OR(NOT(_xlfn.ISFORMULA(INDEX('Game Records'!$N:$N,$H291))),NOT(_xlfn.ISFORMULA(INDEX('Game Records'!$O:$O,$H291))),NOT(_xlfn.ISFORMULA(INDEX('Game Records'!$P:$P,$H291))),NOT(_xlfn.ISFORMULA(INDEX('Game Records'!$Q:$Q,$H291))),NOT(_xlfn.ISFORMULA(INDEX('Game Records'!$R:$R,$H291))),NOT(_xlfn.ISFORMULA(INDEX('Game Records'!$S:$S,$H291))),NOT(_xlfn.ISFORMULA(INDEX('Game Records'!$T:$T,$H291))),NOT(_xlfn.ISFORMULA(INDEX('Game Records'!$U:$U,$H291))),NOT(_xlfn.ISFORMULA(INDEX('Game Records'!$V:$V,$H291))),NOT(_xlfn.ISFORMULA(INDEX('Game Records'!$W:$W,$H291))),NOT(_xlfn.ISFORMULA(INDEX('Game Records'!$X:$X,$H291))),NOT(_xlfn.ISFORMULA(INDEX('Game Records'!$Y:$Y,$H291))),NOT(_xlfn.ISFORMULA(INDEX('Game Records'!$Z:$Z,$H291)))),"","")&amp;IF(INDEX('Game Records'!$B:$B,$H291)="","Start Date; ","")&amp;IF(INDEX('Game Records'!$C:$C,$H291)="","End Date; ","")&amp;IF(AND(INDEX('Game Records'!$U:$U,$H291)&lt;&gt;"Subscription",INDEX('Game Records'!$U:$U,$H291)&lt;&gt;"Free Game",INDEX('Game Records'!$U:$U,$H291)&lt;&gt;"Disqualified — Free Game",OR(INDEX('Game Records'!$D:$D,$H291)="",LOWER(INDEX('Game Records'!$D:$D,$H291)&amp;"")="n/a")),"Entry Mode; ","")&amp;IF(AND(INDEX('Game Records'!$U:$U,$H291)&lt;&gt;"Subscription",INDEX('Game Records'!$U:$U,$H291)&lt;&gt;"Free Game",INDEX('Game Records'!$U:$U,$H291)&lt;&gt;"Disqualified — Free Game",OR(INDEX('Game Records'!$E:$E,$H291)="",LOWER(INDEX('Game Records'!$E:$E,$H291)&amp;"")="n/a")),"Game Type; ","")&amp;IF(INDEX('Game Records'!$F:$F,$H291)="","Payment Type; ","")&amp;IF(AND(INDEX('Game Records'!$U:$U,$H291)&lt;&gt;"Subscription",INDEX('Game Records'!$U:$U,$H291)&lt;&gt;"Free Game",INDEX('Game Records'!$U:$U,$H291)&lt;&gt;"Disqualified — Free Game",INDEX('Game Records'!$G:$G,$H291)=""),"Gross Pot; ","")&amp;IF(AND(INDEX('Game Records'!$U:$U,$H291)&lt;&gt;"Free Game",INDEX('Game Records'!$U:$U,$H291)&lt;&gt;"Disqualified — Free Game",INDEX('Game Records'!$H:$H,$H291)=""),"Entry Fee; ","")&amp;IF(AND(INDEX('Game Records'!$U:$U,$H291)&lt;&gt;"Subscription",INDEX('Game Records'!$U:$U,$H291)&lt;&gt;"Free Game",INDEX('Game Records'!$U:$U,$H291)&lt;&gt;"Disqualified — Free Game",INDEX('Game Records'!$I:$I,$H291)=""),"Eligible Players; ","")&amp;IF(AND(INDEX('Game Records'!$U:$U,$H291)&lt;&gt;"Subscription",INDEX('Game Records'!$U:$U,$H291)&lt;&gt;"Free Game",INDEX('Game Records'!$U:$U,$H291)&lt;&gt;"Disqualified — Free Game",INDEX('Game Records'!$J:$J,$H291)=""),"Total Players; ","")&amp;IF(AND(LOWER(INDEX('Game Records'!$D:$D,$H291)&amp;"")="finalized",LOWER(INDEX('Game Records'!$L:$L,$H291)&amp;"")&lt;&gt;"yes",INDEX('Game Records'!$U:$U,$H291)&lt;&gt;"Subscription",INDEX('Game Records'!$U:$U,$H291)&lt;&gt;"Free Game",INDEX('Game Records'!$U:$U,$H291)&lt;&gt;"Disqualified — Free Game",INDEX('Game Records'!$K:$K,$H291)=""),"Final Payout; ","")&amp;IF(AND(LOWER(INDEX('Game Records'!$D:$D,$H291)&amp;"")="finalized",INDEX('Game Records'!$U:$U,$H291)&lt;&gt;"Subscription",INDEX('Game Records'!$U:$U,$H291)&lt;&gt;"Free Game",INDEX('Game Records'!$U:$U,$H291)&lt;&gt;"Disqualified — Free Game",OR(INDEX('Game Records'!$L:$L,$H291)="",LOWER(INDEX('Game Records'!$L:$L,$H291)&amp;"")="n/a")),"Disqualified Status; ",""))</f>
        <v/>
      </c>
      <c r="G291" s="25" t="str">
        <f t="array" ref="G291">IF($H291="","",IFERROR(INDEX('Game Records'!$M:$M,$H291),""))</f>
        <v/>
      </c>
      <c r="H291" s="8"/>
    </row>
    <row r="292" ht="24.0" customHeight="1">
      <c r="A292" s="21" t="str">
        <f t="shared" si="1"/>
        <v/>
      </c>
      <c r="B292" s="21" t="str">
        <f t="shared" si="2"/>
        <v/>
      </c>
      <c r="C292" s="25" t="str">
        <f t="array" ref="C292">IF($H292="","",IFERROR(INDEX('Game Records'!$A:$A,$H292),""))</f>
        <v/>
      </c>
      <c r="D292" s="25" t="str">
        <f t="array" ref="D292">IF($H292="","",IFERROR(INDEX('Game Records'!$U:$U,$H292),""))</f>
        <v/>
      </c>
      <c r="E292" s="25" t="str">
        <f t="shared" si="3"/>
        <v/>
      </c>
      <c r="F292" s="25" t="str">
        <f t="array" ref="F292">IF($H292="","",IF(OR(NOT(_xlfn.ISFORMULA(INDEX('Game Records'!$N:$N,$H292))),NOT(_xlfn.ISFORMULA(INDEX('Game Records'!$O:$O,$H292))),NOT(_xlfn.ISFORMULA(INDEX('Game Records'!$P:$P,$H292))),NOT(_xlfn.ISFORMULA(INDEX('Game Records'!$Q:$Q,$H292))),NOT(_xlfn.ISFORMULA(INDEX('Game Records'!$R:$R,$H292))),NOT(_xlfn.ISFORMULA(INDEX('Game Records'!$S:$S,$H292))),NOT(_xlfn.ISFORMULA(INDEX('Game Records'!$T:$T,$H292))),NOT(_xlfn.ISFORMULA(INDEX('Game Records'!$U:$U,$H292))),NOT(_xlfn.ISFORMULA(INDEX('Game Records'!$V:$V,$H292))),NOT(_xlfn.ISFORMULA(INDEX('Game Records'!$W:$W,$H292))),NOT(_xlfn.ISFORMULA(INDEX('Game Records'!$X:$X,$H292))),NOT(_xlfn.ISFORMULA(INDEX('Game Records'!$Y:$Y,$H292))),NOT(_xlfn.ISFORMULA(INDEX('Game Records'!$Z:$Z,$H292)))),"","")&amp;IF(INDEX('Game Records'!$B:$B,$H292)="","Start Date; ","")&amp;IF(INDEX('Game Records'!$C:$C,$H292)="","End Date; ","")&amp;IF(AND(INDEX('Game Records'!$U:$U,$H292)&lt;&gt;"Subscription",INDEX('Game Records'!$U:$U,$H292)&lt;&gt;"Free Game",INDEX('Game Records'!$U:$U,$H292)&lt;&gt;"Disqualified — Free Game",OR(INDEX('Game Records'!$D:$D,$H292)="",LOWER(INDEX('Game Records'!$D:$D,$H292)&amp;"")="n/a")),"Entry Mode; ","")&amp;IF(AND(INDEX('Game Records'!$U:$U,$H292)&lt;&gt;"Subscription",INDEX('Game Records'!$U:$U,$H292)&lt;&gt;"Free Game",INDEX('Game Records'!$U:$U,$H292)&lt;&gt;"Disqualified — Free Game",OR(INDEX('Game Records'!$E:$E,$H292)="",LOWER(INDEX('Game Records'!$E:$E,$H292)&amp;"")="n/a")),"Game Type; ","")&amp;IF(INDEX('Game Records'!$F:$F,$H292)="","Payment Type; ","")&amp;IF(AND(INDEX('Game Records'!$U:$U,$H292)&lt;&gt;"Subscription",INDEX('Game Records'!$U:$U,$H292)&lt;&gt;"Free Game",INDEX('Game Records'!$U:$U,$H292)&lt;&gt;"Disqualified — Free Game",INDEX('Game Records'!$G:$G,$H292)=""),"Gross Pot; ","")&amp;IF(AND(INDEX('Game Records'!$U:$U,$H292)&lt;&gt;"Free Game",INDEX('Game Records'!$U:$U,$H292)&lt;&gt;"Disqualified — Free Game",INDEX('Game Records'!$H:$H,$H292)=""),"Entry Fee; ","")&amp;IF(AND(INDEX('Game Records'!$U:$U,$H292)&lt;&gt;"Subscription",INDEX('Game Records'!$U:$U,$H292)&lt;&gt;"Free Game",INDEX('Game Records'!$U:$U,$H292)&lt;&gt;"Disqualified — Free Game",INDEX('Game Records'!$I:$I,$H292)=""),"Eligible Players; ","")&amp;IF(AND(INDEX('Game Records'!$U:$U,$H292)&lt;&gt;"Subscription",INDEX('Game Records'!$U:$U,$H292)&lt;&gt;"Free Game",INDEX('Game Records'!$U:$U,$H292)&lt;&gt;"Disqualified — Free Game",INDEX('Game Records'!$J:$J,$H292)=""),"Total Players; ","")&amp;IF(AND(LOWER(INDEX('Game Records'!$D:$D,$H292)&amp;"")="finalized",LOWER(INDEX('Game Records'!$L:$L,$H292)&amp;"")&lt;&gt;"yes",INDEX('Game Records'!$U:$U,$H292)&lt;&gt;"Subscription",INDEX('Game Records'!$U:$U,$H292)&lt;&gt;"Free Game",INDEX('Game Records'!$U:$U,$H292)&lt;&gt;"Disqualified — Free Game",INDEX('Game Records'!$K:$K,$H292)=""),"Final Payout; ","")&amp;IF(AND(LOWER(INDEX('Game Records'!$D:$D,$H292)&amp;"")="finalized",INDEX('Game Records'!$U:$U,$H292)&lt;&gt;"Subscription",INDEX('Game Records'!$U:$U,$H292)&lt;&gt;"Free Game",INDEX('Game Records'!$U:$U,$H292)&lt;&gt;"Disqualified — Free Game",OR(INDEX('Game Records'!$L:$L,$H292)="",LOWER(INDEX('Game Records'!$L:$L,$H292)&amp;"")="n/a")),"Disqualified Status; ",""))</f>
        <v/>
      </c>
      <c r="G292" s="25" t="str">
        <f t="array" ref="G292">IF($H292="","",IFERROR(INDEX('Game Records'!$M:$M,$H292),""))</f>
        <v/>
      </c>
      <c r="H292" s="8"/>
    </row>
    <row r="293" ht="24.0" customHeight="1">
      <c r="A293" s="21" t="str">
        <f t="shared" si="1"/>
        <v/>
      </c>
      <c r="B293" s="21" t="str">
        <f t="shared" si="2"/>
        <v/>
      </c>
      <c r="C293" s="25" t="str">
        <f t="array" ref="C293">IF($H293="","",IFERROR(INDEX('Game Records'!$A:$A,$H293),""))</f>
        <v/>
      </c>
      <c r="D293" s="25" t="str">
        <f t="array" ref="D293">IF($H293="","",IFERROR(INDEX('Game Records'!$U:$U,$H293),""))</f>
        <v/>
      </c>
      <c r="E293" s="25" t="str">
        <f t="shared" si="3"/>
        <v/>
      </c>
      <c r="F293" s="25" t="str">
        <f t="array" ref="F293">IF($H293="","",IF(OR(NOT(_xlfn.ISFORMULA(INDEX('Game Records'!$N:$N,$H293))),NOT(_xlfn.ISFORMULA(INDEX('Game Records'!$O:$O,$H293))),NOT(_xlfn.ISFORMULA(INDEX('Game Records'!$P:$P,$H293))),NOT(_xlfn.ISFORMULA(INDEX('Game Records'!$Q:$Q,$H293))),NOT(_xlfn.ISFORMULA(INDEX('Game Records'!$R:$R,$H293))),NOT(_xlfn.ISFORMULA(INDEX('Game Records'!$S:$S,$H293))),NOT(_xlfn.ISFORMULA(INDEX('Game Records'!$T:$T,$H293))),NOT(_xlfn.ISFORMULA(INDEX('Game Records'!$U:$U,$H293))),NOT(_xlfn.ISFORMULA(INDEX('Game Records'!$V:$V,$H293))),NOT(_xlfn.ISFORMULA(INDEX('Game Records'!$W:$W,$H293))),NOT(_xlfn.ISFORMULA(INDEX('Game Records'!$X:$X,$H293))),NOT(_xlfn.ISFORMULA(INDEX('Game Records'!$Y:$Y,$H293))),NOT(_xlfn.ISFORMULA(INDEX('Game Records'!$Z:$Z,$H293)))),"","")&amp;IF(INDEX('Game Records'!$B:$B,$H293)="","Start Date; ","")&amp;IF(INDEX('Game Records'!$C:$C,$H293)="","End Date; ","")&amp;IF(AND(INDEX('Game Records'!$U:$U,$H293)&lt;&gt;"Subscription",INDEX('Game Records'!$U:$U,$H293)&lt;&gt;"Free Game",INDEX('Game Records'!$U:$U,$H293)&lt;&gt;"Disqualified — Free Game",OR(INDEX('Game Records'!$D:$D,$H293)="",LOWER(INDEX('Game Records'!$D:$D,$H293)&amp;"")="n/a")),"Entry Mode; ","")&amp;IF(AND(INDEX('Game Records'!$U:$U,$H293)&lt;&gt;"Subscription",INDEX('Game Records'!$U:$U,$H293)&lt;&gt;"Free Game",INDEX('Game Records'!$U:$U,$H293)&lt;&gt;"Disqualified — Free Game",OR(INDEX('Game Records'!$E:$E,$H293)="",LOWER(INDEX('Game Records'!$E:$E,$H293)&amp;"")="n/a")),"Game Type; ","")&amp;IF(INDEX('Game Records'!$F:$F,$H293)="","Payment Type; ","")&amp;IF(AND(INDEX('Game Records'!$U:$U,$H293)&lt;&gt;"Subscription",INDEX('Game Records'!$U:$U,$H293)&lt;&gt;"Free Game",INDEX('Game Records'!$U:$U,$H293)&lt;&gt;"Disqualified — Free Game",INDEX('Game Records'!$G:$G,$H293)=""),"Gross Pot; ","")&amp;IF(AND(INDEX('Game Records'!$U:$U,$H293)&lt;&gt;"Free Game",INDEX('Game Records'!$U:$U,$H293)&lt;&gt;"Disqualified — Free Game",INDEX('Game Records'!$H:$H,$H293)=""),"Entry Fee; ","")&amp;IF(AND(INDEX('Game Records'!$U:$U,$H293)&lt;&gt;"Subscription",INDEX('Game Records'!$U:$U,$H293)&lt;&gt;"Free Game",INDEX('Game Records'!$U:$U,$H293)&lt;&gt;"Disqualified — Free Game",INDEX('Game Records'!$I:$I,$H293)=""),"Eligible Players; ","")&amp;IF(AND(INDEX('Game Records'!$U:$U,$H293)&lt;&gt;"Subscription",INDEX('Game Records'!$U:$U,$H293)&lt;&gt;"Free Game",INDEX('Game Records'!$U:$U,$H293)&lt;&gt;"Disqualified — Free Game",INDEX('Game Records'!$J:$J,$H293)=""),"Total Players; ","")&amp;IF(AND(LOWER(INDEX('Game Records'!$D:$D,$H293)&amp;"")="finalized",LOWER(INDEX('Game Records'!$L:$L,$H293)&amp;"")&lt;&gt;"yes",INDEX('Game Records'!$U:$U,$H293)&lt;&gt;"Subscription",INDEX('Game Records'!$U:$U,$H293)&lt;&gt;"Free Game",INDEX('Game Records'!$U:$U,$H293)&lt;&gt;"Disqualified — Free Game",INDEX('Game Records'!$K:$K,$H293)=""),"Final Payout; ","")&amp;IF(AND(LOWER(INDEX('Game Records'!$D:$D,$H293)&amp;"")="finalized",INDEX('Game Records'!$U:$U,$H293)&lt;&gt;"Subscription",INDEX('Game Records'!$U:$U,$H293)&lt;&gt;"Free Game",INDEX('Game Records'!$U:$U,$H293)&lt;&gt;"Disqualified — Free Game",OR(INDEX('Game Records'!$L:$L,$H293)="",LOWER(INDEX('Game Records'!$L:$L,$H293)&amp;"")="n/a")),"Disqualified Status; ",""))</f>
        <v/>
      </c>
      <c r="G293" s="25" t="str">
        <f t="array" ref="G293">IF($H293="","",IFERROR(INDEX('Game Records'!$M:$M,$H293),""))</f>
        <v/>
      </c>
      <c r="H293" s="8"/>
    </row>
    <row r="294" ht="24.0" customHeight="1">
      <c r="A294" s="21" t="str">
        <f t="shared" si="1"/>
        <v/>
      </c>
      <c r="B294" s="21" t="str">
        <f t="shared" si="2"/>
        <v/>
      </c>
      <c r="C294" s="25" t="str">
        <f t="array" ref="C294">IF($H294="","",IFERROR(INDEX('Game Records'!$A:$A,$H294),""))</f>
        <v/>
      </c>
      <c r="D294" s="25" t="str">
        <f t="array" ref="D294">IF($H294="","",IFERROR(INDEX('Game Records'!$U:$U,$H294),""))</f>
        <v/>
      </c>
      <c r="E294" s="25" t="str">
        <f t="shared" si="3"/>
        <v/>
      </c>
      <c r="F294" s="25" t="str">
        <f t="array" ref="F294">IF($H294="","",IF(OR(NOT(_xlfn.ISFORMULA(INDEX('Game Records'!$N:$N,$H294))),NOT(_xlfn.ISFORMULA(INDEX('Game Records'!$O:$O,$H294))),NOT(_xlfn.ISFORMULA(INDEX('Game Records'!$P:$P,$H294))),NOT(_xlfn.ISFORMULA(INDEX('Game Records'!$Q:$Q,$H294))),NOT(_xlfn.ISFORMULA(INDEX('Game Records'!$R:$R,$H294))),NOT(_xlfn.ISFORMULA(INDEX('Game Records'!$S:$S,$H294))),NOT(_xlfn.ISFORMULA(INDEX('Game Records'!$T:$T,$H294))),NOT(_xlfn.ISFORMULA(INDEX('Game Records'!$U:$U,$H294))),NOT(_xlfn.ISFORMULA(INDEX('Game Records'!$V:$V,$H294))),NOT(_xlfn.ISFORMULA(INDEX('Game Records'!$W:$W,$H294))),NOT(_xlfn.ISFORMULA(INDEX('Game Records'!$X:$X,$H294))),NOT(_xlfn.ISFORMULA(INDEX('Game Records'!$Y:$Y,$H294))),NOT(_xlfn.ISFORMULA(INDEX('Game Records'!$Z:$Z,$H294)))),"","")&amp;IF(INDEX('Game Records'!$B:$B,$H294)="","Start Date; ","")&amp;IF(INDEX('Game Records'!$C:$C,$H294)="","End Date; ","")&amp;IF(AND(INDEX('Game Records'!$U:$U,$H294)&lt;&gt;"Subscription",INDEX('Game Records'!$U:$U,$H294)&lt;&gt;"Free Game",INDEX('Game Records'!$U:$U,$H294)&lt;&gt;"Disqualified — Free Game",OR(INDEX('Game Records'!$D:$D,$H294)="",LOWER(INDEX('Game Records'!$D:$D,$H294)&amp;"")="n/a")),"Entry Mode; ","")&amp;IF(AND(INDEX('Game Records'!$U:$U,$H294)&lt;&gt;"Subscription",INDEX('Game Records'!$U:$U,$H294)&lt;&gt;"Free Game",INDEX('Game Records'!$U:$U,$H294)&lt;&gt;"Disqualified — Free Game",OR(INDEX('Game Records'!$E:$E,$H294)="",LOWER(INDEX('Game Records'!$E:$E,$H294)&amp;"")="n/a")),"Game Type; ","")&amp;IF(INDEX('Game Records'!$F:$F,$H294)="","Payment Type; ","")&amp;IF(AND(INDEX('Game Records'!$U:$U,$H294)&lt;&gt;"Subscription",INDEX('Game Records'!$U:$U,$H294)&lt;&gt;"Free Game",INDEX('Game Records'!$U:$U,$H294)&lt;&gt;"Disqualified — Free Game",INDEX('Game Records'!$G:$G,$H294)=""),"Gross Pot; ","")&amp;IF(AND(INDEX('Game Records'!$U:$U,$H294)&lt;&gt;"Free Game",INDEX('Game Records'!$U:$U,$H294)&lt;&gt;"Disqualified — Free Game",INDEX('Game Records'!$H:$H,$H294)=""),"Entry Fee; ","")&amp;IF(AND(INDEX('Game Records'!$U:$U,$H294)&lt;&gt;"Subscription",INDEX('Game Records'!$U:$U,$H294)&lt;&gt;"Free Game",INDEX('Game Records'!$U:$U,$H294)&lt;&gt;"Disqualified — Free Game",INDEX('Game Records'!$I:$I,$H294)=""),"Eligible Players; ","")&amp;IF(AND(INDEX('Game Records'!$U:$U,$H294)&lt;&gt;"Subscription",INDEX('Game Records'!$U:$U,$H294)&lt;&gt;"Free Game",INDEX('Game Records'!$U:$U,$H294)&lt;&gt;"Disqualified — Free Game",INDEX('Game Records'!$J:$J,$H294)=""),"Total Players; ","")&amp;IF(AND(LOWER(INDEX('Game Records'!$D:$D,$H294)&amp;"")="finalized",LOWER(INDEX('Game Records'!$L:$L,$H294)&amp;"")&lt;&gt;"yes",INDEX('Game Records'!$U:$U,$H294)&lt;&gt;"Subscription",INDEX('Game Records'!$U:$U,$H294)&lt;&gt;"Free Game",INDEX('Game Records'!$U:$U,$H294)&lt;&gt;"Disqualified — Free Game",INDEX('Game Records'!$K:$K,$H294)=""),"Final Payout; ","")&amp;IF(AND(LOWER(INDEX('Game Records'!$D:$D,$H294)&amp;"")="finalized",INDEX('Game Records'!$U:$U,$H294)&lt;&gt;"Subscription",INDEX('Game Records'!$U:$U,$H294)&lt;&gt;"Free Game",INDEX('Game Records'!$U:$U,$H294)&lt;&gt;"Disqualified — Free Game",OR(INDEX('Game Records'!$L:$L,$H294)="",LOWER(INDEX('Game Records'!$L:$L,$H294)&amp;"")="n/a")),"Disqualified Status; ",""))</f>
        <v/>
      </c>
      <c r="G294" s="25" t="str">
        <f t="array" ref="G294">IF($H294="","",IFERROR(INDEX('Game Records'!$M:$M,$H294),""))</f>
        <v/>
      </c>
      <c r="H294" s="8"/>
    </row>
    <row r="295" ht="24.0" customHeight="1">
      <c r="A295" s="21" t="str">
        <f t="shared" si="1"/>
        <v/>
      </c>
      <c r="B295" s="21" t="str">
        <f t="shared" si="2"/>
        <v/>
      </c>
      <c r="C295" s="25" t="str">
        <f t="array" ref="C295">IF($H295="","",IFERROR(INDEX('Game Records'!$A:$A,$H295),""))</f>
        <v/>
      </c>
      <c r="D295" s="25" t="str">
        <f t="array" ref="D295">IF($H295="","",IFERROR(INDEX('Game Records'!$U:$U,$H295),""))</f>
        <v/>
      </c>
      <c r="E295" s="25" t="str">
        <f t="shared" si="3"/>
        <v/>
      </c>
      <c r="F295" s="25" t="str">
        <f t="array" ref="F295">IF($H295="","",IF(OR(NOT(_xlfn.ISFORMULA(INDEX('Game Records'!$N:$N,$H295))),NOT(_xlfn.ISFORMULA(INDEX('Game Records'!$O:$O,$H295))),NOT(_xlfn.ISFORMULA(INDEX('Game Records'!$P:$P,$H295))),NOT(_xlfn.ISFORMULA(INDEX('Game Records'!$Q:$Q,$H295))),NOT(_xlfn.ISFORMULA(INDEX('Game Records'!$R:$R,$H295))),NOT(_xlfn.ISFORMULA(INDEX('Game Records'!$S:$S,$H295))),NOT(_xlfn.ISFORMULA(INDEX('Game Records'!$T:$T,$H295))),NOT(_xlfn.ISFORMULA(INDEX('Game Records'!$U:$U,$H295))),NOT(_xlfn.ISFORMULA(INDEX('Game Records'!$V:$V,$H295))),NOT(_xlfn.ISFORMULA(INDEX('Game Records'!$W:$W,$H295))),NOT(_xlfn.ISFORMULA(INDEX('Game Records'!$X:$X,$H295))),NOT(_xlfn.ISFORMULA(INDEX('Game Records'!$Y:$Y,$H295))),NOT(_xlfn.ISFORMULA(INDEX('Game Records'!$Z:$Z,$H295)))),"","")&amp;IF(INDEX('Game Records'!$B:$B,$H295)="","Start Date; ","")&amp;IF(INDEX('Game Records'!$C:$C,$H295)="","End Date; ","")&amp;IF(AND(INDEX('Game Records'!$U:$U,$H295)&lt;&gt;"Subscription",INDEX('Game Records'!$U:$U,$H295)&lt;&gt;"Free Game",INDEX('Game Records'!$U:$U,$H295)&lt;&gt;"Disqualified — Free Game",OR(INDEX('Game Records'!$D:$D,$H295)="",LOWER(INDEX('Game Records'!$D:$D,$H295)&amp;"")="n/a")),"Entry Mode; ","")&amp;IF(AND(INDEX('Game Records'!$U:$U,$H295)&lt;&gt;"Subscription",INDEX('Game Records'!$U:$U,$H295)&lt;&gt;"Free Game",INDEX('Game Records'!$U:$U,$H295)&lt;&gt;"Disqualified — Free Game",OR(INDEX('Game Records'!$E:$E,$H295)="",LOWER(INDEX('Game Records'!$E:$E,$H295)&amp;"")="n/a")),"Game Type; ","")&amp;IF(INDEX('Game Records'!$F:$F,$H295)="","Payment Type; ","")&amp;IF(AND(INDEX('Game Records'!$U:$U,$H295)&lt;&gt;"Subscription",INDEX('Game Records'!$U:$U,$H295)&lt;&gt;"Free Game",INDEX('Game Records'!$U:$U,$H295)&lt;&gt;"Disqualified — Free Game",INDEX('Game Records'!$G:$G,$H295)=""),"Gross Pot; ","")&amp;IF(AND(INDEX('Game Records'!$U:$U,$H295)&lt;&gt;"Free Game",INDEX('Game Records'!$U:$U,$H295)&lt;&gt;"Disqualified — Free Game",INDEX('Game Records'!$H:$H,$H295)=""),"Entry Fee; ","")&amp;IF(AND(INDEX('Game Records'!$U:$U,$H295)&lt;&gt;"Subscription",INDEX('Game Records'!$U:$U,$H295)&lt;&gt;"Free Game",INDEX('Game Records'!$U:$U,$H295)&lt;&gt;"Disqualified — Free Game",INDEX('Game Records'!$I:$I,$H295)=""),"Eligible Players; ","")&amp;IF(AND(INDEX('Game Records'!$U:$U,$H295)&lt;&gt;"Subscription",INDEX('Game Records'!$U:$U,$H295)&lt;&gt;"Free Game",INDEX('Game Records'!$U:$U,$H295)&lt;&gt;"Disqualified — Free Game",INDEX('Game Records'!$J:$J,$H295)=""),"Total Players; ","")&amp;IF(AND(LOWER(INDEX('Game Records'!$D:$D,$H295)&amp;"")="finalized",LOWER(INDEX('Game Records'!$L:$L,$H295)&amp;"")&lt;&gt;"yes",INDEX('Game Records'!$U:$U,$H295)&lt;&gt;"Subscription",INDEX('Game Records'!$U:$U,$H295)&lt;&gt;"Free Game",INDEX('Game Records'!$U:$U,$H295)&lt;&gt;"Disqualified — Free Game",INDEX('Game Records'!$K:$K,$H295)=""),"Final Payout; ","")&amp;IF(AND(LOWER(INDEX('Game Records'!$D:$D,$H295)&amp;"")="finalized",INDEX('Game Records'!$U:$U,$H295)&lt;&gt;"Subscription",INDEX('Game Records'!$U:$U,$H295)&lt;&gt;"Free Game",INDEX('Game Records'!$U:$U,$H295)&lt;&gt;"Disqualified — Free Game",OR(INDEX('Game Records'!$L:$L,$H295)="",LOWER(INDEX('Game Records'!$L:$L,$H295)&amp;"")="n/a")),"Disqualified Status; ",""))</f>
        <v/>
      </c>
      <c r="G295" s="25" t="str">
        <f t="array" ref="G295">IF($H295="","",IFERROR(INDEX('Game Records'!$M:$M,$H295),""))</f>
        <v/>
      </c>
      <c r="H295" s="8"/>
    </row>
    <row r="296" ht="24.0" customHeight="1">
      <c r="A296" s="21" t="str">
        <f t="shared" si="1"/>
        <v/>
      </c>
      <c r="B296" s="21" t="str">
        <f t="shared" si="2"/>
        <v/>
      </c>
      <c r="C296" s="25" t="str">
        <f t="array" ref="C296">IF($H296="","",IFERROR(INDEX('Game Records'!$A:$A,$H296),""))</f>
        <v/>
      </c>
      <c r="D296" s="25" t="str">
        <f t="array" ref="D296">IF($H296="","",IFERROR(INDEX('Game Records'!$U:$U,$H296),""))</f>
        <v/>
      </c>
      <c r="E296" s="25" t="str">
        <f t="shared" si="3"/>
        <v/>
      </c>
      <c r="F296" s="25" t="str">
        <f t="array" ref="F296">IF($H296="","",IF(OR(NOT(_xlfn.ISFORMULA(INDEX('Game Records'!$N:$N,$H296))),NOT(_xlfn.ISFORMULA(INDEX('Game Records'!$O:$O,$H296))),NOT(_xlfn.ISFORMULA(INDEX('Game Records'!$P:$P,$H296))),NOT(_xlfn.ISFORMULA(INDEX('Game Records'!$Q:$Q,$H296))),NOT(_xlfn.ISFORMULA(INDEX('Game Records'!$R:$R,$H296))),NOT(_xlfn.ISFORMULA(INDEX('Game Records'!$S:$S,$H296))),NOT(_xlfn.ISFORMULA(INDEX('Game Records'!$T:$T,$H296))),NOT(_xlfn.ISFORMULA(INDEX('Game Records'!$U:$U,$H296))),NOT(_xlfn.ISFORMULA(INDEX('Game Records'!$V:$V,$H296))),NOT(_xlfn.ISFORMULA(INDEX('Game Records'!$W:$W,$H296))),NOT(_xlfn.ISFORMULA(INDEX('Game Records'!$X:$X,$H296))),NOT(_xlfn.ISFORMULA(INDEX('Game Records'!$Y:$Y,$H296))),NOT(_xlfn.ISFORMULA(INDEX('Game Records'!$Z:$Z,$H296)))),"","")&amp;IF(INDEX('Game Records'!$B:$B,$H296)="","Start Date; ","")&amp;IF(INDEX('Game Records'!$C:$C,$H296)="","End Date; ","")&amp;IF(AND(INDEX('Game Records'!$U:$U,$H296)&lt;&gt;"Subscription",INDEX('Game Records'!$U:$U,$H296)&lt;&gt;"Free Game",INDEX('Game Records'!$U:$U,$H296)&lt;&gt;"Disqualified — Free Game",OR(INDEX('Game Records'!$D:$D,$H296)="",LOWER(INDEX('Game Records'!$D:$D,$H296)&amp;"")="n/a")),"Entry Mode; ","")&amp;IF(AND(INDEX('Game Records'!$U:$U,$H296)&lt;&gt;"Subscription",INDEX('Game Records'!$U:$U,$H296)&lt;&gt;"Free Game",INDEX('Game Records'!$U:$U,$H296)&lt;&gt;"Disqualified — Free Game",OR(INDEX('Game Records'!$E:$E,$H296)="",LOWER(INDEX('Game Records'!$E:$E,$H296)&amp;"")="n/a")),"Game Type; ","")&amp;IF(INDEX('Game Records'!$F:$F,$H296)="","Payment Type; ","")&amp;IF(AND(INDEX('Game Records'!$U:$U,$H296)&lt;&gt;"Subscription",INDEX('Game Records'!$U:$U,$H296)&lt;&gt;"Free Game",INDEX('Game Records'!$U:$U,$H296)&lt;&gt;"Disqualified — Free Game",INDEX('Game Records'!$G:$G,$H296)=""),"Gross Pot; ","")&amp;IF(AND(INDEX('Game Records'!$U:$U,$H296)&lt;&gt;"Free Game",INDEX('Game Records'!$U:$U,$H296)&lt;&gt;"Disqualified — Free Game",INDEX('Game Records'!$H:$H,$H296)=""),"Entry Fee; ","")&amp;IF(AND(INDEX('Game Records'!$U:$U,$H296)&lt;&gt;"Subscription",INDEX('Game Records'!$U:$U,$H296)&lt;&gt;"Free Game",INDEX('Game Records'!$U:$U,$H296)&lt;&gt;"Disqualified — Free Game",INDEX('Game Records'!$I:$I,$H296)=""),"Eligible Players; ","")&amp;IF(AND(INDEX('Game Records'!$U:$U,$H296)&lt;&gt;"Subscription",INDEX('Game Records'!$U:$U,$H296)&lt;&gt;"Free Game",INDEX('Game Records'!$U:$U,$H296)&lt;&gt;"Disqualified — Free Game",INDEX('Game Records'!$J:$J,$H296)=""),"Total Players; ","")&amp;IF(AND(LOWER(INDEX('Game Records'!$D:$D,$H296)&amp;"")="finalized",LOWER(INDEX('Game Records'!$L:$L,$H296)&amp;"")&lt;&gt;"yes",INDEX('Game Records'!$U:$U,$H296)&lt;&gt;"Subscription",INDEX('Game Records'!$U:$U,$H296)&lt;&gt;"Free Game",INDEX('Game Records'!$U:$U,$H296)&lt;&gt;"Disqualified — Free Game",INDEX('Game Records'!$K:$K,$H296)=""),"Final Payout; ","")&amp;IF(AND(LOWER(INDEX('Game Records'!$D:$D,$H296)&amp;"")="finalized",INDEX('Game Records'!$U:$U,$H296)&lt;&gt;"Subscription",INDEX('Game Records'!$U:$U,$H296)&lt;&gt;"Free Game",INDEX('Game Records'!$U:$U,$H296)&lt;&gt;"Disqualified — Free Game",OR(INDEX('Game Records'!$L:$L,$H296)="",LOWER(INDEX('Game Records'!$L:$L,$H296)&amp;"")="n/a")),"Disqualified Status; ",""))</f>
        <v/>
      </c>
      <c r="G296" s="25" t="str">
        <f t="array" ref="G296">IF($H296="","",IFERROR(INDEX('Game Records'!$M:$M,$H296),""))</f>
        <v/>
      </c>
      <c r="H296" s="8"/>
    </row>
    <row r="297" ht="24.0" customHeight="1">
      <c r="A297" s="21" t="str">
        <f t="shared" si="1"/>
        <v/>
      </c>
      <c r="B297" s="21" t="str">
        <f t="shared" si="2"/>
        <v/>
      </c>
      <c r="C297" s="25" t="str">
        <f t="array" ref="C297">IF($H297="","",IFERROR(INDEX('Game Records'!$A:$A,$H297),""))</f>
        <v/>
      </c>
      <c r="D297" s="25" t="str">
        <f t="array" ref="D297">IF($H297="","",IFERROR(INDEX('Game Records'!$U:$U,$H297),""))</f>
        <v/>
      </c>
      <c r="E297" s="25" t="str">
        <f t="shared" si="3"/>
        <v/>
      </c>
      <c r="F297" s="25" t="str">
        <f t="array" ref="F297">IF($H297="","",IF(OR(NOT(_xlfn.ISFORMULA(INDEX('Game Records'!$N:$N,$H297))),NOT(_xlfn.ISFORMULA(INDEX('Game Records'!$O:$O,$H297))),NOT(_xlfn.ISFORMULA(INDEX('Game Records'!$P:$P,$H297))),NOT(_xlfn.ISFORMULA(INDEX('Game Records'!$Q:$Q,$H297))),NOT(_xlfn.ISFORMULA(INDEX('Game Records'!$R:$R,$H297))),NOT(_xlfn.ISFORMULA(INDEX('Game Records'!$S:$S,$H297))),NOT(_xlfn.ISFORMULA(INDEX('Game Records'!$T:$T,$H297))),NOT(_xlfn.ISFORMULA(INDEX('Game Records'!$U:$U,$H297))),NOT(_xlfn.ISFORMULA(INDEX('Game Records'!$V:$V,$H297))),NOT(_xlfn.ISFORMULA(INDEX('Game Records'!$W:$W,$H297))),NOT(_xlfn.ISFORMULA(INDEX('Game Records'!$X:$X,$H297))),NOT(_xlfn.ISFORMULA(INDEX('Game Records'!$Y:$Y,$H297))),NOT(_xlfn.ISFORMULA(INDEX('Game Records'!$Z:$Z,$H297)))),"","")&amp;IF(INDEX('Game Records'!$B:$B,$H297)="","Start Date; ","")&amp;IF(INDEX('Game Records'!$C:$C,$H297)="","End Date; ","")&amp;IF(AND(INDEX('Game Records'!$U:$U,$H297)&lt;&gt;"Subscription",INDEX('Game Records'!$U:$U,$H297)&lt;&gt;"Free Game",INDEX('Game Records'!$U:$U,$H297)&lt;&gt;"Disqualified — Free Game",OR(INDEX('Game Records'!$D:$D,$H297)="",LOWER(INDEX('Game Records'!$D:$D,$H297)&amp;"")="n/a")),"Entry Mode; ","")&amp;IF(AND(INDEX('Game Records'!$U:$U,$H297)&lt;&gt;"Subscription",INDEX('Game Records'!$U:$U,$H297)&lt;&gt;"Free Game",INDEX('Game Records'!$U:$U,$H297)&lt;&gt;"Disqualified — Free Game",OR(INDEX('Game Records'!$E:$E,$H297)="",LOWER(INDEX('Game Records'!$E:$E,$H297)&amp;"")="n/a")),"Game Type; ","")&amp;IF(INDEX('Game Records'!$F:$F,$H297)="","Payment Type; ","")&amp;IF(AND(INDEX('Game Records'!$U:$U,$H297)&lt;&gt;"Subscription",INDEX('Game Records'!$U:$U,$H297)&lt;&gt;"Free Game",INDEX('Game Records'!$U:$U,$H297)&lt;&gt;"Disqualified — Free Game",INDEX('Game Records'!$G:$G,$H297)=""),"Gross Pot; ","")&amp;IF(AND(INDEX('Game Records'!$U:$U,$H297)&lt;&gt;"Free Game",INDEX('Game Records'!$U:$U,$H297)&lt;&gt;"Disqualified — Free Game",INDEX('Game Records'!$H:$H,$H297)=""),"Entry Fee; ","")&amp;IF(AND(INDEX('Game Records'!$U:$U,$H297)&lt;&gt;"Subscription",INDEX('Game Records'!$U:$U,$H297)&lt;&gt;"Free Game",INDEX('Game Records'!$U:$U,$H297)&lt;&gt;"Disqualified — Free Game",INDEX('Game Records'!$I:$I,$H297)=""),"Eligible Players; ","")&amp;IF(AND(INDEX('Game Records'!$U:$U,$H297)&lt;&gt;"Subscription",INDEX('Game Records'!$U:$U,$H297)&lt;&gt;"Free Game",INDEX('Game Records'!$U:$U,$H297)&lt;&gt;"Disqualified — Free Game",INDEX('Game Records'!$J:$J,$H297)=""),"Total Players; ","")&amp;IF(AND(LOWER(INDEX('Game Records'!$D:$D,$H297)&amp;"")="finalized",LOWER(INDEX('Game Records'!$L:$L,$H297)&amp;"")&lt;&gt;"yes",INDEX('Game Records'!$U:$U,$H297)&lt;&gt;"Subscription",INDEX('Game Records'!$U:$U,$H297)&lt;&gt;"Free Game",INDEX('Game Records'!$U:$U,$H297)&lt;&gt;"Disqualified — Free Game",INDEX('Game Records'!$K:$K,$H297)=""),"Final Payout; ","")&amp;IF(AND(LOWER(INDEX('Game Records'!$D:$D,$H297)&amp;"")="finalized",INDEX('Game Records'!$U:$U,$H297)&lt;&gt;"Subscription",INDEX('Game Records'!$U:$U,$H297)&lt;&gt;"Free Game",INDEX('Game Records'!$U:$U,$H297)&lt;&gt;"Disqualified — Free Game",OR(INDEX('Game Records'!$L:$L,$H297)="",LOWER(INDEX('Game Records'!$L:$L,$H297)&amp;"")="n/a")),"Disqualified Status; ",""))</f>
        <v/>
      </c>
      <c r="G297" s="25" t="str">
        <f t="array" ref="G297">IF($H297="","",IFERROR(INDEX('Game Records'!$M:$M,$H297),""))</f>
        <v/>
      </c>
      <c r="H297" s="8"/>
    </row>
    <row r="298" ht="24.0" customHeight="1">
      <c r="A298" s="21" t="str">
        <f t="shared" si="1"/>
        <v/>
      </c>
      <c r="B298" s="21" t="str">
        <f t="shared" si="2"/>
        <v/>
      </c>
      <c r="C298" s="25" t="str">
        <f t="array" ref="C298">IF($H298="","",IFERROR(INDEX('Game Records'!$A:$A,$H298),""))</f>
        <v/>
      </c>
      <c r="D298" s="25" t="str">
        <f t="array" ref="D298">IF($H298="","",IFERROR(INDEX('Game Records'!$U:$U,$H298),""))</f>
        <v/>
      </c>
      <c r="E298" s="25" t="str">
        <f t="shared" si="3"/>
        <v/>
      </c>
      <c r="F298" s="25" t="str">
        <f t="array" ref="F298">IF($H298="","",IF(OR(NOT(_xlfn.ISFORMULA(INDEX('Game Records'!$N:$N,$H298))),NOT(_xlfn.ISFORMULA(INDEX('Game Records'!$O:$O,$H298))),NOT(_xlfn.ISFORMULA(INDEX('Game Records'!$P:$P,$H298))),NOT(_xlfn.ISFORMULA(INDEX('Game Records'!$Q:$Q,$H298))),NOT(_xlfn.ISFORMULA(INDEX('Game Records'!$R:$R,$H298))),NOT(_xlfn.ISFORMULA(INDEX('Game Records'!$S:$S,$H298))),NOT(_xlfn.ISFORMULA(INDEX('Game Records'!$T:$T,$H298))),NOT(_xlfn.ISFORMULA(INDEX('Game Records'!$U:$U,$H298))),NOT(_xlfn.ISFORMULA(INDEX('Game Records'!$V:$V,$H298))),NOT(_xlfn.ISFORMULA(INDEX('Game Records'!$W:$W,$H298))),NOT(_xlfn.ISFORMULA(INDEX('Game Records'!$X:$X,$H298))),NOT(_xlfn.ISFORMULA(INDEX('Game Records'!$Y:$Y,$H298))),NOT(_xlfn.ISFORMULA(INDEX('Game Records'!$Z:$Z,$H298)))),"","")&amp;IF(INDEX('Game Records'!$B:$B,$H298)="","Start Date; ","")&amp;IF(INDEX('Game Records'!$C:$C,$H298)="","End Date; ","")&amp;IF(AND(INDEX('Game Records'!$U:$U,$H298)&lt;&gt;"Subscription",INDEX('Game Records'!$U:$U,$H298)&lt;&gt;"Free Game",INDEX('Game Records'!$U:$U,$H298)&lt;&gt;"Disqualified — Free Game",OR(INDEX('Game Records'!$D:$D,$H298)="",LOWER(INDEX('Game Records'!$D:$D,$H298)&amp;"")="n/a")),"Entry Mode; ","")&amp;IF(AND(INDEX('Game Records'!$U:$U,$H298)&lt;&gt;"Subscription",INDEX('Game Records'!$U:$U,$H298)&lt;&gt;"Free Game",INDEX('Game Records'!$U:$U,$H298)&lt;&gt;"Disqualified — Free Game",OR(INDEX('Game Records'!$E:$E,$H298)="",LOWER(INDEX('Game Records'!$E:$E,$H298)&amp;"")="n/a")),"Game Type; ","")&amp;IF(INDEX('Game Records'!$F:$F,$H298)="","Payment Type; ","")&amp;IF(AND(INDEX('Game Records'!$U:$U,$H298)&lt;&gt;"Subscription",INDEX('Game Records'!$U:$U,$H298)&lt;&gt;"Free Game",INDEX('Game Records'!$U:$U,$H298)&lt;&gt;"Disqualified — Free Game",INDEX('Game Records'!$G:$G,$H298)=""),"Gross Pot; ","")&amp;IF(AND(INDEX('Game Records'!$U:$U,$H298)&lt;&gt;"Free Game",INDEX('Game Records'!$U:$U,$H298)&lt;&gt;"Disqualified — Free Game",INDEX('Game Records'!$H:$H,$H298)=""),"Entry Fee; ","")&amp;IF(AND(INDEX('Game Records'!$U:$U,$H298)&lt;&gt;"Subscription",INDEX('Game Records'!$U:$U,$H298)&lt;&gt;"Free Game",INDEX('Game Records'!$U:$U,$H298)&lt;&gt;"Disqualified — Free Game",INDEX('Game Records'!$I:$I,$H298)=""),"Eligible Players; ","")&amp;IF(AND(INDEX('Game Records'!$U:$U,$H298)&lt;&gt;"Subscription",INDEX('Game Records'!$U:$U,$H298)&lt;&gt;"Free Game",INDEX('Game Records'!$U:$U,$H298)&lt;&gt;"Disqualified — Free Game",INDEX('Game Records'!$J:$J,$H298)=""),"Total Players; ","")&amp;IF(AND(LOWER(INDEX('Game Records'!$D:$D,$H298)&amp;"")="finalized",LOWER(INDEX('Game Records'!$L:$L,$H298)&amp;"")&lt;&gt;"yes",INDEX('Game Records'!$U:$U,$H298)&lt;&gt;"Subscription",INDEX('Game Records'!$U:$U,$H298)&lt;&gt;"Free Game",INDEX('Game Records'!$U:$U,$H298)&lt;&gt;"Disqualified — Free Game",INDEX('Game Records'!$K:$K,$H298)=""),"Final Payout; ","")&amp;IF(AND(LOWER(INDEX('Game Records'!$D:$D,$H298)&amp;"")="finalized",INDEX('Game Records'!$U:$U,$H298)&lt;&gt;"Subscription",INDEX('Game Records'!$U:$U,$H298)&lt;&gt;"Free Game",INDEX('Game Records'!$U:$U,$H298)&lt;&gt;"Disqualified — Free Game",OR(INDEX('Game Records'!$L:$L,$H298)="",LOWER(INDEX('Game Records'!$L:$L,$H298)&amp;"")="n/a")),"Disqualified Status; ",""))</f>
        <v/>
      </c>
      <c r="G298" s="25" t="str">
        <f t="array" ref="G298">IF($H298="","",IFERROR(INDEX('Game Records'!$M:$M,$H298),""))</f>
        <v/>
      </c>
      <c r="H298" s="8"/>
    </row>
    <row r="299" ht="24.0" customHeight="1">
      <c r="A299" s="21" t="str">
        <f t="shared" si="1"/>
        <v/>
      </c>
      <c r="B299" s="21" t="str">
        <f t="shared" si="2"/>
        <v/>
      </c>
      <c r="C299" s="25" t="str">
        <f t="array" ref="C299">IF($H299="","",IFERROR(INDEX('Game Records'!$A:$A,$H299),""))</f>
        <v/>
      </c>
      <c r="D299" s="25" t="str">
        <f t="array" ref="D299">IF($H299="","",IFERROR(INDEX('Game Records'!$U:$U,$H299),""))</f>
        <v/>
      </c>
      <c r="E299" s="25" t="str">
        <f t="shared" si="3"/>
        <v/>
      </c>
      <c r="F299" s="25" t="str">
        <f t="array" ref="F299">IF($H299="","",IF(OR(NOT(_xlfn.ISFORMULA(INDEX('Game Records'!$N:$N,$H299))),NOT(_xlfn.ISFORMULA(INDEX('Game Records'!$O:$O,$H299))),NOT(_xlfn.ISFORMULA(INDEX('Game Records'!$P:$P,$H299))),NOT(_xlfn.ISFORMULA(INDEX('Game Records'!$Q:$Q,$H299))),NOT(_xlfn.ISFORMULA(INDEX('Game Records'!$R:$R,$H299))),NOT(_xlfn.ISFORMULA(INDEX('Game Records'!$S:$S,$H299))),NOT(_xlfn.ISFORMULA(INDEX('Game Records'!$T:$T,$H299))),NOT(_xlfn.ISFORMULA(INDEX('Game Records'!$U:$U,$H299))),NOT(_xlfn.ISFORMULA(INDEX('Game Records'!$V:$V,$H299))),NOT(_xlfn.ISFORMULA(INDEX('Game Records'!$W:$W,$H299))),NOT(_xlfn.ISFORMULA(INDEX('Game Records'!$X:$X,$H299))),NOT(_xlfn.ISFORMULA(INDEX('Game Records'!$Y:$Y,$H299))),NOT(_xlfn.ISFORMULA(INDEX('Game Records'!$Z:$Z,$H299)))),"","")&amp;IF(INDEX('Game Records'!$B:$B,$H299)="","Start Date; ","")&amp;IF(INDEX('Game Records'!$C:$C,$H299)="","End Date; ","")&amp;IF(AND(INDEX('Game Records'!$U:$U,$H299)&lt;&gt;"Subscription",INDEX('Game Records'!$U:$U,$H299)&lt;&gt;"Free Game",INDEX('Game Records'!$U:$U,$H299)&lt;&gt;"Disqualified — Free Game",OR(INDEX('Game Records'!$D:$D,$H299)="",LOWER(INDEX('Game Records'!$D:$D,$H299)&amp;"")="n/a")),"Entry Mode; ","")&amp;IF(AND(INDEX('Game Records'!$U:$U,$H299)&lt;&gt;"Subscription",INDEX('Game Records'!$U:$U,$H299)&lt;&gt;"Free Game",INDEX('Game Records'!$U:$U,$H299)&lt;&gt;"Disqualified — Free Game",OR(INDEX('Game Records'!$E:$E,$H299)="",LOWER(INDEX('Game Records'!$E:$E,$H299)&amp;"")="n/a")),"Game Type; ","")&amp;IF(INDEX('Game Records'!$F:$F,$H299)="","Payment Type; ","")&amp;IF(AND(INDEX('Game Records'!$U:$U,$H299)&lt;&gt;"Subscription",INDEX('Game Records'!$U:$U,$H299)&lt;&gt;"Free Game",INDEX('Game Records'!$U:$U,$H299)&lt;&gt;"Disqualified — Free Game",INDEX('Game Records'!$G:$G,$H299)=""),"Gross Pot; ","")&amp;IF(AND(INDEX('Game Records'!$U:$U,$H299)&lt;&gt;"Free Game",INDEX('Game Records'!$U:$U,$H299)&lt;&gt;"Disqualified — Free Game",INDEX('Game Records'!$H:$H,$H299)=""),"Entry Fee; ","")&amp;IF(AND(INDEX('Game Records'!$U:$U,$H299)&lt;&gt;"Subscription",INDEX('Game Records'!$U:$U,$H299)&lt;&gt;"Free Game",INDEX('Game Records'!$U:$U,$H299)&lt;&gt;"Disqualified — Free Game",INDEX('Game Records'!$I:$I,$H299)=""),"Eligible Players; ","")&amp;IF(AND(INDEX('Game Records'!$U:$U,$H299)&lt;&gt;"Subscription",INDEX('Game Records'!$U:$U,$H299)&lt;&gt;"Free Game",INDEX('Game Records'!$U:$U,$H299)&lt;&gt;"Disqualified — Free Game",INDEX('Game Records'!$J:$J,$H299)=""),"Total Players; ","")&amp;IF(AND(LOWER(INDEX('Game Records'!$D:$D,$H299)&amp;"")="finalized",LOWER(INDEX('Game Records'!$L:$L,$H299)&amp;"")&lt;&gt;"yes",INDEX('Game Records'!$U:$U,$H299)&lt;&gt;"Subscription",INDEX('Game Records'!$U:$U,$H299)&lt;&gt;"Free Game",INDEX('Game Records'!$U:$U,$H299)&lt;&gt;"Disqualified — Free Game",INDEX('Game Records'!$K:$K,$H299)=""),"Final Payout; ","")&amp;IF(AND(LOWER(INDEX('Game Records'!$D:$D,$H299)&amp;"")="finalized",INDEX('Game Records'!$U:$U,$H299)&lt;&gt;"Subscription",INDEX('Game Records'!$U:$U,$H299)&lt;&gt;"Free Game",INDEX('Game Records'!$U:$U,$H299)&lt;&gt;"Disqualified — Free Game",OR(INDEX('Game Records'!$L:$L,$H299)="",LOWER(INDEX('Game Records'!$L:$L,$H299)&amp;"")="n/a")),"Disqualified Status; ",""))</f>
        <v/>
      </c>
      <c r="G299" s="25" t="str">
        <f t="array" ref="G299">IF($H299="","",IFERROR(INDEX('Game Records'!$M:$M,$H299),""))</f>
        <v/>
      </c>
      <c r="H299" s="8"/>
    </row>
    <row r="300" ht="24.0" customHeight="1">
      <c r="A300" s="21" t="str">
        <f t="shared" si="1"/>
        <v/>
      </c>
      <c r="B300" s="21" t="str">
        <f t="shared" si="2"/>
        <v/>
      </c>
      <c r="C300" s="25" t="str">
        <f t="array" ref="C300">IF($H300="","",IFERROR(INDEX('Game Records'!$A:$A,$H300),""))</f>
        <v/>
      </c>
      <c r="D300" s="25" t="str">
        <f t="array" ref="D300">IF($H300="","",IFERROR(INDEX('Game Records'!$U:$U,$H300),""))</f>
        <v/>
      </c>
      <c r="E300" s="25" t="str">
        <f t="shared" si="3"/>
        <v/>
      </c>
      <c r="F300" s="25" t="str">
        <f t="array" ref="F300">IF($H300="","",IF(OR(NOT(_xlfn.ISFORMULA(INDEX('Game Records'!$N:$N,$H300))),NOT(_xlfn.ISFORMULA(INDEX('Game Records'!$O:$O,$H300))),NOT(_xlfn.ISFORMULA(INDEX('Game Records'!$P:$P,$H300))),NOT(_xlfn.ISFORMULA(INDEX('Game Records'!$Q:$Q,$H300))),NOT(_xlfn.ISFORMULA(INDEX('Game Records'!$R:$R,$H300))),NOT(_xlfn.ISFORMULA(INDEX('Game Records'!$S:$S,$H300))),NOT(_xlfn.ISFORMULA(INDEX('Game Records'!$T:$T,$H300))),NOT(_xlfn.ISFORMULA(INDEX('Game Records'!$U:$U,$H300))),NOT(_xlfn.ISFORMULA(INDEX('Game Records'!$V:$V,$H300))),NOT(_xlfn.ISFORMULA(INDEX('Game Records'!$W:$W,$H300))),NOT(_xlfn.ISFORMULA(INDEX('Game Records'!$X:$X,$H300))),NOT(_xlfn.ISFORMULA(INDEX('Game Records'!$Y:$Y,$H300))),NOT(_xlfn.ISFORMULA(INDEX('Game Records'!$Z:$Z,$H300)))),"","")&amp;IF(INDEX('Game Records'!$B:$B,$H300)="","Start Date; ","")&amp;IF(INDEX('Game Records'!$C:$C,$H300)="","End Date; ","")&amp;IF(AND(INDEX('Game Records'!$U:$U,$H300)&lt;&gt;"Subscription",INDEX('Game Records'!$U:$U,$H300)&lt;&gt;"Free Game",INDEX('Game Records'!$U:$U,$H300)&lt;&gt;"Disqualified — Free Game",OR(INDEX('Game Records'!$D:$D,$H300)="",LOWER(INDEX('Game Records'!$D:$D,$H300)&amp;"")="n/a")),"Entry Mode; ","")&amp;IF(AND(INDEX('Game Records'!$U:$U,$H300)&lt;&gt;"Subscription",INDEX('Game Records'!$U:$U,$H300)&lt;&gt;"Free Game",INDEX('Game Records'!$U:$U,$H300)&lt;&gt;"Disqualified — Free Game",OR(INDEX('Game Records'!$E:$E,$H300)="",LOWER(INDEX('Game Records'!$E:$E,$H300)&amp;"")="n/a")),"Game Type; ","")&amp;IF(INDEX('Game Records'!$F:$F,$H300)="","Payment Type; ","")&amp;IF(AND(INDEX('Game Records'!$U:$U,$H300)&lt;&gt;"Subscription",INDEX('Game Records'!$U:$U,$H300)&lt;&gt;"Free Game",INDEX('Game Records'!$U:$U,$H300)&lt;&gt;"Disqualified — Free Game",INDEX('Game Records'!$G:$G,$H300)=""),"Gross Pot; ","")&amp;IF(AND(INDEX('Game Records'!$U:$U,$H300)&lt;&gt;"Free Game",INDEX('Game Records'!$U:$U,$H300)&lt;&gt;"Disqualified — Free Game",INDEX('Game Records'!$H:$H,$H300)=""),"Entry Fee; ","")&amp;IF(AND(INDEX('Game Records'!$U:$U,$H300)&lt;&gt;"Subscription",INDEX('Game Records'!$U:$U,$H300)&lt;&gt;"Free Game",INDEX('Game Records'!$U:$U,$H300)&lt;&gt;"Disqualified — Free Game",INDEX('Game Records'!$I:$I,$H300)=""),"Eligible Players; ","")&amp;IF(AND(INDEX('Game Records'!$U:$U,$H300)&lt;&gt;"Subscription",INDEX('Game Records'!$U:$U,$H300)&lt;&gt;"Free Game",INDEX('Game Records'!$U:$U,$H300)&lt;&gt;"Disqualified — Free Game",INDEX('Game Records'!$J:$J,$H300)=""),"Total Players; ","")&amp;IF(AND(LOWER(INDEX('Game Records'!$D:$D,$H300)&amp;"")="finalized",LOWER(INDEX('Game Records'!$L:$L,$H300)&amp;"")&lt;&gt;"yes",INDEX('Game Records'!$U:$U,$H300)&lt;&gt;"Subscription",INDEX('Game Records'!$U:$U,$H300)&lt;&gt;"Free Game",INDEX('Game Records'!$U:$U,$H300)&lt;&gt;"Disqualified — Free Game",INDEX('Game Records'!$K:$K,$H300)=""),"Final Payout; ","")&amp;IF(AND(LOWER(INDEX('Game Records'!$D:$D,$H300)&amp;"")="finalized",INDEX('Game Records'!$U:$U,$H300)&lt;&gt;"Subscription",INDEX('Game Records'!$U:$U,$H300)&lt;&gt;"Free Game",INDEX('Game Records'!$U:$U,$H300)&lt;&gt;"Disqualified — Free Game",OR(INDEX('Game Records'!$L:$L,$H300)="",LOWER(INDEX('Game Records'!$L:$L,$H300)&amp;"")="n/a")),"Disqualified Status; ",""))</f>
        <v/>
      </c>
      <c r="G300" s="25" t="str">
        <f t="array" ref="G300">IF($H300="","",IFERROR(INDEX('Game Records'!$M:$M,$H300),""))</f>
        <v/>
      </c>
      <c r="H300" s="8"/>
    </row>
    <row r="301" ht="24.0" customHeight="1">
      <c r="A301" s="21" t="str">
        <f t="shared" si="1"/>
        <v/>
      </c>
      <c r="B301" s="21" t="str">
        <f t="shared" si="2"/>
        <v/>
      </c>
      <c r="C301" s="25" t="str">
        <f t="array" ref="C301">IF($H301="","",IFERROR(INDEX('Game Records'!$A:$A,$H301),""))</f>
        <v/>
      </c>
      <c r="D301" s="25" t="str">
        <f t="array" ref="D301">IF($H301="","",IFERROR(INDEX('Game Records'!$U:$U,$H301),""))</f>
        <v/>
      </c>
      <c r="E301" s="25" t="str">
        <f t="shared" si="3"/>
        <v/>
      </c>
      <c r="F301" s="25" t="str">
        <f t="array" ref="F301">IF($H301="","",IF(OR(NOT(_xlfn.ISFORMULA(INDEX('Game Records'!$N:$N,$H301))),NOT(_xlfn.ISFORMULA(INDEX('Game Records'!$O:$O,$H301))),NOT(_xlfn.ISFORMULA(INDEX('Game Records'!$P:$P,$H301))),NOT(_xlfn.ISFORMULA(INDEX('Game Records'!$Q:$Q,$H301))),NOT(_xlfn.ISFORMULA(INDEX('Game Records'!$R:$R,$H301))),NOT(_xlfn.ISFORMULA(INDEX('Game Records'!$S:$S,$H301))),NOT(_xlfn.ISFORMULA(INDEX('Game Records'!$T:$T,$H301))),NOT(_xlfn.ISFORMULA(INDEX('Game Records'!$U:$U,$H301))),NOT(_xlfn.ISFORMULA(INDEX('Game Records'!$V:$V,$H301))),NOT(_xlfn.ISFORMULA(INDEX('Game Records'!$W:$W,$H301))),NOT(_xlfn.ISFORMULA(INDEX('Game Records'!$X:$X,$H301))),NOT(_xlfn.ISFORMULA(INDEX('Game Records'!$Y:$Y,$H301))),NOT(_xlfn.ISFORMULA(INDEX('Game Records'!$Z:$Z,$H301)))),"","")&amp;IF(INDEX('Game Records'!$B:$B,$H301)="","Start Date; ","")&amp;IF(INDEX('Game Records'!$C:$C,$H301)="","End Date; ","")&amp;IF(AND(INDEX('Game Records'!$U:$U,$H301)&lt;&gt;"Subscription",INDEX('Game Records'!$U:$U,$H301)&lt;&gt;"Free Game",INDEX('Game Records'!$U:$U,$H301)&lt;&gt;"Disqualified — Free Game",OR(INDEX('Game Records'!$D:$D,$H301)="",LOWER(INDEX('Game Records'!$D:$D,$H301)&amp;"")="n/a")),"Entry Mode; ","")&amp;IF(AND(INDEX('Game Records'!$U:$U,$H301)&lt;&gt;"Subscription",INDEX('Game Records'!$U:$U,$H301)&lt;&gt;"Free Game",INDEX('Game Records'!$U:$U,$H301)&lt;&gt;"Disqualified — Free Game",OR(INDEX('Game Records'!$E:$E,$H301)="",LOWER(INDEX('Game Records'!$E:$E,$H301)&amp;"")="n/a")),"Game Type; ","")&amp;IF(INDEX('Game Records'!$F:$F,$H301)="","Payment Type; ","")&amp;IF(AND(INDEX('Game Records'!$U:$U,$H301)&lt;&gt;"Subscription",INDEX('Game Records'!$U:$U,$H301)&lt;&gt;"Free Game",INDEX('Game Records'!$U:$U,$H301)&lt;&gt;"Disqualified — Free Game",INDEX('Game Records'!$G:$G,$H301)=""),"Gross Pot; ","")&amp;IF(AND(INDEX('Game Records'!$U:$U,$H301)&lt;&gt;"Free Game",INDEX('Game Records'!$U:$U,$H301)&lt;&gt;"Disqualified — Free Game",INDEX('Game Records'!$H:$H,$H301)=""),"Entry Fee; ","")&amp;IF(AND(INDEX('Game Records'!$U:$U,$H301)&lt;&gt;"Subscription",INDEX('Game Records'!$U:$U,$H301)&lt;&gt;"Free Game",INDEX('Game Records'!$U:$U,$H301)&lt;&gt;"Disqualified — Free Game",INDEX('Game Records'!$I:$I,$H301)=""),"Eligible Players; ","")&amp;IF(AND(INDEX('Game Records'!$U:$U,$H301)&lt;&gt;"Subscription",INDEX('Game Records'!$U:$U,$H301)&lt;&gt;"Free Game",INDEX('Game Records'!$U:$U,$H301)&lt;&gt;"Disqualified — Free Game",INDEX('Game Records'!$J:$J,$H301)=""),"Total Players; ","")&amp;IF(AND(LOWER(INDEX('Game Records'!$D:$D,$H301)&amp;"")="finalized",LOWER(INDEX('Game Records'!$L:$L,$H301)&amp;"")&lt;&gt;"yes",INDEX('Game Records'!$U:$U,$H301)&lt;&gt;"Subscription",INDEX('Game Records'!$U:$U,$H301)&lt;&gt;"Free Game",INDEX('Game Records'!$U:$U,$H301)&lt;&gt;"Disqualified — Free Game",INDEX('Game Records'!$K:$K,$H301)=""),"Final Payout; ","")&amp;IF(AND(LOWER(INDEX('Game Records'!$D:$D,$H301)&amp;"")="finalized",INDEX('Game Records'!$U:$U,$H301)&lt;&gt;"Subscription",INDEX('Game Records'!$U:$U,$H301)&lt;&gt;"Free Game",INDEX('Game Records'!$U:$U,$H301)&lt;&gt;"Disqualified — Free Game",OR(INDEX('Game Records'!$L:$L,$H301)="",LOWER(INDEX('Game Records'!$L:$L,$H301)&amp;"")="n/a")),"Disqualified Status; ",""))</f>
        <v/>
      </c>
      <c r="G301" s="25" t="str">
        <f t="array" ref="G301">IF($H301="","",IFERROR(INDEX('Game Records'!$M:$M,$H301),""))</f>
        <v/>
      </c>
      <c r="H301" s="8"/>
    </row>
    <row r="302" ht="24.0" customHeight="1">
      <c r="A302" s="21" t="str">
        <f t="shared" si="1"/>
        <v/>
      </c>
      <c r="B302" s="21" t="str">
        <f t="shared" si="2"/>
        <v/>
      </c>
      <c r="C302" s="25" t="str">
        <f t="array" ref="C302">IF($H302="","",IFERROR(INDEX('Game Records'!$A:$A,$H302),""))</f>
        <v/>
      </c>
      <c r="D302" s="25" t="str">
        <f t="array" ref="D302">IF($H302="","",IFERROR(INDEX('Game Records'!$U:$U,$H302),""))</f>
        <v/>
      </c>
      <c r="E302" s="25" t="str">
        <f t="shared" si="3"/>
        <v/>
      </c>
      <c r="F302" s="25" t="str">
        <f t="array" ref="F302">IF($H302="","",IF(OR(NOT(_xlfn.ISFORMULA(INDEX('Game Records'!$N:$N,$H302))),NOT(_xlfn.ISFORMULA(INDEX('Game Records'!$O:$O,$H302))),NOT(_xlfn.ISFORMULA(INDEX('Game Records'!$P:$P,$H302))),NOT(_xlfn.ISFORMULA(INDEX('Game Records'!$Q:$Q,$H302))),NOT(_xlfn.ISFORMULA(INDEX('Game Records'!$R:$R,$H302))),NOT(_xlfn.ISFORMULA(INDEX('Game Records'!$S:$S,$H302))),NOT(_xlfn.ISFORMULA(INDEX('Game Records'!$T:$T,$H302))),NOT(_xlfn.ISFORMULA(INDEX('Game Records'!$U:$U,$H302))),NOT(_xlfn.ISFORMULA(INDEX('Game Records'!$V:$V,$H302))),NOT(_xlfn.ISFORMULA(INDEX('Game Records'!$W:$W,$H302))),NOT(_xlfn.ISFORMULA(INDEX('Game Records'!$X:$X,$H302))),NOT(_xlfn.ISFORMULA(INDEX('Game Records'!$Y:$Y,$H302))),NOT(_xlfn.ISFORMULA(INDEX('Game Records'!$Z:$Z,$H302)))),"","")&amp;IF(INDEX('Game Records'!$B:$B,$H302)="","Start Date; ","")&amp;IF(INDEX('Game Records'!$C:$C,$H302)="","End Date; ","")&amp;IF(AND(INDEX('Game Records'!$U:$U,$H302)&lt;&gt;"Subscription",INDEX('Game Records'!$U:$U,$H302)&lt;&gt;"Free Game",INDEX('Game Records'!$U:$U,$H302)&lt;&gt;"Disqualified — Free Game",OR(INDEX('Game Records'!$D:$D,$H302)="",LOWER(INDEX('Game Records'!$D:$D,$H302)&amp;"")="n/a")),"Entry Mode; ","")&amp;IF(AND(INDEX('Game Records'!$U:$U,$H302)&lt;&gt;"Subscription",INDEX('Game Records'!$U:$U,$H302)&lt;&gt;"Free Game",INDEX('Game Records'!$U:$U,$H302)&lt;&gt;"Disqualified — Free Game",OR(INDEX('Game Records'!$E:$E,$H302)="",LOWER(INDEX('Game Records'!$E:$E,$H302)&amp;"")="n/a")),"Game Type; ","")&amp;IF(INDEX('Game Records'!$F:$F,$H302)="","Payment Type; ","")&amp;IF(AND(INDEX('Game Records'!$U:$U,$H302)&lt;&gt;"Subscription",INDEX('Game Records'!$U:$U,$H302)&lt;&gt;"Free Game",INDEX('Game Records'!$U:$U,$H302)&lt;&gt;"Disqualified — Free Game",INDEX('Game Records'!$G:$G,$H302)=""),"Gross Pot; ","")&amp;IF(AND(INDEX('Game Records'!$U:$U,$H302)&lt;&gt;"Free Game",INDEX('Game Records'!$U:$U,$H302)&lt;&gt;"Disqualified — Free Game",INDEX('Game Records'!$H:$H,$H302)=""),"Entry Fee; ","")&amp;IF(AND(INDEX('Game Records'!$U:$U,$H302)&lt;&gt;"Subscription",INDEX('Game Records'!$U:$U,$H302)&lt;&gt;"Free Game",INDEX('Game Records'!$U:$U,$H302)&lt;&gt;"Disqualified — Free Game",INDEX('Game Records'!$I:$I,$H302)=""),"Eligible Players; ","")&amp;IF(AND(INDEX('Game Records'!$U:$U,$H302)&lt;&gt;"Subscription",INDEX('Game Records'!$U:$U,$H302)&lt;&gt;"Free Game",INDEX('Game Records'!$U:$U,$H302)&lt;&gt;"Disqualified — Free Game",INDEX('Game Records'!$J:$J,$H302)=""),"Total Players; ","")&amp;IF(AND(LOWER(INDEX('Game Records'!$D:$D,$H302)&amp;"")="finalized",LOWER(INDEX('Game Records'!$L:$L,$H302)&amp;"")&lt;&gt;"yes",INDEX('Game Records'!$U:$U,$H302)&lt;&gt;"Subscription",INDEX('Game Records'!$U:$U,$H302)&lt;&gt;"Free Game",INDEX('Game Records'!$U:$U,$H302)&lt;&gt;"Disqualified — Free Game",INDEX('Game Records'!$K:$K,$H302)=""),"Final Payout; ","")&amp;IF(AND(LOWER(INDEX('Game Records'!$D:$D,$H302)&amp;"")="finalized",INDEX('Game Records'!$U:$U,$H302)&lt;&gt;"Subscription",INDEX('Game Records'!$U:$U,$H302)&lt;&gt;"Free Game",INDEX('Game Records'!$U:$U,$H302)&lt;&gt;"Disqualified — Free Game",OR(INDEX('Game Records'!$L:$L,$H302)="",LOWER(INDEX('Game Records'!$L:$L,$H302)&amp;"")="n/a")),"Disqualified Status; ",""))</f>
        <v/>
      </c>
      <c r="G302" s="25" t="str">
        <f t="array" ref="G302">IF($H302="","",IFERROR(INDEX('Game Records'!$M:$M,$H302),""))</f>
        <v/>
      </c>
      <c r="H302" s="8"/>
    </row>
    <row r="303" ht="24.0" customHeight="1">
      <c r="A303" s="21" t="str">
        <f t="shared" si="1"/>
        <v/>
      </c>
      <c r="B303" s="21" t="str">
        <f t="shared" si="2"/>
        <v/>
      </c>
      <c r="C303" s="25" t="str">
        <f t="array" ref="C303">IF($H303="","",IFERROR(INDEX('Game Records'!$A:$A,$H303),""))</f>
        <v/>
      </c>
      <c r="D303" s="25" t="str">
        <f t="array" ref="D303">IF($H303="","",IFERROR(INDEX('Game Records'!$U:$U,$H303),""))</f>
        <v/>
      </c>
      <c r="E303" s="25" t="str">
        <f t="shared" si="3"/>
        <v/>
      </c>
      <c r="F303" s="25" t="str">
        <f t="array" ref="F303">IF($H303="","",IF(OR(NOT(_xlfn.ISFORMULA(INDEX('Game Records'!$N:$N,$H303))),NOT(_xlfn.ISFORMULA(INDEX('Game Records'!$O:$O,$H303))),NOT(_xlfn.ISFORMULA(INDEX('Game Records'!$P:$P,$H303))),NOT(_xlfn.ISFORMULA(INDEX('Game Records'!$Q:$Q,$H303))),NOT(_xlfn.ISFORMULA(INDEX('Game Records'!$R:$R,$H303))),NOT(_xlfn.ISFORMULA(INDEX('Game Records'!$S:$S,$H303))),NOT(_xlfn.ISFORMULA(INDEX('Game Records'!$T:$T,$H303))),NOT(_xlfn.ISFORMULA(INDEX('Game Records'!$U:$U,$H303))),NOT(_xlfn.ISFORMULA(INDEX('Game Records'!$V:$V,$H303))),NOT(_xlfn.ISFORMULA(INDEX('Game Records'!$W:$W,$H303))),NOT(_xlfn.ISFORMULA(INDEX('Game Records'!$X:$X,$H303))),NOT(_xlfn.ISFORMULA(INDEX('Game Records'!$Y:$Y,$H303))),NOT(_xlfn.ISFORMULA(INDEX('Game Records'!$Z:$Z,$H303)))),"","")&amp;IF(INDEX('Game Records'!$B:$B,$H303)="","Start Date; ","")&amp;IF(INDEX('Game Records'!$C:$C,$H303)="","End Date; ","")&amp;IF(AND(INDEX('Game Records'!$U:$U,$H303)&lt;&gt;"Subscription",INDEX('Game Records'!$U:$U,$H303)&lt;&gt;"Free Game",INDEX('Game Records'!$U:$U,$H303)&lt;&gt;"Disqualified — Free Game",OR(INDEX('Game Records'!$D:$D,$H303)="",LOWER(INDEX('Game Records'!$D:$D,$H303)&amp;"")="n/a")),"Entry Mode; ","")&amp;IF(AND(INDEX('Game Records'!$U:$U,$H303)&lt;&gt;"Subscription",INDEX('Game Records'!$U:$U,$H303)&lt;&gt;"Free Game",INDEX('Game Records'!$U:$U,$H303)&lt;&gt;"Disqualified — Free Game",OR(INDEX('Game Records'!$E:$E,$H303)="",LOWER(INDEX('Game Records'!$E:$E,$H303)&amp;"")="n/a")),"Game Type; ","")&amp;IF(INDEX('Game Records'!$F:$F,$H303)="","Payment Type; ","")&amp;IF(AND(INDEX('Game Records'!$U:$U,$H303)&lt;&gt;"Subscription",INDEX('Game Records'!$U:$U,$H303)&lt;&gt;"Free Game",INDEX('Game Records'!$U:$U,$H303)&lt;&gt;"Disqualified — Free Game",INDEX('Game Records'!$G:$G,$H303)=""),"Gross Pot; ","")&amp;IF(AND(INDEX('Game Records'!$U:$U,$H303)&lt;&gt;"Free Game",INDEX('Game Records'!$U:$U,$H303)&lt;&gt;"Disqualified — Free Game",INDEX('Game Records'!$H:$H,$H303)=""),"Entry Fee; ","")&amp;IF(AND(INDEX('Game Records'!$U:$U,$H303)&lt;&gt;"Subscription",INDEX('Game Records'!$U:$U,$H303)&lt;&gt;"Free Game",INDEX('Game Records'!$U:$U,$H303)&lt;&gt;"Disqualified — Free Game",INDEX('Game Records'!$I:$I,$H303)=""),"Eligible Players; ","")&amp;IF(AND(INDEX('Game Records'!$U:$U,$H303)&lt;&gt;"Subscription",INDEX('Game Records'!$U:$U,$H303)&lt;&gt;"Free Game",INDEX('Game Records'!$U:$U,$H303)&lt;&gt;"Disqualified — Free Game",INDEX('Game Records'!$J:$J,$H303)=""),"Total Players; ","")&amp;IF(AND(LOWER(INDEX('Game Records'!$D:$D,$H303)&amp;"")="finalized",LOWER(INDEX('Game Records'!$L:$L,$H303)&amp;"")&lt;&gt;"yes",INDEX('Game Records'!$U:$U,$H303)&lt;&gt;"Subscription",INDEX('Game Records'!$U:$U,$H303)&lt;&gt;"Free Game",INDEX('Game Records'!$U:$U,$H303)&lt;&gt;"Disqualified — Free Game",INDEX('Game Records'!$K:$K,$H303)=""),"Final Payout; ","")&amp;IF(AND(LOWER(INDEX('Game Records'!$D:$D,$H303)&amp;"")="finalized",INDEX('Game Records'!$U:$U,$H303)&lt;&gt;"Subscription",INDEX('Game Records'!$U:$U,$H303)&lt;&gt;"Free Game",INDEX('Game Records'!$U:$U,$H303)&lt;&gt;"Disqualified — Free Game",OR(INDEX('Game Records'!$L:$L,$H303)="",LOWER(INDEX('Game Records'!$L:$L,$H303)&amp;"")="n/a")),"Disqualified Status; ",""))</f>
        <v/>
      </c>
      <c r="G303" s="25" t="str">
        <f t="array" ref="G303">IF($H303="","",IFERROR(INDEX('Game Records'!$M:$M,$H303),""))</f>
        <v/>
      </c>
      <c r="H303" s="8"/>
    </row>
    <row r="304" ht="24.0" customHeight="1">
      <c r="A304" s="21" t="str">
        <f t="shared" si="1"/>
        <v/>
      </c>
      <c r="B304" s="21" t="str">
        <f t="shared" si="2"/>
        <v/>
      </c>
      <c r="C304" s="25" t="str">
        <f t="array" ref="C304">IF($H304="","",IFERROR(INDEX('Game Records'!$A:$A,$H304),""))</f>
        <v/>
      </c>
      <c r="D304" s="25" t="str">
        <f t="array" ref="D304">IF($H304="","",IFERROR(INDEX('Game Records'!$U:$U,$H304),""))</f>
        <v/>
      </c>
      <c r="E304" s="25" t="str">
        <f t="shared" si="3"/>
        <v/>
      </c>
      <c r="F304" s="25" t="str">
        <f t="array" ref="F304">IF($H304="","",IF(OR(NOT(_xlfn.ISFORMULA(INDEX('Game Records'!$N:$N,$H304))),NOT(_xlfn.ISFORMULA(INDEX('Game Records'!$O:$O,$H304))),NOT(_xlfn.ISFORMULA(INDEX('Game Records'!$P:$P,$H304))),NOT(_xlfn.ISFORMULA(INDEX('Game Records'!$Q:$Q,$H304))),NOT(_xlfn.ISFORMULA(INDEX('Game Records'!$R:$R,$H304))),NOT(_xlfn.ISFORMULA(INDEX('Game Records'!$S:$S,$H304))),NOT(_xlfn.ISFORMULA(INDEX('Game Records'!$T:$T,$H304))),NOT(_xlfn.ISFORMULA(INDEX('Game Records'!$U:$U,$H304))),NOT(_xlfn.ISFORMULA(INDEX('Game Records'!$V:$V,$H304))),NOT(_xlfn.ISFORMULA(INDEX('Game Records'!$W:$W,$H304))),NOT(_xlfn.ISFORMULA(INDEX('Game Records'!$X:$X,$H304))),NOT(_xlfn.ISFORMULA(INDEX('Game Records'!$Y:$Y,$H304))),NOT(_xlfn.ISFORMULA(INDEX('Game Records'!$Z:$Z,$H304)))),"","")&amp;IF(INDEX('Game Records'!$B:$B,$H304)="","Start Date; ","")&amp;IF(INDEX('Game Records'!$C:$C,$H304)="","End Date; ","")&amp;IF(AND(INDEX('Game Records'!$U:$U,$H304)&lt;&gt;"Subscription",INDEX('Game Records'!$U:$U,$H304)&lt;&gt;"Free Game",INDEX('Game Records'!$U:$U,$H304)&lt;&gt;"Disqualified — Free Game",OR(INDEX('Game Records'!$D:$D,$H304)="",LOWER(INDEX('Game Records'!$D:$D,$H304)&amp;"")="n/a")),"Entry Mode; ","")&amp;IF(AND(INDEX('Game Records'!$U:$U,$H304)&lt;&gt;"Subscription",INDEX('Game Records'!$U:$U,$H304)&lt;&gt;"Free Game",INDEX('Game Records'!$U:$U,$H304)&lt;&gt;"Disqualified — Free Game",OR(INDEX('Game Records'!$E:$E,$H304)="",LOWER(INDEX('Game Records'!$E:$E,$H304)&amp;"")="n/a")),"Game Type; ","")&amp;IF(INDEX('Game Records'!$F:$F,$H304)="","Payment Type; ","")&amp;IF(AND(INDEX('Game Records'!$U:$U,$H304)&lt;&gt;"Subscription",INDEX('Game Records'!$U:$U,$H304)&lt;&gt;"Free Game",INDEX('Game Records'!$U:$U,$H304)&lt;&gt;"Disqualified — Free Game",INDEX('Game Records'!$G:$G,$H304)=""),"Gross Pot; ","")&amp;IF(AND(INDEX('Game Records'!$U:$U,$H304)&lt;&gt;"Free Game",INDEX('Game Records'!$U:$U,$H304)&lt;&gt;"Disqualified — Free Game",INDEX('Game Records'!$H:$H,$H304)=""),"Entry Fee; ","")&amp;IF(AND(INDEX('Game Records'!$U:$U,$H304)&lt;&gt;"Subscription",INDEX('Game Records'!$U:$U,$H304)&lt;&gt;"Free Game",INDEX('Game Records'!$U:$U,$H304)&lt;&gt;"Disqualified — Free Game",INDEX('Game Records'!$I:$I,$H304)=""),"Eligible Players; ","")&amp;IF(AND(INDEX('Game Records'!$U:$U,$H304)&lt;&gt;"Subscription",INDEX('Game Records'!$U:$U,$H304)&lt;&gt;"Free Game",INDEX('Game Records'!$U:$U,$H304)&lt;&gt;"Disqualified — Free Game",INDEX('Game Records'!$J:$J,$H304)=""),"Total Players; ","")&amp;IF(AND(LOWER(INDEX('Game Records'!$D:$D,$H304)&amp;"")="finalized",LOWER(INDEX('Game Records'!$L:$L,$H304)&amp;"")&lt;&gt;"yes",INDEX('Game Records'!$U:$U,$H304)&lt;&gt;"Subscription",INDEX('Game Records'!$U:$U,$H304)&lt;&gt;"Free Game",INDEX('Game Records'!$U:$U,$H304)&lt;&gt;"Disqualified — Free Game",INDEX('Game Records'!$K:$K,$H304)=""),"Final Payout; ","")&amp;IF(AND(LOWER(INDEX('Game Records'!$D:$D,$H304)&amp;"")="finalized",INDEX('Game Records'!$U:$U,$H304)&lt;&gt;"Subscription",INDEX('Game Records'!$U:$U,$H304)&lt;&gt;"Free Game",INDEX('Game Records'!$U:$U,$H304)&lt;&gt;"Disqualified — Free Game",OR(INDEX('Game Records'!$L:$L,$H304)="",LOWER(INDEX('Game Records'!$L:$L,$H304)&amp;"")="n/a")),"Disqualified Status; ",""))</f>
        <v/>
      </c>
      <c r="G304" s="25" t="str">
        <f t="array" ref="G304">IF($H304="","",IFERROR(INDEX('Game Records'!$M:$M,$H304),""))</f>
        <v/>
      </c>
      <c r="H304" s="8"/>
    </row>
    <row r="305" ht="24.0" customHeight="1">
      <c r="A305" s="21" t="str">
        <f t="shared" si="1"/>
        <v/>
      </c>
      <c r="B305" s="21" t="str">
        <f t="shared" si="2"/>
        <v/>
      </c>
      <c r="C305" s="25" t="str">
        <f t="array" ref="C305">IF($H305="","",IFERROR(INDEX('Game Records'!$A:$A,$H305),""))</f>
        <v/>
      </c>
      <c r="D305" s="25" t="str">
        <f t="array" ref="D305">IF($H305="","",IFERROR(INDEX('Game Records'!$U:$U,$H305),""))</f>
        <v/>
      </c>
      <c r="E305" s="25" t="str">
        <f t="shared" si="3"/>
        <v/>
      </c>
      <c r="F305" s="25" t="str">
        <f t="array" ref="F305">IF($H305="","",IF(OR(NOT(_xlfn.ISFORMULA(INDEX('Game Records'!$N:$N,$H305))),NOT(_xlfn.ISFORMULA(INDEX('Game Records'!$O:$O,$H305))),NOT(_xlfn.ISFORMULA(INDEX('Game Records'!$P:$P,$H305))),NOT(_xlfn.ISFORMULA(INDEX('Game Records'!$Q:$Q,$H305))),NOT(_xlfn.ISFORMULA(INDEX('Game Records'!$R:$R,$H305))),NOT(_xlfn.ISFORMULA(INDEX('Game Records'!$S:$S,$H305))),NOT(_xlfn.ISFORMULA(INDEX('Game Records'!$T:$T,$H305))),NOT(_xlfn.ISFORMULA(INDEX('Game Records'!$U:$U,$H305))),NOT(_xlfn.ISFORMULA(INDEX('Game Records'!$V:$V,$H305))),NOT(_xlfn.ISFORMULA(INDEX('Game Records'!$W:$W,$H305))),NOT(_xlfn.ISFORMULA(INDEX('Game Records'!$X:$X,$H305))),NOT(_xlfn.ISFORMULA(INDEX('Game Records'!$Y:$Y,$H305))),NOT(_xlfn.ISFORMULA(INDEX('Game Records'!$Z:$Z,$H305)))),"","")&amp;IF(INDEX('Game Records'!$B:$B,$H305)="","Start Date; ","")&amp;IF(INDEX('Game Records'!$C:$C,$H305)="","End Date; ","")&amp;IF(AND(INDEX('Game Records'!$U:$U,$H305)&lt;&gt;"Subscription",INDEX('Game Records'!$U:$U,$H305)&lt;&gt;"Free Game",INDEX('Game Records'!$U:$U,$H305)&lt;&gt;"Disqualified — Free Game",OR(INDEX('Game Records'!$D:$D,$H305)="",LOWER(INDEX('Game Records'!$D:$D,$H305)&amp;"")="n/a")),"Entry Mode; ","")&amp;IF(AND(INDEX('Game Records'!$U:$U,$H305)&lt;&gt;"Subscription",INDEX('Game Records'!$U:$U,$H305)&lt;&gt;"Free Game",INDEX('Game Records'!$U:$U,$H305)&lt;&gt;"Disqualified — Free Game",OR(INDEX('Game Records'!$E:$E,$H305)="",LOWER(INDEX('Game Records'!$E:$E,$H305)&amp;"")="n/a")),"Game Type; ","")&amp;IF(INDEX('Game Records'!$F:$F,$H305)="","Payment Type; ","")&amp;IF(AND(INDEX('Game Records'!$U:$U,$H305)&lt;&gt;"Subscription",INDEX('Game Records'!$U:$U,$H305)&lt;&gt;"Free Game",INDEX('Game Records'!$U:$U,$H305)&lt;&gt;"Disqualified — Free Game",INDEX('Game Records'!$G:$G,$H305)=""),"Gross Pot; ","")&amp;IF(AND(INDEX('Game Records'!$U:$U,$H305)&lt;&gt;"Free Game",INDEX('Game Records'!$U:$U,$H305)&lt;&gt;"Disqualified — Free Game",INDEX('Game Records'!$H:$H,$H305)=""),"Entry Fee; ","")&amp;IF(AND(INDEX('Game Records'!$U:$U,$H305)&lt;&gt;"Subscription",INDEX('Game Records'!$U:$U,$H305)&lt;&gt;"Free Game",INDEX('Game Records'!$U:$U,$H305)&lt;&gt;"Disqualified — Free Game",INDEX('Game Records'!$I:$I,$H305)=""),"Eligible Players; ","")&amp;IF(AND(INDEX('Game Records'!$U:$U,$H305)&lt;&gt;"Subscription",INDEX('Game Records'!$U:$U,$H305)&lt;&gt;"Free Game",INDEX('Game Records'!$U:$U,$H305)&lt;&gt;"Disqualified — Free Game",INDEX('Game Records'!$J:$J,$H305)=""),"Total Players; ","")&amp;IF(AND(LOWER(INDEX('Game Records'!$D:$D,$H305)&amp;"")="finalized",LOWER(INDEX('Game Records'!$L:$L,$H305)&amp;"")&lt;&gt;"yes",INDEX('Game Records'!$U:$U,$H305)&lt;&gt;"Subscription",INDEX('Game Records'!$U:$U,$H305)&lt;&gt;"Free Game",INDEX('Game Records'!$U:$U,$H305)&lt;&gt;"Disqualified — Free Game",INDEX('Game Records'!$K:$K,$H305)=""),"Final Payout; ","")&amp;IF(AND(LOWER(INDEX('Game Records'!$D:$D,$H305)&amp;"")="finalized",INDEX('Game Records'!$U:$U,$H305)&lt;&gt;"Subscription",INDEX('Game Records'!$U:$U,$H305)&lt;&gt;"Free Game",INDEX('Game Records'!$U:$U,$H305)&lt;&gt;"Disqualified — Free Game",OR(INDEX('Game Records'!$L:$L,$H305)="",LOWER(INDEX('Game Records'!$L:$L,$H305)&amp;"")="n/a")),"Disqualified Status; ",""))</f>
        <v/>
      </c>
      <c r="G305" s="25" t="str">
        <f t="array" ref="G305">IF($H305="","",IFERROR(INDEX('Game Records'!$M:$M,$H305),""))</f>
        <v/>
      </c>
      <c r="H305" s="8"/>
    </row>
    <row r="306" ht="24.0" customHeight="1">
      <c r="A306" s="21" t="str">
        <f t="shared" si="1"/>
        <v/>
      </c>
      <c r="B306" s="21" t="str">
        <f t="shared" si="2"/>
        <v/>
      </c>
      <c r="C306" s="25" t="str">
        <f t="array" ref="C306">IF($H306="","",IFERROR(INDEX('Game Records'!$A:$A,$H306),""))</f>
        <v/>
      </c>
      <c r="D306" s="25" t="str">
        <f t="array" ref="D306">IF($H306="","",IFERROR(INDEX('Game Records'!$U:$U,$H306),""))</f>
        <v/>
      </c>
      <c r="E306" s="25" t="str">
        <f t="shared" si="3"/>
        <v/>
      </c>
      <c r="F306" s="25" t="str">
        <f t="array" ref="F306">IF($H306="","",IF(OR(NOT(_xlfn.ISFORMULA(INDEX('Game Records'!$N:$N,$H306))),NOT(_xlfn.ISFORMULA(INDEX('Game Records'!$O:$O,$H306))),NOT(_xlfn.ISFORMULA(INDEX('Game Records'!$P:$P,$H306))),NOT(_xlfn.ISFORMULA(INDEX('Game Records'!$Q:$Q,$H306))),NOT(_xlfn.ISFORMULA(INDEX('Game Records'!$R:$R,$H306))),NOT(_xlfn.ISFORMULA(INDEX('Game Records'!$S:$S,$H306))),NOT(_xlfn.ISFORMULA(INDEX('Game Records'!$T:$T,$H306))),NOT(_xlfn.ISFORMULA(INDEX('Game Records'!$U:$U,$H306))),NOT(_xlfn.ISFORMULA(INDEX('Game Records'!$V:$V,$H306))),NOT(_xlfn.ISFORMULA(INDEX('Game Records'!$W:$W,$H306))),NOT(_xlfn.ISFORMULA(INDEX('Game Records'!$X:$X,$H306))),NOT(_xlfn.ISFORMULA(INDEX('Game Records'!$Y:$Y,$H306))),NOT(_xlfn.ISFORMULA(INDEX('Game Records'!$Z:$Z,$H306)))),"","")&amp;IF(INDEX('Game Records'!$B:$B,$H306)="","Start Date; ","")&amp;IF(INDEX('Game Records'!$C:$C,$H306)="","End Date; ","")&amp;IF(AND(INDEX('Game Records'!$U:$U,$H306)&lt;&gt;"Subscription",INDEX('Game Records'!$U:$U,$H306)&lt;&gt;"Free Game",INDEX('Game Records'!$U:$U,$H306)&lt;&gt;"Disqualified — Free Game",OR(INDEX('Game Records'!$D:$D,$H306)="",LOWER(INDEX('Game Records'!$D:$D,$H306)&amp;"")="n/a")),"Entry Mode; ","")&amp;IF(AND(INDEX('Game Records'!$U:$U,$H306)&lt;&gt;"Subscription",INDEX('Game Records'!$U:$U,$H306)&lt;&gt;"Free Game",INDEX('Game Records'!$U:$U,$H306)&lt;&gt;"Disqualified — Free Game",OR(INDEX('Game Records'!$E:$E,$H306)="",LOWER(INDEX('Game Records'!$E:$E,$H306)&amp;"")="n/a")),"Game Type; ","")&amp;IF(INDEX('Game Records'!$F:$F,$H306)="","Payment Type; ","")&amp;IF(AND(INDEX('Game Records'!$U:$U,$H306)&lt;&gt;"Subscription",INDEX('Game Records'!$U:$U,$H306)&lt;&gt;"Free Game",INDEX('Game Records'!$U:$U,$H306)&lt;&gt;"Disqualified — Free Game",INDEX('Game Records'!$G:$G,$H306)=""),"Gross Pot; ","")&amp;IF(AND(INDEX('Game Records'!$U:$U,$H306)&lt;&gt;"Free Game",INDEX('Game Records'!$U:$U,$H306)&lt;&gt;"Disqualified — Free Game",INDEX('Game Records'!$H:$H,$H306)=""),"Entry Fee; ","")&amp;IF(AND(INDEX('Game Records'!$U:$U,$H306)&lt;&gt;"Subscription",INDEX('Game Records'!$U:$U,$H306)&lt;&gt;"Free Game",INDEX('Game Records'!$U:$U,$H306)&lt;&gt;"Disqualified — Free Game",INDEX('Game Records'!$I:$I,$H306)=""),"Eligible Players; ","")&amp;IF(AND(INDEX('Game Records'!$U:$U,$H306)&lt;&gt;"Subscription",INDEX('Game Records'!$U:$U,$H306)&lt;&gt;"Free Game",INDEX('Game Records'!$U:$U,$H306)&lt;&gt;"Disqualified — Free Game",INDEX('Game Records'!$J:$J,$H306)=""),"Total Players; ","")&amp;IF(AND(LOWER(INDEX('Game Records'!$D:$D,$H306)&amp;"")="finalized",LOWER(INDEX('Game Records'!$L:$L,$H306)&amp;"")&lt;&gt;"yes",INDEX('Game Records'!$U:$U,$H306)&lt;&gt;"Subscription",INDEX('Game Records'!$U:$U,$H306)&lt;&gt;"Free Game",INDEX('Game Records'!$U:$U,$H306)&lt;&gt;"Disqualified — Free Game",INDEX('Game Records'!$K:$K,$H306)=""),"Final Payout; ","")&amp;IF(AND(LOWER(INDEX('Game Records'!$D:$D,$H306)&amp;"")="finalized",INDEX('Game Records'!$U:$U,$H306)&lt;&gt;"Subscription",INDEX('Game Records'!$U:$U,$H306)&lt;&gt;"Free Game",INDEX('Game Records'!$U:$U,$H306)&lt;&gt;"Disqualified — Free Game",OR(INDEX('Game Records'!$L:$L,$H306)="",LOWER(INDEX('Game Records'!$L:$L,$H306)&amp;"")="n/a")),"Disqualified Status; ",""))</f>
        <v/>
      </c>
      <c r="G306" s="25" t="str">
        <f t="array" ref="G306">IF($H306="","",IFERROR(INDEX('Game Records'!$M:$M,$H306),""))</f>
        <v/>
      </c>
      <c r="H306" s="8"/>
    </row>
    <row r="307" ht="24.0" customHeight="1">
      <c r="A307" s="21" t="str">
        <f t="shared" si="1"/>
        <v/>
      </c>
      <c r="B307" s="21" t="str">
        <f t="shared" si="2"/>
        <v/>
      </c>
      <c r="C307" s="25" t="str">
        <f t="array" ref="C307">IF($H307="","",IFERROR(INDEX('Game Records'!$A:$A,$H307),""))</f>
        <v/>
      </c>
      <c r="D307" s="25" t="str">
        <f t="array" ref="D307">IF($H307="","",IFERROR(INDEX('Game Records'!$U:$U,$H307),""))</f>
        <v/>
      </c>
      <c r="E307" s="25" t="str">
        <f t="shared" si="3"/>
        <v/>
      </c>
      <c r="F307" s="25" t="str">
        <f t="array" ref="F307">IF($H307="","",IF(OR(NOT(_xlfn.ISFORMULA(INDEX('Game Records'!$N:$N,$H307))),NOT(_xlfn.ISFORMULA(INDEX('Game Records'!$O:$O,$H307))),NOT(_xlfn.ISFORMULA(INDEX('Game Records'!$P:$P,$H307))),NOT(_xlfn.ISFORMULA(INDEX('Game Records'!$Q:$Q,$H307))),NOT(_xlfn.ISFORMULA(INDEX('Game Records'!$R:$R,$H307))),NOT(_xlfn.ISFORMULA(INDEX('Game Records'!$S:$S,$H307))),NOT(_xlfn.ISFORMULA(INDEX('Game Records'!$T:$T,$H307))),NOT(_xlfn.ISFORMULA(INDEX('Game Records'!$U:$U,$H307))),NOT(_xlfn.ISFORMULA(INDEX('Game Records'!$V:$V,$H307))),NOT(_xlfn.ISFORMULA(INDEX('Game Records'!$W:$W,$H307))),NOT(_xlfn.ISFORMULA(INDEX('Game Records'!$X:$X,$H307))),NOT(_xlfn.ISFORMULA(INDEX('Game Records'!$Y:$Y,$H307))),NOT(_xlfn.ISFORMULA(INDEX('Game Records'!$Z:$Z,$H307)))),"","")&amp;IF(INDEX('Game Records'!$B:$B,$H307)="","Start Date; ","")&amp;IF(INDEX('Game Records'!$C:$C,$H307)="","End Date; ","")&amp;IF(AND(INDEX('Game Records'!$U:$U,$H307)&lt;&gt;"Subscription",INDEX('Game Records'!$U:$U,$H307)&lt;&gt;"Free Game",INDEX('Game Records'!$U:$U,$H307)&lt;&gt;"Disqualified — Free Game",OR(INDEX('Game Records'!$D:$D,$H307)="",LOWER(INDEX('Game Records'!$D:$D,$H307)&amp;"")="n/a")),"Entry Mode; ","")&amp;IF(AND(INDEX('Game Records'!$U:$U,$H307)&lt;&gt;"Subscription",INDEX('Game Records'!$U:$U,$H307)&lt;&gt;"Free Game",INDEX('Game Records'!$U:$U,$H307)&lt;&gt;"Disqualified — Free Game",OR(INDEX('Game Records'!$E:$E,$H307)="",LOWER(INDEX('Game Records'!$E:$E,$H307)&amp;"")="n/a")),"Game Type; ","")&amp;IF(INDEX('Game Records'!$F:$F,$H307)="","Payment Type; ","")&amp;IF(AND(INDEX('Game Records'!$U:$U,$H307)&lt;&gt;"Subscription",INDEX('Game Records'!$U:$U,$H307)&lt;&gt;"Free Game",INDEX('Game Records'!$U:$U,$H307)&lt;&gt;"Disqualified — Free Game",INDEX('Game Records'!$G:$G,$H307)=""),"Gross Pot; ","")&amp;IF(AND(INDEX('Game Records'!$U:$U,$H307)&lt;&gt;"Free Game",INDEX('Game Records'!$U:$U,$H307)&lt;&gt;"Disqualified — Free Game",INDEX('Game Records'!$H:$H,$H307)=""),"Entry Fee; ","")&amp;IF(AND(INDEX('Game Records'!$U:$U,$H307)&lt;&gt;"Subscription",INDEX('Game Records'!$U:$U,$H307)&lt;&gt;"Free Game",INDEX('Game Records'!$U:$U,$H307)&lt;&gt;"Disqualified — Free Game",INDEX('Game Records'!$I:$I,$H307)=""),"Eligible Players; ","")&amp;IF(AND(INDEX('Game Records'!$U:$U,$H307)&lt;&gt;"Subscription",INDEX('Game Records'!$U:$U,$H307)&lt;&gt;"Free Game",INDEX('Game Records'!$U:$U,$H307)&lt;&gt;"Disqualified — Free Game",INDEX('Game Records'!$J:$J,$H307)=""),"Total Players; ","")&amp;IF(AND(LOWER(INDEX('Game Records'!$D:$D,$H307)&amp;"")="finalized",LOWER(INDEX('Game Records'!$L:$L,$H307)&amp;"")&lt;&gt;"yes",INDEX('Game Records'!$U:$U,$H307)&lt;&gt;"Subscription",INDEX('Game Records'!$U:$U,$H307)&lt;&gt;"Free Game",INDEX('Game Records'!$U:$U,$H307)&lt;&gt;"Disqualified — Free Game",INDEX('Game Records'!$K:$K,$H307)=""),"Final Payout; ","")&amp;IF(AND(LOWER(INDEX('Game Records'!$D:$D,$H307)&amp;"")="finalized",INDEX('Game Records'!$U:$U,$H307)&lt;&gt;"Subscription",INDEX('Game Records'!$U:$U,$H307)&lt;&gt;"Free Game",INDEX('Game Records'!$U:$U,$H307)&lt;&gt;"Disqualified — Free Game",OR(INDEX('Game Records'!$L:$L,$H307)="",LOWER(INDEX('Game Records'!$L:$L,$H307)&amp;"")="n/a")),"Disqualified Status; ",""))</f>
        <v/>
      </c>
      <c r="G307" s="25" t="str">
        <f t="array" ref="G307">IF($H307="","",IFERROR(INDEX('Game Records'!$M:$M,$H307),""))</f>
        <v/>
      </c>
      <c r="H307" s="8"/>
    </row>
    <row r="308" ht="24.0" customHeight="1">
      <c r="A308" s="21" t="str">
        <f t="shared" si="1"/>
        <v/>
      </c>
      <c r="B308" s="21" t="str">
        <f t="shared" si="2"/>
        <v/>
      </c>
      <c r="C308" s="25" t="str">
        <f t="array" ref="C308">IF($H308="","",IFERROR(INDEX('Game Records'!$A:$A,$H308),""))</f>
        <v/>
      </c>
      <c r="D308" s="25" t="str">
        <f t="array" ref="D308">IF($H308="","",IFERROR(INDEX('Game Records'!$U:$U,$H308),""))</f>
        <v/>
      </c>
      <c r="E308" s="25" t="str">
        <f t="shared" si="3"/>
        <v/>
      </c>
      <c r="F308" s="25" t="str">
        <f t="array" ref="F308">IF($H308="","",IF(OR(NOT(_xlfn.ISFORMULA(INDEX('Game Records'!$N:$N,$H308))),NOT(_xlfn.ISFORMULA(INDEX('Game Records'!$O:$O,$H308))),NOT(_xlfn.ISFORMULA(INDEX('Game Records'!$P:$P,$H308))),NOT(_xlfn.ISFORMULA(INDEX('Game Records'!$Q:$Q,$H308))),NOT(_xlfn.ISFORMULA(INDEX('Game Records'!$R:$R,$H308))),NOT(_xlfn.ISFORMULA(INDEX('Game Records'!$S:$S,$H308))),NOT(_xlfn.ISFORMULA(INDEX('Game Records'!$T:$T,$H308))),NOT(_xlfn.ISFORMULA(INDEX('Game Records'!$U:$U,$H308))),NOT(_xlfn.ISFORMULA(INDEX('Game Records'!$V:$V,$H308))),NOT(_xlfn.ISFORMULA(INDEX('Game Records'!$W:$W,$H308))),NOT(_xlfn.ISFORMULA(INDEX('Game Records'!$X:$X,$H308))),NOT(_xlfn.ISFORMULA(INDEX('Game Records'!$Y:$Y,$H308))),NOT(_xlfn.ISFORMULA(INDEX('Game Records'!$Z:$Z,$H308)))),"","")&amp;IF(INDEX('Game Records'!$B:$B,$H308)="","Start Date; ","")&amp;IF(INDEX('Game Records'!$C:$C,$H308)="","End Date; ","")&amp;IF(AND(INDEX('Game Records'!$U:$U,$H308)&lt;&gt;"Subscription",INDEX('Game Records'!$U:$U,$H308)&lt;&gt;"Free Game",INDEX('Game Records'!$U:$U,$H308)&lt;&gt;"Disqualified — Free Game",OR(INDEX('Game Records'!$D:$D,$H308)="",LOWER(INDEX('Game Records'!$D:$D,$H308)&amp;"")="n/a")),"Entry Mode; ","")&amp;IF(AND(INDEX('Game Records'!$U:$U,$H308)&lt;&gt;"Subscription",INDEX('Game Records'!$U:$U,$H308)&lt;&gt;"Free Game",INDEX('Game Records'!$U:$U,$H308)&lt;&gt;"Disqualified — Free Game",OR(INDEX('Game Records'!$E:$E,$H308)="",LOWER(INDEX('Game Records'!$E:$E,$H308)&amp;"")="n/a")),"Game Type; ","")&amp;IF(INDEX('Game Records'!$F:$F,$H308)="","Payment Type; ","")&amp;IF(AND(INDEX('Game Records'!$U:$U,$H308)&lt;&gt;"Subscription",INDEX('Game Records'!$U:$U,$H308)&lt;&gt;"Free Game",INDEX('Game Records'!$U:$U,$H308)&lt;&gt;"Disqualified — Free Game",INDEX('Game Records'!$G:$G,$H308)=""),"Gross Pot; ","")&amp;IF(AND(INDEX('Game Records'!$U:$U,$H308)&lt;&gt;"Free Game",INDEX('Game Records'!$U:$U,$H308)&lt;&gt;"Disqualified — Free Game",INDEX('Game Records'!$H:$H,$H308)=""),"Entry Fee; ","")&amp;IF(AND(INDEX('Game Records'!$U:$U,$H308)&lt;&gt;"Subscription",INDEX('Game Records'!$U:$U,$H308)&lt;&gt;"Free Game",INDEX('Game Records'!$U:$U,$H308)&lt;&gt;"Disqualified — Free Game",INDEX('Game Records'!$I:$I,$H308)=""),"Eligible Players; ","")&amp;IF(AND(INDEX('Game Records'!$U:$U,$H308)&lt;&gt;"Subscription",INDEX('Game Records'!$U:$U,$H308)&lt;&gt;"Free Game",INDEX('Game Records'!$U:$U,$H308)&lt;&gt;"Disqualified — Free Game",INDEX('Game Records'!$J:$J,$H308)=""),"Total Players; ","")&amp;IF(AND(LOWER(INDEX('Game Records'!$D:$D,$H308)&amp;"")="finalized",LOWER(INDEX('Game Records'!$L:$L,$H308)&amp;"")&lt;&gt;"yes",INDEX('Game Records'!$U:$U,$H308)&lt;&gt;"Subscription",INDEX('Game Records'!$U:$U,$H308)&lt;&gt;"Free Game",INDEX('Game Records'!$U:$U,$H308)&lt;&gt;"Disqualified — Free Game",INDEX('Game Records'!$K:$K,$H308)=""),"Final Payout; ","")&amp;IF(AND(LOWER(INDEX('Game Records'!$D:$D,$H308)&amp;"")="finalized",INDEX('Game Records'!$U:$U,$H308)&lt;&gt;"Subscription",INDEX('Game Records'!$U:$U,$H308)&lt;&gt;"Free Game",INDEX('Game Records'!$U:$U,$H308)&lt;&gt;"Disqualified — Free Game",OR(INDEX('Game Records'!$L:$L,$H308)="",LOWER(INDEX('Game Records'!$L:$L,$H308)&amp;"")="n/a")),"Disqualified Status; ",""))</f>
        <v/>
      </c>
      <c r="G308" s="25" t="str">
        <f t="array" ref="G308">IF($H308="","",IFERROR(INDEX('Game Records'!$M:$M,$H308),""))</f>
        <v/>
      </c>
      <c r="H308" s="8"/>
    </row>
    <row r="309" ht="24.0" customHeight="1">
      <c r="A309" s="21" t="str">
        <f t="shared" si="1"/>
        <v/>
      </c>
      <c r="B309" s="21" t="str">
        <f t="shared" si="2"/>
        <v/>
      </c>
      <c r="C309" s="25" t="str">
        <f t="array" ref="C309">IF($H309="","",IFERROR(INDEX('Game Records'!$A:$A,$H309),""))</f>
        <v/>
      </c>
      <c r="D309" s="25" t="str">
        <f t="array" ref="D309">IF($H309="","",IFERROR(INDEX('Game Records'!$U:$U,$H309),""))</f>
        <v/>
      </c>
      <c r="E309" s="25" t="str">
        <f t="shared" si="3"/>
        <v/>
      </c>
      <c r="F309" s="25" t="str">
        <f t="array" ref="F309">IF($H309="","",IF(OR(NOT(_xlfn.ISFORMULA(INDEX('Game Records'!$N:$N,$H309))),NOT(_xlfn.ISFORMULA(INDEX('Game Records'!$O:$O,$H309))),NOT(_xlfn.ISFORMULA(INDEX('Game Records'!$P:$P,$H309))),NOT(_xlfn.ISFORMULA(INDEX('Game Records'!$Q:$Q,$H309))),NOT(_xlfn.ISFORMULA(INDEX('Game Records'!$R:$R,$H309))),NOT(_xlfn.ISFORMULA(INDEX('Game Records'!$S:$S,$H309))),NOT(_xlfn.ISFORMULA(INDEX('Game Records'!$T:$T,$H309))),NOT(_xlfn.ISFORMULA(INDEX('Game Records'!$U:$U,$H309))),NOT(_xlfn.ISFORMULA(INDEX('Game Records'!$V:$V,$H309))),NOT(_xlfn.ISFORMULA(INDEX('Game Records'!$W:$W,$H309))),NOT(_xlfn.ISFORMULA(INDEX('Game Records'!$X:$X,$H309))),NOT(_xlfn.ISFORMULA(INDEX('Game Records'!$Y:$Y,$H309))),NOT(_xlfn.ISFORMULA(INDEX('Game Records'!$Z:$Z,$H309)))),"","")&amp;IF(INDEX('Game Records'!$B:$B,$H309)="","Start Date; ","")&amp;IF(INDEX('Game Records'!$C:$C,$H309)="","End Date; ","")&amp;IF(AND(INDEX('Game Records'!$U:$U,$H309)&lt;&gt;"Subscription",INDEX('Game Records'!$U:$U,$H309)&lt;&gt;"Free Game",INDEX('Game Records'!$U:$U,$H309)&lt;&gt;"Disqualified — Free Game",OR(INDEX('Game Records'!$D:$D,$H309)="",LOWER(INDEX('Game Records'!$D:$D,$H309)&amp;"")="n/a")),"Entry Mode; ","")&amp;IF(AND(INDEX('Game Records'!$U:$U,$H309)&lt;&gt;"Subscription",INDEX('Game Records'!$U:$U,$H309)&lt;&gt;"Free Game",INDEX('Game Records'!$U:$U,$H309)&lt;&gt;"Disqualified — Free Game",OR(INDEX('Game Records'!$E:$E,$H309)="",LOWER(INDEX('Game Records'!$E:$E,$H309)&amp;"")="n/a")),"Game Type; ","")&amp;IF(INDEX('Game Records'!$F:$F,$H309)="","Payment Type; ","")&amp;IF(AND(INDEX('Game Records'!$U:$U,$H309)&lt;&gt;"Subscription",INDEX('Game Records'!$U:$U,$H309)&lt;&gt;"Free Game",INDEX('Game Records'!$U:$U,$H309)&lt;&gt;"Disqualified — Free Game",INDEX('Game Records'!$G:$G,$H309)=""),"Gross Pot; ","")&amp;IF(AND(INDEX('Game Records'!$U:$U,$H309)&lt;&gt;"Free Game",INDEX('Game Records'!$U:$U,$H309)&lt;&gt;"Disqualified — Free Game",INDEX('Game Records'!$H:$H,$H309)=""),"Entry Fee; ","")&amp;IF(AND(INDEX('Game Records'!$U:$U,$H309)&lt;&gt;"Subscription",INDEX('Game Records'!$U:$U,$H309)&lt;&gt;"Free Game",INDEX('Game Records'!$U:$U,$H309)&lt;&gt;"Disqualified — Free Game",INDEX('Game Records'!$I:$I,$H309)=""),"Eligible Players; ","")&amp;IF(AND(INDEX('Game Records'!$U:$U,$H309)&lt;&gt;"Subscription",INDEX('Game Records'!$U:$U,$H309)&lt;&gt;"Free Game",INDEX('Game Records'!$U:$U,$H309)&lt;&gt;"Disqualified — Free Game",INDEX('Game Records'!$J:$J,$H309)=""),"Total Players; ","")&amp;IF(AND(LOWER(INDEX('Game Records'!$D:$D,$H309)&amp;"")="finalized",LOWER(INDEX('Game Records'!$L:$L,$H309)&amp;"")&lt;&gt;"yes",INDEX('Game Records'!$U:$U,$H309)&lt;&gt;"Subscription",INDEX('Game Records'!$U:$U,$H309)&lt;&gt;"Free Game",INDEX('Game Records'!$U:$U,$H309)&lt;&gt;"Disqualified — Free Game",INDEX('Game Records'!$K:$K,$H309)=""),"Final Payout; ","")&amp;IF(AND(LOWER(INDEX('Game Records'!$D:$D,$H309)&amp;"")="finalized",INDEX('Game Records'!$U:$U,$H309)&lt;&gt;"Subscription",INDEX('Game Records'!$U:$U,$H309)&lt;&gt;"Free Game",INDEX('Game Records'!$U:$U,$H309)&lt;&gt;"Disqualified — Free Game",OR(INDEX('Game Records'!$L:$L,$H309)="",LOWER(INDEX('Game Records'!$L:$L,$H309)&amp;"")="n/a")),"Disqualified Status; ",""))</f>
        <v/>
      </c>
      <c r="G309" s="25" t="str">
        <f t="array" ref="G309">IF($H309="","",IFERROR(INDEX('Game Records'!$M:$M,$H309),""))</f>
        <v/>
      </c>
      <c r="H309" s="8"/>
    </row>
    <row r="310" ht="24.0" customHeight="1">
      <c r="A310" s="21" t="str">
        <f t="shared" si="1"/>
        <v/>
      </c>
      <c r="B310" s="21" t="str">
        <f t="shared" si="2"/>
        <v/>
      </c>
      <c r="C310" s="25" t="str">
        <f t="array" ref="C310">IF($H310="","",IFERROR(INDEX('Game Records'!$A:$A,$H310),""))</f>
        <v/>
      </c>
      <c r="D310" s="25" t="str">
        <f t="array" ref="D310">IF($H310="","",IFERROR(INDEX('Game Records'!$U:$U,$H310),""))</f>
        <v/>
      </c>
      <c r="E310" s="25" t="str">
        <f t="shared" si="3"/>
        <v/>
      </c>
      <c r="F310" s="25" t="str">
        <f t="array" ref="F310">IF($H310="","",IF(OR(NOT(_xlfn.ISFORMULA(INDEX('Game Records'!$N:$N,$H310))),NOT(_xlfn.ISFORMULA(INDEX('Game Records'!$O:$O,$H310))),NOT(_xlfn.ISFORMULA(INDEX('Game Records'!$P:$P,$H310))),NOT(_xlfn.ISFORMULA(INDEX('Game Records'!$Q:$Q,$H310))),NOT(_xlfn.ISFORMULA(INDEX('Game Records'!$R:$R,$H310))),NOT(_xlfn.ISFORMULA(INDEX('Game Records'!$S:$S,$H310))),NOT(_xlfn.ISFORMULA(INDEX('Game Records'!$T:$T,$H310))),NOT(_xlfn.ISFORMULA(INDEX('Game Records'!$U:$U,$H310))),NOT(_xlfn.ISFORMULA(INDEX('Game Records'!$V:$V,$H310))),NOT(_xlfn.ISFORMULA(INDEX('Game Records'!$W:$W,$H310))),NOT(_xlfn.ISFORMULA(INDEX('Game Records'!$X:$X,$H310))),NOT(_xlfn.ISFORMULA(INDEX('Game Records'!$Y:$Y,$H310))),NOT(_xlfn.ISFORMULA(INDEX('Game Records'!$Z:$Z,$H310)))),"","")&amp;IF(INDEX('Game Records'!$B:$B,$H310)="","Start Date; ","")&amp;IF(INDEX('Game Records'!$C:$C,$H310)="","End Date; ","")&amp;IF(AND(INDEX('Game Records'!$U:$U,$H310)&lt;&gt;"Subscription",INDEX('Game Records'!$U:$U,$H310)&lt;&gt;"Free Game",INDEX('Game Records'!$U:$U,$H310)&lt;&gt;"Disqualified — Free Game",OR(INDEX('Game Records'!$D:$D,$H310)="",LOWER(INDEX('Game Records'!$D:$D,$H310)&amp;"")="n/a")),"Entry Mode; ","")&amp;IF(AND(INDEX('Game Records'!$U:$U,$H310)&lt;&gt;"Subscription",INDEX('Game Records'!$U:$U,$H310)&lt;&gt;"Free Game",INDEX('Game Records'!$U:$U,$H310)&lt;&gt;"Disqualified — Free Game",OR(INDEX('Game Records'!$E:$E,$H310)="",LOWER(INDEX('Game Records'!$E:$E,$H310)&amp;"")="n/a")),"Game Type; ","")&amp;IF(INDEX('Game Records'!$F:$F,$H310)="","Payment Type; ","")&amp;IF(AND(INDEX('Game Records'!$U:$U,$H310)&lt;&gt;"Subscription",INDEX('Game Records'!$U:$U,$H310)&lt;&gt;"Free Game",INDEX('Game Records'!$U:$U,$H310)&lt;&gt;"Disqualified — Free Game",INDEX('Game Records'!$G:$G,$H310)=""),"Gross Pot; ","")&amp;IF(AND(INDEX('Game Records'!$U:$U,$H310)&lt;&gt;"Free Game",INDEX('Game Records'!$U:$U,$H310)&lt;&gt;"Disqualified — Free Game",INDEX('Game Records'!$H:$H,$H310)=""),"Entry Fee; ","")&amp;IF(AND(INDEX('Game Records'!$U:$U,$H310)&lt;&gt;"Subscription",INDEX('Game Records'!$U:$U,$H310)&lt;&gt;"Free Game",INDEX('Game Records'!$U:$U,$H310)&lt;&gt;"Disqualified — Free Game",INDEX('Game Records'!$I:$I,$H310)=""),"Eligible Players; ","")&amp;IF(AND(INDEX('Game Records'!$U:$U,$H310)&lt;&gt;"Subscription",INDEX('Game Records'!$U:$U,$H310)&lt;&gt;"Free Game",INDEX('Game Records'!$U:$U,$H310)&lt;&gt;"Disqualified — Free Game",INDEX('Game Records'!$J:$J,$H310)=""),"Total Players; ","")&amp;IF(AND(LOWER(INDEX('Game Records'!$D:$D,$H310)&amp;"")="finalized",LOWER(INDEX('Game Records'!$L:$L,$H310)&amp;"")&lt;&gt;"yes",INDEX('Game Records'!$U:$U,$H310)&lt;&gt;"Subscription",INDEX('Game Records'!$U:$U,$H310)&lt;&gt;"Free Game",INDEX('Game Records'!$U:$U,$H310)&lt;&gt;"Disqualified — Free Game",INDEX('Game Records'!$K:$K,$H310)=""),"Final Payout; ","")&amp;IF(AND(LOWER(INDEX('Game Records'!$D:$D,$H310)&amp;"")="finalized",INDEX('Game Records'!$U:$U,$H310)&lt;&gt;"Subscription",INDEX('Game Records'!$U:$U,$H310)&lt;&gt;"Free Game",INDEX('Game Records'!$U:$U,$H310)&lt;&gt;"Disqualified — Free Game",OR(INDEX('Game Records'!$L:$L,$H310)="",LOWER(INDEX('Game Records'!$L:$L,$H310)&amp;"")="n/a")),"Disqualified Status; ",""))</f>
        <v/>
      </c>
      <c r="G310" s="25" t="str">
        <f t="array" ref="G310">IF($H310="","",IFERROR(INDEX('Game Records'!$M:$M,$H310),""))</f>
        <v/>
      </c>
      <c r="H310" s="8"/>
    </row>
    <row r="311" ht="24.0" customHeight="1">
      <c r="A311" s="21" t="str">
        <f t="shared" si="1"/>
        <v/>
      </c>
      <c r="B311" s="21" t="str">
        <f t="shared" si="2"/>
        <v/>
      </c>
      <c r="C311" s="25" t="str">
        <f t="array" ref="C311">IF($H311="","",IFERROR(INDEX('Game Records'!$A:$A,$H311),""))</f>
        <v/>
      </c>
      <c r="D311" s="25" t="str">
        <f t="array" ref="D311">IF($H311="","",IFERROR(INDEX('Game Records'!$U:$U,$H311),""))</f>
        <v/>
      </c>
      <c r="E311" s="25" t="str">
        <f t="shared" si="3"/>
        <v/>
      </c>
      <c r="F311" s="25" t="str">
        <f t="array" ref="F311">IF($H311="","",IF(OR(NOT(_xlfn.ISFORMULA(INDEX('Game Records'!$N:$N,$H311))),NOT(_xlfn.ISFORMULA(INDEX('Game Records'!$O:$O,$H311))),NOT(_xlfn.ISFORMULA(INDEX('Game Records'!$P:$P,$H311))),NOT(_xlfn.ISFORMULA(INDEX('Game Records'!$Q:$Q,$H311))),NOT(_xlfn.ISFORMULA(INDEX('Game Records'!$R:$R,$H311))),NOT(_xlfn.ISFORMULA(INDEX('Game Records'!$S:$S,$H311))),NOT(_xlfn.ISFORMULA(INDEX('Game Records'!$T:$T,$H311))),NOT(_xlfn.ISFORMULA(INDEX('Game Records'!$U:$U,$H311))),NOT(_xlfn.ISFORMULA(INDEX('Game Records'!$V:$V,$H311))),NOT(_xlfn.ISFORMULA(INDEX('Game Records'!$W:$W,$H311))),NOT(_xlfn.ISFORMULA(INDEX('Game Records'!$X:$X,$H311))),NOT(_xlfn.ISFORMULA(INDEX('Game Records'!$Y:$Y,$H311))),NOT(_xlfn.ISFORMULA(INDEX('Game Records'!$Z:$Z,$H311)))),"","")&amp;IF(INDEX('Game Records'!$B:$B,$H311)="","Start Date; ","")&amp;IF(INDEX('Game Records'!$C:$C,$H311)="","End Date; ","")&amp;IF(AND(INDEX('Game Records'!$U:$U,$H311)&lt;&gt;"Subscription",INDEX('Game Records'!$U:$U,$H311)&lt;&gt;"Free Game",INDEX('Game Records'!$U:$U,$H311)&lt;&gt;"Disqualified — Free Game",OR(INDEX('Game Records'!$D:$D,$H311)="",LOWER(INDEX('Game Records'!$D:$D,$H311)&amp;"")="n/a")),"Entry Mode; ","")&amp;IF(AND(INDEX('Game Records'!$U:$U,$H311)&lt;&gt;"Subscription",INDEX('Game Records'!$U:$U,$H311)&lt;&gt;"Free Game",INDEX('Game Records'!$U:$U,$H311)&lt;&gt;"Disqualified — Free Game",OR(INDEX('Game Records'!$E:$E,$H311)="",LOWER(INDEX('Game Records'!$E:$E,$H311)&amp;"")="n/a")),"Game Type; ","")&amp;IF(INDEX('Game Records'!$F:$F,$H311)="","Payment Type; ","")&amp;IF(AND(INDEX('Game Records'!$U:$U,$H311)&lt;&gt;"Subscription",INDEX('Game Records'!$U:$U,$H311)&lt;&gt;"Free Game",INDEX('Game Records'!$U:$U,$H311)&lt;&gt;"Disqualified — Free Game",INDEX('Game Records'!$G:$G,$H311)=""),"Gross Pot; ","")&amp;IF(AND(INDEX('Game Records'!$U:$U,$H311)&lt;&gt;"Free Game",INDEX('Game Records'!$U:$U,$H311)&lt;&gt;"Disqualified — Free Game",INDEX('Game Records'!$H:$H,$H311)=""),"Entry Fee; ","")&amp;IF(AND(INDEX('Game Records'!$U:$U,$H311)&lt;&gt;"Subscription",INDEX('Game Records'!$U:$U,$H311)&lt;&gt;"Free Game",INDEX('Game Records'!$U:$U,$H311)&lt;&gt;"Disqualified — Free Game",INDEX('Game Records'!$I:$I,$H311)=""),"Eligible Players; ","")&amp;IF(AND(INDEX('Game Records'!$U:$U,$H311)&lt;&gt;"Subscription",INDEX('Game Records'!$U:$U,$H311)&lt;&gt;"Free Game",INDEX('Game Records'!$U:$U,$H311)&lt;&gt;"Disqualified — Free Game",INDEX('Game Records'!$J:$J,$H311)=""),"Total Players; ","")&amp;IF(AND(LOWER(INDEX('Game Records'!$D:$D,$H311)&amp;"")="finalized",LOWER(INDEX('Game Records'!$L:$L,$H311)&amp;"")&lt;&gt;"yes",INDEX('Game Records'!$U:$U,$H311)&lt;&gt;"Subscription",INDEX('Game Records'!$U:$U,$H311)&lt;&gt;"Free Game",INDEX('Game Records'!$U:$U,$H311)&lt;&gt;"Disqualified — Free Game",INDEX('Game Records'!$K:$K,$H311)=""),"Final Payout; ","")&amp;IF(AND(LOWER(INDEX('Game Records'!$D:$D,$H311)&amp;"")="finalized",INDEX('Game Records'!$U:$U,$H311)&lt;&gt;"Subscription",INDEX('Game Records'!$U:$U,$H311)&lt;&gt;"Free Game",INDEX('Game Records'!$U:$U,$H311)&lt;&gt;"Disqualified — Free Game",OR(INDEX('Game Records'!$L:$L,$H311)="",LOWER(INDEX('Game Records'!$L:$L,$H311)&amp;"")="n/a")),"Disqualified Status; ",""))</f>
        <v/>
      </c>
      <c r="G311" s="25" t="str">
        <f t="array" ref="G311">IF($H311="","",IFERROR(INDEX('Game Records'!$M:$M,$H311),""))</f>
        <v/>
      </c>
      <c r="H311" s="8"/>
    </row>
    <row r="312" ht="24.0" customHeight="1">
      <c r="A312" s="21" t="str">
        <f t="shared" si="1"/>
        <v/>
      </c>
      <c r="B312" s="21" t="str">
        <f t="shared" si="2"/>
        <v/>
      </c>
      <c r="C312" s="25" t="str">
        <f t="array" ref="C312">IF($H312="","",IFERROR(INDEX('Game Records'!$A:$A,$H312),""))</f>
        <v/>
      </c>
      <c r="D312" s="25" t="str">
        <f t="array" ref="D312">IF($H312="","",IFERROR(INDEX('Game Records'!$U:$U,$H312),""))</f>
        <v/>
      </c>
      <c r="E312" s="25" t="str">
        <f t="shared" si="3"/>
        <v/>
      </c>
      <c r="F312" s="25" t="str">
        <f t="array" ref="F312">IF($H312="","",IF(OR(NOT(_xlfn.ISFORMULA(INDEX('Game Records'!$N:$N,$H312))),NOT(_xlfn.ISFORMULA(INDEX('Game Records'!$O:$O,$H312))),NOT(_xlfn.ISFORMULA(INDEX('Game Records'!$P:$P,$H312))),NOT(_xlfn.ISFORMULA(INDEX('Game Records'!$Q:$Q,$H312))),NOT(_xlfn.ISFORMULA(INDEX('Game Records'!$R:$R,$H312))),NOT(_xlfn.ISFORMULA(INDEX('Game Records'!$S:$S,$H312))),NOT(_xlfn.ISFORMULA(INDEX('Game Records'!$T:$T,$H312))),NOT(_xlfn.ISFORMULA(INDEX('Game Records'!$U:$U,$H312))),NOT(_xlfn.ISFORMULA(INDEX('Game Records'!$V:$V,$H312))),NOT(_xlfn.ISFORMULA(INDEX('Game Records'!$W:$W,$H312))),NOT(_xlfn.ISFORMULA(INDEX('Game Records'!$X:$X,$H312))),NOT(_xlfn.ISFORMULA(INDEX('Game Records'!$Y:$Y,$H312))),NOT(_xlfn.ISFORMULA(INDEX('Game Records'!$Z:$Z,$H312)))),"","")&amp;IF(INDEX('Game Records'!$B:$B,$H312)="","Start Date; ","")&amp;IF(INDEX('Game Records'!$C:$C,$H312)="","End Date; ","")&amp;IF(AND(INDEX('Game Records'!$U:$U,$H312)&lt;&gt;"Subscription",INDEX('Game Records'!$U:$U,$H312)&lt;&gt;"Free Game",INDEX('Game Records'!$U:$U,$H312)&lt;&gt;"Disqualified — Free Game",OR(INDEX('Game Records'!$D:$D,$H312)="",LOWER(INDEX('Game Records'!$D:$D,$H312)&amp;"")="n/a")),"Entry Mode; ","")&amp;IF(AND(INDEX('Game Records'!$U:$U,$H312)&lt;&gt;"Subscription",INDEX('Game Records'!$U:$U,$H312)&lt;&gt;"Free Game",INDEX('Game Records'!$U:$U,$H312)&lt;&gt;"Disqualified — Free Game",OR(INDEX('Game Records'!$E:$E,$H312)="",LOWER(INDEX('Game Records'!$E:$E,$H312)&amp;"")="n/a")),"Game Type; ","")&amp;IF(INDEX('Game Records'!$F:$F,$H312)="","Payment Type; ","")&amp;IF(AND(INDEX('Game Records'!$U:$U,$H312)&lt;&gt;"Subscription",INDEX('Game Records'!$U:$U,$H312)&lt;&gt;"Free Game",INDEX('Game Records'!$U:$U,$H312)&lt;&gt;"Disqualified — Free Game",INDEX('Game Records'!$G:$G,$H312)=""),"Gross Pot; ","")&amp;IF(AND(INDEX('Game Records'!$U:$U,$H312)&lt;&gt;"Free Game",INDEX('Game Records'!$U:$U,$H312)&lt;&gt;"Disqualified — Free Game",INDEX('Game Records'!$H:$H,$H312)=""),"Entry Fee; ","")&amp;IF(AND(INDEX('Game Records'!$U:$U,$H312)&lt;&gt;"Subscription",INDEX('Game Records'!$U:$U,$H312)&lt;&gt;"Free Game",INDEX('Game Records'!$U:$U,$H312)&lt;&gt;"Disqualified — Free Game",INDEX('Game Records'!$I:$I,$H312)=""),"Eligible Players; ","")&amp;IF(AND(INDEX('Game Records'!$U:$U,$H312)&lt;&gt;"Subscription",INDEX('Game Records'!$U:$U,$H312)&lt;&gt;"Free Game",INDEX('Game Records'!$U:$U,$H312)&lt;&gt;"Disqualified — Free Game",INDEX('Game Records'!$J:$J,$H312)=""),"Total Players; ","")&amp;IF(AND(LOWER(INDEX('Game Records'!$D:$D,$H312)&amp;"")="finalized",LOWER(INDEX('Game Records'!$L:$L,$H312)&amp;"")&lt;&gt;"yes",INDEX('Game Records'!$U:$U,$H312)&lt;&gt;"Subscription",INDEX('Game Records'!$U:$U,$H312)&lt;&gt;"Free Game",INDEX('Game Records'!$U:$U,$H312)&lt;&gt;"Disqualified — Free Game",INDEX('Game Records'!$K:$K,$H312)=""),"Final Payout; ","")&amp;IF(AND(LOWER(INDEX('Game Records'!$D:$D,$H312)&amp;"")="finalized",INDEX('Game Records'!$U:$U,$H312)&lt;&gt;"Subscription",INDEX('Game Records'!$U:$U,$H312)&lt;&gt;"Free Game",INDEX('Game Records'!$U:$U,$H312)&lt;&gt;"Disqualified — Free Game",OR(INDEX('Game Records'!$L:$L,$H312)="",LOWER(INDEX('Game Records'!$L:$L,$H312)&amp;"")="n/a")),"Disqualified Status; ",""))</f>
        <v/>
      </c>
      <c r="G312" s="25" t="str">
        <f t="array" ref="G312">IF($H312="","",IFERROR(INDEX('Game Records'!$M:$M,$H312),""))</f>
        <v/>
      </c>
      <c r="H312" s="8"/>
    </row>
    <row r="313" ht="24.0" customHeight="1">
      <c r="A313" s="21" t="str">
        <f t="shared" si="1"/>
        <v/>
      </c>
      <c r="B313" s="21" t="str">
        <f t="shared" si="2"/>
        <v/>
      </c>
      <c r="C313" s="25" t="str">
        <f t="array" ref="C313">IF($H313="","",IFERROR(INDEX('Game Records'!$A:$A,$H313),""))</f>
        <v/>
      </c>
      <c r="D313" s="25" t="str">
        <f t="array" ref="D313">IF($H313="","",IFERROR(INDEX('Game Records'!$U:$U,$H313),""))</f>
        <v/>
      </c>
      <c r="E313" s="25" t="str">
        <f t="shared" si="3"/>
        <v/>
      </c>
      <c r="F313" s="25" t="str">
        <f t="array" ref="F313">IF($H313="","",IF(OR(NOT(_xlfn.ISFORMULA(INDEX('Game Records'!$N:$N,$H313))),NOT(_xlfn.ISFORMULA(INDEX('Game Records'!$O:$O,$H313))),NOT(_xlfn.ISFORMULA(INDEX('Game Records'!$P:$P,$H313))),NOT(_xlfn.ISFORMULA(INDEX('Game Records'!$Q:$Q,$H313))),NOT(_xlfn.ISFORMULA(INDEX('Game Records'!$R:$R,$H313))),NOT(_xlfn.ISFORMULA(INDEX('Game Records'!$S:$S,$H313))),NOT(_xlfn.ISFORMULA(INDEX('Game Records'!$T:$T,$H313))),NOT(_xlfn.ISFORMULA(INDEX('Game Records'!$U:$U,$H313))),NOT(_xlfn.ISFORMULA(INDEX('Game Records'!$V:$V,$H313))),NOT(_xlfn.ISFORMULA(INDEX('Game Records'!$W:$W,$H313))),NOT(_xlfn.ISFORMULA(INDEX('Game Records'!$X:$X,$H313))),NOT(_xlfn.ISFORMULA(INDEX('Game Records'!$Y:$Y,$H313))),NOT(_xlfn.ISFORMULA(INDEX('Game Records'!$Z:$Z,$H313)))),"","")&amp;IF(INDEX('Game Records'!$B:$B,$H313)="","Start Date; ","")&amp;IF(INDEX('Game Records'!$C:$C,$H313)="","End Date; ","")&amp;IF(AND(INDEX('Game Records'!$U:$U,$H313)&lt;&gt;"Subscription",INDEX('Game Records'!$U:$U,$H313)&lt;&gt;"Free Game",INDEX('Game Records'!$U:$U,$H313)&lt;&gt;"Disqualified — Free Game",OR(INDEX('Game Records'!$D:$D,$H313)="",LOWER(INDEX('Game Records'!$D:$D,$H313)&amp;"")="n/a")),"Entry Mode; ","")&amp;IF(AND(INDEX('Game Records'!$U:$U,$H313)&lt;&gt;"Subscription",INDEX('Game Records'!$U:$U,$H313)&lt;&gt;"Free Game",INDEX('Game Records'!$U:$U,$H313)&lt;&gt;"Disqualified — Free Game",OR(INDEX('Game Records'!$E:$E,$H313)="",LOWER(INDEX('Game Records'!$E:$E,$H313)&amp;"")="n/a")),"Game Type; ","")&amp;IF(INDEX('Game Records'!$F:$F,$H313)="","Payment Type; ","")&amp;IF(AND(INDEX('Game Records'!$U:$U,$H313)&lt;&gt;"Subscription",INDEX('Game Records'!$U:$U,$H313)&lt;&gt;"Free Game",INDEX('Game Records'!$U:$U,$H313)&lt;&gt;"Disqualified — Free Game",INDEX('Game Records'!$G:$G,$H313)=""),"Gross Pot; ","")&amp;IF(AND(INDEX('Game Records'!$U:$U,$H313)&lt;&gt;"Free Game",INDEX('Game Records'!$U:$U,$H313)&lt;&gt;"Disqualified — Free Game",INDEX('Game Records'!$H:$H,$H313)=""),"Entry Fee; ","")&amp;IF(AND(INDEX('Game Records'!$U:$U,$H313)&lt;&gt;"Subscription",INDEX('Game Records'!$U:$U,$H313)&lt;&gt;"Free Game",INDEX('Game Records'!$U:$U,$H313)&lt;&gt;"Disqualified — Free Game",INDEX('Game Records'!$I:$I,$H313)=""),"Eligible Players; ","")&amp;IF(AND(INDEX('Game Records'!$U:$U,$H313)&lt;&gt;"Subscription",INDEX('Game Records'!$U:$U,$H313)&lt;&gt;"Free Game",INDEX('Game Records'!$U:$U,$H313)&lt;&gt;"Disqualified — Free Game",INDEX('Game Records'!$J:$J,$H313)=""),"Total Players; ","")&amp;IF(AND(LOWER(INDEX('Game Records'!$D:$D,$H313)&amp;"")="finalized",LOWER(INDEX('Game Records'!$L:$L,$H313)&amp;"")&lt;&gt;"yes",INDEX('Game Records'!$U:$U,$H313)&lt;&gt;"Subscription",INDEX('Game Records'!$U:$U,$H313)&lt;&gt;"Free Game",INDEX('Game Records'!$U:$U,$H313)&lt;&gt;"Disqualified — Free Game",INDEX('Game Records'!$K:$K,$H313)=""),"Final Payout; ","")&amp;IF(AND(LOWER(INDEX('Game Records'!$D:$D,$H313)&amp;"")="finalized",INDEX('Game Records'!$U:$U,$H313)&lt;&gt;"Subscription",INDEX('Game Records'!$U:$U,$H313)&lt;&gt;"Free Game",INDEX('Game Records'!$U:$U,$H313)&lt;&gt;"Disqualified — Free Game",OR(INDEX('Game Records'!$L:$L,$H313)="",LOWER(INDEX('Game Records'!$L:$L,$H313)&amp;"")="n/a")),"Disqualified Status; ",""))</f>
        <v/>
      </c>
      <c r="G313" s="25" t="str">
        <f t="array" ref="G313">IF($H313="","",IFERROR(INDEX('Game Records'!$M:$M,$H313),""))</f>
        <v/>
      </c>
      <c r="H313" s="8"/>
    </row>
    <row r="314" ht="24.0" customHeight="1">
      <c r="A314" s="21" t="str">
        <f t="shared" si="1"/>
        <v/>
      </c>
      <c r="B314" s="21" t="str">
        <f t="shared" si="2"/>
        <v/>
      </c>
      <c r="C314" s="25" t="str">
        <f t="array" ref="C314">IF($H314="","",IFERROR(INDEX('Game Records'!$A:$A,$H314),""))</f>
        <v/>
      </c>
      <c r="D314" s="25" t="str">
        <f t="array" ref="D314">IF($H314="","",IFERROR(INDEX('Game Records'!$U:$U,$H314),""))</f>
        <v/>
      </c>
      <c r="E314" s="25" t="str">
        <f t="shared" si="3"/>
        <v/>
      </c>
      <c r="F314" s="25" t="str">
        <f t="array" ref="F314">IF($H314="","",IF(OR(NOT(_xlfn.ISFORMULA(INDEX('Game Records'!$N:$N,$H314))),NOT(_xlfn.ISFORMULA(INDEX('Game Records'!$O:$O,$H314))),NOT(_xlfn.ISFORMULA(INDEX('Game Records'!$P:$P,$H314))),NOT(_xlfn.ISFORMULA(INDEX('Game Records'!$Q:$Q,$H314))),NOT(_xlfn.ISFORMULA(INDEX('Game Records'!$R:$R,$H314))),NOT(_xlfn.ISFORMULA(INDEX('Game Records'!$S:$S,$H314))),NOT(_xlfn.ISFORMULA(INDEX('Game Records'!$T:$T,$H314))),NOT(_xlfn.ISFORMULA(INDEX('Game Records'!$U:$U,$H314))),NOT(_xlfn.ISFORMULA(INDEX('Game Records'!$V:$V,$H314))),NOT(_xlfn.ISFORMULA(INDEX('Game Records'!$W:$W,$H314))),NOT(_xlfn.ISFORMULA(INDEX('Game Records'!$X:$X,$H314))),NOT(_xlfn.ISFORMULA(INDEX('Game Records'!$Y:$Y,$H314))),NOT(_xlfn.ISFORMULA(INDEX('Game Records'!$Z:$Z,$H314)))),"","")&amp;IF(INDEX('Game Records'!$B:$B,$H314)="","Start Date; ","")&amp;IF(INDEX('Game Records'!$C:$C,$H314)="","End Date; ","")&amp;IF(AND(INDEX('Game Records'!$U:$U,$H314)&lt;&gt;"Subscription",INDEX('Game Records'!$U:$U,$H314)&lt;&gt;"Free Game",INDEX('Game Records'!$U:$U,$H314)&lt;&gt;"Disqualified — Free Game",OR(INDEX('Game Records'!$D:$D,$H314)="",LOWER(INDEX('Game Records'!$D:$D,$H314)&amp;"")="n/a")),"Entry Mode; ","")&amp;IF(AND(INDEX('Game Records'!$U:$U,$H314)&lt;&gt;"Subscription",INDEX('Game Records'!$U:$U,$H314)&lt;&gt;"Free Game",INDEX('Game Records'!$U:$U,$H314)&lt;&gt;"Disqualified — Free Game",OR(INDEX('Game Records'!$E:$E,$H314)="",LOWER(INDEX('Game Records'!$E:$E,$H314)&amp;"")="n/a")),"Game Type; ","")&amp;IF(INDEX('Game Records'!$F:$F,$H314)="","Payment Type; ","")&amp;IF(AND(INDEX('Game Records'!$U:$U,$H314)&lt;&gt;"Subscription",INDEX('Game Records'!$U:$U,$H314)&lt;&gt;"Free Game",INDEX('Game Records'!$U:$U,$H314)&lt;&gt;"Disqualified — Free Game",INDEX('Game Records'!$G:$G,$H314)=""),"Gross Pot; ","")&amp;IF(AND(INDEX('Game Records'!$U:$U,$H314)&lt;&gt;"Free Game",INDEX('Game Records'!$U:$U,$H314)&lt;&gt;"Disqualified — Free Game",INDEX('Game Records'!$H:$H,$H314)=""),"Entry Fee; ","")&amp;IF(AND(INDEX('Game Records'!$U:$U,$H314)&lt;&gt;"Subscription",INDEX('Game Records'!$U:$U,$H314)&lt;&gt;"Free Game",INDEX('Game Records'!$U:$U,$H314)&lt;&gt;"Disqualified — Free Game",INDEX('Game Records'!$I:$I,$H314)=""),"Eligible Players; ","")&amp;IF(AND(INDEX('Game Records'!$U:$U,$H314)&lt;&gt;"Subscription",INDEX('Game Records'!$U:$U,$H314)&lt;&gt;"Free Game",INDEX('Game Records'!$U:$U,$H314)&lt;&gt;"Disqualified — Free Game",INDEX('Game Records'!$J:$J,$H314)=""),"Total Players; ","")&amp;IF(AND(LOWER(INDEX('Game Records'!$D:$D,$H314)&amp;"")="finalized",LOWER(INDEX('Game Records'!$L:$L,$H314)&amp;"")&lt;&gt;"yes",INDEX('Game Records'!$U:$U,$H314)&lt;&gt;"Subscription",INDEX('Game Records'!$U:$U,$H314)&lt;&gt;"Free Game",INDEX('Game Records'!$U:$U,$H314)&lt;&gt;"Disqualified — Free Game",INDEX('Game Records'!$K:$K,$H314)=""),"Final Payout; ","")&amp;IF(AND(LOWER(INDEX('Game Records'!$D:$D,$H314)&amp;"")="finalized",INDEX('Game Records'!$U:$U,$H314)&lt;&gt;"Subscription",INDEX('Game Records'!$U:$U,$H314)&lt;&gt;"Free Game",INDEX('Game Records'!$U:$U,$H314)&lt;&gt;"Disqualified — Free Game",OR(INDEX('Game Records'!$L:$L,$H314)="",LOWER(INDEX('Game Records'!$L:$L,$H314)&amp;"")="n/a")),"Disqualified Status; ",""))</f>
        <v/>
      </c>
      <c r="G314" s="25" t="str">
        <f t="array" ref="G314">IF($H314="","",IFERROR(INDEX('Game Records'!$M:$M,$H314),""))</f>
        <v/>
      </c>
      <c r="H314" s="8"/>
    </row>
    <row r="315" ht="24.0" customHeight="1">
      <c r="A315" s="21" t="str">
        <f t="shared" si="1"/>
        <v/>
      </c>
      <c r="B315" s="21" t="str">
        <f t="shared" si="2"/>
        <v/>
      </c>
      <c r="C315" s="25" t="str">
        <f t="array" ref="C315">IF($H315="","",IFERROR(INDEX('Game Records'!$A:$A,$H315),""))</f>
        <v/>
      </c>
      <c r="D315" s="25" t="str">
        <f t="array" ref="D315">IF($H315="","",IFERROR(INDEX('Game Records'!$U:$U,$H315),""))</f>
        <v/>
      </c>
      <c r="E315" s="25" t="str">
        <f t="shared" si="3"/>
        <v/>
      </c>
      <c r="F315" s="25" t="str">
        <f t="array" ref="F315">IF($H315="","",IF(OR(NOT(_xlfn.ISFORMULA(INDEX('Game Records'!$N:$N,$H315))),NOT(_xlfn.ISFORMULA(INDEX('Game Records'!$O:$O,$H315))),NOT(_xlfn.ISFORMULA(INDEX('Game Records'!$P:$P,$H315))),NOT(_xlfn.ISFORMULA(INDEX('Game Records'!$Q:$Q,$H315))),NOT(_xlfn.ISFORMULA(INDEX('Game Records'!$R:$R,$H315))),NOT(_xlfn.ISFORMULA(INDEX('Game Records'!$S:$S,$H315))),NOT(_xlfn.ISFORMULA(INDEX('Game Records'!$T:$T,$H315))),NOT(_xlfn.ISFORMULA(INDEX('Game Records'!$U:$U,$H315))),NOT(_xlfn.ISFORMULA(INDEX('Game Records'!$V:$V,$H315))),NOT(_xlfn.ISFORMULA(INDEX('Game Records'!$W:$W,$H315))),NOT(_xlfn.ISFORMULA(INDEX('Game Records'!$X:$X,$H315))),NOT(_xlfn.ISFORMULA(INDEX('Game Records'!$Y:$Y,$H315))),NOT(_xlfn.ISFORMULA(INDEX('Game Records'!$Z:$Z,$H315)))),"","")&amp;IF(INDEX('Game Records'!$B:$B,$H315)="","Start Date; ","")&amp;IF(INDEX('Game Records'!$C:$C,$H315)="","End Date; ","")&amp;IF(AND(INDEX('Game Records'!$U:$U,$H315)&lt;&gt;"Subscription",INDEX('Game Records'!$U:$U,$H315)&lt;&gt;"Free Game",INDEX('Game Records'!$U:$U,$H315)&lt;&gt;"Disqualified — Free Game",OR(INDEX('Game Records'!$D:$D,$H315)="",LOWER(INDEX('Game Records'!$D:$D,$H315)&amp;"")="n/a")),"Entry Mode; ","")&amp;IF(AND(INDEX('Game Records'!$U:$U,$H315)&lt;&gt;"Subscription",INDEX('Game Records'!$U:$U,$H315)&lt;&gt;"Free Game",INDEX('Game Records'!$U:$U,$H315)&lt;&gt;"Disqualified — Free Game",OR(INDEX('Game Records'!$E:$E,$H315)="",LOWER(INDEX('Game Records'!$E:$E,$H315)&amp;"")="n/a")),"Game Type; ","")&amp;IF(INDEX('Game Records'!$F:$F,$H315)="","Payment Type; ","")&amp;IF(AND(INDEX('Game Records'!$U:$U,$H315)&lt;&gt;"Subscription",INDEX('Game Records'!$U:$U,$H315)&lt;&gt;"Free Game",INDEX('Game Records'!$U:$U,$H315)&lt;&gt;"Disqualified — Free Game",INDEX('Game Records'!$G:$G,$H315)=""),"Gross Pot; ","")&amp;IF(AND(INDEX('Game Records'!$U:$U,$H315)&lt;&gt;"Free Game",INDEX('Game Records'!$U:$U,$H315)&lt;&gt;"Disqualified — Free Game",INDEX('Game Records'!$H:$H,$H315)=""),"Entry Fee; ","")&amp;IF(AND(INDEX('Game Records'!$U:$U,$H315)&lt;&gt;"Subscription",INDEX('Game Records'!$U:$U,$H315)&lt;&gt;"Free Game",INDEX('Game Records'!$U:$U,$H315)&lt;&gt;"Disqualified — Free Game",INDEX('Game Records'!$I:$I,$H315)=""),"Eligible Players; ","")&amp;IF(AND(INDEX('Game Records'!$U:$U,$H315)&lt;&gt;"Subscription",INDEX('Game Records'!$U:$U,$H315)&lt;&gt;"Free Game",INDEX('Game Records'!$U:$U,$H315)&lt;&gt;"Disqualified — Free Game",INDEX('Game Records'!$J:$J,$H315)=""),"Total Players; ","")&amp;IF(AND(LOWER(INDEX('Game Records'!$D:$D,$H315)&amp;"")="finalized",LOWER(INDEX('Game Records'!$L:$L,$H315)&amp;"")&lt;&gt;"yes",INDEX('Game Records'!$U:$U,$H315)&lt;&gt;"Subscription",INDEX('Game Records'!$U:$U,$H315)&lt;&gt;"Free Game",INDEX('Game Records'!$U:$U,$H315)&lt;&gt;"Disqualified — Free Game",INDEX('Game Records'!$K:$K,$H315)=""),"Final Payout; ","")&amp;IF(AND(LOWER(INDEX('Game Records'!$D:$D,$H315)&amp;"")="finalized",INDEX('Game Records'!$U:$U,$H315)&lt;&gt;"Subscription",INDEX('Game Records'!$U:$U,$H315)&lt;&gt;"Free Game",INDEX('Game Records'!$U:$U,$H315)&lt;&gt;"Disqualified — Free Game",OR(INDEX('Game Records'!$L:$L,$H315)="",LOWER(INDEX('Game Records'!$L:$L,$H315)&amp;"")="n/a")),"Disqualified Status; ",""))</f>
        <v/>
      </c>
      <c r="G315" s="25" t="str">
        <f t="array" ref="G315">IF($H315="","",IFERROR(INDEX('Game Records'!$M:$M,$H315),""))</f>
        <v/>
      </c>
      <c r="H315" s="8"/>
    </row>
    <row r="316" ht="24.0" customHeight="1">
      <c r="A316" s="21" t="str">
        <f t="shared" si="1"/>
        <v/>
      </c>
      <c r="B316" s="21" t="str">
        <f t="shared" si="2"/>
        <v/>
      </c>
      <c r="C316" s="25" t="str">
        <f t="array" ref="C316">IF($H316="","",IFERROR(INDEX('Game Records'!$A:$A,$H316),""))</f>
        <v/>
      </c>
      <c r="D316" s="25" t="str">
        <f t="array" ref="D316">IF($H316="","",IFERROR(INDEX('Game Records'!$U:$U,$H316),""))</f>
        <v/>
      </c>
      <c r="E316" s="25" t="str">
        <f t="shared" si="3"/>
        <v/>
      </c>
      <c r="F316" s="25" t="str">
        <f t="array" ref="F316">IF($H316="","",IF(OR(NOT(_xlfn.ISFORMULA(INDEX('Game Records'!$N:$N,$H316))),NOT(_xlfn.ISFORMULA(INDEX('Game Records'!$O:$O,$H316))),NOT(_xlfn.ISFORMULA(INDEX('Game Records'!$P:$P,$H316))),NOT(_xlfn.ISFORMULA(INDEX('Game Records'!$Q:$Q,$H316))),NOT(_xlfn.ISFORMULA(INDEX('Game Records'!$R:$R,$H316))),NOT(_xlfn.ISFORMULA(INDEX('Game Records'!$S:$S,$H316))),NOT(_xlfn.ISFORMULA(INDEX('Game Records'!$T:$T,$H316))),NOT(_xlfn.ISFORMULA(INDEX('Game Records'!$U:$U,$H316))),NOT(_xlfn.ISFORMULA(INDEX('Game Records'!$V:$V,$H316))),NOT(_xlfn.ISFORMULA(INDEX('Game Records'!$W:$W,$H316))),NOT(_xlfn.ISFORMULA(INDEX('Game Records'!$X:$X,$H316))),NOT(_xlfn.ISFORMULA(INDEX('Game Records'!$Y:$Y,$H316))),NOT(_xlfn.ISFORMULA(INDEX('Game Records'!$Z:$Z,$H316)))),"","")&amp;IF(INDEX('Game Records'!$B:$B,$H316)="","Start Date; ","")&amp;IF(INDEX('Game Records'!$C:$C,$H316)="","End Date; ","")&amp;IF(AND(INDEX('Game Records'!$U:$U,$H316)&lt;&gt;"Subscription",INDEX('Game Records'!$U:$U,$H316)&lt;&gt;"Free Game",INDEX('Game Records'!$U:$U,$H316)&lt;&gt;"Disqualified — Free Game",OR(INDEX('Game Records'!$D:$D,$H316)="",LOWER(INDEX('Game Records'!$D:$D,$H316)&amp;"")="n/a")),"Entry Mode; ","")&amp;IF(AND(INDEX('Game Records'!$U:$U,$H316)&lt;&gt;"Subscription",INDEX('Game Records'!$U:$U,$H316)&lt;&gt;"Free Game",INDEX('Game Records'!$U:$U,$H316)&lt;&gt;"Disqualified — Free Game",OR(INDEX('Game Records'!$E:$E,$H316)="",LOWER(INDEX('Game Records'!$E:$E,$H316)&amp;"")="n/a")),"Game Type; ","")&amp;IF(INDEX('Game Records'!$F:$F,$H316)="","Payment Type; ","")&amp;IF(AND(INDEX('Game Records'!$U:$U,$H316)&lt;&gt;"Subscription",INDEX('Game Records'!$U:$U,$H316)&lt;&gt;"Free Game",INDEX('Game Records'!$U:$U,$H316)&lt;&gt;"Disqualified — Free Game",INDEX('Game Records'!$G:$G,$H316)=""),"Gross Pot; ","")&amp;IF(AND(INDEX('Game Records'!$U:$U,$H316)&lt;&gt;"Free Game",INDEX('Game Records'!$U:$U,$H316)&lt;&gt;"Disqualified — Free Game",INDEX('Game Records'!$H:$H,$H316)=""),"Entry Fee; ","")&amp;IF(AND(INDEX('Game Records'!$U:$U,$H316)&lt;&gt;"Subscription",INDEX('Game Records'!$U:$U,$H316)&lt;&gt;"Free Game",INDEX('Game Records'!$U:$U,$H316)&lt;&gt;"Disqualified — Free Game",INDEX('Game Records'!$I:$I,$H316)=""),"Eligible Players; ","")&amp;IF(AND(INDEX('Game Records'!$U:$U,$H316)&lt;&gt;"Subscription",INDEX('Game Records'!$U:$U,$H316)&lt;&gt;"Free Game",INDEX('Game Records'!$U:$U,$H316)&lt;&gt;"Disqualified — Free Game",INDEX('Game Records'!$J:$J,$H316)=""),"Total Players; ","")&amp;IF(AND(LOWER(INDEX('Game Records'!$D:$D,$H316)&amp;"")="finalized",LOWER(INDEX('Game Records'!$L:$L,$H316)&amp;"")&lt;&gt;"yes",INDEX('Game Records'!$U:$U,$H316)&lt;&gt;"Subscription",INDEX('Game Records'!$U:$U,$H316)&lt;&gt;"Free Game",INDEX('Game Records'!$U:$U,$H316)&lt;&gt;"Disqualified — Free Game",INDEX('Game Records'!$K:$K,$H316)=""),"Final Payout; ","")&amp;IF(AND(LOWER(INDEX('Game Records'!$D:$D,$H316)&amp;"")="finalized",INDEX('Game Records'!$U:$U,$H316)&lt;&gt;"Subscription",INDEX('Game Records'!$U:$U,$H316)&lt;&gt;"Free Game",INDEX('Game Records'!$U:$U,$H316)&lt;&gt;"Disqualified — Free Game",OR(INDEX('Game Records'!$L:$L,$H316)="",LOWER(INDEX('Game Records'!$L:$L,$H316)&amp;"")="n/a")),"Disqualified Status; ",""))</f>
        <v/>
      </c>
      <c r="G316" s="25" t="str">
        <f t="array" ref="G316">IF($H316="","",IFERROR(INDEX('Game Records'!$M:$M,$H316),""))</f>
        <v/>
      </c>
      <c r="H316" s="8"/>
    </row>
    <row r="317" ht="24.0" customHeight="1">
      <c r="A317" s="21" t="str">
        <f t="shared" si="1"/>
        <v/>
      </c>
      <c r="B317" s="21" t="str">
        <f t="shared" si="2"/>
        <v/>
      </c>
      <c r="C317" s="25" t="str">
        <f t="array" ref="C317">IF($H317="","",IFERROR(INDEX('Game Records'!$A:$A,$H317),""))</f>
        <v/>
      </c>
      <c r="D317" s="25" t="str">
        <f t="array" ref="D317">IF($H317="","",IFERROR(INDEX('Game Records'!$U:$U,$H317),""))</f>
        <v/>
      </c>
      <c r="E317" s="25" t="str">
        <f t="shared" si="3"/>
        <v/>
      </c>
      <c r="F317" s="25" t="str">
        <f t="array" ref="F317">IF($H317="","",IF(OR(NOT(_xlfn.ISFORMULA(INDEX('Game Records'!$N:$N,$H317))),NOT(_xlfn.ISFORMULA(INDEX('Game Records'!$O:$O,$H317))),NOT(_xlfn.ISFORMULA(INDEX('Game Records'!$P:$P,$H317))),NOT(_xlfn.ISFORMULA(INDEX('Game Records'!$Q:$Q,$H317))),NOT(_xlfn.ISFORMULA(INDEX('Game Records'!$R:$R,$H317))),NOT(_xlfn.ISFORMULA(INDEX('Game Records'!$S:$S,$H317))),NOT(_xlfn.ISFORMULA(INDEX('Game Records'!$T:$T,$H317))),NOT(_xlfn.ISFORMULA(INDEX('Game Records'!$U:$U,$H317))),NOT(_xlfn.ISFORMULA(INDEX('Game Records'!$V:$V,$H317))),NOT(_xlfn.ISFORMULA(INDEX('Game Records'!$W:$W,$H317))),NOT(_xlfn.ISFORMULA(INDEX('Game Records'!$X:$X,$H317))),NOT(_xlfn.ISFORMULA(INDEX('Game Records'!$Y:$Y,$H317))),NOT(_xlfn.ISFORMULA(INDEX('Game Records'!$Z:$Z,$H317)))),"","")&amp;IF(INDEX('Game Records'!$B:$B,$H317)="","Start Date; ","")&amp;IF(INDEX('Game Records'!$C:$C,$H317)="","End Date; ","")&amp;IF(AND(INDEX('Game Records'!$U:$U,$H317)&lt;&gt;"Subscription",INDEX('Game Records'!$U:$U,$H317)&lt;&gt;"Free Game",INDEX('Game Records'!$U:$U,$H317)&lt;&gt;"Disqualified — Free Game",OR(INDEX('Game Records'!$D:$D,$H317)="",LOWER(INDEX('Game Records'!$D:$D,$H317)&amp;"")="n/a")),"Entry Mode; ","")&amp;IF(AND(INDEX('Game Records'!$U:$U,$H317)&lt;&gt;"Subscription",INDEX('Game Records'!$U:$U,$H317)&lt;&gt;"Free Game",INDEX('Game Records'!$U:$U,$H317)&lt;&gt;"Disqualified — Free Game",OR(INDEX('Game Records'!$E:$E,$H317)="",LOWER(INDEX('Game Records'!$E:$E,$H317)&amp;"")="n/a")),"Game Type; ","")&amp;IF(INDEX('Game Records'!$F:$F,$H317)="","Payment Type; ","")&amp;IF(AND(INDEX('Game Records'!$U:$U,$H317)&lt;&gt;"Subscription",INDEX('Game Records'!$U:$U,$H317)&lt;&gt;"Free Game",INDEX('Game Records'!$U:$U,$H317)&lt;&gt;"Disqualified — Free Game",INDEX('Game Records'!$G:$G,$H317)=""),"Gross Pot; ","")&amp;IF(AND(INDEX('Game Records'!$U:$U,$H317)&lt;&gt;"Free Game",INDEX('Game Records'!$U:$U,$H317)&lt;&gt;"Disqualified — Free Game",INDEX('Game Records'!$H:$H,$H317)=""),"Entry Fee; ","")&amp;IF(AND(INDEX('Game Records'!$U:$U,$H317)&lt;&gt;"Subscription",INDEX('Game Records'!$U:$U,$H317)&lt;&gt;"Free Game",INDEX('Game Records'!$U:$U,$H317)&lt;&gt;"Disqualified — Free Game",INDEX('Game Records'!$I:$I,$H317)=""),"Eligible Players; ","")&amp;IF(AND(INDEX('Game Records'!$U:$U,$H317)&lt;&gt;"Subscription",INDEX('Game Records'!$U:$U,$H317)&lt;&gt;"Free Game",INDEX('Game Records'!$U:$U,$H317)&lt;&gt;"Disqualified — Free Game",INDEX('Game Records'!$J:$J,$H317)=""),"Total Players; ","")&amp;IF(AND(LOWER(INDEX('Game Records'!$D:$D,$H317)&amp;"")="finalized",LOWER(INDEX('Game Records'!$L:$L,$H317)&amp;"")&lt;&gt;"yes",INDEX('Game Records'!$U:$U,$H317)&lt;&gt;"Subscription",INDEX('Game Records'!$U:$U,$H317)&lt;&gt;"Free Game",INDEX('Game Records'!$U:$U,$H317)&lt;&gt;"Disqualified — Free Game",INDEX('Game Records'!$K:$K,$H317)=""),"Final Payout; ","")&amp;IF(AND(LOWER(INDEX('Game Records'!$D:$D,$H317)&amp;"")="finalized",INDEX('Game Records'!$U:$U,$H317)&lt;&gt;"Subscription",INDEX('Game Records'!$U:$U,$H317)&lt;&gt;"Free Game",INDEX('Game Records'!$U:$U,$H317)&lt;&gt;"Disqualified — Free Game",OR(INDEX('Game Records'!$L:$L,$H317)="",LOWER(INDEX('Game Records'!$L:$L,$H317)&amp;"")="n/a")),"Disqualified Status; ",""))</f>
        <v/>
      </c>
      <c r="G317" s="25" t="str">
        <f t="array" ref="G317">IF($H317="","",IFERROR(INDEX('Game Records'!$M:$M,$H317),""))</f>
        <v/>
      </c>
      <c r="H317" s="8"/>
    </row>
    <row r="318" ht="24.0" customHeight="1">
      <c r="A318" s="21" t="str">
        <f t="shared" si="1"/>
        <v/>
      </c>
      <c r="B318" s="21" t="str">
        <f t="shared" si="2"/>
        <v/>
      </c>
      <c r="C318" s="25" t="str">
        <f t="array" ref="C318">IF($H318="","",IFERROR(INDEX('Game Records'!$A:$A,$H318),""))</f>
        <v/>
      </c>
      <c r="D318" s="25" t="str">
        <f t="array" ref="D318">IF($H318="","",IFERROR(INDEX('Game Records'!$U:$U,$H318),""))</f>
        <v/>
      </c>
      <c r="E318" s="25" t="str">
        <f t="shared" si="3"/>
        <v/>
      </c>
      <c r="F318" s="25" t="str">
        <f t="array" ref="F318">IF($H318="","",IF(OR(NOT(_xlfn.ISFORMULA(INDEX('Game Records'!$N:$N,$H318))),NOT(_xlfn.ISFORMULA(INDEX('Game Records'!$O:$O,$H318))),NOT(_xlfn.ISFORMULA(INDEX('Game Records'!$P:$P,$H318))),NOT(_xlfn.ISFORMULA(INDEX('Game Records'!$Q:$Q,$H318))),NOT(_xlfn.ISFORMULA(INDEX('Game Records'!$R:$R,$H318))),NOT(_xlfn.ISFORMULA(INDEX('Game Records'!$S:$S,$H318))),NOT(_xlfn.ISFORMULA(INDEX('Game Records'!$T:$T,$H318))),NOT(_xlfn.ISFORMULA(INDEX('Game Records'!$U:$U,$H318))),NOT(_xlfn.ISFORMULA(INDEX('Game Records'!$V:$V,$H318))),NOT(_xlfn.ISFORMULA(INDEX('Game Records'!$W:$W,$H318))),NOT(_xlfn.ISFORMULA(INDEX('Game Records'!$X:$X,$H318))),NOT(_xlfn.ISFORMULA(INDEX('Game Records'!$Y:$Y,$H318))),NOT(_xlfn.ISFORMULA(INDEX('Game Records'!$Z:$Z,$H318)))),"","")&amp;IF(INDEX('Game Records'!$B:$B,$H318)="","Start Date; ","")&amp;IF(INDEX('Game Records'!$C:$C,$H318)="","End Date; ","")&amp;IF(AND(INDEX('Game Records'!$U:$U,$H318)&lt;&gt;"Subscription",INDEX('Game Records'!$U:$U,$H318)&lt;&gt;"Free Game",INDEX('Game Records'!$U:$U,$H318)&lt;&gt;"Disqualified — Free Game",OR(INDEX('Game Records'!$D:$D,$H318)="",LOWER(INDEX('Game Records'!$D:$D,$H318)&amp;"")="n/a")),"Entry Mode; ","")&amp;IF(AND(INDEX('Game Records'!$U:$U,$H318)&lt;&gt;"Subscription",INDEX('Game Records'!$U:$U,$H318)&lt;&gt;"Free Game",INDEX('Game Records'!$U:$U,$H318)&lt;&gt;"Disqualified — Free Game",OR(INDEX('Game Records'!$E:$E,$H318)="",LOWER(INDEX('Game Records'!$E:$E,$H318)&amp;"")="n/a")),"Game Type; ","")&amp;IF(INDEX('Game Records'!$F:$F,$H318)="","Payment Type; ","")&amp;IF(AND(INDEX('Game Records'!$U:$U,$H318)&lt;&gt;"Subscription",INDEX('Game Records'!$U:$U,$H318)&lt;&gt;"Free Game",INDEX('Game Records'!$U:$U,$H318)&lt;&gt;"Disqualified — Free Game",INDEX('Game Records'!$G:$G,$H318)=""),"Gross Pot; ","")&amp;IF(AND(INDEX('Game Records'!$U:$U,$H318)&lt;&gt;"Free Game",INDEX('Game Records'!$U:$U,$H318)&lt;&gt;"Disqualified — Free Game",INDEX('Game Records'!$H:$H,$H318)=""),"Entry Fee; ","")&amp;IF(AND(INDEX('Game Records'!$U:$U,$H318)&lt;&gt;"Subscription",INDEX('Game Records'!$U:$U,$H318)&lt;&gt;"Free Game",INDEX('Game Records'!$U:$U,$H318)&lt;&gt;"Disqualified — Free Game",INDEX('Game Records'!$I:$I,$H318)=""),"Eligible Players; ","")&amp;IF(AND(INDEX('Game Records'!$U:$U,$H318)&lt;&gt;"Subscription",INDEX('Game Records'!$U:$U,$H318)&lt;&gt;"Free Game",INDEX('Game Records'!$U:$U,$H318)&lt;&gt;"Disqualified — Free Game",INDEX('Game Records'!$J:$J,$H318)=""),"Total Players; ","")&amp;IF(AND(LOWER(INDEX('Game Records'!$D:$D,$H318)&amp;"")="finalized",LOWER(INDEX('Game Records'!$L:$L,$H318)&amp;"")&lt;&gt;"yes",INDEX('Game Records'!$U:$U,$H318)&lt;&gt;"Subscription",INDEX('Game Records'!$U:$U,$H318)&lt;&gt;"Free Game",INDEX('Game Records'!$U:$U,$H318)&lt;&gt;"Disqualified — Free Game",INDEX('Game Records'!$K:$K,$H318)=""),"Final Payout; ","")&amp;IF(AND(LOWER(INDEX('Game Records'!$D:$D,$H318)&amp;"")="finalized",INDEX('Game Records'!$U:$U,$H318)&lt;&gt;"Subscription",INDEX('Game Records'!$U:$U,$H318)&lt;&gt;"Free Game",INDEX('Game Records'!$U:$U,$H318)&lt;&gt;"Disqualified — Free Game",OR(INDEX('Game Records'!$L:$L,$H318)="",LOWER(INDEX('Game Records'!$L:$L,$H318)&amp;"")="n/a")),"Disqualified Status; ",""))</f>
        <v/>
      </c>
      <c r="G318" s="25" t="str">
        <f t="array" ref="G318">IF($H318="","",IFERROR(INDEX('Game Records'!$M:$M,$H318),""))</f>
        <v/>
      </c>
      <c r="H318" s="8"/>
    </row>
    <row r="319" ht="24.0" customHeight="1">
      <c r="A319" s="21" t="str">
        <f t="shared" si="1"/>
        <v/>
      </c>
      <c r="B319" s="21" t="str">
        <f t="shared" si="2"/>
        <v/>
      </c>
      <c r="C319" s="25" t="str">
        <f t="array" ref="C319">IF($H319="","",IFERROR(INDEX('Game Records'!$A:$A,$H319),""))</f>
        <v/>
      </c>
      <c r="D319" s="25" t="str">
        <f t="array" ref="D319">IF($H319="","",IFERROR(INDEX('Game Records'!$U:$U,$H319),""))</f>
        <v/>
      </c>
      <c r="E319" s="25" t="str">
        <f t="shared" si="3"/>
        <v/>
      </c>
      <c r="F319" s="25" t="str">
        <f t="array" ref="F319">IF($H319="","",IF(OR(NOT(_xlfn.ISFORMULA(INDEX('Game Records'!$N:$N,$H319))),NOT(_xlfn.ISFORMULA(INDEX('Game Records'!$O:$O,$H319))),NOT(_xlfn.ISFORMULA(INDEX('Game Records'!$P:$P,$H319))),NOT(_xlfn.ISFORMULA(INDEX('Game Records'!$Q:$Q,$H319))),NOT(_xlfn.ISFORMULA(INDEX('Game Records'!$R:$R,$H319))),NOT(_xlfn.ISFORMULA(INDEX('Game Records'!$S:$S,$H319))),NOT(_xlfn.ISFORMULA(INDEX('Game Records'!$T:$T,$H319))),NOT(_xlfn.ISFORMULA(INDEX('Game Records'!$U:$U,$H319))),NOT(_xlfn.ISFORMULA(INDEX('Game Records'!$V:$V,$H319))),NOT(_xlfn.ISFORMULA(INDEX('Game Records'!$W:$W,$H319))),NOT(_xlfn.ISFORMULA(INDEX('Game Records'!$X:$X,$H319))),NOT(_xlfn.ISFORMULA(INDEX('Game Records'!$Y:$Y,$H319))),NOT(_xlfn.ISFORMULA(INDEX('Game Records'!$Z:$Z,$H319)))),"","")&amp;IF(INDEX('Game Records'!$B:$B,$H319)="","Start Date; ","")&amp;IF(INDEX('Game Records'!$C:$C,$H319)="","End Date; ","")&amp;IF(AND(INDEX('Game Records'!$U:$U,$H319)&lt;&gt;"Subscription",INDEX('Game Records'!$U:$U,$H319)&lt;&gt;"Free Game",INDEX('Game Records'!$U:$U,$H319)&lt;&gt;"Disqualified — Free Game",OR(INDEX('Game Records'!$D:$D,$H319)="",LOWER(INDEX('Game Records'!$D:$D,$H319)&amp;"")="n/a")),"Entry Mode; ","")&amp;IF(AND(INDEX('Game Records'!$U:$U,$H319)&lt;&gt;"Subscription",INDEX('Game Records'!$U:$U,$H319)&lt;&gt;"Free Game",INDEX('Game Records'!$U:$U,$H319)&lt;&gt;"Disqualified — Free Game",OR(INDEX('Game Records'!$E:$E,$H319)="",LOWER(INDEX('Game Records'!$E:$E,$H319)&amp;"")="n/a")),"Game Type; ","")&amp;IF(INDEX('Game Records'!$F:$F,$H319)="","Payment Type; ","")&amp;IF(AND(INDEX('Game Records'!$U:$U,$H319)&lt;&gt;"Subscription",INDEX('Game Records'!$U:$U,$H319)&lt;&gt;"Free Game",INDEX('Game Records'!$U:$U,$H319)&lt;&gt;"Disqualified — Free Game",INDEX('Game Records'!$G:$G,$H319)=""),"Gross Pot; ","")&amp;IF(AND(INDEX('Game Records'!$U:$U,$H319)&lt;&gt;"Free Game",INDEX('Game Records'!$U:$U,$H319)&lt;&gt;"Disqualified — Free Game",INDEX('Game Records'!$H:$H,$H319)=""),"Entry Fee; ","")&amp;IF(AND(INDEX('Game Records'!$U:$U,$H319)&lt;&gt;"Subscription",INDEX('Game Records'!$U:$U,$H319)&lt;&gt;"Free Game",INDEX('Game Records'!$U:$U,$H319)&lt;&gt;"Disqualified — Free Game",INDEX('Game Records'!$I:$I,$H319)=""),"Eligible Players; ","")&amp;IF(AND(INDEX('Game Records'!$U:$U,$H319)&lt;&gt;"Subscription",INDEX('Game Records'!$U:$U,$H319)&lt;&gt;"Free Game",INDEX('Game Records'!$U:$U,$H319)&lt;&gt;"Disqualified — Free Game",INDEX('Game Records'!$J:$J,$H319)=""),"Total Players; ","")&amp;IF(AND(LOWER(INDEX('Game Records'!$D:$D,$H319)&amp;"")="finalized",LOWER(INDEX('Game Records'!$L:$L,$H319)&amp;"")&lt;&gt;"yes",INDEX('Game Records'!$U:$U,$H319)&lt;&gt;"Subscription",INDEX('Game Records'!$U:$U,$H319)&lt;&gt;"Free Game",INDEX('Game Records'!$U:$U,$H319)&lt;&gt;"Disqualified — Free Game",INDEX('Game Records'!$K:$K,$H319)=""),"Final Payout; ","")&amp;IF(AND(LOWER(INDEX('Game Records'!$D:$D,$H319)&amp;"")="finalized",INDEX('Game Records'!$U:$U,$H319)&lt;&gt;"Subscription",INDEX('Game Records'!$U:$U,$H319)&lt;&gt;"Free Game",INDEX('Game Records'!$U:$U,$H319)&lt;&gt;"Disqualified — Free Game",OR(INDEX('Game Records'!$L:$L,$H319)="",LOWER(INDEX('Game Records'!$L:$L,$H319)&amp;"")="n/a")),"Disqualified Status; ",""))</f>
        <v/>
      </c>
      <c r="G319" s="25" t="str">
        <f t="array" ref="G319">IF($H319="","",IFERROR(INDEX('Game Records'!$M:$M,$H319),""))</f>
        <v/>
      </c>
      <c r="H319" s="8"/>
    </row>
    <row r="320" ht="24.0" customHeight="1">
      <c r="A320" s="21" t="str">
        <f t="shared" si="1"/>
        <v/>
      </c>
      <c r="B320" s="21" t="str">
        <f t="shared" si="2"/>
        <v/>
      </c>
      <c r="C320" s="25" t="str">
        <f t="array" ref="C320">IF($H320="","",IFERROR(INDEX('Game Records'!$A:$A,$H320),""))</f>
        <v/>
      </c>
      <c r="D320" s="25" t="str">
        <f t="array" ref="D320">IF($H320="","",IFERROR(INDEX('Game Records'!$U:$U,$H320),""))</f>
        <v/>
      </c>
      <c r="E320" s="25" t="str">
        <f t="shared" si="3"/>
        <v/>
      </c>
      <c r="F320" s="25" t="str">
        <f t="array" ref="F320">IF($H320="","",IF(OR(NOT(_xlfn.ISFORMULA(INDEX('Game Records'!$N:$N,$H320))),NOT(_xlfn.ISFORMULA(INDEX('Game Records'!$O:$O,$H320))),NOT(_xlfn.ISFORMULA(INDEX('Game Records'!$P:$P,$H320))),NOT(_xlfn.ISFORMULA(INDEX('Game Records'!$Q:$Q,$H320))),NOT(_xlfn.ISFORMULA(INDEX('Game Records'!$R:$R,$H320))),NOT(_xlfn.ISFORMULA(INDEX('Game Records'!$S:$S,$H320))),NOT(_xlfn.ISFORMULA(INDEX('Game Records'!$T:$T,$H320))),NOT(_xlfn.ISFORMULA(INDEX('Game Records'!$U:$U,$H320))),NOT(_xlfn.ISFORMULA(INDEX('Game Records'!$V:$V,$H320))),NOT(_xlfn.ISFORMULA(INDEX('Game Records'!$W:$W,$H320))),NOT(_xlfn.ISFORMULA(INDEX('Game Records'!$X:$X,$H320))),NOT(_xlfn.ISFORMULA(INDEX('Game Records'!$Y:$Y,$H320))),NOT(_xlfn.ISFORMULA(INDEX('Game Records'!$Z:$Z,$H320)))),"","")&amp;IF(INDEX('Game Records'!$B:$B,$H320)="","Start Date; ","")&amp;IF(INDEX('Game Records'!$C:$C,$H320)="","End Date; ","")&amp;IF(AND(INDEX('Game Records'!$U:$U,$H320)&lt;&gt;"Subscription",INDEX('Game Records'!$U:$U,$H320)&lt;&gt;"Free Game",INDEX('Game Records'!$U:$U,$H320)&lt;&gt;"Disqualified — Free Game",OR(INDEX('Game Records'!$D:$D,$H320)="",LOWER(INDEX('Game Records'!$D:$D,$H320)&amp;"")="n/a")),"Entry Mode; ","")&amp;IF(AND(INDEX('Game Records'!$U:$U,$H320)&lt;&gt;"Subscription",INDEX('Game Records'!$U:$U,$H320)&lt;&gt;"Free Game",INDEX('Game Records'!$U:$U,$H320)&lt;&gt;"Disqualified — Free Game",OR(INDEX('Game Records'!$E:$E,$H320)="",LOWER(INDEX('Game Records'!$E:$E,$H320)&amp;"")="n/a")),"Game Type; ","")&amp;IF(INDEX('Game Records'!$F:$F,$H320)="","Payment Type; ","")&amp;IF(AND(INDEX('Game Records'!$U:$U,$H320)&lt;&gt;"Subscription",INDEX('Game Records'!$U:$U,$H320)&lt;&gt;"Free Game",INDEX('Game Records'!$U:$U,$H320)&lt;&gt;"Disqualified — Free Game",INDEX('Game Records'!$G:$G,$H320)=""),"Gross Pot; ","")&amp;IF(AND(INDEX('Game Records'!$U:$U,$H320)&lt;&gt;"Free Game",INDEX('Game Records'!$U:$U,$H320)&lt;&gt;"Disqualified — Free Game",INDEX('Game Records'!$H:$H,$H320)=""),"Entry Fee; ","")&amp;IF(AND(INDEX('Game Records'!$U:$U,$H320)&lt;&gt;"Subscription",INDEX('Game Records'!$U:$U,$H320)&lt;&gt;"Free Game",INDEX('Game Records'!$U:$U,$H320)&lt;&gt;"Disqualified — Free Game",INDEX('Game Records'!$I:$I,$H320)=""),"Eligible Players; ","")&amp;IF(AND(INDEX('Game Records'!$U:$U,$H320)&lt;&gt;"Subscription",INDEX('Game Records'!$U:$U,$H320)&lt;&gt;"Free Game",INDEX('Game Records'!$U:$U,$H320)&lt;&gt;"Disqualified — Free Game",INDEX('Game Records'!$J:$J,$H320)=""),"Total Players; ","")&amp;IF(AND(LOWER(INDEX('Game Records'!$D:$D,$H320)&amp;"")="finalized",LOWER(INDEX('Game Records'!$L:$L,$H320)&amp;"")&lt;&gt;"yes",INDEX('Game Records'!$U:$U,$H320)&lt;&gt;"Subscription",INDEX('Game Records'!$U:$U,$H320)&lt;&gt;"Free Game",INDEX('Game Records'!$U:$U,$H320)&lt;&gt;"Disqualified — Free Game",INDEX('Game Records'!$K:$K,$H320)=""),"Final Payout; ","")&amp;IF(AND(LOWER(INDEX('Game Records'!$D:$D,$H320)&amp;"")="finalized",INDEX('Game Records'!$U:$U,$H320)&lt;&gt;"Subscription",INDEX('Game Records'!$U:$U,$H320)&lt;&gt;"Free Game",INDEX('Game Records'!$U:$U,$H320)&lt;&gt;"Disqualified — Free Game",OR(INDEX('Game Records'!$L:$L,$H320)="",LOWER(INDEX('Game Records'!$L:$L,$H320)&amp;"")="n/a")),"Disqualified Status; ",""))</f>
        <v/>
      </c>
      <c r="G320" s="25" t="str">
        <f t="array" ref="G320">IF($H320="","",IFERROR(INDEX('Game Records'!$M:$M,$H320),""))</f>
        <v/>
      </c>
      <c r="H320" s="8"/>
    </row>
    <row r="321" ht="24.0" customHeight="1">
      <c r="A321" s="21" t="str">
        <f t="shared" si="1"/>
        <v/>
      </c>
      <c r="B321" s="21" t="str">
        <f t="shared" si="2"/>
        <v/>
      </c>
      <c r="C321" s="25" t="str">
        <f t="array" ref="C321">IF($H321="","",IFERROR(INDEX('Game Records'!$A:$A,$H321),""))</f>
        <v/>
      </c>
      <c r="D321" s="25" t="str">
        <f t="array" ref="D321">IF($H321="","",IFERROR(INDEX('Game Records'!$U:$U,$H321),""))</f>
        <v/>
      </c>
      <c r="E321" s="25" t="str">
        <f t="shared" si="3"/>
        <v/>
      </c>
      <c r="F321" s="25" t="str">
        <f t="array" ref="F321">IF($H321="","",IF(OR(NOT(_xlfn.ISFORMULA(INDEX('Game Records'!$N:$N,$H321))),NOT(_xlfn.ISFORMULA(INDEX('Game Records'!$O:$O,$H321))),NOT(_xlfn.ISFORMULA(INDEX('Game Records'!$P:$P,$H321))),NOT(_xlfn.ISFORMULA(INDEX('Game Records'!$Q:$Q,$H321))),NOT(_xlfn.ISFORMULA(INDEX('Game Records'!$R:$R,$H321))),NOT(_xlfn.ISFORMULA(INDEX('Game Records'!$S:$S,$H321))),NOT(_xlfn.ISFORMULA(INDEX('Game Records'!$T:$T,$H321))),NOT(_xlfn.ISFORMULA(INDEX('Game Records'!$U:$U,$H321))),NOT(_xlfn.ISFORMULA(INDEX('Game Records'!$V:$V,$H321))),NOT(_xlfn.ISFORMULA(INDEX('Game Records'!$W:$W,$H321))),NOT(_xlfn.ISFORMULA(INDEX('Game Records'!$X:$X,$H321))),NOT(_xlfn.ISFORMULA(INDEX('Game Records'!$Y:$Y,$H321))),NOT(_xlfn.ISFORMULA(INDEX('Game Records'!$Z:$Z,$H321)))),"","")&amp;IF(INDEX('Game Records'!$B:$B,$H321)="","Start Date; ","")&amp;IF(INDEX('Game Records'!$C:$C,$H321)="","End Date; ","")&amp;IF(AND(INDEX('Game Records'!$U:$U,$H321)&lt;&gt;"Subscription",INDEX('Game Records'!$U:$U,$H321)&lt;&gt;"Free Game",INDEX('Game Records'!$U:$U,$H321)&lt;&gt;"Disqualified — Free Game",OR(INDEX('Game Records'!$D:$D,$H321)="",LOWER(INDEX('Game Records'!$D:$D,$H321)&amp;"")="n/a")),"Entry Mode; ","")&amp;IF(AND(INDEX('Game Records'!$U:$U,$H321)&lt;&gt;"Subscription",INDEX('Game Records'!$U:$U,$H321)&lt;&gt;"Free Game",INDEX('Game Records'!$U:$U,$H321)&lt;&gt;"Disqualified — Free Game",OR(INDEX('Game Records'!$E:$E,$H321)="",LOWER(INDEX('Game Records'!$E:$E,$H321)&amp;"")="n/a")),"Game Type; ","")&amp;IF(INDEX('Game Records'!$F:$F,$H321)="","Payment Type; ","")&amp;IF(AND(INDEX('Game Records'!$U:$U,$H321)&lt;&gt;"Subscription",INDEX('Game Records'!$U:$U,$H321)&lt;&gt;"Free Game",INDEX('Game Records'!$U:$U,$H321)&lt;&gt;"Disqualified — Free Game",INDEX('Game Records'!$G:$G,$H321)=""),"Gross Pot; ","")&amp;IF(AND(INDEX('Game Records'!$U:$U,$H321)&lt;&gt;"Free Game",INDEX('Game Records'!$U:$U,$H321)&lt;&gt;"Disqualified — Free Game",INDEX('Game Records'!$H:$H,$H321)=""),"Entry Fee; ","")&amp;IF(AND(INDEX('Game Records'!$U:$U,$H321)&lt;&gt;"Subscription",INDEX('Game Records'!$U:$U,$H321)&lt;&gt;"Free Game",INDEX('Game Records'!$U:$U,$H321)&lt;&gt;"Disqualified — Free Game",INDEX('Game Records'!$I:$I,$H321)=""),"Eligible Players; ","")&amp;IF(AND(INDEX('Game Records'!$U:$U,$H321)&lt;&gt;"Subscription",INDEX('Game Records'!$U:$U,$H321)&lt;&gt;"Free Game",INDEX('Game Records'!$U:$U,$H321)&lt;&gt;"Disqualified — Free Game",INDEX('Game Records'!$J:$J,$H321)=""),"Total Players; ","")&amp;IF(AND(LOWER(INDEX('Game Records'!$D:$D,$H321)&amp;"")="finalized",LOWER(INDEX('Game Records'!$L:$L,$H321)&amp;"")&lt;&gt;"yes",INDEX('Game Records'!$U:$U,$H321)&lt;&gt;"Subscription",INDEX('Game Records'!$U:$U,$H321)&lt;&gt;"Free Game",INDEX('Game Records'!$U:$U,$H321)&lt;&gt;"Disqualified — Free Game",INDEX('Game Records'!$K:$K,$H321)=""),"Final Payout; ","")&amp;IF(AND(LOWER(INDEX('Game Records'!$D:$D,$H321)&amp;"")="finalized",INDEX('Game Records'!$U:$U,$H321)&lt;&gt;"Subscription",INDEX('Game Records'!$U:$U,$H321)&lt;&gt;"Free Game",INDEX('Game Records'!$U:$U,$H321)&lt;&gt;"Disqualified — Free Game",OR(INDEX('Game Records'!$L:$L,$H321)="",LOWER(INDEX('Game Records'!$L:$L,$H321)&amp;"")="n/a")),"Disqualified Status; ",""))</f>
        <v/>
      </c>
      <c r="G321" s="25" t="str">
        <f t="array" ref="G321">IF($H321="","",IFERROR(INDEX('Game Records'!$M:$M,$H321),""))</f>
        <v/>
      </c>
      <c r="H321" s="8"/>
    </row>
    <row r="322" ht="24.0" customHeight="1">
      <c r="A322" s="21" t="str">
        <f t="shared" si="1"/>
        <v/>
      </c>
      <c r="B322" s="21" t="str">
        <f t="shared" si="2"/>
        <v/>
      </c>
      <c r="C322" s="25" t="str">
        <f t="array" ref="C322">IF($H322="","",IFERROR(INDEX('Game Records'!$A:$A,$H322),""))</f>
        <v/>
      </c>
      <c r="D322" s="25" t="str">
        <f t="array" ref="D322">IF($H322="","",IFERROR(INDEX('Game Records'!$U:$U,$H322),""))</f>
        <v/>
      </c>
      <c r="E322" s="25" t="str">
        <f t="shared" si="3"/>
        <v/>
      </c>
      <c r="F322" s="25" t="str">
        <f t="array" ref="F322">IF($H322="","",IF(OR(NOT(_xlfn.ISFORMULA(INDEX('Game Records'!$N:$N,$H322))),NOT(_xlfn.ISFORMULA(INDEX('Game Records'!$O:$O,$H322))),NOT(_xlfn.ISFORMULA(INDEX('Game Records'!$P:$P,$H322))),NOT(_xlfn.ISFORMULA(INDEX('Game Records'!$Q:$Q,$H322))),NOT(_xlfn.ISFORMULA(INDEX('Game Records'!$R:$R,$H322))),NOT(_xlfn.ISFORMULA(INDEX('Game Records'!$S:$S,$H322))),NOT(_xlfn.ISFORMULA(INDEX('Game Records'!$T:$T,$H322))),NOT(_xlfn.ISFORMULA(INDEX('Game Records'!$U:$U,$H322))),NOT(_xlfn.ISFORMULA(INDEX('Game Records'!$V:$V,$H322))),NOT(_xlfn.ISFORMULA(INDEX('Game Records'!$W:$W,$H322))),NOT(_xlfn.ISFORMULA(INDEX('Game Records'!$X:$X,$H322))),NOT(_xlfn.ISFORMULA(INDEX('Game Records'!$Y:$Y,$H322))),NOT(_xlfn.ISFORMULA(INDEX('Game Records'!$Z:$Z,$H322)))),"","")&amp;IF(INDEX('Game Records'!$B:$B,$H322)="","Start Date; ","")&amp;IF(INDEX('Game Records'!$C:$C,$H322)="","End Date; ","")&amp;IF(AND(INDEX('Game Records'!$U:$U,$H322)&lt;&gt;"Subscription",INDEX('Game Records'!$U:$U,$H322)&lt;&gt;"Free Game",INDEX('Game Records'!$U:$U,$H322)&lt;&gt;"Disqualified — Free Game",OR(INDEX('Game Records'!$D:$D,$H322)="",LOWER(INDEX('Game Records'!$D:$D,$H322)&amp;"")="n/a")),"Entry Mode; ","")&amp;IF(AND(INDEX('Game Records'!$U:$U,$H322)&lt;&gt;"Subscription",INDEX('Game Records'!$U:$U,$H322)&lt;&gt;"Free Game",INDEX('Game Records'!$U:$U,$H322)&lt;&gt;"Disqualified — Free Game",OR(INDEX('Game Records'!$E:$E,$H322)="",LOWER(INDEX('Game Records'!$E:$E,$H322)&amp;"")="n/a")),"Game Type; ","")&amp;IF(INDEX('Game Records'!$F:$F,$H322)="","Payment Type; ","")&amp;IF(AND(INDEX('Game Records'!$U:$U,$H322)&lt;&gt;"Subscription",INDEX('Game Records'!$U:$U,$H322)&lt;&gt;"Free Game",INDEX('Game Records'!$U:$U,$H322)&lt;&gt;"Disqualified — Free Game",INDEX('Game Records'!$G:$G,$H322)=""),"Gross Pot; ","")&amp;IF(AND(INDEX('Game Records'!$U:$U,$H322)&lt;&gt;"Free Game",INDEX('Game Records'!$U:$U,$H322)&lt;&gt;"Disqualified — Free Game",INDEX('Game Records'!$H:$H,$H322)=""),"Entry Fee; ","")&amp;IF(AND(INDEX('Game Records'!$U:$U,$H322)&lt;&gt;"Subscription",INDEX('Game Records'!$U:$U,$H322)&lt;&gt;"Free Game",INDEX('Game Records'!$U:$U,$H322)&lt;&gt;"Disqualified — Free Game",INDEX('Game Records'!$I:$I,$H322)=""),"Eligible Players; ","")&amp;IF(AND(INDEX('Game Records'!$U:$U,$H322)&lt;&gt;"Subscription",INDEX('Game Records'!$U:$U,$H322)&lt;&gt;"Free Game",INDEX('Game Records'!$U:$U,$H322)&lt;&gt;"Disqualified — Free Game",INDEX('Game Records'!$J:$J,$H322)=""),"Total Players; ","")&amp;IF(AND(LOWER(INDEX('Game Records'!$D:$D,$H322)&amp;"")="finalized",LOWER(INDEX('Game Records'!$L:$L,$H322)&amp;"")&lt;&gt;"yes",INDEX('Game Records'!$U:$U,$H322)&lt;&gt;"Subscription",INDEX('Game Records'!$U:$U,$H322)&lt;&gt;"Free Game",INDEX('Game Records'!$U:$U,$H322)&lt;&gt;"Disqualified — Free Game",INDEX('Game Records'!$K:$K,$H322)=""),"Final Payout; ","")&amp;IF(AND(LOWER(INDEX('Game Records'!$D:$D,$H322)&amp;"")="finalized",INDEX('Game Records'!$U:$U,$H322)&lt;&gt;"Subscription",INDEX('Game Records'!$U:$U,$H322)&lt;&gt;"Free Game",INDEX('Game Records'!$U:$U,$H322)&lt;&gt;"Disqualified — Free Game",OR(INDEX('Game Records'!$L:$L,$H322)="",LOWER(INDEX('Game Records'!$L:$L,$H322)&amp;"")="n/a")),"Disqualified Status; ",""))</f>
        <v/>
      </c>
      <c r="G322" s="25" t="str">
        <f t="array" ref="G322">IF($H322="","",IFERROR(INDEX('Game Records'!$M:$M,$H322),""))</f>
        <v/>
      </c>
      <c r="H322" s="8"/>
    </row>
    <row r="323" ht="24.0" customHeight="1">
      <c r="A323" s="21" t="str">
        <f t="shared" si="1"/>
        <v/>
      </c>
      <c r="B323" s="21" t="str">
        <f t="shared" si="2"/>
        <v/>
      </c>
      <c r="C323" s="25" t="str">
        <f t="array" ref="C323">IF($H323="","",IFERROR(INDEX('Game Records'!$A:$A,$H323),""))</f>
        <v/>
      </c>
      <c r="D323" s="25" t="str">
        <f t="array" ref="D323">IF($H323="","",IFERROR(INDEX('Game Records'!$U:$U,$H323),""))</f>
        <v/>
      </c>
      <c r="E323" s="25" t="str">
        <f t="shared" si="3"/>
        <v/>
      </c>
      <c r="F323" s="25" t="str">
        <f t="array" ref="F323">IF($H323="","",IF(OR(NOT(_xlfn.ISFORMULA(INDEX('Game Records'!$N:$N,$H323))),NOT(_xlfn.ISFORMULA(INDEX('Game Records'!$O:$O,$H323))),NOT(_xlfn.ISFORMULA(INDEX('Game Records'!$P:$P,$H323))),NOT(_xlfn.ISFORMULA(INDEX('Game Records'!$Q:$Q,$H323))),NOT(_xlfn.ISFORMULA(INDEX('Game Records'!$R:$R,$H323))),NOT(_xlfn.ISFORMULA(INDEX('Game Records'!$S:$S,$H323))),NOT(_xlfn.ISFORMULA(INDEX('Game Records'!$T:$T,$H323))),NOT(_xlfn.ISFORMULA(INDEX('Game Records'!$U:$U,$H323))),NOT(_xlfn.ISFORMULA(INDEX('Game Records'!$V:$V,$H323))),NOT(_xlfn.ISFORMULA(INDEX('Game Records'!$W:$W,$H323))),NOT(_xlfn.ISFORMULA(INDEX('Game Records'!$X:$X,$H323))),NOT(_xlfn.ISFORMULA(INDEX('Game Records'!$Y:$Y,$H323))),NOT(_xlfn.ISFORMULA(INDEX('Game Records'!$Z:$Z,$H323)))),"","")&amp;IF(INDEX('Game Records'!$B:$B,$H323)="","Start Date; ","")&amp;IF(INDEX('Game Records'!$C:$C,$H323)="","End Date; ","")&amp;IF(AND(INDEX('Game Records'!$U:$U,$H323)&lt;&gt;"Subscription",INDEX('Game Records'!$U:$U,$H323)&lt;&gt;"Free Game",INDEX('Game Records'!$U:$U,$H323)&lt;&gt;"Disqualified — Free Game",OR(INDEX('Game Records'!$D:$D,$H323)="",LOWER(INDEX('Game Records'!$D:$D,$H323)&amp;"")="n/a")),"Entry Mode; ","")&amp;IF(AND(INDEX('Game Records'!$U:$U,$H323)&lt;&gt;"Subscription",INDEX('Game Records'!$U:$U,$H323)&lt;&gt;"Free Game",INDEX('Game Records'!$U:$U,$H323)&lt;&gt;"Disqualified — Free Game",OR(INDEX('Game Records'!$E:$E,$H323)="",LOWER(INDEX('Game Records'!$E:$E,$H323)&amp;"")="n/a")),"Game Type; ","")&amp;IF(INDEX('Game Records'!$F:$F,$H323)="","Payment Type; ","")&amp;IF(AND(INDEX('Game Records'!$U:$U,$H323)&lt;&gt;"Subscription",INDEX('Game Records'!$U:$U,$H323)&lt;&gt;"Free Game",INDEX('Game Records'!$U:$U,$H323)&lt;&gt;"Disqualified — Free Game",INDEX('Game Records'!$G:$G,$H323)=""),"Gross Pot; ","")&amp;IF(AND(INDEX('Game Records'!$U:$U,$H323)&lt;&gt;"Free Game",INDEX('Game Records'!$U:$U,$H323)&lt;&gt;"Disqualified — Free Game",INDEX('Game Records'!$H:$H,$H323)=""),"Entry Fee; ","")&amp;IF(AND(INDEX('Game Records'!$U:$U,$H323)&lt;&gt;"Subscription",INDEX('Game Records'!$U:$U,$H323)&lt;&gt;"Free Game",INDEX('Game Records'!$U:$U,$H323)&lt;&gt;"Disqualified — Free Game",INDEX('Game Records'!$I:$I,$H323)=""),"Eligible Players; ","")&amp;IF(AND(INDEX('Game Records'!$U:$U,$H323)&lt;&gt;"Subscription",INDEX('Game Records'!$U:$U,$H323)&lt;&gt;"Free Game",INDEX('Game Records'!$U:$U,$H323)&lt;&gt;"Disqualified — Free Game",INDEX('Game Records'!$J:$J,$H323)=""),"Total Players; ","")&amp;IF(AND(LOWER(INDEX('Game Records'!$D:$D,$H323)&amp;"")="finalized",LOWER(INDEX('Game Records'!$L:$L,$H323)&amp;"")&lt;&gt;"yes",INDEX('Game Records'!$U:$U,$H323)&lt;&gt;"Subscription",INDEX('Game Records'!$U:$U,$H323)&lt;&gt;"Free Game",INDEX('Game Records'!$U:$U,$H323)&lt;&gt;"Disqualified — Free Game",INDEX('Game Records'!$K:$K,$H323)=""),"Final Payout; ","")&amp;IF(AND(LOWER(INDEX('Game Records'!$D:$D,$H323)&amp;"")="finalized",INDEX('Game Records'!$U:$U,$H323)&lt;&gt;"Subscription",INDEX('Game Records'!$U:$U,$H323)&lt;&gt;"Free Game",INDEX('Game Records'!$U:$U,$H323)&lt;&gt;"Disqualified — Free Game",OR(INDEX('Game Records'!$L:$L,$H323)="",LOWER(INDEX('Game Records'!$L:$L,$H323)&amp;"")="n/a")),"Disqualified Status; ",""))</f>
        <v/>
      </c>
      <c r="G323" s="25" t="str">
        <f t="array" ref="G323">IF($H323="","",IFERROR(INDEX('Game Records'!$M:$M,$H323),""))</f>
        <v/>
      </c>
      <c r="H323" s="8"/>
    </row>
    <row r="324" ht="24.0" customHeight="1">
      <c r="A324" s="21" t="str">
        <f t="shared" si="1"/>
        <v/>
      </c>
      <c r="B324" s="21" t="str">
        <f t="shared" si="2"/>
        <v/>
      </c>
      <c r="C324" s="25" t="str">
        <f t="array" ref="C324">IF($H324="","",IFERROR(INDEX('Game Records'!$A:$A,$H324),""))</f>
        <v/>
      </c>
      <c r="D324" s="25" t="str">
        <f t="array" ref="D324">IF($H324="","",IFERROR(INDEX('Game Records'!$U:$U,$H324),""))</f>
        <v/>
      </c>
      <c r="E324" s="25" t="str">
        <f t="shared" si="3"/>
        <v/>
      </c>
      <c r="F324" s="25" t="str">
        <f t="array" ref="F324">IF($H324="","",IF(OR(NOT(_xlfn.ISFORMULA(INDEX('Game Records'!$N:$N,$H324))),NOT(_xlfn.ISFORMULA(INDEX('Game Records'!$O:$O,$H324))),NOT(_xlfn.ISFORMULA(INDEX('Game Records'!$P:$P,$H324))),NOT(_xlfn.ISFORMULA(INDEX('Game Records'!$Q:$Q,$H324))),NOT(_xlfn.ISFORMULA(INDEX('Game Records'!$R:$R,$H324))),NOT(_xlfn.ISFORMULA(INDEX('Game Records'!$S:$S,$H324))),NOT(_xlfn.ISFORMULA(INDEX('Game Records'!$T:$T,$H324))),NOT(_xlfn.ISFORMULA(INDEX('Game Records'!$U:$U,$H324))),NOT(_xlfn.ISFORMULA(INDEX('Game Records'!$V:$V,$H324))),NOT(_xlfn.ISFORMULA(INDEX('Game Records'!$W:$W,$H324))),NOT(_xlfn.ISFORMULA(INDEX('Game Records'!$X:$X,$H324))),NOT(_xlfn.ISFORMULA(INDEX('Game Records'!$Y:$Y,$H324))),NOT(_xlfn.ISFORMULA(INDEX('Game Records'!$Z:$Z,$H324)))),"","")&amp;IF(INDEX('Game Records'!$B:$B,$H324)="","Start Date; ","")&amp;IF(INDEX('Game Records'!$C:$C,$H324)="","End Date; ","")&amp;IF(AND(INDEX('Game Records'!$U:$U,$H324)&lt;&gt;"Subscription",INDEX('Game Records'!$U:$U,$H324)&lt;&gt;"Free Game",INDEX('Game Records'!$U:$U,$H324)&lt;&gt;"Disqualified — Free Game",OR(INDEX('Game Records'!$D:$D,$H324)="",LOWER(INDEX('Game Records'!$D:$D,$H324)&amp;"")="n/a")),"Entry Mode; ","")&amp;IF(AND(INDEX('Game Records'!$U:$U,$H324)&lt;&gt;"Subscription",INDEX('Game Records'!$U:$U,$H324)&lt;&gt;"Free Game",INDEX('Game Records'!$U:$U,$H324)&lt;&gt;"Disqualified — Free Game",OR(INDEX('Game Records'!$E:$E,$H324)="",LOWER(INDEX('Game Records'!$E:$E,$H324)&amp;"")="n/a")),"Game Type; ","")&amp;IF(INDEX('Game Records'!$F:$F,$H324)="","Payment Type; ","")&amp;IF(AND(INDEX('Game Records'!$U:$U,$H324)&lt;&gt;"Subscription",INDEX('Game Records'!$U:$U,$H324)&lt;&gt;"Free Game",INDEX('Game Records'!$U:$U,$H324)&lt;&gt;"Disqualified — Free Game",INDEX('Game Records'!$G:$G,$H324)=""),"Gross Pot; ","")&amp;IF(AND(INDEX('Game Records'!$U:$U,$H324)&lt;&gt;"Free Game",INDEX('Game Records'!$U:$U,$H324)&lt;&gt;"Disqualified — Free Game",INDEX('Game Records'!$H:$H,$H324)=""),"Entry Fee; ","")&amp;IF(AND(INDEX('Game Records'!$U:$U,$H324)&lt;&gt;"Subscription",INDEX('Game Records'!$U:$U,$H324)&lt;&gt;"Free Game",INDEX('Game Records'!$U:$U,$H324)&lt;&gt;"Disqualified — Free Game",INDEX('Game Records'!$I:$I,$H324)=""),"Eligible Players; ","")&amp;IF(AND(INDEX('Game Records'!$U:$U,$H324)&lt;&gt;"Subscription",INDEX('Game Records'!$U:$U,$H324)&lt;&gt;"Free Game",INDEX('Game Records'!$U:$U,$H324)&lt;&gt;"Disqualified — Free Game",INDEX('Game Records'!$J:$J,$H324)=""),"Total Players; ","")&amp;IF(AND(LOWER(INDEX('Game Records'!$D:$D,$H324)&amp;"")="finalized",LOWER(INDEX('Game Records'!$L:$L,$H324)&amp;"")&lt;&gt;"yes",INDEX('Game Records'!$U:$U,$H324)&lt;&gt;"Subscription",INDEX('Game Records'!$U:$U,$H324)&lt;&gt;"Free Game",INDEX('Game Records'!$U:$U,$H324)&lt;&gt;"Disqualified — Free Game",INDEX('Game Records'!$K:$K,$H324)=""),"Final Payout; ","")&amp;IF(AND(LOWER(INDEX('Game Records'!$D:$D,$H324)&amp;"")="finalized",INDEX('Game Records'!$U:$U,$H324)&lt;&gt;"Subscription",INDEX('Game Records'!$U:$U,$H324)&lt;&gt;"Free Game",INDEX('Game Records'!$U:$U,$H324)&lt;&gt;"Disqualified — Free Game",OR(INDEX('Game Records'!$L:$L,$H324)="",LOWER(INDEX('Game Records'!$L:$L,$H324)&amp;"")="n/a")),"Disqualified Status; ",""))</f>
        <v/>
      </c>
      <c r="G324" s="25" t="str">
        <f t="array" ref="G324">IF($H324="","",IFERROR(INDEX('Game Records'!$M:$M,$H324),""))</f>
        <v/>
      </c>
      <c r="H324" s="8"/>
    </row>
    <row r="325" ht="24.0" customHeight="1">
      <c r="A325" s="21" t="str">
        <f t="shared" si="1"/>
        <v/>
      </c>
      <c r="B325" s="21" t="str">
        <f t="shared" si="2"/>
        <v/>
      </c>
      <c r="C325" s="25" t="str">
        <f t="array" ref="C325">IF($H325="","",IFERROR(INDEX('Game Records'!$A:$A,$H325),""))</f>
        <v/>
      </c>
      <c r="D325" s="25" t="str">
        <f t="array" ref="D325">IF($H325="","",IFERROR(INDEX('Game Records'!$U:$U,$H325),""))</f>
        <v/>
      </c>
      <c r="E325" s="25" t="str">
        <f t="shared" si="3"/>
        <v/>
      </c>
      <c r="F325" s="25" t="str">
        <f t="array" ref="F325">IF($H325="","",IF(OR(NOT(_xlfn.ISFORMULA(INDEX('Game Records'!$N:$N,$H325))),NOT(_xlfn.ISFORMULA(INDEX('Game Records'!$O:$O,$H325))),NOT(_xlfn.ISFORMULA(INDEX('Game Records'!$P:$P,$H325))),NOT(_xlfn.ISFORMULA(INDEX('Game Records'!$Q:$Q,$H325))),NOT(_xlfn.ISFORMULA(INDEX('Game Records'!$R:$R,$H325))),NOT(_xlfn.ISFORMULA(INDEX('Game Records'!$S:$S,$H325))),NOT(_xlfn.ISFORMULA(INDEX('Game Records'!$T:$T,$H325))),NOT(_xlfn.ISFORMULA(INDEX('Game Records'!$U:$U,$H325))),NOT(_xlfn.ISFORMULA(INDEX('Game Records'!$V:$V,$H325))),NOT(_xlfn.ISFORMULA(INDEX('Game Records'!$W:$W,$H325))),NOT(_xlfn.ISFORMULA(INDEX('Game Records'!$X:$X,$H325))),NOT(_xlfn.ISFORMULA(INDEX('Game Records'!$Y:$Y,$H325))),NOT(_xlfn.ISFORMULA(INDEX('Game Records'!$Z:$Z,$H325)))),"","")&amp;IF(INDEX('Game Records'!$B:$B,$H325)="","Start Date; ","")&amp;IF(INDEX('Game Records'!$C:$C,$H325)="","End Date; ","")&amp;IF(AND(INDEX('Game Records'!$U:$U,$H325)&lt;&gt;"Subscription",INDEX('Game Records'!$U:$U,$H325)&lt;&gt;"Free Game",INDEX('Game Records'!$U:$U,$H325)&lt;&gt;"Disqualified — Free Game",OR(INDEX('Game Records'!$D:$D,$H325)="",LOWER(INDEX('Game Records'!$D:$D,$H325)&amp;"")="n/a")),"Entry Mode; ","")&amp;IF(AND(INDEX('Game Records'!$U:$U,$H325)&lt;&gt;"Subscription",INDEX('Game Records'!$U:$U,$H325)&lt;&gt;"Free Game",INDEX('Game Records'!$U:$U,$H325)&lt;&gt;"Disqualified — Free Game",OR(INDEX('Game Records'!$E:$E,$H325)="",LOWER(INDEX('Game Records'!$E:$E,$H325)&amp;"")="n/a")),"Game Type; ","")&amp;IF(INDEX('Game Records'!$F:$F,$H325)="","Payment Type; ","")&amp;IF(AND(INDEX('Game Records'!$U:$U,$H325)&lt;&gt;"Subscription",INDEX('Game Records'!$U:$U,$H325)&lt;&gt;"Free Game",INDEX('Game Records'!$U:$U,$H325)&lt;&gt;"Disqualified — Free Game",INDEX('Game Records'!$G:$G,$H325)=""),"Gross Pot; ","")&amp;IF(AND(INDEX('Game Records'!$U:$U,$H325)&lt;&gt;"Free Game",INDEX('Game Records'!$U:$U,$H325)&lt;&gt;"Disqualified — Free Game",INDEX('Game Records'!$H:$H,$H325)=""),"Entry Fee; ","")&amp;IF(AND(INDEX('Game Records'!$U:$U,$H325)&lt;&gt;"Subscription",INDEX('Game Records'!$U:$U,$H325)&lt;&gt;"Free Game",INDEX('Game Records'!$U:$U,$H325)&lt;&gt;"Disqualified — Free Game",INDEX('Game Records'!$I:$I,$H325)=""),"Eligible Players; ","")&amp;IF(AND(INDEX('Game Records'!$U:$U,$H325)&lt;&gt;"Subscription",INDEX('Game Records'!$U:$U,$H325)&lt;&gt;"Free Game",INDEX('Game Records'!$U:$U,$H325)&lt;&gt;"Disqualified — Free Game",INDEX('Game Records'!$J:$J,$H325)=""),"Total Players; ","")&amp;IF(AND(LOWER(INDEX('Game Records'!$D:$D,$H325)&amp;"")="finalized",LOWER(INDEX('Game Records'!$L:$L,$H325)&amp;"")&lt;&gt;"yes",INDEX('Game Records'!$U:$U,$H325)&lt;&gt;"Subscription",INDEX('Game Records'!$U:$U,$H325)&lt;&gt;"Free Game",INDEX('Game Records'!$U:$U,$H325)&lt;&gt;"Disqualified — Free Game",INDEX('Game Records'!$K:$K,$H325)=""),"Final Payout; ","")&amp;IF(AND(LOWER(INDEX('Game Records'!$D:$D,$H325)&amp;"")="finalized",INDEX('Game Records'!$U:$U,$H325)&lt;&gt;"Subscription",INDEX('Game Records'!$U:$U,$H325)&lt;&gt;"Free Game",INDEX('Game Records'!$U:$U,$H325)&lt;&gt;"Disqualified — Free Game",OR(INDEX('Game Records'!$L:$L,$H325)="",LOWER(INDEX('Game Records'!$L:$L,$H325)&amp;"")="n/a")),"Disqualified Status; ",""))</f>
        <v/>
      </c>
      <c r="G325" s="25" t="str">
        <f t="array" ref="G325">IF($H325="","",IFERROR(INDEX('Game Records'!$M:$M,$H325),""))</f>
        <v/>
      </c>
      <c r="H325" s="8"/>
    </row>
    <row r="326" ht="24.0" customHeight="1">
      <c r="A326" s="21" t="str">
        <f t="shared" si="1"/>
        <v/>
      </c>
      <c r="B326" s="21" t="str">
        <f t="shared" si="2"/>
        <v/>
      </c>
      <c r="C326" s="25" t="str">
        <f t="array" ref="C326">IF($H326="","",IFERROR(INDEX('Game Records'!$A:$A,$H326),""))</f>
        <v/>
      </c>
      <c r="D326" s="25" t="str">
        <f t="array" ref="D326">IF($H326="","",IFERROR(INDEX('Game Records'!$U:$U,$H326),""))</f>
        <v/>
      </c>
      <c r="E326" s="25" t="str">
        <f t="shared" si="3"/>
        <v/>
      </c>
      <c r="F326" s="25" t="str">
        <f t="array" ref="F326">IF($H326="","",IF(OR(NOT(_xlfn.ISFORMULA(INDEX('Game Records'!$N:$N,$H326))),NOT(_xlfn.ISFORMULA(INDEX('Game Records'!$O:$O,$H326))),NOT(_xlfn.ISFORMULA(INDEX('Game Records'!$P:$P,$H326))),NOT(_xlfn.ISFORMULA(INDEX('Game Records'!$Q:$Q,$H326))),NOT(_xlfn.ISFORMULA(INDEX('Game Records'!$R:$R,$H326))),NOT(_xlfn.ISFORMULA(INDEX('Game Records'!$S:$S,$H326))),NOT(_xlfn.ISFORMULA(INDEX('Game Records'!$T:$T,$H326))),NOT(_xlfn.ISFORMULA(INDEX('Game Records'!$U:$U,$H326))),NOT(_xlfn.ISFORMULA(INDEX('Game Records'!$V:$V,$H326))),NOT(_xlfn.ISFORMULA(INDEX('Game Records'!$W:$W,$H326))),NOT(_xlfn.ISFORMULA(INDEX('Game Records'!$X:$X,$H326))),NOT(_xlfn.ISFORMULA(INDEX('Game Records'!$Y:$Y,$H326))),NOT(_xlfn.ISFORMULA(INDEX('Game Records'!$Z:$Z,$H326)))),"","")&amp;IF(INDEX('Game Records'!$B:$B,$H326)="","Start Date; ","")&amp;IF(INDEX('Game Records'!$C:$C,$H326)="","End Date; ","")&amp;IF(AND(INDEX('Game Records'!$U:$U,$H326)&lt;&gt;"Subscription",INDEX('Game Records'!$U:$U,$H326)&lt;&gt;"Free Game",INDEX('Game Records'!$U:$U,$H326)&lt;&gt;"Disqualified — Free Game",OR(INDEX('Game Records'!$D:$D,$H326)="",LOWER(INDEX('Game Records'!$D:$D,$H326)&amp;"")="n/a")),"Entry Mode; ","")&amp;IF(AND(INDEX('Game Records'!$U:$U,$H326)&lt;&gt;"Subscription",INDEX('Game Records'!$U:$U,$H326)&lt;&gt;"Free Game",INDEX('Game Records'!$U:$U,$H326)&lt;&gt;"Disqualified — Free Game",OR(INDEX('Game Records'!$E:$E,$H326)="",LOWER(INDEX('Game Records'!$E:$E,$H326)&amp;"")="n/a")),"Game Type; ","")&amp;IF(INDEX('Game Records'!$F:$F,$H326)="","Payment Type; ","")&amp;IF(AND(INDEX('Game Records'!$U:$U,$H326)&lt;&gt;"Subscription",INDEX('Game Records'!$U:$U,$H326)&lt;&gt;"Free Game",INDEX('Game Records'!$U:$U,$H326)&lt;&gt;"Disqualified — Free Game",INDEX('Game Records'!$G:$G,$H326)=""),"Gross Pot; ","")&amp;IF(AND(INDEX('Game Records'!$U:$U,$H326)&lt;&gt;"Free Game",INDEX('Game Records'!$U:$U,$H326)&lt;&gt;"Disqualified — Free Game",INDEX('Game Records'!$H:$H,$H326)=""),"Entry Fee; ","")&amp;IF(AND(INDEX('Game Records'!$U:$U,$H326)&lt;&gt;"Subscription",INDEX('Game Records'!$U:$U,$H326)&lt;&gt;"Free Game",INDEX('Game Records'!$U:$U,$H326)&lt;&gt;"Disqualified — Free Game",INDEX('Game Records'!$I:$I,$H326)=""),"Eligible Players; ","")&amp;IF(AND(INDEX('Game Records'!$U:$U,$H326)&lt;&gt;"Subscription",INDEX('Game Records'!$U:$U,$H326)&lt;&gt;"Free Game",INDEX('Game Records'!$U:$U,$H326)&lt;&gt;"Disqualified — Free Game",INDEX('Game Records'!$J:$J,$H326)=""),"Total Players; ","")&amp;IF(AND(LOWER(INDEX('Game Records'!$D:$D,$H326)&amp;"")="finalized",LOWER(INDEX('Game Records'!$L:$L,$H326)&amp;"")&lt;&gt;"yes",INDEX('Game Records'!$U:$U,$H326)&lt;&gt;"Subscription",INDEX('Game Records'!$U:$U,$H326)&lt;&gt;"Free Game",INDEX('Game Records'!$U:$U,$H326)&lt;&gt;"Disqualified — Free Game",INDEX('Game Records'!$K:$K,$H326)=""),"Final Payout; ","")&amp;IF(AND(LOWER(INDEX('Game Records'!$D:$D,$H326)&amp;"")="finalized",INDEX('Game Records'!$U:$U,$H326)&lt;&gt;"Subscription",INDEX('Game Records'!$U:$U,$H326)&lt;&gt;"Free Game",INDEX('Game Records'!$U:$U,$H326)&lt;&gt;"Disqualified — Free Game",OR(INDEX('Game Records'!$L:$L,$H326)="",LOWER(INDEX('Game Records'!$L:$L,$H326)&amp;"")="n/a")),"Disqualified Status; ",""))</f>
        <v/>
      </c>
      <c r="G326" s="25" t="str">
        <f t="array" ref="G326">IF($H326="","",IFERROR(INDEX('Game Records'!$M:$M,$H326),""))</f>
        <v/>
      </c>
      <c r="H326" s="8"/>
    </row>
    <row r="327" ht="24.0" customHeight="1">
      <c r="A327" s="21" t="str">
        <f t="shared" si="1"/>
        <v/>
      </c>
      <c r="B327" s="21" t="str">
        <f t="shared" si="2"/>
        <v/>
      </c>
      <c r="C327" s="25" t="str">
        <f t="array" ref="C327">IF($H327="","",IFERROR(INDEX('Game Records'!$A:$A,$H327),""))</f>
        <v/>
      </c>
      <c r="D327" s="25" t="str">
        <f t="array" ref="D327">IF($H327="","",IFERROR(INDEX('Game Records'!$U:$U,$H327),""))</f>
        <v/>
      </c>
      <c r="E327" s="25" t="str">
        <f t="shared" si="3"/>
        <v/>
      </c>
      <c r="F327" s="25" t="str">
        <f t="array" ref="F327">IF($H327="","",IF(OR(NOT(_xlfn.ISFORMULA(INDEX('Game Records'!$N:$N,$H327))),NOT(_xlfn.ISFORMULA(INDEX('Game Records'!$O:$O,$H327))),NOT(_xlfn.ISFORMULA(INDEX('Game Records'!$P:$P,$H327))),NOT(_xlfn.ISFORMULA(INDEX('Game Records'!$Q:$Q,$H327))),NOT(_xlfn.ISFORMULA(INDEX('Game Records'!$R:$R,$H327))),NOT(_xlfn.ISFORMULA(INDEX('Game Records'!$S:$S,$H327))),NOT(_xlfn.ISFORMULA(INDEX('Game Records'!$T:$T,$H327))),NOT(_xlfn.ISFORMULA(INDEX('Game Records'!$U:$U,$H327))),NOT(_xlfn.ISFORMULA(INDEX('Game Records'!$V:$V,$H327))),NOT(_xlfn.ISFORMULA(INDEX('Game Records'!$W:$W,$H327))),NOT(_xlfn.ISFORMULA(INDEX('Game Records'!$X:$X,$H327))),NOT(_xlfn.ISFORMULA(INDEX('Game Records'!$Y:$Y,$H327))),NOT(_xlfn.ISFORMULA(INDEX('Game Records'!$Z:$Z,$H327)))),"","")&amp;IF(INDEX('Game Records'!$B:$B,$H327)="","Start Date; ","")&amp;IF(INDEX('Game Records'!$C:$C,$H327)="","End Date; ","")&amp;IF(AND(INDEX('Game Records'!$U:$U,$H327)&lt;&gt;"Subscription",INDEX('Game Records'!$U:$U,$H327)&lt;&gt;"Free Game",INDEX('Game Records'!$U:$U,$H327)&lt;&gt;"Disqualified — Free Game",OR(INDEX('Game Records'!$D:$D,$H327)="",LOWER(INDEX('Game Records'!$D:$D,$H327)&amp;"")="n/a")),"Entry Mode; ","")&amp;IF(AND(INDEX('Game Records'!$U:$U,$H327)&lt;&gt;"Subscription",INDEX('Game Records'!$U:$U,$H327)&lt;&gt;"Free Game",INDEX('Game Records'!$U:$U,$H327)&lt;&gt;"Disqualified — Free Game",OR(INDEX('Game Records'!$E:$E,$H327)="",LOWER(INDEX('Game Records'!$E:$E,$H327)&amp;"")="n/a")),"Game Type; ","")&amp;IF(INDEX('Game Records'!$F:$F,$H327)="","Payment Type; ","")&amp;IF(AND(INDEX('Game Records'!$U:$U,$H327)&lt;&gt;"Subscription",INDEX('Game Records'!$U:$U,$H327)&lt;&gt;"Free Game",INDEX('Game Records'!$U:$U,$H327)&lt;&gt;"Disqualified — Free Game",INDEX('Game Records'!$G:$G,$H327)=""),"Gross Pot; ","")&amp;IF(AND(INDEX('Game Records'!$U:$U,$H327)&lt;&gt;"Free Game",INDEX('Game Records'!$U:$U,$H327)&lt;&gt;"Disqualified — Free Game",INDEX('Game Records'!$H:$H,$H327)=""),"Entry Fee; ","")&amp;IF(AND(INDEX('Game Records'!$U:$U,$H327)&lt;&gt;"Subscription",INDEX('Game Records'!$U:$U,$H327)&lt;&gt;"Free Game",INDEX('Game Records'!$U:$U,$H327)&lt;&gt;"Disqualified — Free Game",INDEX('Game Records'!$I:$I,$H327)=""),"Eligible Players; ","")&amp;IF(AND(INDEX('Game Records'!$U:$U,$H327)&lt;&gt;"Subscription",INDEX('Game Records'!$U:$U,$H327)&lt;&gt;"Free Game",INDEX('Game Records'!$U:$U,$H327)&lt;&gt;"Disqualified — Free Game",INDEX('Game Records'!$J:$J,$H327)=""),"Total Players; ","")&amp;IF(AND(LOWER(INDEX('Game Records'!$D:$D,$H327)&amp;"")="finalized",LOWER(INDEX('Game Records'!$L:$L,$H327)&amp;"")&lt;&gt;"yes",INDEX('Game Records'!$U:$U,$H327)&lt;&gt;"Subscription",INDEX('Game Records'!$U:$U,$H327)&lt;&gt;"Free Game",INDEX('Game Records'!$U:$U,$H327)&lt;&gt;"Disqualified — Free Game",INDEX('Game Records'!$K:$K,$H327)=""),"Final Payout; ","")&amp;IF(AND(LOWER(INDEX('Game Records'!$D:$D,$H327)&amp;"")="finalized",INDEX('Game Records'!$U:$U,$H327)&lt;&gt;"Subscription",INDEX('Game Records'!$U:$U,$H327)&lt;&gt;"Free Game",INDEX('Game Records'!$U:$U,$H327)&lt;&gt;"Disqualified — Free Game",OR(INDEX('Game Records'!$L:$L,$H327)="",LOWER(INDEX('Game Records'!$L:$L,$H327)&amp;"")="n/a")),"Disqualified Status; ",""))</f>
        <v/>
      </c>
      <c r="G327" s="25" t="str">
        <f t="array" ref="G327">IF($H327="","",IFERROR(INDEX('Game Records'!$M:$M,$H327),""))</f>
        <v/>
      </c>
      <c r="H327" s="8"/>
    </row>
    <row r="328" ht="24.0" customHeight="1">
      <c r="A328" s="21" t="str">
        <f t="shared" si="1"/>
        <v/>
      </c>
      <c r="B328" s="21" t="str">
        <f t="shared" si="2"/>
        <v/>
      </c>
      <c r="C328" s="25" t="str">
        <f t="array" ref="C328">IF($H328="","",IFERROR(INDEX('Game Records'!$A:$A,$H328),""))</f>
        <v/>
      </c>
      <c r="D328" s="25" t="str">
        <f t="array" ref="D328">IF($H328="","",IFERROR(INDEX('Game Records'!$U:$U,$H328),""))</f>
        <v/>
      </c>
      <c r="E328" s="25" t="str">
        <f t="shared" si="3"/>
        <v/>
      </c>
      <c r="F328" s="25" t="str">
        <f t="array" ref="F328">IF($H328="","",IF(OR(NOT(_xlfn.ISFORMULA(INDEX('Game Records'!$N:$N,$H328))),NOT(_xlfn.ISFORMULA(INDEX('Game Records'!$O:$O,$H328))),NOT(_xlfn.ISFORMULA(INDEX('Game Records'!$P:$P,$H328))),NOT(_xlfn.ISFORMULA(INDEX('Game Records'!$Q:$Q,$H328))),NOT(_xlfn.ISFORMULA(INDEX('Game Records'!$R:$R,$H328))),NOT(_xlfn.ISFORMULA(INDEX('Game Records'!$S:$S,$H328))),NOT(_xlfn.ISFORMULA(INDEX('Game Records'!$T:$T,$H328))),NOT(_xlfn.ISFORMULA(INDEX('Game Records'!$U:$U,$H328))),NOT(_xlfn.ISFORMULA(INDEX('Game Records'!$V:$V,$H328))),NOT(_xlfn.ISFORMULA(INDEX('Game Records'!$W:$W,$H328))),NOT(_xlfn.ISFORMULA(INDEX('Game Records'!$X:$X,$H328))),NOT(_xlfn.ISFORMULA(INDEX('Game Records'!$Y:$Y,$H328))),NOT(_xlfn.ISFORMULA(INDEX('Game Records'!$Z:$Z,$H328)))),"","")&amp;IF(INDEX('Game Records'!$B:$B,$H328)="","Start Date; ","")&amp;IF(INDEX('Game Records'!$C:$C,$H328)="","End Date; ","")&amp;IF(AND(INDEX('Game Records'!$U:$U,$H328)&lt;&gt;"Subscription",INDEX('Game Records'!$U:$U,$H328)&lt;&gt;"Free Game",INDEX('Game Records'!$U:$U,$H328)&lt;&gt;"Disqualified — Free Game",OR(INDEX('Game Records'!$D:$D,$H328)="",LOWER(INDEX('Game Records'!$D:$D,$H328)&amp;"")="n/a")),"Entry Mode; ","")&amp;IF(AND(INDEX('Game Records'!$U:$U,$H328)&lt;&gt;"Subscription",INDEX('Game Records'!$U:$U,$H328)&lt;&gt;"Free Game",INDEX('Game Records'!$U:$U,$H328)&lt;&gt;"Disqualified — Free Game",OR(INDEX('Game Records'!$E:$E,$H328)="",LOWER(INDEX('Game Records'!$E:$E,$H328)&amp;"")="n/a")),"Game Type; ","")&amp;IF(INDEX('Game Records'!$F:$F,$H328)="","Payment Type; ","")&amp;IF(AND(INDEX('Game Records'!$U:$U,$H328)&lt;&gt;"Subscription",INDEX('Game Records'!$U:$U,$H328)&lt;&gt;"Free Game",INDEX('Game Records'!$U:$U,$H328)&lt;&gt;"Disqualified — Free Game",INDEX('Game Records'!$G:$G,$H328)=""),"Gross Pot; ","")&amp;IF(AND(INDEX('Game Records'!$U:$U,$H328)&lt;&gt;"Free Game",INDEX('Game Records'!$U:$U,$H328)&lt;&gt;"Disqualified — Free Game",INDEX('Game Records'!$H:$H,$H328)=""),"Entry Fee; ","")&amp;IF(AND(INDEX('Game Records'!$U:$U,$H328)&lt;&gt;"Subscription",INDEX('Game Records'!$U:$U,$H328)&lt;&gt;"Free Game",INDEX('Game Records'!$U:$U,$H328)&lt;&gt;"Disqualified — Free Game",INDEX('Game Records'!$I:$I,$H328)=""),"Eligible Players; ","")&amp;IF(AND(INDEX('Game Records'!$U:$U,$H328)&lt;&gt;"Subscription",INDEX('Game Records'!$U:$U,$H328)&lt;&gt;"Free Game",INDEX('Game Records'!$U:$U,$H328)&lt;&gt;"Disqualified — Free Game",INDEX('Game Records'!$J:$J,$H328)=""),"Total Players; ","")&amp;IF(AND(LOWER(INDEX('Game Records'!$D:$D,$H328)&amp;"")="finalized",LOWER(INDEX('Game Records'!$L:$L,$H328)&amp;"")&lt;&gt;"yes",INDEX('Game Records'!$U:$U,$H328)&lt;&gt;"Subscription",INDEX('Game Records'!$U:$U,$H328)&lt;&gt;"Free Game",INDEX('Game Records'!$U:$U,$H328)&lt;&gt;"Disqualified — Free Game",INDEX('Game Records'!$K:$K,$H328)=""),"Final Payout; ","")&amp;IF(AND(LOWER(INDEX('Game Records'!$D:$D,$H328)&amp;"")="finalized",INDEX('Game Records'!$U:$U,$H328)&lt;&gt;"Subscription",INDEX('Game Records'!$U:$U,$H328)&lt;&gt;"Free Game",INDEX('Game Records'!$U:$U,$H328)&lt;&gt;"Disqualified — Free Game",OR(INDEX('Game Records'!$L:$L,$H328)="",LOWER(INDEX('Game Records'!$L:$L,$H328)&amp;"")="n/a")),"Disqualified Status; ",""))</f>
        <v/>
      </c>
      <c r="G328" s="25" t="str">
        <f t="array" ref="G328">IF($H328="","",IFERROR(INDEX('Game Records'!$M:$M,$H328),""))</f>
        <v/>
      </c>
      <c r="H328" s="8"/>
    </row>
    <row r="329" ht="24.0" customHeight="1">
      <c r="A329" s="21" t="str">
        <f t="shared" si="1"/>
        <v/>
      </c>
      <c r="B329" s="21" t="str">
        <f t="shared" si="2"/>
        <v/>
      </c>
      <c r="C329" s="25" t="str">
        <f t="array" ref="C329">IF($H329="","",IFERROR(INDEX('Game Records'!$A:$A,$H329),""))</f>
        <v/>
      </c>
      <c r="D329" s="25" t="str">
        <f t="array" ref="D329">IF($H329="","",IFERROR(INDEX('Game Records'!$U:$U,$H329),""))</f>
        <v/>
      </c>
      <c r="E329" s="25" t="str">
        <f t="shared" si="3"/>
        <v/>
      </c>
      <c r="F329" s="25" t="str">
        <f t="array" ref="F329">IF($H329="","",IF(OR(NOT(_xlfn.ISFORMULA(INDEX('Game Records'!$N:$N,$H329))),NOT(_xlfn.ISFORMULA(INDEX('Game Records'!$O:$O,$H329))),NOT(_xlfn.ISFORMULA(INDEX('Game Records'!$P:$P,$H329))),NOT(_xlfn.ISFORMULA(INDEX('Game Records'!$Q:$Q,$H329))),NOT(_xlfn.ISFORMULA(INDEX('Game Records'!$R:$R,$H329))),NOT(_xlfn.ISFORMULA(INDEX('Game Records'!$S:$S,$H329))),NOT(_xlfn.ISFORMULA(INDEX('Game Records'!$T:$T,$H329))),NOT(_xlfn.ISFORMULA(INDEX('Game Records'!$U:$U,$H329))),NOT(_xlfn.ISFORMULA(INDEX('Game Records'!$V:$V,$H329))),NOT(_xlfn.ISFORMULA(INDEX('Game Records'!$W:$W,$H329))),NOT(_xlfn.ISFORMULA(INDEX('Game Records'!$X:$X,$H329))),NOT(_xlfn.ISFORMULA(INDEX('Game Records'!$Y:$Y,$H329))),NOT(_xlfn.ISFORMULA(INDEX('Game Records'!$Z:$Z,$H329)))),"","")&amp;IF(INDEX('Game Records'!$B:$B,$H329)="","Start Date; ","")&amp;IF(INDEX('Game Records'!$C:$C,$H329)="","End Date; ","")&amp;IF(AND(INDEX('Game Records'!$U:$U,$H329)&lt;&gt;"Subscription",INDEX('Game Records'!$U:$U,$H329)&lt;&gt;"Free Game",INDEX('Game Records'!$U:$U,$H329)&lt;&gt;"Disqualified — Free Game",OR(INDEX('Game Records'!$D:$D,$H329)="",LOWER(INDEX('Game Records'!$D:$D,$H329)&amp;"")="n/a")),"Entry Mode; ","")&amp;IF(AND(INDEX('Game Records'!$U:$U,$H329)&lt;&gt;"Subscription",INDEX('Game Records'!$U:$U,$H329)&lt;&gt;"Free Game",INDEX('Game Records'!$U:$U,$H329)&lt;&gt;"Disqualified — Free Game",OR(INDEX('Game Records'!$E:$E,$H329)="",LOWER(INDEX('Game Records'!$E:$E,$H329)&amp;"")="n/a")),"Game Type; ","")&amp;IF(INDEX('Game Records'!$F:$F,$H329)="","Payment Type; ","")&amp;IF(AND(INDEX('Game Records'!$U:$U,$H329)&lt;&gt;"Subscription",INDEX('Game Records'!$U:$U,$H329)&lt;&gt;"Free Game",INDEX('Game Records'!$U:$U,$H329)&lt;&gt;"Disqualified — Free Game",INDEX('Game Records'!$G:$G,$H329)=""),"Gross Pot; ","")&amp;IF(AND(INDEX('Game Records'!$U:$U,$H329)&lt;&gt;"Free Game",INDEX('Game Records'!$U:$U,$H329)&lt;&gt;"Disqualified — Free Game",INDEX('Game Records'!$H:$H,$H329)=""),"Entry Fee; ","")&amp;IF(AND(INDEX('Game Records'!$U:$U,$H329)&lt;&gt;"Subscription",INDEX('Game Records'!$U:$U,$H329)&lt;&gt;"Free Game",INDEX('Game Records'!$U:$U,$H329)&lt;&gt;"Disqualified — Free Game",INDEX('Game Records'!$I:$I,$H329)=""),"Eligible Players; ","")&amp;IF(AND(INDEX('Game Records'!$U:$U,$H329)&lt;&gt;"Subscription",INDEX('Game Records'!$U:$U,$H329)&lt;&gt;"Free Game",INDEX('Game Records'!$U:$U,$H329)&lt;&gt;"Disqualified — Free Game",INDEX('Game Records'!$J:$J,$H329)=""),"Total Players; ","")&amp;IF(AND(LOWER(INDEX('Game Records'!$D:$D,$H329)&amp;"")="finalized",LOWER(INDEX('Game Records'!$L:$L,$H329)&amp;"")&lt;&gt;"yes",INDEX('Game Records'!$U:$U,$H329)&lt;&gt;"Subscription",INDEX('Game Records'!$U:$U,$H329)&lt;&gt;"Free Game",INDEX('Game Records'!$U:$U,$H329)&lt;&gt;"Disqualified — Free Game",INDEX('Game Records'!$K:$K,$H329)=""),"Final Payout; ","")&amp;IF(AND(LOWER(INDEX('Game Records'!$D:$D,$H329)&amp;"")="finalized",INDEX('Game Records'!$U:$U,$H329)&lt;&gt;"Subscription",INDEX('Game Records'!$U:$U,$H329)&lt;&gt;"Free Game",INDEX('Game Records'!$U:$U,$H329)&lt;&gt;"Disqualified — Free Game",OR(INDEX('Game Records'!$L:$L,$H329)="",LOWER(INDEX('Game Records'!$L:$L,$H329)&amp;"")="n/a")),"Disqualified Status; ",""))</f>
        <v/>
      </c>
      <c r="G329" s="25" t="str">
        <f t="array" ref="G329">IF($H329="","",IFERROR(INDEX('Game Records'!$M:$M,$H329),""))</f>
        <v/>
      </c>
      <c r="H329" s="8"/>
    </row>
    <row r="330" ht="24.0" customHeight="1">
      <c r="A330" s="21" t="str">
        <f t="shared" si="1"/>
        <v/>
      </c>
      <c r="B330" s="21" t="str">
        <f t="shared" si="2"/>
        <v/>
      </c>
      <c r="C330" s="25" t="str">
        <f t="array" ref="C330">IF($H330="","",IFERROR(INDEX('Game Records'!$A:$A,$H330),""))</f>
        <v/>
      </c>
      <c r="D330" s="25" t="str">
        <f t="array" ref="D330">IF($H330="","",IFERROR(INDEX('Game Records'!$U:$U,$H330),""))</f>
        <v/>
      </c>
      <c r="E330" s="25" t="str">
        <f t="shared" si="3"/>
        <v/>
      </c>
      <c r="F330" s="25" t="str">
        <f t="array" ref="F330">IF($H330="","",IF(OR(NOT(_xlfn.ISFORMULA(INDEX('Game Records'!$N:$N,$H330))),NOT(_xlfn.ISFORMULA(INDEX('Game Records'!$O:$O,$H330))),NOT(_xlfn.ISFORMULA(INDEX('Game Records'!$P:$P,$H330))),NOT(_xlfn.ISFORMULA(INDEX('Game Records'!$Q:$Q,$H330))),NOT(_xlfn.ISFORMULA(INDEX('Game Records'!$R:$R,$H330))),NOT(_xlfn.ISFORMULA(INDEX('Game Records'!$S:$S,$H330))),NOT(_xlfn.ISFORMULA(INDEX('Game Records'!$T:$T,$H330))),NOT(_xlfn.ISFORMULA(INDEX('Game Records'!$U:$U,$H330))),NOT(_xlfn.ISFORMULA(INDEX('Game Records'!$V:$V,$H330))),NOT(_xlfn.ISFORMULA(INDEX('Game Records'!$W:$W,$H330))),NOT(_xlfn.ISFORMULA(INDEX('Game Records'!$X:$X,$H330))),NOT(_xlfn.ISFORMULA(INDEX('Game Records'!$Y:$Y,$H330))),NOT(_xlfn.ISFORMULA(INDEX('Game Records'!$Z:$Z,$H330)))),"","")&amp;IF(INDEX('Game Records'!$B:$B,$H330)="","Start Date; ","")&amp;IF(INDEX('Game Records'!$C:$C,$H330)="","End Date; ","")&amp;IF(AND(INDEX('Game Records'!$U:$U,$H330)&lt;&gt;"Subscription",INDEX('Game Records'!$U:$U,$H330)&lt;&gt;"Free Game",INDEX('Game Records'!$U:$U,$H330)&lt;&gt;"Disqualified — Free Game",OR(INDEX('Game Records'!$D:$D,$H330)="",LOWER(INDEX('Game Records'!$D:$D,$H330)&amp;"")="n/a")),"Entry Mode; ","")&amp;IF(AND(INDEX('Game Records'!$U:$U,$H330)&lt;&gt;"Subscription",INDEX('Game Records'!$U:$U,$H330)&lt;&gt;"Free Game",INDEX('Game Records'!$U:$U,$H330)&lt;&gt;"Disqualified — Free Game",OR(INDEX('Game Records'!$E:$E,$H330)="",LOWER(INDEX('Game Records'!$E:$E,$H330)&amp;"")="n/a")),"Game Type; ","")&amp;IF(INDEX('Game Records'!$F:$F,$H330)="","Payment Type; ","")&amp;IF(AND(INDEX('Game Records'!$U:$U,$H330)&lt;&gt;"Subscription",INDEX('Game Records'!$U:$U,$H330)&lt;&gt;"Free Game",INDEX('Game Records'!$U:$U,$H330)&lt;&gt;"Disqualified — Free Game",INDEX('Game Records'!$G:$G,$H330)=""),"Gross Pot; ","")&amp;IF(AND(INDEX('Game Records'!$U:$U,$H330)&lt;&gt;"Free Game",INDEX('Game Records'!$U:$U,$H330)&lt;&gt;"Disqualified — Free Game",INDEX('Game Records'!$H:$H,$H330)=""),"Entry Fee; ","")&amp;IF(AND(INDEX('Game Records'!$U:$U,$H330)&lt;&gt;"Subscription",INDEX('Game Records'!$U:$U,$H330)&lt;&gt;"Free Game",INDEX('Game Records'!$U:$U,$H330)&lt;&gt;"Disqualified — Free Game",INDEX('Game Records'!$I:$I,$H330)=""),"Eligible Players; ","")&amp;IF(AND(INDEX('Game Records'!$U:$U,$H330)&lt;&gt;"Subscription",INDEX('Game Records'!$U:$U,$H330)&lt;&gt;"Free Game",INDEX('Game Records'!$U:$U,$H330)&lt;&gt;"Disqualified — Free Game",INDEX('Game Records'!$J:$J,$H330)=""),"Total Players; ","")&amp;IF(AND(LOWER(INDEX('Game Records'!$D:$D,$H330)&amp;"")="finalized",LOWER(INDEX('Game Records'!$L:$L,$H330)&amp;"")&lt;&gt;"yes",INDEX('Game Records'!$U:$U,$H330)&lt;&gt;"Subscription",INDEX('Game Records'!$U:$U,$H330)&lt;&gt;"Free Game",INDEX('Game Records'!$U:$U,$H330)&lt;&gt;"Disqualified — Free Game",INDEX('Game Records'!$K:$K,$H330)=""),"Final Payout; ","")&amp;IF(AND(LOWER(INDEX('Game Records'!$D:$D,$H330)&amp;"")="finalized",INDEX('Game Records'!$U:$U,$H330)&lt;&gt;"Subscription",INDEX('Game Records'!$U:$U,$H330)&lt;&gt;"Free Game",INDEX('Game Records'!$U:$U,$H330)&lt;&gt;"Disqualified — Free Game",OR(INDEX('Game Records'!$L:$L,$H330)="",LOWER(INDEX('Game Records'!$L:$L,$H330)&amp;"")="n/a")),"Disqualified Status; ",""))</f>
        <v/>
      </c>
      <c r="G330" s="25" t="str">
        <f t="array" ref="G330">IF($H330="","",IFERROR(INDEX('Game Records'!$M:$M,$H330),""))</f>
        <v/>
      </c>
      <c r="H330" s="8"/>
    </row>
    <row r="331" ht="24.0" customHeight="1">
      <c r="A331" s="21" t="str">
        <f t="shared" si="1"/>
        <v/>
      </c>
      <c r="B331" s="21" t="str">
        <f t="shared" si="2"/>
        <v/>
      </c>
      <c r="C331" s="25" t="str">
        <f t="array" ref="C331">IF($H331="","",IFERROR(INDEX('Game Records'!$A:$A,$H331),""))</f>
        <v/>
      </c>
      <c r="D331" s="25" t="str">
        <f t="array" ref="D331">IF($H331="","",IFERROR(INDEX('Game Records'!$U:$U,$H331),""))</f>
        <v/>
      </c>
      <c r="E331" s="25" t="str">
        <f t="shared" si="3"/>
        <v/>
      </c>
      <c r="F331" s="25" t="str">
        <f t="array" ref="F331">IF($H331="","",IF(OR(NOT(_xlfn.ISFORMULA(INDEX('Game Records'!$N:$N,$H331))),NOT(_xlfn.ISFORMULA(INDEX('Game Records'!$O:$O,$H331))),NOT(_xlfn.ISFORMULA(INDEX('Game Records'!$P:$P,$H331))),NOT(_xlfn.ISFORMULA(INDEX('Game Records'!$Q:$Q,$H331))),NOT(_xlfn.ISFORMULA(INDEX('Game Records'!$R:$R,$H331))),NOT(_xlfn.ISFORMULA(INDEX('Game Records'!$S:$S,$H331))),NOT(_xlfn.ISFORMULA(INDEX('Game Records'!$T:$T,$H331))),NOT(_xlfn.ISFORMULA(INDEX('Game Records'!$U:$U,$H331))),NOT(_xlfn.ISFORMULA(INDEX('Game Records'!$V:$V,$H331))),NOT(_xlfn.ISFORMULA(INDEX('Game Records'!$W:$W,$H331))),NOT(_xlfn.ISFORMULA(INDEX('Game Records'!$X:$X,$H331))),NOT(_xlfn.ISFORMULA(INDEX('Game Records'!$Y:$Y,$H331))),NOT(_xlfn.ISFORMULA(INDEX('Game Records'!$Z:$Z,$H331)))),"","")&amp;IF(INDEX('Game Records'!$B:$B,$H331)="","Start Date; ","")&amp;IF(INDEX('Game Records'!$C:$C,$H331)="","End Date; ","")&amp;IF(AND(INDEX('Game Records'!$U:$U,$H331)&lt;&gt;"Subscription",INDEX('Game Records'!$U:$U,$H331)&lt;&gt;"Free Game",INDEX('Game Records'!$U:$U,$H331)&lt;&gt;"Disqualified — Free Game",OR(INDEX('Game Records'!$D:$D,$H331)="",LOWER(INDEX('Game Records'!$D:$D,$H331)&amp;"")="n/a")),"Entry Mode; ","")&amp;IF(AND(INDEX('Game Records'!$U:$U,$H331)&lt;&gt;"Subscription",INDEX('Game Records'!$U:$U,$H331)&lt;&gt;"Free Game",INDEX('Game Records'!$U:$U,$H331)&lt;&gt;"Disqualified — Free Game",OR(INDEX('Game Records'!$E:$E,$H331)="",LOWER(INDEX('Game Records'!$E:$E,$H331)&amp;"")="n/a")),"Game Type; ","")&amp;IF(INDEX('Game Records'!$F:$F,$H331)="","Payment Type; ","")&amp;IF(AND(INDEX('Game Records'!$U:$U,$H331)&lt;&gt;"Subscription",INDEX('Game Records'!$U:$U,$H331)&lt;&gt;"Free Game",INDEX('Game Records'!$U:$U,$H331)&lt;&gt;"Disqualified — Free Game",INDEX('Game Records'!$G:$G,$H331)=""),"Gross Pot; ","")&amp;IF(AND(INDEX('Game Records'!$U:$U,$H331)&lt;&gt;"Free Game",INDEX('Game Records'!$U:$U,$H331)&lt;&gt;"Disqualified — Free Game",INDEX('Game Records'!$H:$H,$H331)=""),"Entry Fee; ","")&amp;IF(AND(INDEX('Game Records'!$U:$U,$H331)&lt;&gt;"Subscription",INDEX('Game Records'!$U:$U,$H331)&lt;&gt;"Free Game",INDEX('Game Records'!$U:$U,$H331)&lt;&gt;"Disqualified — Free Game",INDEX('Game Records'!$I:$I,$H331)=""),"Eligible Players; ","")&amp;IF(AND(INDEX('Game Records'!$U:$U,$H331)&lt;&gt;"Subscription",INDEX('Game Records'!$U:$U,$H331)&lt;&gt;"Free Game",INDEX('Game Records'!$U:$U,$H331)&lt;&gt;"Disqualified — Free Game",INDEX('Game Records'!$J:$J,$H331)=""),"Total Players; ","")&amp;IF(AND(LOWER(INDEX('Game Records'!$D:$D,$H331)&amp;"")="finalized",LOWER(INDEX('Game Records'!$L:$L,$H331)&amp;"")&lt;&gt;"yes",INDEX('Game Records'!$U:$U,$H331)&lt;&gt;"Subscription",INDEX('Game Records'!$U:$U,$H331)&lt;&gt;"Free Game",INDEX('Game Records'!$U:$U,$H331)&lt;&gt;"Disqualified — Free Game",INDEX('Game Records'!$K:$K,$H331)=""),"Final Payout; ","")&amp;IF(AND(LOWER(INDEX('Game Records'!$D:$D,$H331)&amp;"")="finalized",INDEX('Game Records'!$U:$U,$H331)&lt;&gt;"Subscription",INDEX('Game Records'!$U:$U,$H331)&lt;&gt;"Free Game",INDEX('Game Records'!$U:$U,$H331)&lt;&gt;"Disqualified — Free Game",OR(INDEX('Game Records'!$L:$L,$H331)="",LOWER(INDEX('Game Records'!$L:$L,$H331)&amp;"")="n/a")),"Disqualified Status; ",""))</f>
        <v/>
      </c>
      <c r="G331" s="25" t="str">
        <f t="array" ref="G331">IF($H331="","",IFERROR(INDEX('Game Records'!$M:$M,$H331),""))</f>
        <v/>
      </c>
      <c r="H331" s="8"/>
    </row>
    <row r="332" ht="24.0" customHeight="1">
      <c r="A332" s="21" t="str">
        <f t="shared" si="1"/>
        <v/>
      </c>
      <c r="B332" s="21" t="str">
        <f t="shared" si="2"/>
        <v/>
      </c>
      <c r="C332" s="25" t="str">
        <f t="array" ref="C332">IF($H332="","",IFERROR(INDEX('Game Records'!$A:$A,$H332),""))</f>
        <v/>
      </c>
      <c r="D332" s="25" t="str">
        <f t="array" ref="D332">IF($H332="","",IFERROR(INDEX('Game Records'!$U:$U,$H332),""))</f>
        <v/>
      </c>
      <c r="E332" s="25" t="str">
        <f t="shared" si="3"/>
        <v/>
      </c>
      <c r="F332" s="25" t="str">
        <f t="array" ref="F332">IF($H332="","",IF(OR(NOT(_xlfn.ISFORMULA(INDEX('Game Records'!$N:$N,$H332))),NOT(_xlfn.ISFORMULA(INDEX('Game Records'!$O:$O,$H332))),NOT(_xlfn.ISFORMULA(INDEX('Game Records'!$P:$P,$H332))),NOT(_xlfn.ISFORMULA(INDEX('Game Records'!$Q:$Q,$H332))),NOT(_xlfn.ISFORMULA(INDEX('Game Records'!$R:$R,$H332))),NOT(_xlfn.ISFORMULA(INDEX('Game Records'!$S:$S,$H332))),NOT(_xlfn.ISFORMULA(INDEX('Game Records'!$T:$T,$H332))),NOT(_xlfn.ISFORMULA(INDEX('Game Records'!$U:$U,$H332))),NOT(_xlfn.ISFORMULA(INDEX('Game Records'!$V:$V,$H332))),NOT(_xlfn.ISFORMULA(INDEX('Game Records'!$W:$W,$H332))),NOT(_xlfn.ISFORMULA(INDEX('Game Records'!$X:$X,$H332))),NOT(_xlfn.ISFORMULA(INDEX('Game Records'!$Y:$Y,$H332))),NOT(_xlfn.ISFORMULA(INDEX('Game Records'!$Z:$Z,$H332)))),"","")&amp;IF(INDEX('Game Records'!$B:$B,$H332)="","Start Date; ","")&amp;IF(INDEX('Game Records'!$C:$C,$H332)="","End Date; ","")&amp;IF(AND(INDEX('Game Records'!$U:$U,$H332)&lt;&gt;"Subscription",INDEX('Game Records'!$U:$U,$H332)&lt;&gt;"Free Game",INDEX('Game Records'!$U:$U,$H332)&lt;&gt;"Disqualified — Free Game",OR(INDEX('Game Records'!$D:$D,$H332)="",LOWER(INDEX('Game Records'!$D:$D,$H332)&amp;"")="n/a")),"Entry Mode; ","")&amp;IF(AND(INDEX('Game Records'!$U:$U,$H332)&lt;&gt;"Subscription",INDEX('Game Records'!$U:$U,$H332)&lt;&gt;"Free Game",INDEX('Game Records'!$U:$U,$H332)&lt;&gt;"Disqualified — Free Game",OR(INDEX('Game Records'!$E:$E,$H332)="",LOWER(INDEX('Game Records'!$E:$E,$H332)&amp;"")="n/a")),"Game Type; ","")&amp;IF(INDEX('Game Records'!$F:$F,$H332)="","Payment Type; ","")&amp;IF(AND(INDEX('Game Records'!$U:$U,$H332)&lt;&gt;"Subscription",INDEX('Game Records'!$U:$U,$H332)&lt;&gt;"Free Game",INDEX('Game Records'!$U:$U,$H332)&lt;&gt;"Disqualified — Free Game",INDEX('Game Records'!$G:$G,$H332)=""),"Gross Pot; ","")&amp;IF(AND(INDEX('Game Records'!$U:$U,$H332)&lt;&gt;"Free Game",INDEX('Game Records'!$U:$U,$H332)&lt;&gt;"Disqualified — Free Game",INDEX('Game Records'!$H:$H,$H332)=""),"Entry Fee; ","")&amp;IF(AND(INDEX('Game Records'!$U:$U,$H332)&lt;&gt;"Subscription",INDEX('Game Records'!$U:$U,$H332)&lt;&gt;"Free Game",INDEX('Game Records'!$U:$U,$H332)&lt;&gt;"Disqualified — Free Game",INDEX('Game Records'!$I:$I,$H332)=""),"Eligible Players; ","")&amp;IF(AND(INDEX('Game Records'!$U:$U,$H332)&lt;&gt;"Subscription",INDEX('Game Records'!$U:$U,$H332)&lt;&gt;"Free Game",INDEX('Game Records'!$U:$U,$H332)&lt;&gt;"Disqualified — Free Game",INDEX('Game Records'!$J:$J,$H332)=""),"Total Players; ","")&amp;IF(AND(LOWER(INDEX('Game Records'!$D:$D,$H332)&amp;"")="finalized",LOWER(INDEX('Game Records'!$L:$L,$H332)&amp;"")&lt;&gt;"yes",INDEX('Game Records'!$U:$U,$H332)&lt;&gt;"Subscription",INDEX('Game Records'!$U:$U,$H332)&lt;&gt;"Free Game",INDEX('Game Records'!$U:$U,$H332)&lt;&gt;"Disqualified — Free Game",INDEX('Game Records'!$K:$K,$H332)=""),"Final Payout; ","")&amp;IF(AND(LOWER(INDEX('Game Records'!$D:$D,$H332)&amp;"")="finalized",INDEX('Game Records'!$U:$U,$H332)&lt;&gt;"Subscription",INDEX('Game Records'!$U:$U,$H332)&lt;&gt;"Free Game",INDEX('Game Records'!$U:$U,$H332)&lt;&gt;"Disqualified — Free Game",OR(INDEX('Game Records'!$L:$L,$H332)="",LOWER(INDEX('Game Records'!$L:$L,$H332)&amp;"")="n/a")),"Disqualified Status; ",""))</f>
        <v/>
      </c>
      <c r="G332" s="25" t="str">
        <f t="array" ref="G332">IF($H332="","",IFERROR(INDEX('Game Records'!$M:$M,$H332),""))</f>
        <v/>
      </c>
      <c r="H332" s="8"/>
    </row>
    <row r="333" ht="24.0" customHeight="1">
      <c r="A333" s="21" t="str">
        <f t="shared" si="1"/>
        <v/>
      </c>
      <c r="B333" s="21" t="str">
        <f t="shared" si="2"/>
        <v/>
      </c>
      <c r="C333" s="25" t="str">
        <f t="array" ref="C333">IF($H333="","",IFERROR(INDEX('Game Records'!$A:$A,$H333),""))</f>
        <v/>
      </c>
      <c r="D333" s="25" t="str">
        <f t="array" ref="D333">IF($H333="","",IFERROR(INDEX('Game Records'!$U:$U,$H333),""))</f>
        <v/>
      </c>
      <c r="E333" s="25" t="str">
        <f t="shared" si="3"/>
        <v/>
      </c>
      <c r="F333" s="25" t="str">
        <f t="array" ref="F333">IF($H333="","",IF(OR(NOT(_xlfn.ISFORMULA(INDEX('Game Records'!$N:$N,$H333))),NOT(_xlfn.ISFORMULA(INDEX('Game Records'!$O:$O,$H333))),NOT(_xlfn.ISFORMULA(INDEX('Game Records'!$P:$P,$H333))),NOT(_xlfn.ISFORMULA(INDEX('Game Records'!$Q:$Q,$H333))),NOT(_xlfn.ISFORMULA(INDEX('Game Records'!$R:$R,$H333))),NOT(_xlfn.ISFORMULA(INDEX('Game Records'!$S:$S,$H333))),NOT(_xlfn.ISFORMULA(INDEX('Game Records'!$T:$T,$H333))),NOT(_xlfn.ISFORMULA(INDEX('Game Records'!$U:$U,$H333))),NOT(_xlfn.ISFORMULA(INDEX('Game Records'!$V:$V,$H333))),NOT(_xlfn.ISFORMULA(INDEX('Game Records'!$W:$W,$H333))),NOT(_xlfn.ISFORMULA(INDEX('Game Records'!$X:$X,$H333))),NOT(_xlfn.ISFORMULA(INDEX('Game Records'!$Y:$Y,$H333))),NOT(_xlfn.ISFORMULA(INDEX('Game Records'!$Z:$Z,$H333)))),"","")&amp;IF(INDEX('Game Records'!$B:$B,$H333)="","Start Date; ","")&amp;IF(INDEX('Game Records'!$C:$C,$H333)="","End Date; ","")&amp;IF(AND(INDEX('Game Records'!$U:$U,$H333)&lt;&gt;"Subscription",INDEX('Game Records'!$U:$U,$H333)&lt;&gt;"Free Game",INDEX('Game Records'!$U:$U,$H333)&lt;&gt;"Disqualified — Free Game",OR(INDEX('Game Records'!$D:$D,$H333)="",LOWER(INDEX('Game Records'!$D:$D,$H333)&amp;"")="n/a")),"Entry Mode; ","")&amp;IF(AND(INDEX('Game Records'!$U:$U,$H333)&lt;&gt;"Subscription",INDEX('Game Records'!$U:$U,$H333)&lt;&gt;"Free Game",INDEX('Game Records'!$U:$U,$H333)&lt;&gt;"Disqualified — Free Game",OR(INDEX('Game Records'!$E:$E,$H333)="",LOWER(INDEX('Game Records'!$E:$E,$H333)&amp;"")="n/a")),"Game Type; ","")&amp;IF(INDEX('Game Records'!$F:$F,$H333)="","Payment Type; ","")&amp;IF(AND(INDEX('Game Records'!$U:$U,$H333)&lt;&gt;"Subscription",INDEX('Game Records'!$U:$U,$H333)&lt;&gt;"Free Game",INDEX('Game Records'!$U:$U,$H333)&lt;&gt;"Disqualified — Free Game",INDEX('Game Records'!$G:$G,$H333)=""),"Gross Pot; ","")&amp;IF(AND(INDEX('Game Records'!$U:$U,$H333)&lt;&gt;"Free Game",INDEX('Game Records'!$U:$U,$H333)&lt;&gt;"Disqualified — Free Game",INDEX('Game Records'!$H:$H,$H333)=""),"Entry Fee; ","")&amp;IF(AND(INDEX('Game Records'!$U:$U,$H333)&lt;&gt;"Subscription",INDEX('Game Records'!$U:$U,$H333)&lt;&gt;"Free Game",INDEX('Game Records'!$U:$U,$H333)&lt;&gt;"Disqualified — Free Game",INDEX('Game Records'!$I:$I,$H333)=""),"Eligible Players; ","")&amp;IF(AND(INDEX('Game Records'!$U:$U,$H333)&lt;&gt;"Subscription",INDEX('Game Records'!$U:$U,$H333)&lt;&gt;"Free Game",INDEX('Game Records'!$U:$U,$H333)&lt;&gt;"Disqualified — Free Game",INDEX('Game Records'!$J:$J,$H333)=""),"Total Players; ","")&amp;IF(AND(LOWER(INDEX('Game Records'!$D:$D,$H333)&amp;"")="finalized",LOWER(INDEX('Game Records'!$L:$L,$H333)&amp;"")&lt;&gt;"yes",INDEX('Game Records'!$U:$U,$H333)&lt;&gt;"Subscription",INDEX('Game Records'!$U:$U,$H333)&lt;&gt;"Free Game",INDEX('Game Records'!$U:$U,$H333)&lt;&gt;"Disqualified — Free Game",INDEX('Game Records'!$K:$K,$H333)=""),"Final Payout; ","")&amp;IF(AND(LOWER(INDEX('Game Records'!$D:$D,$H333)&amp;"")="finalized",INDEX('Game Records'!$U:$U,$H333)&lt;&gt;"Subscription",INDEX('Game Records'!$U:$U,$H333)&lt;&gt;"Free Game",INDEX('Game Records'!$U:$U,$H333)&lt;&gt;"Disqualified — Free Game",OR(INDEX('Game Records'!$L:$L,$H333)="",LOWER(INDEX('Game Records'!$L:$L,$H333)&amp;"")="n/a")),"Disqualified Status; ",""))</f>
        <v/>
      </c>
      <c r="G333" s="25" t="str">
        <f t="array" ref="G333">IF($H333="","",IFERROR(INDEX('Game Records'!$M:$M,$H333),""))</f>
        <v/>
      </c>
      <c r="H333" s="8"/>
    </row>
    <row r="334" ht="24.0" customHeight="1">
      <c r="A334" s="21" t="str">
        <f t="shared" si="1"/>
        <v/>
      </c>
      <c r="B334" s="21" t="str">
        <f t="shared" si="2"/>
        <v/>
      </c>
      <c r="C334" s="25" t="str">
        <f t="array" ref="C334">IF($H334="","",IFERROR(INDEX('Game Records'!$A:$A,$H334),""))</f>
        <v/>
      </c>
      <c r="D334" s="25" t="str">
        <f t="array" ref="D334">IF($H334="","",IFERROR(INDEX('Game Records'!$U:$U,$H334),""))</f>
        <v/>
      </c>
      <c r="E334" s="25" t="str">
        <f t="shared" si="3"/>
        <v/>
      </c>
      <c r="F334" s="25" t="str">
        <f t="array" ref="F334">IF($H334="","",IF(OR(NOT(_xlfn.ISFORMULA(INDEX('Game Records'!$N:$N,$H334))),NOT(_xlfn.ISFORMULA(INDEX('Game Records'!$O:$O,$H334))),NOT(_xlfn.ISFORMULA(INDEX('Game Records'!$P:$P,$H334))),NOT(_xlfn.ISFORMULA(INDEX('Game Records'!$Q:$Q,$H334))),NOT(_xlfn.ISFORMULA(INDEX('Game Records'!$R:$R,$H334))),NOT(_xlfn.ISFORMULA(INDEX('Game Records'!$S:$S,$H334))),NOT(_xlfn.ISFORMULA(INDEX('Game Records'!$T:$T,$H334))),NOT(_xlfn.ISFORMULA(INDEX('Game Records'!$U:$U,$H334))),NOT(_xlfn.ISFORMULA(INDEX('Game Records'!$V:$V,$H334))),NOT(_xlfn.ISFORMULA(INDEX('Game Records'!$W:$W,$H334))),NOT(_xlfn.ISFORMULA(INDEX('Game Records'!$X:$X,$H334))),NOT(_xlfn.ISFORMULA(INDEX('Game Records'!$Y:$Y,$H334))),NOT(_xlfn.ISFORMULA(INDEX('Game Records'!$Z:$Z,$H334)))),"","")&amp;IF(INDEX('Game Records'!$B:$B,$H334)="","Start Date; ","")&amp;IF(INDEX('Game Records'!$C:$C,$H334)="","End Date; ","")&amp;IF(AND(INDEX('Game Records'!$U:$U,$H334)&lt;&gt;"Subscription",INDEX('Game Records'!$U:$U,$H334)&lt;&gt;"Free Game",INDEX('Game Records'!$U:$U,$H334)&lt;&gt;"Disqualified — Free Game",OR(INDEX('Game Records'!$D:$D,$H334)="",LOWER(INDEX('Game Records'!$D:$D,$H334)&amp;"")="n/a")),"Entry Mode; ","")&amp;IF(AND(INDEX('Game Records'!$U:$U,$H334)&lt;&gt;"Subscription",INDEX('Game Records'!$U:$U,$H334)&lt;&gt;"Free Game",INDEX('Game Records'!$U:$U,$H334)&lt;&gt;"Disqualified — Free Game",OR(INDEX('Game Records'!$E:$E,$H334)="",LOWER(INDEX('Game Records'!$E:$E,$H334)&amp;"")="n/a")),"Game Type; ","")&amp;IF(INDEX('Game Records'!$F:$F,$H334)="","Payment Type; ","")&amp;IF(AND(INDEX('Game Records'!$U:$U,$H334)&lt;&gt;"Subscription",INDEX('Game Records'!$U:$U,$H334)&lt;&gt;"Free Game",INDEX('Game Records'!$U:$U,$H334)&lt;&gt;"Disqualified — Free Game",INDEX('Game Records'!$G:$G,$H334)=""),"Gross Pot; ","")&amp;IF(AND(INDEX('Game Records'!$U:$U,$H334)&lt;&gt;"Free Game",INDEX('Game Records'!$U:$U,$H334)&lt;&gt;"Disqualified — Free Game",INDEX('Game Records'!$H:$H,$H334)=""),"Entry Fee; ","")&amp;IF(AND(INDEX('Game Records'!$U:$U,$H334)&lt;&gt;"Subscription",INDEX('Game Records'!$U:$U,$H334)&lt;&gt;"Free Game",INDEX('Game Records'!$U:$U,$H334)&lt;&gt;"Disqualified — Free Game",INDEX('Game Records'!$I:$I,$H334)=""),"Eligible Players; ","")&amp;IF(AND(INDEX('Game Records'!$U:$U,$H334)&lt;&gt;"Subscription",INDEX('Game Records'!$U:$U,$H334)&lt;&gt;"Free Game",INDEX('Game Records'!$U:$U,$H334)&lt;&gt;"Disqualified — Free Game",INDEX('Game Records'!$J:$J,$H334)=""),"Total Players; ","")&amp;IF(AND(LOWER(INDEX('Game Records'!$D:$D,$H334)&amp;"")="finalized",LOWER(INDEX('Game Records'!$L:$L,$H334)&amp;"")&lt;&gt;"yes",INDEX('Game Records'!$U:$U,$H334)&lt;&gt;"Subscription",INDEX('Game Records'!$U:$U,$H334)&lt;&gt;"Free Game",INDEX('Game Records'!$U:$U,$H334)&lt;&gt;"Disqualified — Free Game",INDEX('Game Records'!$K:$K,$H334)=""),"Final Payout; ","")&amp;IF(AND(LOWER(INDEX('Game Records'!$D:$D,$H334)&amp;"")="finalized",INDEX('Game Records'!$U:$U,$H334)&lt;&gt;"Subscription",INDEX('Game Records'!$U:$U,$H334)&lt;&gt;"Free Game",INDEX('Game Records'!$U:$U,$H334)&lt;&gt;"Disqualified — Free Game",OR(INDEX('Game Records'!$L:$L,$H334)="",LOWER(INDEX('Game Records'!$L:$L,$H334)&amp;"")="n/a")),"Disqualified Status; ",""))</f>
        <v/>
      </c>
      <c r="G334" s="25" t="str">
        <f t="array" ref="G334">IF($H334="","",IFERROR(INDEX('Game Records'!$M:$M,$H334),""))</f>
        <v/>
      </c>
      <c r="H334" s="8"/>
    </row>
    <row r="335" ht="24.0" customHeight="1">
      <c r="A335" s="21" t="str">
        <f t="shared" si="1"/>
        <v/>
      </c>
      <c r="B335" s="21" t="str">
        <f t="shared" si="2"/>
        <v/>
      </c>
      <c r="C335" s="25" t="str">
        <f t="array" ref="C335">IF($H335="","",IFERROR(INDEX('Game Records'!$A:$A,$H335),""))</f>
        <v/>
      </c>
      <c r="D335" s="25" t="str">
        <f t="array" ref="D335">IF($H335="","",IFERROR(INDEX('Game Records'!$U:$U,$H335),""))</f>
        <v/>
      </c>
      <c r="E335" s="25" t="str">
        <f t="shared" si="3"/>
        <v/>
      </c>
      <c r="F335" s="25" t="str">
        <f t="array" ref="F335">IF($H335="","",IF(OR(NOT(_xlfn.ISFORMULA(INDEX('Game Records'!$N:$N,$H335))),NOT(_xlfn.ISFORMULA(INDEX('Game Records'!$O:$O,$H335))),NOT(_xlfn.ISFORMULA(INDEX('Game Records'!$P:$P,$H335))),NOT(_xlfn.ISFORMULA(INDEX('Game Records'!$Q:$Q,$H335))),NOT(_xlfn.ISFORMULA(INDEX('Game Records'!$R:$R,$H335))),NOT(_xlfn.ISFORMULA(INDEX('Game Records'!$S:$S,$H335))),NOT(_xlfn.ISFORMULA(INDEX('Game Records'!$T:$T,$H335))),NOT(_xlfn.ISFORMULA(INDEX('Game Records'!$U:$U,$H335))),NOT(_xlfn.ISFORMULA(INDEX('Game Records'!$V:$V,$H335))),NOT(_xlfn.ISFORMULA(INDEX('Game Records'!$W:$W,$H335))),NOT(_xlfn.ISFORMULA(INDEX('Game Records'!$X:$X,$H335))),NOT(_xlfn.ISFORMULA(INDEX('Game Records'!$Y:$Y,$H335))),NOT(_xlfn.ISFORMULA(INDEX('Game Records'!$Z:$Z,$H335)))),"","")&amp;IF(INDEX('Game Records'!$B:$B,$H335)="","Start Date; ","")&amp;IF(INDEX('Game Records'!$C:$C,$H335)="","End Date; ","")&amp;IF(AND(INDEX('Game Records'!$U:$U,$H335)&lt;&gt;"Subscription",INDEX('Game Records'!$U:$U,$H335)&lt;&gt;"Free Game",INDEX('Game Records'!$U:$U,$H335)&lt;&gt;"Disqualified — Free Game",OR(INDEX('Game Records'!$D:$D,$H335)="",LOWER(INDEX('Game Records'!$D:$D,$H335)&amp;"")="n/a")),"Entry Mode; ","")&amp;IF(AND(INDEX('Game Records'!$U:$U,$H335)&lt;&gt;"Subscription",INDEX('Game Records'!$U:$U,$H335)&lt;&gt;"Free Game",INDEX('Game Records'!$U:$U,$H335)&lt;&gt;"Disqualified — Free Game",OR(INDEX('Game Records'!$E:$E,$H335)="",LOWER(INDEX('Game Records'!$E:$E,$H335)&amp;"")="n/a")),"Game Type; ","")&amp;IF(INDEX('Game Records'!$F:$F,$H335)="","Payment Type; ","")&amp;IF(AND(INDEX('Game Records'!$U:$U,$H335)&lt;&gt;"Subscription",INDEX('Game Records'!$U:$U,$H335)&lt;&gt;"Free Game",INDEX('Game Records'!$U:$U,$H335)&lt;&gt;"Disqualified — Free Game",INDEX('Game Records'!$G:$G,$H335)=""),"Gross Pot; ","")&amp;IF(AND(INDEX('Game Records'!$U:$U,$H335)&lt;&gt;"Free Game",INDEX('Game Records'!$U:$U,$H335)&lt;&gt;"Disqualified — Free Game",INDEX('Game Records'!$H:$H,$H335)=""),"Entry Fee; ","")&amp;IF(AND(INDEX('Game Records'!$U:$U,$H335)&lt;&gt;"Subscription",INDEX('Game Records'!$U:$U,$H335)&lt;&gt;"Free Game",INDEX('Game Records'!$U:$U,$H335)&lt;&gt;"Disqualified — Free Game",INDEX('Game Records'!$I:$I,$H335)=""),"Eligible Players; ","")&amp;IF(AND(INDEX('Game Records'!$U:$U,$H335)&lt;&gt;"Subscription",INDEX('Game Records'!$U:$U,$H335)&lt;&gt;"Free Game",INDEX('Game Records'!$U:$U,$H335)&lt;&gt;"Disqualified — Free Game",INDEX('Game Records'!$J:$J,$H335)=""),"Total Players; ","")&amp;IF(AND(LOWER(INDEX('Game Records'!$D:$D,$H335)&amp;"")="finalized",LOWER(INDEX('Game Records'!$L:$L,$H335)&amp;"")&lt;&gt;"yes",INDEX('Game Records'!$U:$U,$H335)&lt;&gt;"Subscription",INDEX('Game Records'!$U:$U,$H335)&lt;&gt;"Free Game",INDEX('Game Records'!$U:$U,$H335)&lt;&gt;"Disqualified — Free Game",INDEX('Game Records'!$K:$K,$H335)=""),"Final Payout; ","")&amp;IF(AND(LOWER(INDEX('Game Records'!$D:$D,$H335)&amp;"")="finalized",INDEX('Game Records'!$U:$U,$H335)&lt;&gt;"Subscription",INDEX('Game Records'!$U:$U,$H335)&lt;&gt;"Free Game",INDEX('Game Records'!$U:$U,$H335)&lt;&gt;"Disqualified — Free Game",OR(INDEX('Game Records'!$L:$L,$H335)="",LOWER(INDEX('Game Records'!$L:$L,$H335)&amp;"")="n/a")),"Disqualified Status; ",""))</f>
        <v/>
      </c>
      <c r="G335" s="25" t="str">
        <f t="array" ref="G335">IF($H335="","",IFERROR(INDEX('Game Records'!$M:$M,$H335),""))</f>
        <v/>
      </c>
      <c r="H335" s="8"/>
    </row>
    <row r="336" ht="24.0" customHeight="1">
      <c r="A336" s="21" t="str">
        <f t="shared" si="1"/>
        <v/>
      </c>
      <c r="B336" s="21" t="str">
        <f t="shared" si="2"/>
        <v/>
      </c>
      <c r="C336" s="25" t="str">
        <f t="array" ref="C336">IF($H336="","",IFERROR(INDEX('Game Records'!$A:$A,$H336),""))</f>
        <v/>
      </c>
      <c r="D336" s="25" t="str">
        <f t="array" ref="D336">IF($H336="","",IFERROR(INDEX('Game Records'!$U:$U,$H336),""))</f>
        <v/>
      </c>
      <c r="E336" s="25" t="str">
        <f t="shared" si="3"/>
        <v/>
      </c>
      <c r="F336" s="25" t="str">
        <f t="array" ref="F336">IF($H336="","",IF(OR(NOT(_xlfn.ISFORMULA(INDEX('Game Records'!$N:$N,$H336))),NOT(_xlfn.ISFORMULA(INDEX('Game Records'!$O:$O,$H336))),NOT(_xlfn.ISFORMULA(INDEX('Game Records'!$P:$P,$H336))),NOT(_xlfn.ISFORMULA(INDEX('Game Records'!$Q:$Q,$H336))),NOT(_xlfn.ISFORMULA(INDEX('Game Records'!$R:$R,$H336))),NOT(_xlfn.ISFORMULA(INDEX('Game Records'!$S:$S,$H336))),NOT(_xlfn.ISFORMULA(INDEX('Game Records'!$T:$T,$H336))),NOT(_xlfn.ISFORMULA(INDEX('Game Records'!$U:$U,$H336))),NOT(_xlfn.ISFORMULA(INDEX('Game Records'!$V:$V,$H336))),NOT(_xlfn.ISFORMULA(INDEX('Game Records'!$W:$W,$H336))),NOT(_xlfn.ISFORMULA(INDEX('Game Records'!$X:$X,$H336))),NOT(_xlfn.ISFORMULA(INDEX('Game Records'!$Y:$Y,$H336))),NOT(_xlfn.ISFORMULA(INDEX('Game Records'!$Z:$Z,$H336)))),"","")&amp;IF(INDEX('Game Records'!$B:$B,$H336)="","Start Date; ","")&amp;IF(INDEX('Game Records'!$C:$C,$H336)="","End Date; ","")&amp;IF(AND(INDEX('Game Records'!$U:$U,$H336)&lt;&gt;"Subscription",INDEX('Game Records'!$U:$U,$H336)&lt;&gt;"Free Game",INDEX('Game Records'!$U:$U,$H336)&lt;&gt;"Disqualified — Free Game",OR(INDEX('Game Records'!$D:$D,$H336)="",LOWER(INDEX('Game Records'!$D:$D,$H336)&amp;"")="n/a")),"Entry Mode; ","")&amp;IF(AND(INDEX('Game Records'!$U:$U,$H336)&lt;&gt;"Subscription",INDEX('Game Records'!$U:$U,$H336)&lt;&gt;"Free Game",INDEX('Game Records'!$U:$U,$H336)&lt;&gt;"Disqualified — Free Game",OR(INDEX('Game Records'!$E:$E,$H336)="",LOWER(INDEX('Game Records'!$E:$E,$H336)&amp;"")="n/a")),"Game Type; ","")&amp;IF(INDEX('Game Records'!$F:$F,$H336)="","Payment Type; ","")&amp;IF(AND(INDEX('Game Records'!$U:$U,$H336)&lt;&gt;"Subscription",INDEX('Game Records'!$U:$U,$H336)&lt;&gt;"Free Game",INDEX('Game Records'!$U:$U,$H336)&lt;&gt;"Disqualified — Free Game",INDEX('Game Records'!$G:$G,$H336)=""),"Gross Pot; ","")&amp;IF(AND(INDEX('Game Records'!$U:$U,$H336)&lt;&gt;"Free Game",INDEX('Game Records'!$U:$U,$H336)&lt;&gt;"Disqualified — Free Game",INDEX('Game Records'!$H:$H,$H336)=""),"Entry Fee; ","")&amp;IF(AND(INDEX('Game Records'!$U:$U,$H336)&lt;&gt;"Subscription",INDEX('Game Records'!$U:$U,$H336)&lt;&gt;"Free Game",INDEX('Game Records'!$U:$U,$H336)&lt;&gt;"Disqualified — Free Game",INDEX('Game Records'!$I:$I,$H336)=""),"Eligible Players; ","")&amp;IF(AND(INDEX('Game Records'!$U:$U,$H336)&lt;&gt;"Subscription",INDEX('Game Records'!$U:$U,$H336)&lt;&gt;"Free Game",INDEX('Game Records'!$U:$U,$H336)&lt;&gt;"Disqualified — Free Game",INDEX('Game Records'!$J:$J,$H336)=""),"Total Players; ","")&amp;IF(AND(LOWER(INDEX('Game Records'!$D:$D,$H336)&amp;"")="finalized",LOWER(INDEX('Game Records'!$L:$L,$H336)&amp;"")&lt;&gt;"yes",INDEX('Game Records'!$U:$U,$H336)&lt;&gt;"Subscription",INDEX('Game Records'!$U:$U,$H336)&lt;&gt;"Free Game",INDEX('Game Records'!$U:$U,$H336)&lt;&gt;"Disqualified — Free Game",INDEX('Game Records'!$K:$K,$H336)=""),"Final Payout; ","")&amp;IF(AND(LOWER(INDEX('Game Records'!$D:$D,$H336)&amp;"")="finalized",INDEX('Game Records'!$U:$U,$H336)&lt;&gt;"Subscription",INDEX('Game Records'!$U:$U,$H336)&lt;&gt;"Free Game",INDEX('Game Records'!$U:$U,$H336)&lt;&gt;"Disqualified — Free Game",OR(INDEX('Game Records'!$L:$L,$H336)="",LOWER(INDEX('Game Records'!$L:$L,$H336)&amp;"")="n/a")),"Disqualified Status; ",""))</f>
        <v/>
      </c>
      <c r="G336" s="25" t="str">
        <f t="array" ref="G336">IF($H336="","",IFERROR(INDEX('Game Records'!$M:$M,$H336),""))</f>
        <v/>
      </c>
      <c r="H336" s="8"/>
    </row>
    <row r="337" ht="24.0" customHeight="1">
      <c r="A337" s="21" t="str">
        <f t="shared" si="1"/>
        <v/>
      </c>
      <c r="B337" s="21" t="str">
        <f t="shared" si="2"/>
        <v/>
      </c>
      <c r="C337" s="25" t="str">
        <f t="array" ref="C337">IF($H337="","",IFERROR(INDEX('Game Records'!$A:$A,$H337),""))</f>
        <v/>
      </c>
      <c r="D337" s="25" t="str">
        <f t="array" ref="D337">IF($H337="","",IFERROR(INDEX('Game Records'!$U:$U,$H337),""))</f>
        <v/>
      </c>
      <c r="E337" s="25" t="str">
        <f t="shared" si="3"/>
        <v/>
      </c>
      <c r="F337" s="25" t="str">
        <f t="array" ref="F337">IF($H337="","",IF(OR(NOT(_xlfn.ISFORMULA(INDEX('Game Records'!$N:$N,$H337))),NOT(_xlfn.ISFORMULA(INDEX('Game Records'!$O:$O,$H337))),NOT(_xlfn.ISFORMULA(INDEX('Game Records'!$P:$P,$H337))),NOT(_xlfn.ISFORMULA(INDEX('Game Records'!$Q:$Q,$H337))),NOT(_xlfn.ISFORMULA(INDEX('Game Records'!$R:$R,$H337))),NOT(_xlfn.ISFORMULA(INDEX('Game Records'!$S:$S,$H337))),NOT(_xlfn.ISFORMULA(INDEX('Game Records'!$T:$T,$H337))),NOT(_xlfn.ISFORMULA(INDEX('Game Records'!$U:$U,$H337))),NOT(_xlfn.ISFORMULA(INDEX('Game Records'!$V:$V,$H337))),NOT(_xlfn.ISFORMULA(INDEX('Game Records'!$W:$W,$H337))),NOT(_xlfn.ISFORMULA(INDEX('Game Records'!$X:$X,$H337))),NOT(_xlfn.ISFORMULA(INDEX('Game Records'!$Y:$Y,$H337))),NOT(_xlfn.ISFORMULA(INDEX('Game Records'!$Z:$Z,$H337)))),"","")&amp;IF(INDEX('Game Records'!$B:$B,$H337)="","Start Date; ","")&amp;IF(INDEX('Game Records'!$C:$C,$H337)="","End Date; ","")&amp;IF(AND(INDEX('Game Records'!$U:$U,$H337)&lt;&gt;"Subscription",INDEX('Game Records'!$U:$U,$H337)&lt;&gt;"Free Game",INDEX('Game Records'!$U:$U,$H337)&lt;&gt;"Disqualified — Free Game",OR(INDEX('Game Records'!$D:$D,$H337)="",LOWER(INDEX('Game Records'!$D:$D,$H337)&amp;"")="n/a")),"Entry Mode; ","")&amp;IF(AND(INDEX('Game Records'!$U:$U,$H337)&lt;&gt;"Subscription",INDEX('Game Records'!$U:$U,$H337)&lt;&gt;"Free Game",INDEX('Game Records'!$U:$U,$H337)&lt;&gt;"Disqualified — Free Game",OR(INDEX('Game Records'!$E:$E,$H337)="",LOWER(INDEX('Game Records'!$E:$E,$H337)&amp;"")="n/a")),"Game Type; ","")&amp;IF(INDEX('Game Records'!$F:$F,$H337)="","Payment Type; ","")&amp;IF(AND(INDEX('Game Records'!$U:$U,$H337)&lt;&gt;"Subscription",INDEX('Game Records'!$U:$U,$H337)&lt;&gt;"Free Game",INDEX('Game Records'!$U:$U,$H337)&lt;&gt;"Disqualified — Free Game",INDEX('Game Records'!$G:$G,$H337)=""),"Gross Pot; ","")&amp;IF(AND(INDEX('Game Records'!$U:$U,$H337)&lt;&gt;"Free Game",INDEX('Game Records'!$U:$U,$H337)&lt;&gt;"Disqualified — Free Game",INDEX('Game Records'!$H:$H,$H337)=""),"Entry Fee; ","")&amp;IF(AND(INDEX('Game Records'!$U:$U,$H337)&lt;&gt;"Subscription",INDEX('Game Records'!$U:$U,$H337)&lt;&gt;"Free Game",INDEX('Game Records'!$U:$U,$H337)&lt;&gt;"Disqualified — Free Game",INDEX('Game Records'!$I:$I,$H337)=""),"Eligible Players; ","")&amp;IF(AND(INDEX('Game Records'!$U:$U,$H337)&lt;&gt;"Subscription",INDEX('Game Records'!$U:$U,$H337)&lt;&gt;"Free Game",INDEX('Game Records'!$U:$U,$H337)&lt;&gt;"Disqualified — Free Game",INDEX('Game Records'!$J:$J,$H337)=""),"Total Players; ","")&amp;IF(AND(LOWER(INDEX('Game Records'!$D:$D,$H337)&amp;"")="finalized",LOWER(INDEX('Game Records'!$L:$L,$H337)&amp;"")&lt;&gt;"yes",INDEX('Game Records'!$U:$U,$H337)&lt;&gt;"Subscription",INDEX('Game Records'!$U:$U,$H337)&lt;&gt;"Free Game",INDEX('Game Records'!$U:$U,$H337)&lt;&gt;"Disqualified — Free Game",INDEX('Game Records'!$K:$K,$H337)=""),"Final Payout; ","")&amp;IF(AND(LOWER(INDEX('Game Records'!$D:$D,$H337)&amp;"")="finalized",INDEX('Game Records'!$U:$U,$H337)&lt;&gt;"Subscription",INDEX('Game Records'!$U:$U,$H337)&lt;&gt;"Free Game",INDEX('Game Records'!$U:$U,$H337)&lt;&gt;"Disqualified — Free Game",OR(INDEX('Game Records'!$L:$L,$H337)="",LOWER(INDEX('Game Records'!$L:$L,$H337)&amp;"")="n/a")),"Disqualified Status; ",""))</f>
        <v/>
      </c>
      <c r="G337" s="25" t="str">
        <f t="array" ref="G337">IF($H337="","",IFERROR(INDEX('Game Records'!$M:$M,$H337),""))</f>
        <v/>
      </c>
      <c r="H337" s="8"/>
    </row>
    <row r="338" ht="24.0" customHeight="1">
      <c r="A338" s="21" t="str">
        <f t="shared" si="1"/>
        <v/>
      </c>
      <c r="B338" s="21" t="str">
        <f t="shared" si="2"/>
        <v/>
      </c>
      <c r="C338" s="25" t="str">
        <f t="array" ref="C338">IF($H338="","",IFERROR(INDEX('Game Records'!$A:$A,$H338),""))</f>
        <v/>
      </c>
      <c r="D338" s="25" t="str">
        <f t="array" ref="D338">IF($H338="","",IFERROR(INDEX('Game Records'!$U:$U,$H338),""))</f>
        <v/>
      </c>
      <c r="E338" s="25" t="str">
        <f t="shared" si="3"/>
        <v/>
      </c>
      <c r="F338" s="25" t="str">
        <f t="array" ref="F338">IF($H338="","",IF(OR(NOT(_xlfn.ISFORMULA(INDEX('Game Records'!$N:$N,$H338))),NOT(_xlfn.ISFORMULA(INDEX('Game Records'!$O:$O,$H338))),NOT(_xlfn.ISFORMULA(INDEX('Game Records'!$P:$P,$H338))),NOT(_xlfn.ISFORMULA(INDEX('Game Records'!$Q:$Q,$H338))),NOT(_xlfn.ISFORMULA(INDEX('Game Records'!$R:$R,$H338))),NOT(_xlfn.ISFORMULA(INDEX('Game Records'!$S:$S,$H338))),NOT(_xlfn.ISFORMULA(INDEX('Game Records'!$T:$T,$H338))),NOT(_xlfn.ISFORMULA(INDEX('Game Records'!$U:$U,$H338))),NOT(_xlfn.ISFORMULA(INDEX('Game Records'!$V:$V,$H338))),NOT(_xlfn.ISFORMULA(INDEX('Game Records'!$W:$W,$H338))),NOT(_xlfn.ISFORMULA(INDEX('Game Records'!$X:$X,$H338))),NOT(_xlfn.ISFORMULA(INDEX('Game Records'!$Y:$Y,$H338))),NOT(_xlfn.ISFORMULA(INDEX('Game Records'!$Z:$Z,$H338)))),"","")&amp;IF(INDEX('Game Records'!$B:$B,$H338)="","Start Date; ","")&amp;IF(INDEX('Game Records'!$C:$C,$H338)="","End Date; ","")&amp;IF(AND(INDEX('Game Records'!$U:$U,$H338)&lt;&gt;"Subscription",INDEX('Game Records'!$U:$U,$H338)&lt;&gt;"Free Game",INDEX('Game Records'!$U:$U,$H338)&lt;&gt;"Disqualified — Free Game",OR(INDEX('Game Records'!$D:$D,$H338)="",LOWER(INDEX('Game Records'!$D:$D,$H338)&amp;"")="n/a")),"Entry Mode; ","")&amp;IF(AND(INDEX('Game Records'!$U:$U,$H338)&lt;&gt;"Subscription",INDEX('Game Records'!$U:$U,$H338)&lt;&gt;"Free Game",INDEX('Game Records'!$U:$U,$H338)&lt;&gt;"Disqualified — Free Game",OR(INDEX('Game Records'!$E:$E,$H338)="",LOWER(INDEX('Game Records'!$E:$E,$H338)&amp;"")="n/a")),"Game Type; ","")&amp;IF(INDEX('Game Records'!$F:$F,$H338)="","Payment Type; ","")&amp;IF(AND(INDEX('Game Records'!$U:$U,$H338)&lt;&gt;"Subscription",INDEX('Game Records'!$U:$U,$H338)&lt;&gt;"Free Game",INDEX('Game Records'!$U:$U,$H338)&lt;&gt;"Disqualified — Free Game",INDEX('Game Records'!$G:$G,$H338)=""),"Gross Pot; ","")&amp;IF(AND(INDEX('Game Records'!$U:$U,$H338)&lt;&gt;"Free Game",INDEX('Game Records'!$U:$U,$H338)&lt;&gt;"Disqualified — Free Game",INDEX('Game Records'!$H:$H,$H338)=""),"Entry Fee; ","")&amp;IF(AND(INDEX('Game Records'!$U:$U,$H338)&lt;&gt;"Subscription",INDEX('Game Records'!$U:$U,$H338)&lt;&gt;"Free Game",INDEX('Game Records'!$U:$U,$H338)&lt;&gt;"Disqualified — Free Game",INDEX('Game Records'!$I:$I,$H338)=""),"Eligible Players; ","")&amp;IF(AND(INDEX('Game Records'!$U:$U,$H338)&lt;&gt;"Subscription",INDEX('Game Records'!$U:$U,$H338)&lt;&gt;"Free Game",INDEX('Game Records'!$U:$U,$H338)&lt;&gt;"Disqualified — Free Game",INDEX('Game Records'!$J:$J,$H338)=""),"Total Players; ","")&amp;IF(AND(LOWER(INDEX('Game Records'!$D:$D,$H338)&amp;"")="finalized",LOWER(INDEX('Game Records'!$L:$L,$H338)&amp;"")&lt;&gt;"yes",INDEX('Game Records'!$U:$U,$H338)&lt;&gt;"Subscription",INDEX('Game Records'!$U:$U,$H338)&lt;&gt;"Free Game",INDEX('Game Records'!$U:$U,$H338)&lt;&gt;"Disqualified — Free Game",INDEX('Game Records'!$K:$K,$H338)=""),"Final Payout; ","")&amp;IF(AND(LOWER(INDEX('Game Records'!$D:$D,$H338)&amp;"")="finalized",INDEX('Game Records'!$U:$U,$H338)&lt;&gt;"Subscription",INDEX('Game Records'!$U:$U,$H338)&lt;&gt;"Free Game",INDEX('Game Records'!$U:$U,$H338)&lt;&gt;"Disqualified — Free Game",OR(INDEX('Game Records'!$L:$L,$H338)="",LOWER(INDEX('Game Records'!$L:$L,$H338)&amp;"")="n/a")),"Disqualified Status; ",""))</f>
        <v/>
      </c>
      <c r="G338" s="25" t="str">
        <f t="array" ref="G338">IF($H338="","",IFERROR(INDEX('Game Records'!$M:$M,$H338),""))</f>
        <v/>
      </c>
      <c r="H338" s="8"/>
    </row>
    <row r="339" ht="24.0" customHeight="1">
      <c r="A339" s="21" t="str">
        <f t="shared" si="1"/>
        <v/>
      </c>
      <c r="B339" s="21" t="str">
        <f t="shared" si="2"/>
        <v/>
      </c>
      <c r="C339" s="25" t="str">
        <f t="array" ref="C339">IF($H339="","",IFERROR(INDEX('Game Records'!$A:$A,$H339),""))</f>
        <v/>
      </c>
      <c r="D339" s="25" t="str">
        <f t="array" ref="D339">IF($H339="","",IFERROR(INDEX('Game Records'!$U:$U,$H339),""))</f>
        <v/>
      </c>
      <c r="E339" s="25" t="str">
        <f t="shared" si="3"/>
        <v/>
      </c>
      <c r="F339" s="25" t="str">
        <f t="array" ref="F339">IF($H339="","",IF(OR(NOT(_xlfn.ISFORMULA(INDEX('Game Records'!$N:$N,$H339))),NOT(_xlfn.ISFORMULA(INDEX('Game Records'!$O:$O,$H339))),NOT(_xlfn.ISFORMULA(INDEX('Game Records'!$P:$P,$H339))),NOT(_xlfn.ISFORMULA(INDEX('Game Records'!$Q:$Q,$H339))),NOT(_xlfn.ISFORMULA(INDEX('Game Records'!$R:$R,$H339))),NOT(_xlfn.ISFORMULA(INDEX('Game Records'!$S:$S,$H339))),NOT(_xlfn.ISFORMULA(INDEX('Game Records'!$T:$T,$H339))),NOT(_xlfn.ISFORMULA(INDEX('Game Records'!$U:$U,$H339))),NOT(_xlfn.ISFORMULA(INDEX('Game Records'!$V:$V,$H339))),NOT(_xlfn.ISFORMULA(INDEX('Game Records'!$W:$W,$H339))),NOT(_xlfn.ISFORMULA(INDEX('Game Records'!$X:$X,$H339))),NOT(_xlfn.ISFORMULA(INDEX('Game Records'!$Y:$Y,$H339))),NOT(_xlfn.ISFORMULA(INDEX('Game Records'!$Z:$Z,$H339)))),"","")&amp;IF(INDEX('Game Records'!$B:$B,$H339)="","Start Date; ","")&amp;IF(INDEX('Game Records'!$C:$C,$H339)="","End Date; ","")&amp;IF(AND(INDEX('Game Records'!$U:$U,$H339)&lt;&gt;"Subscription",INDEX('Game Records'!$U:$U,$H339)&lt;&gt;"Free Game",INDEX('Game Records'!$U:$U,$H339)&lt;&gt;"Disqualified — Free Game",OR(INDEX('Game Records'!$D:$D,$H339)="",LOWER(INDEX('Game Records'!$D:$D,$H339)&amp;"")="n/a")),"Entry Mode; ","")&amp;IF(AND(INDEX('Game Records'!$U:$U,$H339)&lt;&gt;"Subscription",INDEX('Game Records'!$U:$U,$H339)&lt;&gt;"Free Game",INDEX('Game Records'!$U:$U,$H339)&lt;&gt;"Disqualified — Free Game",OR(INDEX('Game Records'!$E:$E,$H339)="",LOWER(INDEX('Game Records'!$E:$E,$H339)&amp;"")="n/a")),"Game Type; ","")&amp;IF(INDEX('Game Records'!$F:$F,$H339)="","Payment Type; ","")&amp;IF(AND(INDEX('Game Records'!$U:$U,$H339)&lt;&gt;"Subscription",INDEX('Game Records'!$U:$U,$H339)&lt;&gt;"Free Game",INDEX('Game Records'!$U:$U,$H339)&lt;&gt;"Disqualified — Free Game",INDEX('Game Records'!$G:$G,$H339)=""),"Gross Pot; ","")&amp;IF(AND(INDEX('Game Records'!$U:$U,$H339)&lt;&gt;"Free Game",INDEX('Game Records'!$U:$U,$H339)&lt;&gt;"Disqualified — Free Game",INDEX('Game Records'!$H:$H,$H339)=""),"Entry Fee; ","")&amp;IF(AND(INDEX('Game Records'!$U:$U,$H339)&lt;&gt;"Subscription",INDEX('Game Records'!$U:$U,$H339)&lt;&gt;"Free Game",INDEX('Game Records'!$U:$U,$H339)&lt;&gt;"Disqualified — Free Game",INDEX('Game Records'!$I:$I,$H339)=""),"Eligible Players; ","")&amp;IF(AND(INDEX('Game Records'!$U:$U,$H339)&lt;&gt;"Subscription",INDEX('Game Records'!$U:$U,$H339)&lt;&gt;"Free Game",INDEX('Game Records'!$U:$U,$H339)&lt;&gt;"Disqualified — Free Game",INDEX('Game Records'!$J:$J,$H339)=""),"Total Players; ","")&amp;IF(AND(LOWER(INDEX('Game Records'!$D:$D,$H339)&amp;"")="finalized",LOWER(INDEX('Game Records'!$L:$L,$H339)&amp;"")&lt;&gt;"yes",INDEX('Game Records'!$U:$U,$H339)&lt;&gt;"Subscription",INDEX('Game Records'!$U:$U,$H339)&lt;&gt;"Free Game",INDEX('Game Records'!$U:$U,$H339)&lt;&gt;"Disqualified — Free Game",INDEX('Game Records'!$K:$K,$H339)=""),"Final Payout; ","")&amp;IF(AND(LOWER(INDEX('Game Records'!$D:$D,$H339)&amp;"")="finalized",INDEX('Game Records'!$U:$U,$H339)&lt;&gt;"Subscription",INDEX('Game Records'!$U:$U,$H339)&lt;&gt;"Free Game",INDEX('Game Records'!$U:$U,$H339)&lt;&gt;"Disqualified — Free Game",OR(INDEX('Game Records'!$L:$L,$H339)="",LOWER(INDEX('Game Records'!$L:$L,$H339)&amp;"")="n/a")),"Disqualified Status; ",""))</f>
        <v/>
      </c>
      <c r="G339" s="25" t="str">
        <f t="array" ref="G339">IF($H339="","",IFERROR(INDEX('Game Records'!$M:$M,$H339),""))</f>
        <v/>
      </c>
      <c r="H339" s="8"/>
    </row>
    <row r="340" ht="24.0" customHeight="1">
      <c r="A340" s="21" t="str">
        <f t="shared" si="1"/>
        <v/>
      </c>
      <c r="B340" s="21" t="str">
        <f t="shared" si="2"/>
        <v/>
      </c>
      <c r="C340" s="25" t="str">
        <f t="array" ref="C340">IF($H340="","",IFERROR(INDEX('Game Records'!$A:$A,$H340),""))</f>
        <v/>
      </c>
      <c r="D340" s="25" t="str">
        <f t="array" ref="D340">IF($H340="","",IFERROR(INDEX('Game Records'!$U:$U,$H340),""))</f>
        <v/>
      </c>
      <c r="E340" s="25" t="str">
        <f t="shared" si="3"/>
        <v/>
      </c>
      <c r="F340" s="25" t="str">
        <f t="array" ref="F340">IF($H340="","",IF(OR(NOT(_xlfn.ISFORMULA(INDEX('Game Records'!$N:$N,$H340))),NOT(_xlfn.ISFORMULA(INDEX('Game Records'!$O:$O,$H340))),NOT(_xlfn.ISFORMULA(INDEX('Game Records'!$P:$P,$H340))),NOT(_xlfn.ISFORMULA(INDEX('Game Records'!$Q:$Q,$H340))),NOT(_xlfn.ISFORMULA(INDEX('Game Records'!$R:$R,$H340))),NOT(_xlfn.ISFORMULA(INDEX('Game Records'!$S:$S,$H340))),NOT(_xlfn.ISFORMULA(INDEX('Game Records'!$T:$T,$H340))),NOT(_xlfn.ISFORMULA(INDEX('Game Records'!$U:$U,$H340))),NOT(_xlfn.ISFORMULA(INDEX('Game Records'!$V:$V,$H340))),NOT(_xlfn.ISFORMULA(INDEX('Game Records'!$W:$W,$H340))),NOT(_xlfn.ISFORMULA(INDEX('Game Records'!$X:$X,$H340))),NOT(_xlfn.ISFORMULA(INDEX('Game Records'!$Y:$Y,$H340))),NOT(_xlfn.ISFORMULA(INDEX('Game Records'!$Z:$Z,$H340)))),"","")&amp;IF(INDEX('Game Records'!$B:$B,$H340)="","Start Date; ","")&amp;IF(INDEX('Game Records'!$C:$C,$H340)="","End Date; ","")&amp;IF(AND(INDEX('Game Records'!$U:$U,$H340)&lt;&gt;"Subscription",INDEX('Game Records'!$U:$U,$H340)&lt;&gt;"Free Game",INDEX('Game Records'!$U:$U,$H340)&lt;&gt;"Disqualified — Free Game",OR(INDEX('Game Records'!$D:$D,$H340)="",LOWER(INDEX('Game Records'!$D:$D,$H340)&amp;"")="n/a")),"Entry Mode; ","")&amp;IF(AND(INDEX('Game Records'!$U:$U,$H340)&lt;&gt;"Subscription",INDEX('Game Records'!$U:$U,$H340)&lt;&gt;"Free Game",INDEX('Game Records'!$U:$U,$H340)&lt;&gt;"Disqualified — Free Game",OR(INDEX('Game Records'!$E:$E,$H340)="",LOWER(INDEX('Game Records'!$E:$E,$H340)&amp;"")="n/a")),"Game Type; ","")&amp;IF(INDEX('Game Records'!$F:$F,$H340)="","Payment Type; ","")&amp;IF(AND(INDEX('Game Records'!$U:$U,$H340)&lt;&gt;"Subscription",INDEX('Game Records'!$U:$U,$H340)&lt;&gt;"Free Game",INDEX('Game Records'!$U:$U,$H340)&lt;&gt;"Disqualified — Free Game",INDEX('Game Records'!$G:$G,$H340)=""),"Gross Pot; ","")&amp;IF(AND(INDEX('Game Records'!$U:$U,$H340)&lt;&gt;"Free Game",INDEX('Game Records'!$U:$U,$H340)&lt;&gt;"Disqualified — Free Game",INDEX('Game Records'!$H:$H,$H340)=""),"Entry Fee; ","")&amp;IF(AND(INDEX('Game Records'!$U:$U,$H340)&lt;&gt;"Subscription",INDEX('Game Records'!$U:$U,$H340)&lt;&gt;"Free Game",INDEX('Game Records'!$U:$U,$H340)&lt;&gt;"Disqualified — Free Game",INDEX('Game Records'!$I:$I,$H340)=""),"Eligible Players; ","")&amp;IF(AND(INDEX('Game Records'!$U:$U,$H340)&lt;&gt;"Subscription",INDEX('Game Records'!$U:$U,$H340)&lt;&gt;"Free Game",INDEX('Game Records'!$U:$U,$H340)&lt;&gt;"Disqualified — Free Game",INDEX('Game Records'!$J:$J,$H340)=""),"Total Players; ","")&amp;IF(AND(LOWER(INDEX('Game Records'!$D:$D,$H340)&amp;"")="finalized",LOWER(INDEX('Game Records'!$L:$L,$H340)&amp;"")&lt;&gt;"yes",INDEX('Game Records'!$U:$U,$H340)&lt;&gt;"Subscription",INDEX('Game Records'!$U:$U,$H340)&lt;&gt;"Free Game",INDEX('Game Records'!$U:$U,$H340)&lt;&gt;"Disqualified — Free Game",INDEX('Game Records'!$K:$K,$H340)=""),"Final Payout; ","")&amp;IF(AND(LOWER(INDEX('Game Records'!$D:$D,$H340)&amp;"")="finalized",INDEX('Game Records'!$U:$U,$H340)&lt;&gt;"Subscription",INDEX('Game Records'!$U:$U,$H340)&lt;&gt;"Free Game",INDEX('Game Records'!$U:$U,$H340)&lt;&gt;"Disqualified — Free Game",OR(INDEX('Game Records'!$L:$L,$H340)="",LOWER(INDEX('Game Records'!$L:$L,$H340)&amp;"")="n/a")),"Disqualified Status; ",""))</f>
        <v/>
      </c>
      <c r="G340" s="25" t="str">
        <f t="array" ref="G340">IF($H340="","",IFERROR(INDEX('Game Records'!$M:$M,$H340),""))</f>
        <v/>
      </c>
      <c r="H340" s="8"/>
    </row>
    <row r="341" ht="24.0" customHeight="1">
      <c r="A341" s="21" t="str">
        <f t="shared" si="1"/>
        <v/>
      </c>
      <c r="B341" s="21" t="str">
        <f t="shared" si="2"/>
        <v/>
      </c>
      <c r="C341" s="25" t="str">
        <f t="array" ref="C341">IF($H341="","",IFERROR(INDEX('Game Records'!$A:$A,$H341),""))</f>
        <v/>
      </c>
      <c r="D341" s="25" t="str">
        <f t="array" ref="D341">IF($H341="","",IFERROR(INDEX('Game Records'!$U:$U,$H341),""))</f>
        <v/>
      </c>
      <c r="E341" s="25" t="str">
        <f t="shared" si="3"/>
        <v/>
      </c>
      <c r="F341" s="25" t="str">
        <f t="array" ref="F341">IF($H341="","",IF(OR(NOT(_xlfn.ISFORMULA(INDEX('Game Records'!$N:$N,$H341))),NOT(_xlfn.ISFORMULA(INDEX('Game Records'!$O:$O,$H341))),NOT(_xlfn.ISFORMULA(INDEX('Game Records'!$P:$P,$H341))),NOT(_xlfn.ISFORMULA(INDEX('Game Records'!$Q:$Q,$H341))),NOT(_xlfn.ISFORMULA(INDEX('Game Records'!$R:$R,$H341))),NOT(_xlfn.ISFORMULA(INDEX('Game Records'!$S:$S,$H341))),NOT(_xlfn.ISFORMULA(INDEX('Game Records'!$T:$T,$H341))),NOT(_xlfn.ISFORMULA(INDEX('Game Records'!$U:$U,$H341))),NOT(_xlfn.ISFORMULA(INDEX('Game Records'!$V:$V,$H341))),NOT(_xlfn.ISFORMULA(INDEX('Game Records'!$W:$W,$H341))),NOT(_xlfn.ISFORMULA(INDEX('Game Records'!$X:$X,$H341))),NOT(_xlfn.ISFORMULA(INDEX('Game Records'!$Y:$Y,$H341))),NOT(_xlfn.ISFORMULA(INDEX('Game Records'!$Z:$Z,$H341)))),"","")&amp;IF(INDEX('Game Records'!$B:$B,$H341)="","Start Date; ","")&amp;IF(INDEX('Game Records'!$C:$C,$H341)="","End Date; ","")&amp;IF(AND(INDEX('Game Records'!$U:$U,$H341)&lt;&gt;"Subscription",INDEX('Game Records'!$U:$U,$H341)&lt;&gt;"Free Game",INDEX('Game Records'!$U:$U,$H341)&lt;&gt;"Disqualified — Free Game",OR(INDEX('Game Records'!$D:$D,$H341)="",LOWER(INDEX('Game Records'!$D:$D,$H341)&amp;"")="n/a")),"Entry Mode; ","")&amp;IF(AND(INDEX('Game Records'!$U:$U,$H341)&lt;&gt;"Subscription",INDEX('Game Records'!$U:$U,$H341)&lt;&gt;"Free Game",INDEX('Game Records'!$U:$U,$H341)&lt;&gt;"Disqualified — Free Game",OR(INDEX('Game Records'!$E:$E,$H341)="",LOWER(INDEX('Game Records'!$E:$E,$H341)&amp;"")="n/a")),"Game Type; ","")&amp;IF(INDEX('Game Records'!$F:$F,$H341)="","Payment Type; ","")&amp;IF(AND(INDEX('Game Records'!$U:$U,$H341)&lt;&gt;"Subscription",INDEX('Game Records'!$U:$U,$H341)&lt;&gt;"Free Game",INDEX('Game Records'!$U:$U,$H341)&lt;&gt;"Disqualified — Free Game",INDEX('Game Records'!$G:$G,$H341)=""),"Gross Pot; ","")&amp;IF(AND(INDEX('Game Records'!$U:$U,$H341)&lt;&gt;"Free Game",INDEX('Game Records'!$U:$U,$H341)&lt;&gt;"Disqualified — Free Game",INDEX('Game Records'!$H:$H,$H341)=""),"Entry Fee; ","")&amp;IF(AND(INDEX('Game Records'!$U:$U,$H341)&lt;&gt;"Subscription",INDEX('Game Records'!$U:$U,$H341)&lt;&gt;"Free Game",INDEX('Game Records'!$U:$U,$H341)&lt;&gt;"Disqualified — Free Game",INDEX('Game Records'!$I:$I,$H341)=""),"Eligible Players; ","")&amp;IF(AND(INDEX('Game Records'!$U:$U,$H341)&lt;&gt;"Subscription",INDEX('Game Records'!$U:$U,$H341)&lt;&gt;"Free Game",INDEX('Game Records'!$U:$U,$H341)&lt;&gt;"Disqualified — Free Game",INDEX('Game Records'!$J:$J,$H341)=""),"Total Players; ","")&amp;IF(AND(LOWER(INDEX('Game Records'!$D:$D,$H341)&amp;"")="finalized",LOWER(INDEX('Game Records'!$L:$L,$H341)&amp;"")&lt;&gt;"yes",INDEX('Game Records'!$U:$U,$H341)&lt;&gt;"Subscription",INDEX('Game Records'!$U:$U,$H341)&lt;&gt;"Free Game",INDEX('Game Records'!$U:$U,$H341)&lt;&gt;"Disqualified — Free Game",INDEX('Game Records'!$K:$K,$H341)=""),"Final Payout; ","")&amp;IF(AND(LOWER(INDEX('Game Records'!$D:$D,$H341)&amp;"")="finalized",INDEX('Game Records'!$U:$U,$H341)&lt;&gt;"Subscription",INDEX('Game Records'!$U:$U,$H341)&lt;&gt;"Free Game",INDEX('Game Records'!$U:$U,$H341)&lt;&gt;"Disqualified — Free Game",OR(INDEX('Game Records'!$L:$L,$H341)="",LOWER(INDEX('Game Records'!$L:$L,$H341)&amp;"")="n/a")),"Disqualified Status; ",""))</f>
        <v/>
      </c>
      <c r="G341" s="25" t="str">
        <f t="array" ref="G341">IF($H341="","",IFERROR(INDEX('Game Records'!$M:$M,$H341),""))</f>
        <v/>
      </c>
      <c r="H341" s="8"/>
    </row>
    <row r="342" ht="24.0" customHeight="1">
      <c r="A342" s="21" t="str">
        <f t="shared" si="1"/>
        <v/>
      </c>
      <c r="B342" s="21" t="str">
        <f t="shared" si="2"/>
        <v/>
      </c>
      <c r="C342" s="25" t="str">
        <f t="array" ref="C342">IF($H342="","",IFERROR(INDEX('Game Records'!$A:$A,$H342),""))</f>
        <v/>
      </c>
      <c r="D342" s="25" t="str">
        <f t="array" ref="D342">IF($H342="","",IFERROR(INDEX('Game Records'!$U:$U,$H342),""))</f>
        <v/>
      </c>
      <c r="E342" s="25" t="str">
        <f t="shared" si="3"/>
        <v/>
      </c>
      <c r="F342" s="25" t="str">
        <f t="array" ref="F342">IF($H342="","",IF(OR(NOT(_xlfn.ISFORMULA(INDEX('Game Records'!$N:$N,$H342))),NOT(_xlfn.ISFORMULA(INDEX('Game Records'!$O:$O,$H342))),NOT(_xlfn.ISFORMULA(INDEX('Game Records'!$P:$P,$H342))),NOT(_xlfn.ISFORMULA(INDEX('Game Records'!$Q:$Q,$H342))),NOT(_xlfn.ISFORMULA(INDEX('Game Records'!$R:$R,$H342))),NOT(_xlfn.ISFORMULA(INDEX('Game Records'!$S:$S,$H342))),NOT(_xlfn.ISFORMULA(INDEX('Game Records'!$T:$T,$H342))),NOT(_xlfn.ISFORMULA(INDEX('Game Records'!$U:$U,$H342))),NOT(_xlfn.ISFORMULA(INDEX('Game Records'!$V:$V,$H342))),NOT(_xlfn.ISFORMULA(INDEX('Game Records'!$W:$W,$H342))),NOT(_xlfn.ISFORMULA(INDEX('Game Records'!$X:$X,$H342))),NOT(_xlfn.ISFORMULA(INDEX('Game Records'!$Y:$Y,$H342))),NOT(_xlfn.ISFORMULA(INDEX('Game Records'!$Z:$Z,$H342)))),"","")&amp;IF(INDEX('Game Records'!$B:$B,$H342)="","Start Date; ","")&amp;IF(INDEX('Game Records'!$C:$C,$H342)="","End Date; ","")&amp;IF(AND(INDEX('Game Records'!$U:$U,$H342)&lt;&gt;"Subscription",INDEX('Game Records'!$U:$U,$H342)&lt;&gt;"Free Game",INDEX('Game Records'!$U:$U,$H342)&lt;&gt;"Disqualified — Free Game",OR(INDEX('Game Records'!$D:$D,$H342)="",LOWER(INDEX('Game Records'!$D:$D,$H342)&amp;"")="n/a")),"Entry Mode; ","")&amp;IF(AND(INDEX('Game Records'!$U:$U,$H342)&lt;&gt;"Subscription",INDEX('Game Records'!$U:$U,$H342)&lt;&gt;"Free Game",INDEX('Game Records'!$U:$U,$H342)&lt;&gt;"Disqualified — Free Game",OR(INDEX('Game Records'!$E:$E,$H342)="",LOWER(INDEX('Game Records'!$E:$E,$H342)&amp;"")="n/a")),"Game Type; ","")&amp;IF(INDEX('Game Records'!$F:$F,$H342)="","Payment Type; ","")&amp;IF(AND(INDEX('Game Records'!$U:$U,$H342)&lt;&gt;"Subscription",INDEX('Game Records'!$U:$U,$H342)&lt;&gt;"Free Game",INDEX('Game Records'!$U:$U,$H342)&lt;&gt;"Disqualified — Free Game",INDEX('Game Records'!$G:$G,$H342)=""),"Gross Pot; ","")&amp;IF(AND(INDEX('Game Records'!$U:$U,$H342)&lt;&gt;"Free Game",INDEX('Game Records'!$U:$U,$H342)&lt;&gt;"Disqualified — Free Game",INDEX('Game Records'!$H:$H,$H342)=""),"Entry Fee; ","")&amp;IF(AND(INDEX('Game Records'!$U:$U,$H342)&lt;&gt;"Subscription",INDEX('Game Records'!$U:$U,$H342)&lt;&gt;"Free Game",INDEX('Game Records'!$U:$U,$H342)&lt;&gt;"Disqualified — Free Game",INDEX('Game Records'!$I:$I,$H342)=""),"Eligible Players; ","")&amp;IF(AND(INDEX('Game Records'!$U:$U,$H342)&lt;&gt;"Subscription",INDEX('Game Records'!$U:$U,$H342)&lt;&gt;"Free Game",INDEX('Game Records'!$U:$U,$H342)&lt;&gt;"Disqualified — Free Game",INDEX('Game Records'!$J:$J,$H342)=""),"Total Players; ","")&amp;IF(AND(LOWER(INDEX('Game Records'!$D:$D,$H342)&amp;"")="finalized",LOWER(INDEX('Game Records'!$L:$L,$H342)&amp;"")&lt;&gt;"yes",INDEX('Game Records'!$U:$U,$H342)&lt;&gt;"Subscription",INDEX('Game Records'!$U:$U,$H342)&lt;&gt;"Free Game",INDEX('Game Records'!$U:$U,$H342)&lt;&gt;"Disqualified — Free Game",INDEX('Game Records'!$K:$K,$H342)=""),"Final Payout; ","")&amp;IF(AND(LOWER(INDEX('Game Records'!$D:$D,$H342)&amp;"")="finalized",INDEX('Game Records'!$U:$U,$H342)&lt;&gt;"Subscription",INDEX('Game Records'!$U:$U,$H342)&lt;&gt;"Free Game",INDEX('Game Records'!$U:$U,$H342)&lt;&gt;"Disqualified — Free Game",OR(INDEX('Game Records'!$L:$L,$H342)="",LOWER(INDEX('Game Records'!$L:$L,$H342)&amp;"")="n/a")),"Disqualified Status; ",""))</f>
        <v/>
      </c>
      <c r="G342" s="25" t="str">
        <f t="array" ref="G342">IF($H342="","",IFERROR(INDEX('Game Records'!$M:$M,$H342),""))</f>
        <v/>
      </c>
      <c r="H342" s="8"/>
    </row>
    <row r="343" ht="24.0" customHeight="1">
      <c r="A343" s="21" t="str">
        <f t="shared" si="1"/>
        <v/>
      </c>
      <c r="B343" s="21" t="str">
        <f t="shared" si="2"/>
        <v/>
      </c>
      <c r="C343" s="25" t="str">
        <f t="array" ref="C343">IF($H343="","",IFERROR(INDEX('Game Records'!$A:$A,$H343),""))</f>
        <v/>
      </c>
      <c r="D343" s="25" t="str">
        <f t="array" ref="D343">IF($H343="","",IFERROR(INDEX('Game Records'!$U:$U,$H343),""))</f>
        <v/>
      </c>
      <c r="E343" s="25" t="str">
        <f t="shared" si="3"/>
        <v/>
      </c>
      <c r="F343" s="25" t="str">
        <f t="array" ref="F343">IF($H343="","",IF(OR(NOT(_xlfn.ISFORMULA(INDEX('Game Records'!$N:$N,$H343))),NOT(_xlfn.ISFORMULA(INDEX('Game Records'!$O:$O,$H343))),NOT(_xlfn.ISFORMULA(INDEX('Game Records'!$P:$P,$H343))),NOT(_xlfn.ISFORMULA(INDEX('Game Records'!$Q:$Q,$H343))),NOT(_xlfn.ISFORMULA(INDEX('Game Records'!$R:$R,$H343))),NOT(_xlfn.ISFORMULA(INDEX('Game Records'!$S:$S,$H343))),NOT(_xlfn.ISFORMULA(INDEX('Game Records'!$T:$T,$H343))),NOT(_xlfn.ISFORMULA(INDEX('Game Records'!$U:$U,$H343))),NOT(_xlfn.ISFORMULA(INDEX('Game Records'!$V:$V,$H343))),NOT(_xlfn.ISFORMULA(INDEX('Game Records'!$W:$W,$H343))),NOT(_xlfn.ISFORMULA(INDEX('Game Records'!$X:$X,$H343))),NOT(_xlfn.ISFORMULA(INDEX('Game Records'!$Y:$Y,$H343))),NOT(_xlfn.ISFORMULA(INDEX('Game Records'!$Z:$Z,$H343)))),"","")&amp;IF(INDEX('Game Records'!$B:$B,$H343)="","Start Date; ","")&amp;IF(INDEX('Game Records'!$C:$C,$H343)="","End Date; ","")&amp;IF(AND(INDEX('Game Records'!$U:$U,$H343)&lt;&gt;"Subscription",INDEX('Game Records'!$U:$U,$H343)&lt;&gt;"Free Game",INDEX('Game Records'!$U:$U,$H343)&lt;&gt;"Disqualified — Free Game",OR(INDEX('Game Records'!$D:$D,$H343)="",LOWER(INDEX('Game Records'!$D:$D,$H343)&amp;"")="n/a")),"Entry Mode; ","")&amp;IF(AND(INDEX('Game Records'!$U:$U,$H343)&lt;&gt;"Subscription",INDEX('Game Records'!$U:$U,$H343)&lt;&gt;"Free Game",INDEX('Game Records'!$U:$U,$H343)&lt;&gt;"Disqualified — Free Game",OR(INDEX('Game Records'!$E:$E,$H343)="",LOWER(INDEX('Game Records'!$E:$E,$H343)&amp;"")="n/a")),"Game Type; ","")&amp;IF(INDEX('Game Records'!$F:$F,$H343)="","Payment Type; ","")&amp;IF(AND(INDEX('Game Records'!$U:$U,$H343)&lt;&gt;"Subscription",INDEX('Game Records'!$U:$U,$H343)&lt;&gt;"Free Game",INDEX('Game Records'!$U:$U,$H343)&lt;&gt;"Disqualified — Free Game",INDEX('Game Records'!$G:$G,$H343)=""),"Gross Pot; ","")&amp;IF(AND(INDEX('Game Records'!$U:$U,$H343)&lt;&gt;"Free Game",INDEX('Game Records'!$U:$U,$H343)&lt;&gt;"Disqualified — Free Game",INDEX('Game Records'!$H:$H,$H343)=""),"Entry Fee; ","")&amp;IF(AND(INDEX('Game Records'!$U:$U,$H343)&lt;&gt;"Subscription",INDEX('Game Records'!$U:$U,$H343)&lt;&gt;"Free Game",INDEX('Game Records'!$U:$U,$H343)&lt;&gt;"Disqualified — Free Game",INDEX('Game Records'!$I:$I,$H343)=""),"Eligible Players; ","")&amp;IF(AND(INDEX('Game Records'!$U:$U,$H343)&lt;&gt;"Subscription",INDEX('Game Records'!$U:$U,$H343)&lt;&gt;"Free Game",INDEX('Game Records'!$U:$U,$H343)&lt;&gt;"Disqualified — Free Game",INDEX('Game Records'!$J:$J,$H343)=""),"Total Players; ","")&amp;IF(AND(LOWER(INDEX('Game Records'!$D:$D,$H343)&amp;"")="finalized",LOWER(INDEX('Game Records'!$L:$L,$H343)&amp;"")&lt;&gt;"yes",INDEX('Game Records'!$U:$U,$H343)&lt;&gt;"Subscription",INDEX('Game Records'!$U:$U,$H343)&lt;&gt;"Free Game",INDEX('Game Records'!$U:$U,$H343)&lt;&gt;"Disqualified — Free Game",INDEX('Game Records'!$K:$K,$H343)=""),"Final Payout; ","")&amp;IF(AND(LOWER(INDEX('Game Records'!$D:$D,$H343)&amp;"")="finalized",INDEX('Game Records'!$U:$U,$H343)&lt;&gt;"Subscription",INDEX('Game Records'!$U:$U,$H343)&lt;&gt;"Free Game",INDEX('Game Records'!$U:$U,$H343)&lt;&gt;"Disqualified — Free Game",OR(INDEX('Game Records'!$L:$L,$H343)="",LOWER(INDEX('Game Records'!$L:$L,$H343)&amp;"")="n/a")),"Disqualified Status; ",""))</f>
        <v/>
      </c>
      <c r="G343" s="25" t="str">
        <f t="array" ref="G343">IF($H343="","",IFERROR(INDEX('Game Records'!$M:$M,$H343),""))</f>
        <v/>
      </c>
      <c r="H343" s="8"/>
    </row>
    <row r="344" ht="24.0" customHeight="1">
      <c r="A344" s="21" t="str">
        <f t="shared" si="1"/>
        <v/>
      </c>
      <c r="B344" s="21" t="str">
        <f t="shared" si="2"/>
        <v/>
      </c>
      <c r="C344" s="25" t="str">
        <f t="array" ref="C344">IF($H344="","",IFERROR(INDEX('Game Records'!$A:$A,$H344),""))</f>
        <v/>
      </c>
      <c r="D344" s="25" t="str">
        <f t="array" ref="D344">IF($H344="","",IFERROR(INDEX('Game Records'!$U:$U,$H344),""))</f>
        <v/>
      </c>
      <c r="E344" s="25" t="str">
        <f t="shared" si="3"/>
        <v/>
      </c>
      <c r="F344" s="25" t="str">
        <f t="array" ref="F344">IF($H344="","",IF(OR(NOT(_xlfn.ISFORMULA(INDEX('Game Records'!$N:$N,$H344))),NOT(_xlfn.ISFORMULA(INDEX('Game Records'!$O:$O,$H344))),NOT(_xlfn.ISFORMULA(INDEX('Game Records'!$P:$P,$H344))),NOT(_xlfn.ISFORMULA(INDEX('Game Records'!$Q:$Q,$H344))),NOT(_xlfn.ISFORMULA(INDEX('Game Records'!$R:$R,$H344))),NOT(_xlfn.ISFORMULA(INDEX('Game Records'!$S:$S,$H344))),NOT(_xlfn.ISFORMULA(INDEX('Game Records'!$T:$T,$H344))),NOT(_xlfn.ISFORMULA(INDEX('Game Records'!$U:$U,$H344))),NOT(_xlfn.ISFORMULA(INDEX('Game Records'!$V:$V,$H344))),NOT(_xlfn.ISFORMULA(INDEX('Game Records'!$W:$W,$H344))),NOT(_xlfn.ISFORMULA(INDEX('Game Records'!$X:$X,$H344))),NOT(_xlfn.ISFORMULA(INDEX('Game Records'!$Y:$Y,$H344))),NOT(_xlfn.ISFORMULA(INDEX('Game Records'!$Z:$Z,$H344)))),"","")&amp;IF(INDEX('Game Records'!$B:$B,$H344)="","Start Date; ","")&amp;IF(INDEX('Game Records'!$C:$C,$H344)="","End Date; ","")&amp;IF(AND(INDEX('Game Records'!$U:$U,$H344)&lt;&gt;"Subscription",INDEX('Game Records'!$U:$U,$H344)&lt;&gt;"Free Game",INDEX('Game Records'!$U:$U,$H344)&lt;&gt;"Disqualified — Free Game",OR(INDEX('Game Records'!$D:$D,$H344)="",LOWER(INDEX('Game Records'!$D:$D,$H344)&amp;"")="n/a")),"Entry Mode; ","")&amp;IF(AND(INDEX('Game Records'!$U:$U,$H344)&lt;&gt;"Subscription",INDEX('Game Records'!$U:$U,$H344)&lt;&gt;"Free Game",INDEX('Game Records'!$U:$U,$H344)&lt;&gt;"Disqualified — Free Game",OR(INDEX('Game Records'!$E:$E,$H344)="",LOWER(INDEX('Game Records'!$E:$E,$H344)&amp;"")="n/a")),"Game Type; ","")&amp;IF(INDEX('Game Records'!$F:$F,$H344)="","Payment Type; ","")&amp;IF(AND(INDEX('Game Records'!$U:$U,$H344)&lt;&gt;"Subscription",INDEX('Game Records'!$U:$U,$H344)&lt;&gt;"Free Game",INDEX('Game Records'!$U:$U,$H344)&lt;&gt;"Disqualified — Free Game",INDEX('Game Records'!$G:$G,$H344)=""),"Gross Pot; ","")&amp;IF(AND(INDEX('Game Records'!$U:$U,$H344)&lt;&gt;"Free Game",INDEX('Game Records'!$U:$U,$H344)&lt;&gt;"Disqualified — Free Game",INDEX('Game Records'!$H:$H,$H344)=""),"Entry Fee; ","")&amp;IF(AND(INDEX('Game Records'!$U:$U,$H344)&lt;&gt;"Subscription",INDEX('Game Records'!$U:$U,$H344)&lt;&gt;"Free Game",INDEX('Game Records'!$U:$U,$H344)&lt;&gt;"Disqualified — Free Game",INDEX('Game Records'!$I:$I,$H344)=""),"Eligible Players; ","")&amp;IF(AND(INDEX('Game Records'!$U:$U,$H344)&lt;&gt;"Subscription",INDEX('Game Records'!$U:$U,$H344)&lt;&gt;"Free Game",INDEX('Game Records'!$U:$U,$H344)&lt;&gt;"Disqualified — Free Game",INDEX('Game Records'!$J:$J,$H344)=""),"Total Players; ","")&amp;IF(AND(LOWER(INDEX('Game Records'!$D:$D,$H344)&amp;"")="finalized",LOWER(INDEX('Game Records'!$L:$L,$H344)&amp;"")&lt;&gt;"yes",INDEX('Game Records'!$U:$U,$H344)&lt;&gt;"Subscription",INDEX('Game Records'!$U:$U,$H344)&lt;&gt;"Free Game",INDEX('Game Records'!$U:$U,$H344)&lt;&gt;"Disqualified — Free Game",INDEX('Game Records'!$K:$K,$H344)=""),"Final Payout; ","")&amp;IF(AND(LOWER(INDEX('Game Records'!$D:$D,$H344)&amp;"")="finalized",INDEX('Game Records'!$U:$U,$H344)&lt;&gt;"Subscription",INDEX('Game Records'!$U:$U,$H344)&lt;&gt;"Free Game",INDEX('Game Records'!$U:$U,$H344)&lt;&gt;"Disqualified — Free Game",OR(INDEX('Game Records'!$L:$L,$H344)="",LOWER(INDEX('Game Records'!$L:$L,$H344)&amp;"")="n/a")),"Disqualified Status; ",""))</f>
        <v/>
      </c>
      <c r="G344" s="25" t="str">
        <f t="array" ref="G344">IF($H344="","",IFERROR(INDEX('Game Records'!$M:$M,$H344),""))</f>
        <v/>
      </c>
      <c r="H344" s="8"/>
    </row>
    <row r="345" ht="24.0" customHeight="1">
      <c r="A345" s="21" t="str">
        <f t="shared" si="1"/>
        <v/>
      </c>
      <c r="B345" s="21" t="str">
        <f t="shared" si="2"/>
        <v/>
      </c>
      <c r="C345" s="25" t="str">
        <f t="array" ref="C345">IF($H345="","",IFERROR(INDEX('Game Records'!$A:$A,$H345),""))</f>
        <v/>
      </c>
      <c r="D345" s="25" t="str">
        <f t="array" ref="D345">IF($H345="","",IFERROR(INDEX('Game Records'!$U:$U,$H345),""))</f>
        <v/>
      </c>
      <c r="E345" s="25" t="str">
        <f t="shared" si="3"/>
        <v/>
      </c>
      <c r="F345" s="25" t="str">
        <f t="array" ref="F345">IF($H345="","",IF(OR(NOT(_xlfn.ISFORMULA(INDEX('Game Records'!$N:$N,$H345))),NOT(_xlfn.ISFORMULA(INDEX('Game Records'!$O:$O,$H345))),NOT(_xlfn.ISFORMULA(INDEX('Game Records'!$P:$P,$H345))),NOT(_xlfn.ISFORMULA(INDEX('Game Records'!$Q:$Q,$H345))),NOT(_xlfn.ISFORMULA(INDEX('Game Records'!$R:$R,$H345))),NOT(_xlfn.ISFORMULA(INDEX('Game Records'!$S:$S,$H345))),NOT(_xlfn.ISFORMULA(INDEX('Game Records'!$T:$T,$H345))),NOT(_xlfn.ISFORMULA(INDEX('Game Records'!$U:$U,$H345))),NOT(_xlfn.ISFORMULA(INDEX('Game Records'!$V:$V,$H345))),NOT(_xlfn.ISFORMULA(INDEX('Game Records'!$W:$W,$H345))),NOT(_xlfn.ISFORMULA(INDEX('Game Records'!$X:$X,$H345))),NOT(_xlfn.ISFORMULA(INDEX('Game Records'!$Y:$Y,$H345))),NOT(_xlfn.ISFORMULA(INDEX('Game Records'!$Z:$Z,$H345)))),"","")&amp;IF(INDEX('Game Records'!$B:$B,$H345)="","Start Date; ","")&amp;IF(INDEX('Game Records'!$C:$C,$H345)="","End Date; ","")&amp;IF(AND(INDEX('Game Records'!$U:$U,$H345)&lt;&gt;"Subscription",INDEX('Game Records'!$U:$U,$H345)&lt;&gt;"Free Game",INDEX('Game Records'!$U:$U,$H345)&lt;&gt;"Disqualified — Free Game",OR(INDEX('Game Records'!$D:$D,$H345)="",LOWER(INDEX('Game Records'!$D:$D,$H345)&amp;"")="n/a")),"Entry Mode; ","")&amp;IF(AND(INDEX('Game Records'!$U:$U,$H345)&lt;&gt;"Subscription",INDEX('Game Records'!$U:$U,$H345)&lt;&gt;"Free Game",INDEX('Game Records'!$U:$U,$H345)&lt;&gt;"Disqualified — Free Game",OR(INDEX('Game Records'!$E:$E,$H345)="",LOWER(INDEX('Game Records'!$E:$E,$H345)&amp;"")="n/a")),"Game Type; ","")&amp;IF(INDEX('Game Records'!$F:$F,$H345)="","Payment Type; ","")&amp;IF(AND(INDEX('Game Records'!$U:$U,$H345)&lt;&gt;"Subscription",INDEX('Game Records'!$U:$U,$H345)&lt;&gt;"Free Game",INDEX('Game Records'!$U:$U,$H345)&lt;&gt;"Disqualified — Free Game",INDEX('Game Records'!$G:$G,$H345)=""),"Gross Pot; ","")&amp;IF(AND(INDEX('Game Records'!$U:$U,$H345)&lt;&gt;"Free Game",INDEX('Game Records'!$U:$U,$H345)&lt;&gt;"Disqualified — Free Game",INDEX('Game Records'!$H:$H,$H345)=""),"Entry Fee; ","")&amp;IF(AND(INDEX('Game Records'!$U:$U,$H345)&lt;&gt;"Subscription",INDEX('Game Records'!$U:$U,$H345)&lt;&gt;"Free Game",INDEX('Game Records'!$U:$U,$H345)&lt;&gt;"Disqualified — Free Game",INDEX('Game Records'!$I:$I,$H345)=""),"Eligible Players; ","")&amp;IF(AND(INDEX('Game Records'!$U:$U,$H345)&lt;&gt;"Subscription",INDEX('Game Records'!$U:$U,$H345)&lt;&gt;"Free Game",INDEX('Game Records'!$U:$U,$H345)&lt;&gt;"Disqualified — Free Game",INDEX('Game Records'!$J:$J,$H345)=""),"Total Players; ","")&amp;IF(AND(LOWER(INDEX('Game Records'!$D:$D,$H345)&amp;"")="finalized",LOWER(INDEX('Game Records'!$L:$L,$H345)&amp;"")&lt;&gt;"yes",INDEX('Game Records'!$U:$U,$H345)&lt;&gt;"Subscription",INDEX('Game Records'!$U:$U,$H345)&lt;&gt;"Free Game",INDEX('Game Records'!$U:$U,$H345)&lt;&gt;"Disqualified — Free Game",INDEX('Game Records'!$K:$K,$H345)=""),"Final Payout; ","")&amp;IF(AND(LOWER(INDEX('Game Records'!$D:$D,$H345)&amp;"")="finalized",INDEX('Game Records'!$U:$U,$H345)&lt;&gt;"Subscription",INDEX('Game Records'!$U:$U,$H345)&lt;&gt;"Free Game",INDEX('Game Records'!$U:$U,$H345)&lt;&gt;"Disqualified — Free Game",OR(INDEX('Game Records'!$L:$L,$H345)="",LOWER(INDEX('Game Records'!$L:$L,$H345)&amp;"")="n/a")),"Disqualified Status; ",""))</f>
        <v/>
      </c>
      <c r="G345" s="25" t="str">
        <f t="array" ref="G345">IF($H345="","",IFERROR(INDEX('Game Records'!$M:$M,$H345),""))</f>
        <v/>
      </c>
      <c r="H345" s="8"/>
    </row>
    <row r="346" ht="24.0" customHeight="1">
      <c r="A346" s="21" t="str">
        <f t="shared" si="1"/>
        <v/>
      </c>
      <c r="B346" s="21" t="str">
        <f t="shared" si="2"/>
        <v/>
      </c>
      <c r="C346" s="25" t="str">
        <f t="array" ref="C346">IF($H346="","",IFERROR(INDEX('Game Records'!$A:$A,$H346),""))</f>
        <v/>
      </c>
      <c r="D346" s="25" t="str">
        <f t="array" ref="D346">IF($H346="","",IFERROR(INDEX('Game Records'!$U:$U,$H346),""))</f>
        <v/>
      </c>
      <c r="E346" s="25" t="str">
        <f t="shared" si="3"/>
        <v/>
      </c>
      <c r="F346" s="25" t="str">
        <f t="array" ref="F346">IF($H346="","",IF(OR(NOT(_xlfn.ISFORMULA(INDEX('Game Records'!$N:$N,$H346))),NOT(_xlfn.ISFORMULA(INDEX('Game Records'!$O:$O,$H346))),NOT(_xlfn.ISFORMULA(INDEX('Game Records'!$P:$P,$H346))),NOT(_xlfn.ISFORMULA(INDEX('Game Records'!$Q:$Q,$H346))),NOT(_xlfn.ISFORMULA(INDEX('Game Records'!$R:$R,$H346))),NOT(_xlfn.ISFORMULA(INDEX('Game Records'!$S:$S,$H346))),NOT(_xlfn.ISFORMULA(INDEX('Game Records'!$T:$T,$H346))),NOT(_xlfn.ISFORMULA(INDEX('Game Records'!$U:$U,$H346))),NOT(_xlfn.ISFORMULA(INDEX('Game Records'!$V:$V,$H346))),NOT(_xlfn.ISFORMULA(INDEX('Game Records'!$W:$W,$H346))),NOT(_xlfn.ISFORMULA(INDEX('Game Records'!$X:$X,$H346))),NOT(_xlfn.ISFORMULA(INDEX('Game Records'!$Y:$Y,$H346))),NOT(_xlfn.ISFORMULA(INDEX('Game Records'!$Z:$Z,$H346)))),"","")&amp;IF(INDEX('Game Records'!$B:$B,$H346)="","Start Date; ","")&amp;IF(INDEX('Game Records'!$C:$C,$H346)="","End Date; ","")&amp;IF(AND(INDEX('Game Records'!$U:$U,$H346)&lt;&gt;"Subscription",INDEX('Game Records'!$U:$U,$H346)&lt;&gt;"Free Game",INDEX('Game Records'!$U:$U,$H346)&lt;&gt;"Disqualified — Free Game",OR(INDEX('Game Records'!$D:$D,$H346)="",LOWER(INDEX('Game Records'!$D:$D,$H346)&amp;"")="n/a")),"Entry Mode; ","")&amp;IF(AND(INDEX('Game Records'!$U:$U,$H346)&lt;&gt;"Subscription",INDEX('Game Records'!$U:$U,$H346)&lt;&gt;"Free Game",INDEX('Game Records'!$U:$U,$H346)&lt;&gt;"Disqualified — Free Game",OR(INDEX('Game Records'!$E:$E,$H346)="",LOWER(INDEX('Game Records'!$E:$E,$H346)&amp;"")="n/a")),"Game Type; ","")&amp;IF(INDEX('Game Records'!$F:$F,$H346)="","Payment Type; ","")&amp;IF(AND(INDEX('Game Records'!$U:$U,$H346)&lt;&gt;"Subscription",INDEX('Game Records'!$U:$U,$H346)&lt;&gt;"Free Game",INDEX('Game Records'!$U:$U,$H346)&lt;&gt;"Disqualified — Free Game",INDEX('Game Records'!$G:$G,$H346)=""),"Gross Pot; ","")&amp;IF(AND(INDEX('Game Records'!$U:$U,$H346)&lt;&gt;"Free Game",INDEX('Game Records'!$U:$U,$H346)&lt;&gt;"Disqualified — Free Game",INDEX('Game Records'!$H:$H,$H346)=""),"Entry Fee; ","")&amp;IF(AND(INDEX('Game Records'!$U:$U,$H346)&lt;&gt;"Subscription",INDEX('Game Records'!$U:$U,$H346)&lt;&gt;"Free Game",INDEX('Game Records'!$U:$U,$H346)&lt;&gt;"Disqualified — Free Game",INDEX('Game Records'!$I:$I,$H346)=""),"Eligible Players; ","")&amp;IF(AND(INDEX('Game Records'!$U:$U,$H346)&lt;&gt;"Subscription",INDEX('Game Records'!$U:$U,$H346)&lt;&gt;"Free Game",INDEX('Game Records'!$U:$U,$H346)&lt;&gt;"Disqualified — Free Game",INDEX('Game Records'!$J:$J,$H346)=""),"Total Players; ","")&amp;IF(AND(LOWER(INDEX('Game Records'!$D:$D,$H346)&amp;"")="finalized",LOWER(INDEX('Game Records'!$L:$L,$H346)&amp;"")&lt;&gt;"yes",INDEX('Game Records'!$U:$U,$H346)&lt;&gt;"Subscription",INDEX('Game Records'!$U:$U,$H346)&lt;&gt;"Free Game",INDEX('Game Records'!$U:$U,$H346)&lt;&gt;"Disqualified — Free Game",INDEX('Game Records'!$K:$K,$H346)=""),"Final Payout; ","")&amp;IF(AND(LOWER(INDEX('Game Records'!$D:$D,$H346)&amp;"")="finalized",INDEX('Game Records'!$U:$U,$H346)&lt;&gt;"Subscription",INDEX('Game Records'!$U:$U,$H346)&lt;&gt;"Free Game",INDEX('Game Records'!$U:$U,$H346)&lt;&gt;"Disqualified — Free Game",OR(INDEX('Game Records'!$L:$L,$H346)="",LOWER(INDEX('Game Records'!$L:$L,$H346)&amp;"")="n/a")),"Disqualified Status; ",""))</f>
        <v/>
      </c>
      <c r="G346" s="25" t="str">
        <f t="array" ref="G346">IF($H346="","",IFERROR(INDEX('Game Records'!$M:$M,$H346),""))</f>
        <v/>
      </c>
      <c r="H346" s="8"/>
    </row>
    <row r="347" ht="24.0" customHeight="1">
      <c r="A347" s="21" t="str">
        <f t="shared" si="1"/>
        <v/>
      </c>
      <c r="B347" s="21" t="str">
        <f t="shared" si="2"/>
        <v/>
      </c>
      <c r="C347" s="25" t="str">
        <f t="array" ref="C347">IF($H347="","",IFERROR(INDEX('Game Records'!$A:$A,$H347),""))</f>
        <v/>
      </c>
      <c r="D347" s="25" t="str">
        <f t="array" ref="D347">IF($H347="","",IFERROR(INDEX('Game Records'!$U:$U,$H347),""))</f>
        <v/>
      </c>
      <c r="E347" s="25" t="str">
        <f t="shared" si="3"/>
        <v/>
      </c>
      <c r="F347" s="25" t="str">
        <f t="array" ref="F347">IF($H347="","",IF(OR(NOT(_xlfn.ISFORMULA(INDEX('Game Records'!$N:$N,$H347))),NOT(_xlfn.ISFORMULA(INDEX('Game Records'!$O:$O,$H347))),NOT(_xlfn.ISFORMULA(INDEX('Game Records'!$P:$P,$H347))),NOT(_xlfn.ISFORMULA(INDEX('Game Records'!$Q:$Q,$H347))),NOT(_xlfn.ISFORMULA(INDEX('Game Records'!$R:$R,$H347))),NOT(_xlfn.ISFORMULA(INDEX('Game Records'!$S:$S,$H347))),NOT(_xlfn.ISFORMULA(INDEX('Game Records'!$T:$T,$H347))),NOT(_xlfn.ISFORMULA(INDEX('Game Records'!$U:$U,$H347))),NOT(_xlfn.ISFORMULA(INDEX('Game Records'!$V:$V,$H347))),NOT(_xlfn.ISFORMULA(INDEX('Game Records'!$W:$W,$H347))),NOT(_xlfn.ISFORMULA(INDEX('Game Records'!$X:$X,$H347))),NOT(_xlfn.ISFORMULA(INDEX('Game Records'!$Y:$Y,$H347))),NOT(_xlfn.ISFORMULA(INDEX('Game Records'!$Z:$Z,$H347)))),"","")&amp;IF(INDEX('Game Records'!$B:$B,$H347)="","Start Date; ","")&amp;IF(INDEX('Game Records'!$C:$C,$H347)="","End Date; ","")&amp;IF(AND(INDEX('Game Records'!$U:$U,$H347)&lt;&gt;"Subscription",INDEX('Game Records'!$U:$U,$H347)&lt;&gt;"Free Game",INDEX('Game Records'!$U:$U,$H347)&lt;&gt;"Disqualified — Free Game",OR(INDEX('Game Records'!$D:$D,$H347)="",LOWER(INDEX('Game Records'!$D:$D,$H347)&amp;"")="n/a")),"Entry Mode; ","")&amp;IF(AND(INDEX('Game Records'!$U:$U,$H347)&lt;&gt;"Subscription",INDEX('Game Records'!$U:$U,$H347)&lt;&gt;"Free Game",INDEX('Game Records'!$U:$U,$H347)&lt;&gt;"Disqualified — Free Game",OR(INDEX('Game Records'!$E:$E,$H347)="",LOWER(INDEX('Game Records'!$E:$E,$H347)&amp;"")="n/a")),"Game Type; ","")&amp;IF(INDEX('Game Records'!$F:$F,$H347)="","Payment Type; ","")&amp;IF(AND(INDEX('Game Records'!$U:$U,$H347)&lt;&gt;"Subscription",INDEX('Game Records'!$U:$U,$H347)&lt;&gt;"Free Game",INDEX('Game Records'!$U:$U,$H347)&lt;&gt;"Disqualified — Free Game",INDEX('Game Records'!$G:$G,$H347)=""),"Gross Pot; ","")&amp;IF(AND(INDEX('Game Records'!$U:$U,$H347)&lt;&gt;"Free Game",INDEX('Game Records'!$U:$U,$H347)&lt;&gt;"Disqualified — Free Game",INDEX('Game Records'!$H:$H,$H347)=""),"Entry Fee; ","")&amp;IF(AND(INDEX('Game Records'!$U:$U,$H347)&lt;&gt;"Subscription",INDEX('Game Records'!$U:$U,$H347)&lt;&gt;"Free Game",INDEX('Game Records'!$U:$U,$H347)&lt;&gt;"Disqualified — Free Game",INDEX('Game Records'!$I:$I,$H347)=""),"Eligible Players; ","")&amp;IF(AND(INDEX('Game Records'!$U:$U,$H347)&lt;&gt;"Subscription",INDEX('Game Records'!$U:$U,$H347)&lt;&gt;"Free Game",INDEX('Game Records'!$U:$U,$H347)&lt;&gt;"Disqualified — Free Game",INDEX('Game Records'!$J:$J,$H347)=""),"Total Players; ","")&amp;IF(AND(LOWER(INDEX('Game Records'!$D:$D,$H347)&amp;"")="finalized",LOWER(INDEX('Game Records'!$L:$L,$H347)&amp;"")&lt;&gt;"yes",INDEX('Game Records'!$U:$U,$H347)&lt;&gt;"Subscription",INDEX('Game Records'!$U:$U,$H347)&lt;&gt;"Free Game",INDEX('Game Records'!$U:$U,$H347)&lt;&gt;"Disqualified — Free Game",INDEX('Game Records'!$K:$K,$H347)=""),"Final Payout; ","")&amp;IF(AND(LOWER(INDEX('Game Records'!$D:$D,$H347)&amp;"")="finalized",INDEX('Game Records'!$U:$U,$H347)&lt;&gt;"Subscription",INDEX('Game Records'!$U:$U,$H347)&lt;&gt;"Free Game",INDEX('Game Records'!$U:$U,$H347)&lt;&gt;"Disqualified — Free Game",OR(INDEX('Game Records'!$L:$L,$H347)="",LOWER(INDEX('Game Records'!$L:$L,$H347)&amp;"")="n/a")),"Disqualified Status; ",""))</f>
        <v/>
      </c>
      <c r="G347" s="25" t="str">
        <f t="array" ref="G347">IF($H347="","",IFERROR(INDEX('Game Records'!$M:$M,$H347),""))</f>
        <v/>
      </c>
      <c r="H347" s="8"/>
    </row>
    <row r="348" ht="24.0" customHeight="1">
      <c r="A348" s="21" t="str">
        <f t="shared" si="1"/>
        <v/>
      </c>
      <c r="B348" s="21" t="str">
        <f t="shared" si="2"/>
        <v/>
      </c>
      <c r="C348" s="25" t="str">
        <f t="array" ref="C348">IF($H348="","",IFERROR(INDEX('Game Records'!$A:$A,$H348),""))</f>
        <v/>
      </c>
      <c r="D348" s="25" t="str">
        <f t="array" ref="D348">IF($H348="","",IFERROR(INDEX('Game Records'!$U:$U,$H348),""))</f>
        <v/>
      </c>
      <c r="E348" s="25" t="str">
        <f t="shared" si="3"/>
        <v/>
      </c>
      <c r="F348" s="25" t="str">
        <f t="array" ref="F348">IF($H348="","",IF(OR(NOT(_xlfn.ISFORMULA(INDEX('Game Records'!$N:$N,$H348))),NOT(_xlfn.ISFORMULA(INDEX('Game Records'!$O:$O,$H348))),NOT(_xlfn.ISFORMULA(INDEX('Game Records'!$P:$P,$H348))),NOT(_xlfn.ISFORMULA(INDEX('Game Records'!$Q:$Q,$H348))),NOT(_xlfn.ISFORMULA(INDEX('Game Records'!$R:$R,$H348))),NOT(_xlfn.ISFORMULA(INDEX('Game Records'!$S:$S,$H348))),NOT(_xlfn.ISFORMULA(INDEX('Game Records'!$T:$T,$H348))),NOT(_xlfn.ISFORMULA(INDEX('Game Records'!$U:$U,$H348))),NOT(_xlfn.ISFORMULA(INDEX('Game Records'!$V:$V,$H348))),NOT(_xlfn.ISFORMULA(INDEX('Game Records'!$W:$W,$H348))),NOT(_xlfn.ISFORMULA(INDEX('Game Records'!$X:$X,$H348))),NOT(_xlfn.ISFORMULA(INDEX('Game Records'!$Y:$Y,$H348))),NOT(_xlfn.ISFORMULA(INDEX('Game Records'!$Z:$Z,$H348)))),"","")&amp;IF(INDEX('Game Records'!$B:$B,$H348)="","Start Date; ","")&amp;IF(INDEX('Game Records'!$C:$C,$H348)="","End Date; ","")&amp;IF(AND(INDEX('Game Records'!$U:$U,$H348)&lt;&gt;"Subscription",INDEX('Game Records'!$U:$U,$H348)&lt;&gt;"Free Game",INDEX('Game Records'!$U:$U,$H348)&lt;&gt;"Disqualified — Free Game",OR(INDEX('Game Records'!$D:$D,$H348)="",LOWER(INDEX('Game Records'!$D:$D,$H348)&amp;"")="n/a")),"Entry Mode; ","")&amp;IF(AND(INDEX('Game Records'!$U:$U,$H348)&lt;&gt;"Subscription",INDEX('Game Records'!$U:$U,$H348)&lt;&gt;"Free Game",INDEX('Game Records'!$U:$U,$H348)&lt;&gt;"Disqualified — Free Game",OR(INDEX('Game Records'!$E:$E,$H348)="",LOWER(INDEX('Game Records'!$E:$E,$H348)&amp;"")="n/a")),"Game Type; ","")&amp;IF(INDEX('Game Records'!$F:$F,$H348)="","Payment Type; ","")&amp;IF(AND(INDEX('Game Records'!$U:$U,$H348)&lt;&gt;"Subscription",INDEX('Game Records'!$U:$U,$H348)&lt;&gt;"Free Game",INDEX('Game Records'!$U:$U,$H348)&lt;&gt;"Disqualified — Free Game",INDEX('Game Records'!$G:$G,$H348)=""),"Gross Pot; ","")&amp;IF(AND(INDEX('Game Records'!$U:$U,$H348)&lt;&gt;"Free Game",INDEX('Game Records'!$U:$U,$H348)&lt;&gt;"Disqualified — Free Game",INDEX('Game Records'!$H:$H,$H348)=""),"Entry Fee; ","")&amp;IF(AND(INDEX('Game Records'!$U:$U,$H348)&lt;&gt;"Subscription",INDEX('Game Records'!$U:$U,$H348)&lt;&gt;"Free Game",INDEX('Game Records'!$U:$U,$H348)&lt;&gt;"Disqualified — Free Game",INDEX('Game Records'!$I:$I,$H348)=""),"Eligible Players; ","")&amp;IF(AND(INDEX('Game Records'!$U:$U,$H348)&lt;&gt;"Subscription",INDEX('Game Records'!$U:$U,$H348)&lt;&gt;"Free Game",INDEX('Game Records'!$U:$U,$H348)&lt;&gt;"Disqualified — Free Game",INDEX('Game Records'!$J:$J,$H348)=""),"Total Players; ","")&amp;IF(AND(LOWER(INDEX('Game Records'!$D:$D,$H348)&amp;"")="finalized",LOWER(INDEX('Game Records'!$L:$L,$H348)&amp;"")&lt;&gt;"yes",INDEX('Game Records'!$U:$U,$H348)&lt;&gt;"Subscription",INDEX('Game Records'!$U:$U,$H348)&lt;&gt;"Free Game",INDEX('Game Records'!$U:$U,$H348)&lt;&gt;"Disqualified — Free Game",INDEX('Game Records'!$K:$K,$H348)=""),"Final Payout; ","")&amp;IF(AND(LOWER(INDEX('Game Records'!$D:$D,$H348)&amp;"")="finalized",INDEX('Game Records'!$U:$U,$H348)&lt;&gt;"Subscription",INDEX('Game Records'!$U:$U,$H348)&lt;&gt;"Free Game",INDEX('Game Records'!$U:$U,$H348)&lt;&gt;"Disqualified — Free Game",OR(INDEX('Game Records'!$L:$L,$H348)="",LOWER(INDEX('Game Records'!$L:$L,$H348)&amp;"")="n/a")),"Disqualified Status; ",""))</f>
        <v/>
      </c>
      <c r="G348" s="25" t="str">
        <f t="array" ref="G348">IF($H348="","",IFERROR(INDEX('Game Records'!$M:$M,$H348),""))</f>
        <v/>
      </c>
      <c r="H348" s="8"/>
    </row>
    <row r="349" ht="24.0" customHeight="1">
      <c r="A349" s="21" t="str">
        <f t="shared" si="1"/>
        <v/>
      </c>
      <c r="B349" s="21" t="str">
        <f t="shared" si="2"/>
        <v/>
      </c>
      <c r="C349" s="25" t="str">
        <f t="array" ref="C349">IF($H349="","",IFERROR(INDEX('Game Records'!$A:$A,$H349),""))</f>
        <v/>
      </c>
      <c r="D349" s="25" t="str">
        <f t="array" ref="D349">IF($H349="","",IFERROR(INDEX('Game Records'!$U:$U,$H349),""))</f>
        <v/>
      </c>
      <c r="E349" s="25" t="str">
        <f t="shared" si="3"/>
        <v/>
      </c>
      <c r="F349" s="25" t="str">
        <f t="array" ref="F349">IF($H349="","",IF(OR(NOT(_xlfn.ISFORMULA(INDEX('Game Records'!$N:$N,$H349))),NOT(_xlfn.ISFORMULA(INDEX('Game Records'!$O:$O,$H349))),NOT(_xlfn.ISFORMULA(INDEX('Game Records'!$P:$P,$H349))),NOT(_xlfn.ISFORMULA(INDEX('Game Records'!$Q:$Q,$H349))),NOT(_xlfn.ISFORMULA(INDEX('Game Records'!$R:$R,$H349))),NOT(_xlfn.ISFORMULA(INDEX('Game Records'!$S:$S,$H349))),NOT(_xlfn.ISFORMULA(INDEX('Game Records'!$T:$T,$H349))),NOT(_xlfn.ISFORMULA(INDEX('Game Records'!$U:$U,$H349))),NOT(_xlfn.ISFORMULA(INDEX('Game Records'!$V:$V,$H349))),NOT(_xlfn.ISFORMULA(INDEX('Game Records'!$W:$W,$H349))),NOT(_xlfn.ISFORMULA(INDEX('Game Records'!$X:$X,$H349))),NOT(_xlfn.ISFORMULA(INDEX('Game Records'!$Y:$Y,$H349))),NOT(_xlfn.ISFORMULA(INDEX('Game Records'!$Z:$Z,$H349)))),"","")&amp;IF(INDEX('Game Records'!$B:$B,$H349)="","Start Date; ","")&amp;IF(INDEX('Game Records'!$C:$C,$H349)="","End Date; ","")&amp;IF(AND(INDEX('Game Records'!$U:$U,$H349)&lt;&gt;"Subscription",INDEX('Game Records'!$U:$U,$H349)&lt;&gt;"Free Game",INDEX('Game Records'!$U:$U,$H349)&lt;&gt;"Disqualified — Free Game",OR(INDEX('Game Records'!$D:$D,$H349)="",LOWER(INDEX('Game Records'!$D:$D,$H349)&amp;"")="n/a")),"Entry Mode; ","")&amp;IF(AND(INDEX('Game Records'!$U:$U,$H349)&lt;&gt;"Subscription",INDEX('Game Records'!$U:$U,$H349)&lt;&gt;"Free Game",INDEX('Game Records'!$U:$U,$H349)&lt;&gt;"Disqualified — Free Game",OR(INDEX('Game Records'!$E:$E,$H349)="",LOWER(INDEX('Game Records'!$E:$E,$H349)&amp;"")="n/a")),"Game Type; ","")&amp;IF(INDEX('Game Records'!$F:$F,$H349)="","Payment Type; ","")&amp;IF(AND(INDEX('Game Records'!$U:$U,$H349)&lt;&gt;"Subscription",INDEX('Game Records'!$U:$U,$H349)&lt;&gt;"Free Game",INDEX('Game Records'!$U:$U,$H349)&lt;&gt;"Disqualified — Free Game",INDEX('Game Records'!$G:$G,$H349)=""),"Gross Pot; ","")&amp;IF(AND(INDEX('Game Records'!$U:$U,$H349)&lt;&gt;"Free Game",INDEX('Game Records'!$U:$U,$H349)&lt;&gt;"Disqualified — Free Game",INDEX('Game Records'!$H:$H,$H349)=""),"Entry Fee; ","")&amp;IF(AND(INDEX('Game Records'!$U:$U,$H349)&lt;&gt;"Subscription",INDEX('Game Records'!$U:$U,$H349)&lt;&gt;"Free Game",INDEX('Game Records'!$U:$U,$H349)&lt;&gt;"Disqualified — Free Game",INDEX('Game Records'!$I:$I,$H349)=""),"Eligible Players; ","")&amp;IF(AND(INDEX('Game Records'!$U:$U,$H349)&lt;&gt;"Subscription",INDEX('Game Records'!$U:$U,$H349)&lt;&gt;"Free Game",INDEX('Game Records'!$U:$U,$H349)&lt;&gt;"Disqualified — Free Game",INDEX('Game Records'!$J:$J,$H349)=""),"Total Players; ","")&amp;IF(AND(LOWER(INDEX('Game Records'!$D:$D,$H349)&amp;"")="finalized",LOWER(INDEX('Game Records'!$L:$L,$H349)&amp;"")&lt;&gt;"yes",INDEX('Game Records'!$U:$U,$H349)&lt;&gt;"Subscription",INDEX('Game Records'!$U:$U,$H349)&lt;&gt;"Free Game",INDEX('Game Records'!$U:$U,$H349)&lt;&gt;"Disqualified — Free Game",INDEX('Game Records'!$K:$K,$H349)=""),"Final Payout; ","")&amp;IF(AND(LOWER(INDEX('Game Records'!$D:$D,$H349)&amp;"")="finalized",INDEX('Game Records'!$U:$U,$H349)&lt;&gt;"Subscription",INDEX('Game Records'!$U:$U,$H349)&lt;&gt;"Free Game",INDEX('Game Records'!$U:$U,$H349)&lt;&gt;"Disqualified — Free Game",OR(INDEX('Game Records'!$L:$L,$H349)="",LOWER(INDEX('Game Records'!$L:$L,$H349)&amp;"")="n/a")),"Disqualified Status; ",""))</f>
        <v/>
      </c>
      <c r="G349" s="25" t="str">
        <f t="array" ref="G349">IF($H349="","",IFERROR(INDEX('Game Records'!$M:$M,$H349),""))</f>
        <v/>
      </c>
      <c r="H349" s="8"/>
    </row>
    <row r="350" ht="24.0" customHeight="1">
      <c r="A350" s="21" t="str">
        <f t="shared" si="1"/>
        <v/>
      </c>
      <c r="B350" s="21" t="str">
        <f t="shared" si="2"/>
        <v/>
      </c>
      <c r="C350" s="25" t="str">
        <f t="array" ref="C350">IF($H350="","",IFERROR(INDEX('Game Records'!$A:$A,$H350),""))</f>
        <v/>
      </c>
      <c r="D350" s="25" t="str">
        <f t="array" ref="D350">IF($H350="","",IFERROR(INDEX('Game Records'!$U:$U,$H350),""))</f>
        <v/>
      </c>
      <c r="E350" s="25" t="str">
        <f t="shared" si="3"/>
        <v/>
      </c>
      <c r="F350" s="25" t="str">
        <f t="array" ref="F350">IF($H350="","",IF(OR(NOT(_xlfn.ISFORMULA(INDEX('Game Records'!$N:$N,$H350))),NOT(_xlfn.ISFORMULA(INDEX('Game Records'!$O:$O,$H350))),NOT(_xlfn.ISFORMULA(INDEX('Game Records'!$P:$P,$H350))),NOT(_xlfn.ISFORMULA(INDEX('Game Records'!$Q:$Q,$H350))),NOT(_xlfn.ISFORMULA(INDEX('Game Records'!$R:$R,$H350))),NOT(_xlfn.ISFORMULA(INDEX('Game Records'!$S:$S,$H350))),NOT(_xlfn.ISFORMULA(INDEX('Game Records'!$T:$T,$H350))),NOT(_xlfn.ISFORMULA(INDEX('Game Records'!$U:$U,$H350))),NOT(_xlfn.ISFORMULA(INDEX('Game Records'!$V:$V,$H350))),NOT(_xlfn.ISFORMULA(INDEX('Game Records'!$W:$W,$H350))),NOT(_xlfn.ISFORMULA(INDEX('Game Records'!$X:$X,$H350))),NOT(_xlfn.ISFORMULA(INDEX('Game Records'!$Y:$Y,$H350))),NOT(_xlfn.ISFORMULA(INDEX('Game Records'!$Z:$Z,$H350)))),"","")&amp;IF(INDEX('Game Records'!$B:$B,$H350)="","Start Date; ","")&amp;IF(INDEX('Game Records'!$C:$C,$H350)="","End Date; ","")&amp;IF(AND(INDEX('Game Records'!$U:$U,$H350)&lt;&gt;"Subscription",INDEX('Game Records'!$U:$U,$H350)&lt;&gt;"Free Game",INDEX('Game Records'!$U:$U,$H350)&lt;&gt;"Disqualified — Free Game",OR(INDEX('Game Records'!$D:$D,$H350)="",LOWER(INDEX('Game Records'!$D:$D,$H350)&amp;"")="n/a")),"Entry Mode; ","")&amp;IF(AND(INDEX('Game Records'!$U:$U,$H350)&lt;&gt;"Subscription",INDEX('Game Records'!$U:$U,$H350)&lt;&gt;"Free Game",INDEX('Game Records'!$U:$U,$H350)&lt;&gt;"Disqualified — Free Game",OR(INDEX('Game Records'!$E:$E,$H350)="",LOWER(INDEX('Game Records'!$E:$E,$H350)&amp;"")="n/a")),"Game Type; ","")&amp;IF(INDEX('Game Records'!$F:$F,$H350)="","Payment Type; ","")&amp;IF(AND(INDEX('Game Records'!$U:$U,$H350)&lt;&gt;"Subscription",INDEX('Game Records'!$U:$U,$H350)&lt;&gt;"Free Game",INDEX('Game Records'!$U:$U,$H350)&lt;&gt;"Disqualified — Free Game",INDEX('Game Records'!$G:$G,$H350)=""),"Gross Pot; ","")&amp;IF(AND(INDEX('Game Records'!$U:$U,$H350)&lt;&gt;"Free Game",INDEX('Game Records'!$U:$U,$H350)&lt;&gt;"Disqualified — Free Game",INDEX('Game Records'!$H:$H,$H350)=""),"Entry Fee; ","")&amp;IF(AND(INDEX('Game Records'!$U:$U,$H350)&lt;&gt;"Subscription",INDEX('Game Records'!$U:$U,$H350)&lt;&gt;"Free Game",INDEX('Game Records'!$U:$U,$H350)&lt;&gt;"Disqualified — Free Game",INDEX('Game Records'!$I:$I,$H350)=""),"Eligible Players; ","")&amp;IF(AND(INDEX('Game Records'!$U:$U,$H350)&lt;&gt;"Subscription",INDEX('Game Records'!$U:$U,$H350)&lt;&gt;"Free Game",INDEX('Game Records'!$U:$U,$H350)&lt;&gt;"Disqualified — Free Game",INDEX('Game Records'!$J:$J,$H350)=""),"Total Players; ","")&amp;IF(AND(LOWER(INDEX('Game Records'!$D:$D,$H350)&amp;"")="finalized",LOWER(INDEX('Game Records'!$L:$L,$H350)&amp;"")&lt;&gt;"yes",INDEX('Game Records'!$U:$U,$H350)&lt;&gt;"Subscription",INDEX('Game Records'!$U:$U,$H350)&lt;&gt;"Free Game",INDEX('Game Records'!$U:$U,$H350)&lt;&gt;"Disqualified — Free Game",INDEX('Game Records'!$K:$K,$H350)=""),"Final Payout; ","")&amp;IF(AND(LOWER(INDEX('Game Records'!$D:$D,$H350)&amp;"")="finalized",INDEX('Game Records'!$U:$U,$H350)&lt;&gt;"Subscription",INDEX('Game Records'!$U:$U,$H350)&lt;&gt;"Free Game",INDEX('Game Records'!$U:$U,$H350)&lt;&gt;"Disqualified — Free Game",OR(INDEX('Game Records'!$L:$L,$H350)="",LOWER(INDEX('Game Records'!$L:$L,$H350)&amp;"")="n/a")),"Disqualified Status; ",""))</f>
        <v/>
      </c>
      <c r="G350" s="25" t="str">
        <f t="array" ref="G350">IF($H350="","",IFERROR(INDEX('Game Records'!$M:$M,$H350),""))</f>
        <v/>
      </c>
      <c r="H350" s="8"/>
    </row>
    <row r="351" ht="24.0" customHeight="1">
      <c r="A351" s="21" t="str">
        <f t="shared" si="1"/>
        <v/>
      </c>
      <c r="B351" s="21" t="str">
        <f t="shared" si="2"/>
        <v/>
      </c>
      <c r="C351" s="25" t="str">
        <f t="array" ref="C351">IF($H351="","",IFERROR(INDEX('Game Records'!$A:$A,$H351),""))</f>
        <v/>
      </c>
      <c r="D351" s="25" t="str">
        <f t="array" ref="D351">IF($H351="","",IFERROR(INDEX('Game Records'!$U:$U,$H351),""))</f>
        <v/>
      </c>
      <c r="E351" s="25" t="str">
        <f t="shared" si="3"/>
        <v/>
      </c>
      <c r="F351" s="25" t="str">
        <f t="array" ref="F351">IF($H351="","",IF(OR(NOT(_xlfn.ISFORMULA(INDEX('Game Records'!$N:$N,$H351))),NOT(_xlfn.ISFORMULA(INDEX('Game Records'!$O:$O,$H351))),NOT(_xlfn.ISFORMULA(INDEX('Game Records'!$P:$P,$H351))),NOT(_xlfn.ISFORMULA(INDEX('Game Records'!$Q:$Q,$H351))),NOT(_xlfn.ISFORMULA(INDEX('Game Records'!$R:$R,$H351))),NOT(_xlfn.ISFORMULA(INDEX('Game Records'!$S:$S,$H351))),NOT(_xlfn.ISFORMULA(INDEX('Game Records'!$T:$T,$H351))),NOT(_xlfn.ISFORMULA(INDEX('Game Records'!$U:$U,$H351))),NOT(_xlfn.ISFORMULA(INDEX('Game Records'!$V:$V,$H351))),NOT(_xlfn.ISFORMULA(INDEX('Game Records'!$W:$W,$H351))),NOT(_xlfn.ISFORMULA(INDEX('Game Records'!$X:$X,$H351))),NOT(_xlfn.ISFORMULA(INDEX('Game Records'!$Y:$Y,$H351))),NOT(_xlfn.ISFORMULA(INDEX('Game Records'!$Z:$Z,$H351)))),"","")&amp;IF(INDEX('Game Records'!$B:$B,$H351)="","Start Date; ","")&amp;IF(INDEX('Game Records'!$C:$C,$H351)="","End Date; ","")&amp;IF(AND(INDEX('Game Records'!$U:$U,$H351)&lt;&gt;"Subscription",INDEX('Game Records'!$U:$U,$H351)&lt;&gt;"Free Game",INDEX('Game Records'!$U:$U,$H351)&lt;&gt;"Disqualified — Free Game",OR(INDEX('Game Records'!$D:$D,$H351)="",LOWER(INDEX('Game Records'!$D:$D,$H351)&amp;"")="n/a")),"Entry Mode; ","")&amp;IF(AND(INDEX('Game Records'!$U:$U,$H351)&lt;&gt;"Subscription",INDEX('Game Records'!$U:$U,$H351)&lt;&gt;"Free Game",INDEX('Game Records'!$U:$U,$H351)&lt;&gt;"Disqualified — Free Game",OR(INDEX('Game Records'!$E:$E,$H351)="",LOWER(INDEX('Game Records'!$E:$E,$H351)&amp;"")="n/a")),"Game Type; ","")&amp;IF(INDEX('Game Records'!$F:$F,$H351)="","Payment Type; ","")&amp;IF(AND(INDEX('Game Records'!$U:$U,$H351)&lt;&gt;"Subscription",INDEX('Game Records'!$U:$U,$H351)&lt;&gt;"Free Game",INDEX('Game Records'!$U:$U,$H351)&lt;&gt;"Disqualified — Free Game",INDEX('Game Records'!$G:$G,$H351)=""),"Gross Pot; ","")&amp;IF(AND(INDEX('Game Records'!$U:$U,$H351)&lt;&gt;"Free Game",INDEX('Game Records'!$U:$U,$H351)&lt;&gt;"Disqualified — Free Game",INDEX('Game Records'!$H:$H,$H351)=""),"Entry Fee; ","")&amp;IF(AND(INDEX('Game Records'!$U:$U,$H351)&lt;&gt;"Subscription",INDEX('Game Records'!$U:$U,$H351)&lt;&gt;"Free Game",INDEX('Game Records'!$U:$U,$H351)&lt;&gt;"Disqualified — Free Game",INDEX('Game Records'!$I:$I,$H351)=""),"Eligible Players; ","")&amp;IF(AND(INDEX('Game Records'!$U:$U,$H351)&lt;&gt;"Subscription",INDEX('Game Records'!$U:$U,$H351)&lt;&gt;"Free Game",INDEX('Game Records'!$U:$U,$H351)&lt;&gt;"Disqualified — Free Game",INDEX('Game Records'!$J:$J,$H351)=""),"Total Players; ","")&amp;IF(AND(LOWER(INDEX('Game Records'!$D:$D,$H351)&amp;"")="finalized",LOWER(INDEX('Game Records'!$L:$L,$H351)&amp;"")&lt;&gt;"yes",INDEX('Game Records'!$U:$U,$H351)&lt;&gt;"Subscription",INDEX('Game Records'!$U:$U,$H351)&lt;&gt;"Free Game",INDEX('Game Records'!$U:$U,$H351)&lt;&gt;"Disqualified — Free Game",INDEX('Game Records'!$K:$K,$H351)=""),"Final Payout; ","")&amp;IF(AND(LOWER(INDEX('Game Records'!$D:$D,$H351)&amp;"")="finalized",INDEX('Game Records'!$U:$U,$H351)&lt;&gt;"Subscription",INDEX('Game Records'!$U:$U,$H351)&lt;&gt;"Free Game",INDEX('Game Records'!$U:$U,$H351)&lt;&gt;"Disqualified — Free Game",OR(INDEX('Game Records'!$L:$L,$H351)="",LOWER(INDEX('Game Records'!$L:$L,$H351)&amp;"")="n/a")),"Disqualified Status; ",""))</f>
        <v/>
      </c>
      <c r="G351" s="25" t="str">
        <f t="array" ref="G351">IF($H351="","",IFERROR(INDEX('Game Records'!$M:$M,$H351),""))</f>
        <v/>
      </c>
      <c r="H351" s="8"/>
    </row>
    <row r="352" ht="24.0" customHeight="1">
      <c r="A352" s="21" t="str">
        <f t="shared" si="1"/>
        <v/>
      </c>
      <c r="B352" s="21" t="str">
        <f t="shared" si="2"/>
        <v/>
      </c>
      <c r="C352" s="25" t="str">
        <f t="array" ref="C352">IF($H352="","",IFERROR(INDEX('Game Records'!$A:$A,$H352),""))</f>
        <v/>
      </c>
      <c r="D352" s="25" t="str">
        <f t="array" ref="D352">IF($H352="","",IFERROR(INDEX('Game Records'!$U:$U,$H352),""))</f>
        <v/>
      </c>
      <c r="E352" s="25" t="str">
        <f t="shared" si="3"/>
        <v/>
      </c>
      <c r="F352" s="25" t="str">
        <f t="array" ref="F352">IF($H352="","",IF(OR(NOT(_xlfn.ISFORMULA(INDEX('Game Records'!$N:$N,$H352))),NOT(_xlfn.ISFORMULA(INDEX('Game Records'!$O:$O,$H352))),NOT(_xlfn.ISFORMULA(INDEX('Game Records'!$P:$P,$H352))),NOT(_xlfn.ISFORMULA(INDEX('Game Records'!$Q:$Q,$H352))),NOT(_xlfn.ISFORMULA(INDEX('Game Records'!$R:$R,$H352))),NOT(_xlfn.ISFORMULA(INDEX('Game Records'!$S:$S,$H352))),NOT(_xlfn.ISFORMULA(INDEX('Game Records'!$T:$T,$H352))),NOT(_xlfn.ISFORMULA(INDEX('Game Records'!$U:$U,$H352))),NOT(_xlfn.ISFORMULA(INDEX('Game Records'!$V:$V,$H352))),NOT(_xlfn.ISFORMULA(INDEX('Game Records'!$W:$W,$H352))),NOT(_xlfn.ISFORMULA(INDEX('Game Records'!$X:$X,$H352))),NOT(_xlfn.ISFORMULA(INDEX('Game Records'!$Y:$Y,$H352))),NOT(_xlfn.ISFORMULA(INDEX('Game Records'!$Z:$Z,$H352)))),"","")&amp;IF(INDEX('Game Records'!$B:$B,$H352)="","Start Date; ","")&amp;IF(INDEX('Game Records'!$C:$C,$H352)="","End Date; ","")&amp;IF(AND(INDEX('Game Records'!$U:$U,$H352)&lt;&gt;"Subscription",INDEX('Game Records'!$U:$U,$H352)&lt;&gt;"Free Game",INDEX('Game Records'!$U:$U,$H352)&lt;&gt;"Disqualified — Free Game",OR(INDEX('Game Records'!$D:$D,$H352)="",LOWER(INDEX('Game Records'!$D:$D,$H352)&amp;"")="n/a")),"Entry Mode; ","")&amp;IF(AND(INDEX('Game Records'!$U:$U,$H352)&lt;&gt;"Subscription",INDEX('Game Records'!$U:$U,$H352)&lt;&gt;"Free Game",INDEX('Game Records'!$U:$U,$H352)&lt;&gt;"Disqualified — Free Game",OR(INDEX('Game Records'!$E:$E,$H352)="",LOWER(INDEX('Game Records'!$E:$E,$H352)&amp;"")="n/a")),"Game Type; ","")&amp;IF(INDEX('Game Records'!$F:$F,$H352)="","Payment Type; ","")&amp;IF(AND(INDEX('Game Records'!$U:$U,$H352)&lt;&gt;"Subscription",INDEX('Game Records'!$U:$U,$H352)&lt;&gt;"Free Game",INDEX('Game Records'!$U:$U,$H352)&lt;&gt;"Disqualified — Free Game",INDEX('Game Records'!$G:$G,$H352)=""),"Gross Pot; ","")&amp;IF(AND(INDEX('Game Records'!$U:$U,$H352)&lt;&gt;"Free Game",INDEX('Game Records'!$U:$U,$H352)&lt;&gt;"Disqualified — Free Game",INDEX('Game Records'!$H:$H,$H352)=""),"Entry Fee; ","")&amp;IF(AND(INDEX('Game Records'!$U:$U,$H352)&lt;&gt;"Subscription",INDEX('Game Records'!$U:$U,$H352)&lt;&gt;"Free Game",INDEX('Game Records'!$U:$U,$H352)&lt;&gt;"Disqualified — Free Game",INDEX('Game Records'!$I:$I,$H352)=""),"Eligible Players; ","")&amp;IF(AND(INDEX('Game Records'!$U:$U,$H352)&lt;&gt;"Subscription",INDEX('Game Records'!$U:$U,$H352)&lt;&gt;"Free Game",INDEX('Game Records'!$U:$U,$H352)&lt;&gt;"Disqualified — Free Game",INDEX('Game Records'!$J:$J,$H352)=""),"Total Players; ","")&amp;IF(AND(LOWER(INDEX('Game Records'!$D:$D,$H352)&amp;"")="finalized",LOWER(INDEX('Game Records'!$L:$L,$H352)&amp;"")&lt;&gt;"yes",INDEX('Game Records'!$U:$U,$H352)&lt;&gt;"Subscription",INDEX('Game Records'!$U:$U,$H352)&lt;&gt;"Free Game",INDEX('Game Records'!$U:$U,$H352)&lt;&gt;"Disqualified — Free Game",INDEX('Game Records'!$K:$K,$H352)=""),"Final Payout; ","")&amp;IF(AND(LOWER(INDEX('Game Records'!$D:$D,$H352)&amp;"")="finalized",INDEX('Game Records'!$U:$U,$H352)&lt;&gt;"Subscription",INDEX('Game Records'!$U:$U,$H352)&lt;&gt;"Free Game",INDEX('Game Records'!$U:$U,$H352)&lt;&gt;"Disqualified — Free Game",OR(INDEX('Game Records'!$L:$L,$H352)="",LOWER(INDEX('Game Records'!$L:$L,$H352)&amp;"")="n/a")),"Disqualified Status; ",""))</f>
        <v/>
      </c>
      <c r="G352" s="25" t="str">
        <f t="array" ref="G352">IF($H352="","",IFERROR(INDEX('Game Records'!$M:$M,$H352),""))</f>
        <v/>
      </c>
      <c r="H352" s="8"/>
    </row>
    <row r="353" ht="24.0" customHeight="1">
      <c r="A353" s="21" t="str">
        <f t="shared" si="1"/>
        <v/>
      </c>
      <c r="B353" s="21" t="str">
        <f t="shared" si="2"/>
        <v/>
      </c>
      <c r="C353" s="25" t="str">
        <f t="array" ref="C353">IF($H353="","",IFERROR(INDEX('Game Records'!$A:$A,$H353),""))</f>
        <v/>
      </c>
      <c r="D353" s="25" t="str">
        <f t="array" ref="D353">IF($H353="","",IFERROR(INDEX('Game Records'!$U:$U,$H353),""))</f>
        <v/>
      </c>
      <c r="E353" s="25" t="str">
        <f t="shared" si="3"/>
        <v/>
      </c>
      <c r="F353" s="25" t="str">
        <f t="array" ref="F353">IF($H353="","",IF(OR(NOT(_xlfn.ISFORMULA(INDEX('Game Records'!$N:$N,$H353))),NOT(_xlfn.ISFORMULA(INDEX('Game Records'!$O:$O,$H353))),NOT(_xlfn.ISFORMULA(INDEX('Game Records'!$P:$P,$H353))),NOT(_xlfn.ISFORMULA(INDEX('Game Records'!$Q:$Q,$H353))),NOT(_xlfn.ISFORMULA(INDEX('Game Records'!$R:$R,$H353))),NOT(_xlfn.ISFORMULA(INDEX('Game Records'!$S:$S,$H353))),NOT(_xlfn.ISFORMULA(INDEX('Game Records'!$T:$T,$H353))),NOT(_xlfn.ISFORMULA(INDEX('Game Records'!$U:$U,$H353))),NOT(_xlfn.ISFORMULA(INDEX('Game Records'!$V:$V,$H353))),NOT(_xlfn.ISFORMULA(INDEX('Game Records'!$W:$W,$H353))),NOT(_xlfn.ISFORMULA(INDEX('Game Records'!$X:$X,$H353))),NOT(_xlfn.ISFORMULA(INDEX('Game Records'!$Y:$Y,$H353))),NOT(_xlfn.ISFORMULA(INDEX('Game Records'!$Z:$Z,$H353)))),"","")&amp;IF(INDEX('Game Records'!$B:$B,$H353)="","Start Date; ","")&amp;IF(INDEX('Game Records'!$C:$C,$H353)="","End Date; ","")&amp;IF(AND(INDEX('Game Records'!$U:$U,$H353)&lt;&gt;"Subscription",INDEX('Game Records'!$U:$U,$H353)&lt;&gt;"Free Game",INDEX('Game Records'!$U:$U,$H353)&lt;&gt;"Disqualified — Free Game",OR(INDEX('Game Records'!$D:$D,$H353)="",LOWER(INDEX('Game Records'!$D:$D,$H353)&amp;"")="n/a")),"Entry Mode; ","")&amp;IF(AND(INDEX('Game Records'!$U:$U,$H353)&lt;&gt;"Subscription",INDEX('Game Records'!$U:$U,$H353)&lt;&gt;"Free Game",INDEX('Game Records'!$U:$U,$H353)&lt;&gt;"Disqualified — Free Game",OR(INDEX('Game Records'!$E:$E,$H353)="",LOWER(INDEX('Game Records'!$E:$E,$H353)&amp;"")="n/a")),"Game Type; ","")&amp;IF(INDEX('Game Records'!$F:$F,$H353)="","Payment Type; ","")&amp;IF(AND(INDEX('Game Records'!$U:$U,$H353)&lt;&gt;"Subscription",INDEX('Game Records'!$U:$U,$H353)&lt;&gt;"Free Game",INDEX('Game Records'!$U:$U,$H353)&lt;&gt;"Disqualified — Free Game",INDEX('Game Records'!$G:$G,$H353)=""),"Gross Pot; ","")&amp;IF(AND(INDEX('Game Records'!$U:$U,$H353)&lt;&gt;"Free Game",INDEX('Game Records'!$U:$U,$H353)&lt;&gt;"Disqualified — Free Game",INDEX('Game Records'!$H:$H,$H353)=""),"Entry Fee; ","")&amp;IF(AND(INDEX('Game Records'!$U:$U,$H353)&lt;&gt;"Subscription",INDEX('Game Records'!$U:$U,$H353)&lt;&gt;"Free Game",INDEX('Game Records'!$U:$U,$H353)&lt;&gt;"Disqualified — Free Game",INDEX('Game Records'!$I:$I,$H353)=""),"Eligible Players; ","")&amp;IF(AND(INDEX('Game Records'!$U:$U,$H353)&lt;&gt;"Subscription",INDEX('Game Records'!$U:$U,$H353)&lt;&gt;"Free Game",INDEX('Game Records'!$U:$U,$H353)&lt;&gt;"Disqualified — Free Game",INDEX('Game Records'!$J:$J,$H353)=""),"Total Players; ","")&amp;IF(AND(LOWER(INDEX('Game Records'!$D:$D,$H353)&amp;"")="finalized",LOWER(INDEX('Game Records'!$L:$L,$H353)&amp;"")&lt;&gt;"yes",INDEX('Game Records'!$U:$U,$H353)&lt;&gt;"Subscription",INDEX('Game Records'!$U:$U,$H353)&lt;&gt;"Free Game",INDEX('Game Records'!$U:$U,$H353)&lt;&gt;"Disqualified — Free Game",INDEX('Game Records'!$K:$K,$H353)=""),"Final Payout; ","")&amp;IF(AND(LOWER(INDEX('Game Records'!$D:$D,$H353)&amp;"")="finalized",INDEX('Game Records'!$U:$U,$H353)&lt;&gt;"Subscription",INDEX('Game Records'!$U:$U,$H353)&lt;&gt;"Free Game",INDEX('Game Records'!$U:$U,$H353)&lt;&gt;"Disqualified — Free Game",OR(INDEX('Game Records'!$L:$L,$H353)="",LOWER(INDEX('Game Records'!$L:$L,$H353)&amp;"")="n/a")),"Disqualified Status; ",""))</f>
        <v/>
      </c>
      <c r="G353" s="25" t="str">
        <f t="array" ref="G353">IF($H353="","",IFERROR(INDEX('Game Records'!$M:$M,$H353),""))</f>
        <v/>
      </c>
      <c r="H353" s="8"/>
    </row>
    <row r="354" ht="24.0" customHeight="1">
      <c r="A354" s="21" t="str">
        <f t="shared" si="1"/>
        <v/>
      </c>
      <c r="B354" s="21" t="str">
        <f t="shared" si="2"/>
        <v/>
      </c>
      <c r="C354" s="25" t="str">
        <f t="array" ref="C354">IF($H354="","",IFERROR(INDEX('Game Records'!$A:$A,$H354),""))</f>
        <v/>
      </c>
      <c r="D354" s="25" t="str">
        <f t="array" ref="D354">IF($H354="","",IFERROR(INDEX('Game Records'!$U:$U,$H354),""))</f>
        <v/>
      </c>
      <c r="E354" s="25" t="str">
        <f t="shared" si="3"/>
        <v/>
      </c>
      <c r="F354" s="25" t="str">
        <f t="array" ref="F354">IF($H354="","",IF(OR(NOT(_xlfn.ISFORMULA(INDEX('Game Records'!$N:$N,$H354))),NOT(_xlfn.ISFORMULA(INDEX('Game Records'!$O:$O,$H354))),NOT(_xlfn.ISFORMULA(INDEX('Game Records'!$P:$P,$H354))),NOT(_xlfn.ISFORMULA(INDEX('Game Records'!$Q:$Q,$H354))),NOT(_xlfn.ISFORMULA(INDEX('Game Records'!$R:$R,$H354))),NOT(_xlfn.ISFORMULA(INDEX('Game Records'!$S:$S,$H354))),NOT(_xlfn.ISFORMULA(INDEX('Game Records'!$T:$T,$H354))),NOT(_xlfn.ISFORMULA(INDEX('Game Records'!$U:$U,$H354))),NOT(_xlfn.ISFORMULA(INDEX('Game Records'!$V:$V,$H354))),NOT(_xlfn.ISFORMULA(INDEX('Game Records'!$W:$W,$H354))),NOT(_xlfn.ISFORMULA(INDEX('Game Records'!$X:$X,$H354))),NOT(_xlfn.ISFORMULA(INDEX('Game Records'!$Y:$Y,$H354))),NOT(_xlfn.ISFORMULA(INDEX('Game Records'!$Z:$Z,$H354)))),"","")&amp;IF(INDEX('Game Records'!$B:$B,$H354)="","Start Date; ","")&amp;IF(INDEX('Game Records'!$C:$C,$H354)="","End Date; ","")&amp;IF(AND(INDEX('Game Records'!$U:$U,$H354)&lt;&gt;"Subscription",INDEX('Game Records'!$U:$U,$H354)&lt;&gt;"Free Game",INDEX('Game Records'!$U:$U,$H354)&lt;&gt;"Disqualified — Free Game",OR(INDEX('Game Records'!$D:$D,$H354)="",LOWER(INDEX('Game Records'!$D:$D,$H354)&amp;"")="n/a")),"Entry Mode; ","")&amp;IF(AND(INDEX('Game Records'!$U:$U,$H354)&lt;&gt;"Subscription",INDEX('Game Records'!$U:$U,$H354)&lt;&gt;"Free Game",INDEX('Game Records'!$U:$U,$H354)&lt;&gt;"Disqualified — Free Game",OR(INDEX('Game Records'!$E:$E,$H354)="",LOWER(INDEX('Game Records'!$E:$E,$H354)&amp;"")="n/a")),"Game Type; ","")&amp;IF(INDEX('Game Records'!$F:$F,$H354)="","Payment Type; ","")&amp;IF(AND(INDEX('Game Records'!$U:$U,$H354)&lt;&gt;"Subscription",INDEX('Game Records'!$U:$U,$H354)&lt;&gt;"Free Game",INDEX('Game Records'!$U:$U,$H354)&lt;&gt;"Disqualified — Free Game",INDEX('Game Records'!$G:$G,$H354)=""),"Gross Pot; ","")&amp;IF(AND(INDEX('Game Records'!$U:$U,$H354)&lt;&gt;"Free Game",INDEX('Game Records'!$U:$U,$H354)&lt;&gt;"Disqualified — Free Game",INDEX('Game Records'!$H:$H,$H354)=""),"Entry Fee; ","")&amp;IF(AND(INDEX('Game Records'!$U:$U,$H354)&lt;&gt;"Subscription",INDEX('Game Records'!$U:$U,$H354)&lt;&gt;"Free Game",INDEX('Game Records'!$U:$U,$H354)&lt;&gt;"Disqualified — Free Game",INDEX('Game Records'!$I:$I,$H354)=""),"Eligible Players; ","")&amp;IF(AND(INDEX('Game Records'!$U:$U,$H354)&lt;&gt;"Subscription",INDEX('Game Records'!$U:$U,$H354)&lt;&gt;"Free Game",INDEX('Game Records'!$U:$U,$H354)&lt;&gt;"Disqualified — Free Game",INDEX('Game Records'!$J:$J,$H354)=""),"Total Players; ","")&amp;IF(AND(LOWER(INDEX('Game Records'!$D:$D,$H354)&amp;"")="finalized",LOWER(INDEX('Game Records'!$L:$L,$H354)&amp;"")&lt;&gt;"yes",INDEX('Game Records'!$U:$U,$H354)&lt;&gt;"Subscription",INDEX('Game Records'!$U:$U,$H354)&lt;&gt;"Free Game",INDEX('Game Records'!$U:$U,$H354)&lt;&gt;"Disqualified — Free Game",INDEX('Game Records'!$K:$K,$H354)=""),"Final Payout; ","")&amp;IF(AND(LOWER(INDEX('Game Records'!$D:$D,$H354)&amp;"")="finalized",INDEX('Game Records'!$U:$U,$H354)&lt;&gt;"Subscription",INDEX('Game Records'!$U:$U,$H354)&lt;&gt;"Free Game",INDEX('Game Records'!$U:$U,$H354)&lt;&gt;"Disqualified — Free Game",OR(INDEX('Game Records'!$L:$L,$H354)="",LOWER(INDEX('Game Records'!$L:$L,$H354)&amp;"")="n/a")),"Disqualified Status; ",""))</f>
        <v/>
      </c>
      <c r="G354" s="25" t="str">
        <f t="array" ref="G354">IF($H354="","",IFERROR(INDEX('Game Records'!$M:$M,$H354),""))</f>
        <v/>
      </c>
      <c r="H354" s="8"/>
    </row>
    <row r="355" ht="24.0" customHeight="1">
      <c r="A355" s="21" t="str">
        <f t="shared" si="1"/>
        <v/>
      </c>
      <c r="B355" s="21" t="str">
        <f t="shared" si="2"/>
        <v/>
      </c>
      <c r="C355" s="25" t="str">
        <f t="array" ref="C355">IF($H355="","",IFERROR(INDEX('Game Records'!$A:$A,$H355),""))</f>
        <v/>
      </c>
      <c r="D355" s="25" t="str">
        <f t="array" ref="D355">IF($H355="","",IFERROR(INDEX('Game Records'!$U:$U,$H355),""))</f>
        <v/>
      </c>
      <c r="E355" s="25" t="str">
        <f t="shared" si="3"/>
        <v/>
      </c>
      <c r="F355" s="25" t="str">
        <f t="array" ref="F355">IF($H355="","",IF(OR(NOT(_xlfn.ISFORMULA(INDEX('Game Records'!$N:$N,$H355))),NOT(_xlfn.ISFORMULA(INDEX('Game Records'!$O:$O,$H355))),NOT(_xlfn.ISFORMULA(INDEX('Game Records'!$P:$P,$H355))),NOT(_xlfn.ISFORMULA(INDEX('Game Records'!$Q:$Q,$H355))),NOT(_xlfn.ISFORMULA(INDEX('Game Records'!$R:$R,$H355))),NOT(_xlfn.ISFORMULA(INDEX('Game Records'!$S:$S,$H355))),NOT(_xlfn.ISFORMULA(INDEX('Game Records'!$T:$T,$H355))),NOT(_xlfn.ISFORMULA(INDEX('Game Records'!$U:$U,$H355))),NOT(_xlfn.ISFORMULA(INDEX('Game Records'!$V:$V,$H355))),NOT(_xlfn.ISFORMULA(INDEX('Game Records'!$W:$W,$H355))),NOT(_xlfn.ISFORMULA(INDEX('Game Records'!$X:$X,$H355))),NOT(_xlfn.ISFORMULA(INDEX('Game Records'!$Y:$Y,$H355))),NOT(_xlfn.ISFORMULA(INDEX('Game Records'!$Z:$Z,$H355)))),"","")&amp;IF(INDEX('Game Records'!$B:$B,$H355)="","Start Date; ","")&amp;IF(INDEX('Game Records'!$C:$C,$H355)="","End Date; ","")&amp;IF(AND(INDEX('Game Records'!$U:$U,$H355)&lt;&gt;"Subscription",INDEX('Game Records'!$U:$U,$H355)&lt;&gt;"Free Game",INDEX('Game Records'!$U:$U,$H355)&lt;&gt;"Disqualified — Free Game",OR(INDEX('Game Records'!$D:$D,$H355)="",LOWER(INDEX('Game Records'!$D:$D,$H355)&amp;"")="n/a")),"Entry Mode; ","")&amp;IF(AND(INDEX('Game Records'!$U:$U,$H355)&lt;&gt;"Subscription",INDEX('Game Records'!$U:$U,$H355)&lt;&gt;"Free Game",INDEX('Game Records'!$U:$U,$H355)&lt;&gt;"Disqualified — Free Game",OR(INDEX('Game Records'!$E:$E,$H355)="",LOWER(INDEX('Game Records'!$E:$E,$H355)&amp;"")="n/a")),"Game Type; ","")&amp;IF(INDEX('Game Records'!$F:$F,$H355)="","Payment Type; ","")&amp;IF(AND(INDEX('Game Records'!$U:$U,$H355)&lt;&gt;"Subscription",INDEX('Game Records'!$U:$U,$H355)&lt;&gt;"Free Game",INDEX('Game Records'!$U:$U,$H355)&lt;&gt;"Disqualified — Free Game",INDEX('Game Records'!$G:$G,$H355)=""),"Gross Pot; ","")&amp;IF(AND(INDEX('Game Records'!$U:$U,$H355)&lt;&gt;"Free Game",INDEX('Game Records'!$U:$U,$H355)&lt;&gt;"Disqualified — Free Game",INDEX('Game Records'!$H:$H,$H355)=""),"Entry Fee; ","")&amp;IF(AND(INDEX('Game Records'!$U:$U,$H355)&lt;&gt;"Subscription",INDEX('Game Records'!$U:$U,$H355)&lt;&gt;"Free Game",INDEX('Game Records'!$U:$U,$H355)&lt;&gt;"Disqualified — Free Game",INDEX('Game Records'!$I:$I,$H355)=""),"Eligible Players; ","")&amp;IF(AND(INDEX('Game Records'!$U:$U,$H355)&lt;&gt;"Subscription",INDEX('Game Records'!$U:$U,$H355)&lt;&gt;"Free Game",INDEX('Game Records'!$U:$U,$H355)&lt;&gt;"Disqualified — Free Game",INDEX('Game Records'!$J:$J,$H355)=""),"Total Players; ","")&amp;IF(AND(LOWER(INDEX('Game Records'!$D:$D,$H355)&amp;"")="finalized",LOWER(INDEX('Game Records'!$L:$L,$H355)&amp;"")&lt;&gt;"yes",INDEX('Game Records'!$U:$U,$H355)&lt;&gt;"Subscription",INDEX('Game Records'!$U:$U,$H355)&lt;&gt;"Free Game",INDEX('Game Records'!$U:$U,$H355)&lt;&gt;"Disqualified — Free Game",INDEX('Game Records'!$K:$K,$H355)=""),"Final Payout; ","")&amp;IF(AND(LOWER(INDEX('Game Records'!$D:$D,$H355)&amp;"")="finalized",INDEX('Game Records'!$U:$U,$H355)&lt;&gt;"Subscription",INDEX('Game Records'!$U:$U,$H355)&lt;&gt;"Free Game",INDEX('Game Records'!$U:$U,$H355)&lt;&gt;"Disqualified — Free Game",OR(INDEX('Game Records'!$L:$L,$H355)="",LOWER(INDEX('Game Records'!$L:$L,$H355)&amp;"")="n/a")),"Disqualified Status; ",""))</f>
        <v/>
      </c>
      <c r="G355" s="25" t="str">
        <f t="array" ref="G355">IF($H355="","",IFERROR(INDEX('Game Records'!$M:$M,$H355),""))</f>
        <v/>
      </c>
      <c r="H355" s="8"/>
    </row>
    <row r="356" ht="24.0" customHeight="1">
      <c r="A356" s="21" t="str">
        <f t="shared" si="1"/>
        <v/>
      </c>
      <c r="B356" s="21" t="str">
        <f t="shared" si="2"/>
        <v/>
      </c>
      <c r="C356" s="25" t="str">
        <f t="array" ref="C356">IF($H356="","",IFERROR(INDEX('Game Records'!$A:$A,$H356),""))</f>
        <v/>
      </c>
      <c r="D356" s="25" t="str">
        <f t="array" ref="D356">IF($H356="","",IFERROR(INDEX('Game Records'!$U:$U,$H356),""))</f>
        <v/>
      </c>
      <c r="E356" s="25" t="str">
        <f t="shared" si="3"/>
        <v/>
      </c>
      <c r="F356" s="25" t="str">
        <f t="array" ref="F356">IF($H356="","",IF(OR(NOT(_xlfn.ISFORMULA(INDEX('Game Records'!$N:$N,$H356))),NOT(_xlfn.ISFORMULA(INDEX('Game Records'!$O:$O,$H356))),NOT(_xlfn.ISFORMULA(INDEX('Game Records'!$P:$P,$H356))),NOT(_xlfn.ISFORMULA(INDEX('Game Records'!$Q:$Q,$H356))),NOT(_xlfn.ISFORMULA(INDEX('Game Records'!$R:$R,$H356))),NOT(_xlfn.ISFORMULA(INDEX('Game Records'!$S:$S,$H356))),NOT(_xlfn.ISFORMULA(INDEX('Game Records'!$T:$T,$H356))),NOT(_xlfn.ISFORMULA(INDEX('Game Records'!$U:$U,$H356))),NOT(_xlfn.ISFORMULA(INDEX('Game Records'!$V:$V,$H356))),NOT(_xlfn.ISFORMULA(INDEX('Game Records'!$W:$W,$H356))),NOT(_xlfn.ISFORMULA(INDEX('Game Records'!$X:$X,$H356))),NOT(_xlfn.ISFORMULA(INDEX('Game Records'!$Y:$Y,$H356))),NOT(_xlfn.ISFORMULA(INDEX('Game Records'!$Z:$Z,$H356)))),"","")&amp;IF(INDEX('Game Records'!$B:$B,$H356)="","Start Date; ","")&amp;IF(INDEX('Game Records'!$C:$C,$H356)="","End Date; ","")&amp;IF(AND(INDEX('Game Records'!$U:$U,$H356)&lt;&gt;"Subscription",INDEX('Game Records'!$U:$U,$H356)&lt;&gt;"Free Game",INDEX('Game Records'!$U:$U,$H356)&lt;&gt;"Disqualified — Free Game",OR(INDEX('Game Records'!$D:$D,$H356)="",LOWER(INDEX('Game Records'!$D:$D,$H356)&amp;"")="n/a")),"Entry Mode; ","")&amp;IF(AND(INDEX('Game Records'!$U:$U,$H356)&lt;&gt;"Subscription",INDEX('Game Records'!$U:$U,$H356)&lt;&gt;"Free Game",INDEX('Game Records'!$U:$U,$H356)&lt;&gt;"Disqualified — Free Game",OR(INDEX('Game Records'!$E:$E,$H356)="",LOWER(INDEX('Game Records'!$E:$E,$H356)&amp;"")="n/a")),"Game Type; ","")&amp;IF(INDEX('Game Records'!$F:$F,$H356)="","Payment Type; ","")&amp;IF(AND(INDEX('Game Records'!$U:$U,$H356)&lt;&gt;"Subscription",INDEX('Game Records'!$U:$U,$H356)&lt;&gt;"Free Game",INDEX('Game Records'!$U:$U,$H356)&lt;&gt;"Disqualified — Free Game",INDEX('Game Records'!$G:$G,$H356)=""),"Gross Pot; ","")&amp;IF(AND(INDEX('Game Records'!$U:$U,$H356)&lt;&gt;"Free Game",INDEX('Game Records'!$U:$U,$H356)&lt;&gt;"Disqualified — Free Game",INDEX('Game Records'!$H:$H,$H356)=""),"Entry Fee; ","")&amp;IF(AND(INDEX('Game Records'!$U:$U,$H356)&lt;&gt;"Subscription",INDEX('Game Records'!$U:$U,$H356)&lt;&gt;"Free Game",INDEX('Game Records'!$U:$U,$H356)&lt;&gt;"Disqualified — Free Game",INDEX('Game Records'!$I:$I,$H356)=""),"Eligible Players; ","")&amp;IF(AND(INDEX('Game Records'!$U:$U,$H356)&lt;&gt;"Subscription",INDEX('Game Records'!$U:$U,$H356)&lt;&gt;"Free Game",INDEX('Game Records'!$U:$U,$H356)&lt;&gt;"Disqualified — Free Game",INDEX('Game Records'!$J:$J,$H356)=""),"Total Players; ","")&amp;IF(AND(LOWER(INDEX('Game Records'!$D:$D,$H356)&amp;"")="finalized",LOWER(INDEX('Game Records'!$L:$L,$H356)&amp;"")&lt;&gt;"yes",INDEX('Game Records'!$U:$U,$H356)&lt;&gt;"Subscription",INDEX('Game Records'!$U:$U,$H356)&lt;&gt;"Free Game",INDEX('Game Records'!$U:$U,$H356)&lt;&gt;"Disqualified — Free Game",INDEX('Game Records'!$K:$K,$H356)=""),"Final Payout; ","")&amp;IF(AND(LOWER(INDEX('Game Records'!$D:$D,$H356)&amp;"")="finalized",INDEX('Game Records'!$U:$U,$H356)&lt;&gt;"Subscription",INDEX('Game Records'!$U:$U,$H356)&lt;&gt;"Free Game",INDEX('Game Records'!$U:$U,$H356)&lt;&gt;"Disqualified — Free Game",OR(INDEX('Game Records'!$L:$L,$H356)="",LOWER(INDEX('Game Records'!$L:$L,$H356)&amp;"")="n/a")),"Disqualified Status; ",""))</f>
        <v/>
      </c>
      <c r="G356" s="25" t="str">
        <f t="array" ref="G356">IF($H356="","",IFERROR(INDEX('Game Records'!$M:$M,$H356),""))</f>
        <v/>
      </c>
      <c r="H356" s="8"/>
    </row>
    <row r="357" ht="24.0" customHeight="1">
      <c r="A357" s="21" t="str">
        <f t="shared" si="1"/>
        <v/>
      </c>
      <c r="B357" s="21" t="str">
        <f t="shared" si="2"/>
        <v/>
      </c>
      <c r="C357" s="25" t="str">
        <f t="array" ref="C357">IF($H357="","",IFERROR(INDEX('Game Records'!$A:$A,$H357),""))</f>
        <v/>
      </c>
      <c r="D357" s="25" t="str">
        <f t="array" ref="D357">IF($H357="","",IFERROR(INDEX('Game Records'!$U:$U,$H357),""))</f>
        <v/>
      </c>
      <c r="E357" s="25" t="str">
        <f t="shared" si="3"/>
        <v/>
      </c>
      <c r="F357" s="25" t="str">
        <f t="array" ref="F357">IF($H357="","",IF(OR(NOT(_xlfn.ISFORMULA(INDEX('Game Records'!$N:$N,$H357))),NOT(_xlfn.ISFORMULA(INDEX('Game Records'!$O:$O,$H357))),NOT(_xlfn.ISFORMULA(INDEX('Game Records'!$P:$P,$H357))),NOT(_xlfn.ISFORMULA(INDEX('Game Records'!$Q:$Q,$H357))),NOT(_xlfn.ISFORMULA(INDEX('Game Records'!$R:$R,$H357))),NOT(_xlfn.ISFORMULA(INDEX('Game Records'!$S:$S,$H357))),NOT(_xlfn.ISFORMULA(INDEX('Game Records'!$T:$T,$H357))),NOT(_xlfn.ISFORMULA(INDEX('Game Records'!$U:$U,$H357))),NOT(_xlfn.ISFORMULA(INDEX('Game Records'!$V:$V,$H357))),NOT(_xlfn.ISFORMULA(INDEX('Game Records'!$W:$W,$H357))),NOT(_xlfn.ISFORMULA(INDEX('Game Records'!$X:$X,$H357))),NOT(_xlfn.ISFORMULA(INDEX('Game Records'!$Y:$Y,$H357))),NOT(_xlfn.ISFORMULA(INDEX('Game Records'!$Z:$Z,$H357)))),"","")&amp;IF(INDEX('Game Records'!$B:$B,$H357)="","Start Date; ","")&amp;IF(INDEX('Game Records'!$C:$C,$H357)="","End Date; ","")&amp;IF(AND(INDEX('Game Records'!$U:$U,$H357)&lt;&gt;"Subscription",INDEX('Game Records'!$U:$U,$H357)&lt;&gt;"Free Game",INDEX('Game Records'!$U:$U,$H357)&lt;&gt;"Disqualified — Free Game",OR(INDEX('Game Records'!$D:$D,$H357)="",LOWER(INDEX('Game Records'!$D:$D,$H357)&amp;"")="n/a")),"Entry Mode; ","")&amp;IF(AND(INDEX('Game Records'!$U:$U,$H357)&lt;&gt;"Subscription",INDEX('Game Records'!$U:$U,$H357)&lt;&gt;"Free Game",INDEX('Game Records'!$U:$U,$H357)&lt;&gt;"Disqualified — Free Game",OR(INDEX('Game Records'!$E:$E,$H357)="",LOWER(INDEX('Game Records'!$E:$E,$H357)&amp;"")="n/a")),"Game Type; ","")&amp;IF(INDEX('Game Records'!$F:$F,$H357)="","Payment Type; ","")&amp;IF(AND(INDEX('Game Records'!$U:$U,$H357)&lt;&gt;"Subscription",INDEX('Game Records'!$U:$U,$H357)&lt;&gt;"Free Game",INDEX('Game Records'!$U:$U,$H357)&lt;&gt;"Disqualified — Free Game",INDEX('Game Records'!$G:$G,$H357)=""),"Gross Pot; ","")&amp;IF(AND(INDEX('Game Records'!$U:$U,$H357)&lt;&gt;"Free Game",INDEX('Game Records'!$U:$U,$H357)&lt;&gt;"Disqualified — Free Game",INDEX('Game Records'!$H:$H,$H357)=""),"Entry Fee; ","")&amp;IF(AND(INDEX('Game Records'!$U:$U,$H357)&lt;&gt;"Subscription",INDEX('Game Records'!$U:$U,$H357)&lt;&gt;"Free Game",INDEX('Game Records'!$U:$U,$H357)&lt;&gt;"Disqualified — Free Game",INDEX('Game Records'!$I:$I,$H357)=""),"Eligible Players; ","")&amp;IF(AND(INDEX('Game Records'!$U:$U,$H357)&lt;&gt;"Subscription",INDEX('Game Records'!$U:$U,$H357)&lt;&gt;"Free Game",INDEX('Game Records'!$U:$U,$H357)&lt;&gt;"Disqualified — Free Game",INDEX('Game Records'!$J:$J,$H357)=""),"Total Players; ","")&amp;IF(AND(LOWER(INDEX('Game Records'!$D:$D,$H357)&amp;"")="finalized",LOWER(INDEX('Game Records'!$L:$L,$H357)&amp;"")&lt;&gt;"yes",INDEX('Game Records'!$U:$U,$H357)&lt;&gt;"Subscription",INDEX('Game Records'!$U:$U,$H357)&lt;&gt;"Free Game",INDEX('Game Records'!$U:$U,$H357)&lt;&gt;"Disqualified — Free Game",INDEX('Game Records'!$K:$K,$H357)=""),"Final Payout; ","")&amp;IF(AND(LOWER(INDEX('Game Records'!$D:$D,$H357)&amp;"")="finalized",INDEX('Game Records'!$U:$U,$H357)&lt;&gt;"Subscription",INDEX('Game Records'!$U:$U,$H357)&lt;&gt;"Free Game",INDEX('Game Records'!$U:$U,$H357)&lt;&gt;"Disqualified — Free Game",OR(INDEX('Game Records'!$L:$L,$H357)="",LOWER(INDEX('Game Records'!$L:$L,$H357)&amp;"")="n/a")),"Disqualified Status; ",""))</f>
        <v/>
      </c>
      <c r="G357" s="25" t="str">
        <f t="array" ref="G357">IF($H357="","",IFERROR(INDEX('Game Records'!$M:$M,$H357),""))</f>
        <v/>
      </c>
      <c r="H357" s="8"/>
    </row>
    <row r="358" ht="24.0" customHeight="1">
      <c r="A358" s="21" t="str">
        <f t="shared" si="1"/>
        <v/>
      </c>
      <c r="B358" s="21" t="str">
        <f t="shared" si="2"/>
        <v/>
      </c>
      <c r="C358" s="25" t="str">
        <f t="array" ref="C358">IF($H358="","",IFERROR(INDEX('Game Records'!$A:$A,$H358),""))</f>
        <v/>
      </c>
      <c r="D358" s="25" t="str">
        <f t="array" ref="D358">IF($H358="","",IFERROR(INDEX('Game Records'!$U:$U,$H358),""))</f>
        <v/>
      </c>
      <c r="E358" s="25" t="str">
        <f t="shared" si="3"/>
        <v/>
      </c>
      <c r="F358" s="25" t="str">
        <f t="array" ref="F358">IF($H358="","",IF(OR(NOT(_xlfn.ISFORMULA(INDEX('Game Records'!$N:$N,$H358))),NOT(_xlfn.ISFORMULA(INDEX('Game Records'!$O:$O,$H358))),NOT(_xlfn.ISFORMULA(INDEX('Game Records'!$P:$P,$H358))),NOT(_xlfn.ISFORMULA(INDEX('Game Records'!$Q:$Q,$H358))),NOT(_xlfn.ISFORMULA(INDEX('Game Records'!$R:$R,$H358))),NOT(_xlfn.ISFORMULA(INDEX('Game Records'!$S:$S,$H358))),NOT(_xlfn.ISFORMULA(INDEX('Game Records'!$T:$T,$H358))),NOT(_xlfn.ISFORMULA(INDEX('Game Records'!$U:$U,$H358))),NOT(_xlfn.ISFORMULA(INDEX('Game Records'!$V:$V,$H358))),NOT(_xlfn.ISFORMULA(INDEX('Game Records'!$W:$W,$H358))),NOT(_xlfn.ISFORMULA(INDEX('Game Records'!$X:$X,$H358))),NOT(_xlfn.ISFORMULA(INDEX('Game Records'!$Y:$Y,$H358))),NOT(_xlfn.ISFORMULA(INDEX('Game Records'!$Z:$Z,$H358)))),"","")&amp;IF(INDEX('Game Records'!$B:$B,$H358)="","Start Date; ","")&amp;IF(INDEX('Game Records'!$C:$C,$H358)="","End Date; ","")&amp;IF(AND(INDEX('Game Records'!$U:$U,$H358)&lt;&gt;"Subscription",INDEX('Game Records'!$U:$U,$H358)&lt;&gt;"Free Game",INDEX('Game Records'!$U:$U,$H358)&lt;&gt;"Disqualified — Free Game",OR(INDEX('Game Records'!$D:$D,$H358)="",LOWER(INDEX('Game Records'!$D:$D,$H358)&amp;"")="n/a")),"Entry Mode; ","")&amp;IF(AND(INDEX('Game Records'!$U:$U,$H358)&lt;&gt;"Subscription",INDEX('Game Records'!$U:$U,$H358)&lt;&gt;"Free Game",INDEX('Game Records'!$U:$U,$H358)&lt;&gt;"Disqualified — Free Game",OR(INDEX('Game Records'!$E:$E,$H358)="",LOWER(INDEX('Game Records'!$E:$E,$H358)&amp;"")="n/a")),"Game Type; ","")&amp;IF(INDEX('Game Records'!$F:$F,$H358)="","Payment Type; ","")&amp;IF(AND(INDEX('Game Records'!$U:$U,$H358)&lt;&gt;"Subscription",INDEX('Game Records'!$U:$U,$H358)&lt;&gt;"Free Game",INDEX('Game Records'!$U:$U,$H358)&lt;&gt;"Disqualified — Free Game",INDEX('Game Records'!$G:$G,$H358)=""),"Gross Pot; ","")&amp;IF(AND(INDEX('Game Records'!$U:$U,$H358)&lt;&gt;"Free Game",INDEX('Game Records'!$U:$U,$H358)&lt;&gt;"Disqualified — Free Game",INDEX('Game Records'!$H:$H,$H358)=""),"Entry Fee; ","")&amp;IF(AND(INDEX('Game Records'!$U:$U,$H358)&lt;&gt;"Subscription",INDEX('Game Records'!$U:$U,$H358)&lt;&gt;"Free Game",INDEX('Game Records'!$U:$U,$H358)&lt;&gt;"Disqualified — Free Game",INDEX('Game Records'!$I:$I,$H358)=""),"Eligible Players; ","")&amp;IF(AND(INDEX('Game Records'!$U:$U,$H358)&lt;&gt;"Subscription",INDEX('Game Records'!$U:$U,$H358)&lt;&gt;"Free Game",INDEX('Game Records'!$U:$U,$H358)&lt;&gt;"Disqualified — Free Game",INDEX('Game Records'!$J:$J,$H358)=""),"Total Players; ","")&amp;IF(AND(LOWER(INDEX('Game Records'!$D:$D,$H358)&amp;"")="finalized",LOWER(INDEX('Game Records'!$L:$L,$H358)&amp;"")&lt;&gt;"yes",INDEX('Game Records'!$U:$U,$H358)&lt;&gt;"Subscription",INDEX('Game Records'!$U:$U,$H358)&lt;&gt;"Free Game",INDEX('Game Records'!$U:$U,$H358)&lt;&gt;"Disqualified — Free Game",INDEX('Game Records'!$K:$K,$H358)=""),"Final Payout; ","")&amp;IF(AND(LOWER(INDEX('Game Records'!$D:$D,$H358)&amp;"")="finalized",INDEX('Game Records'!$U:$U,$H358)&lt;&gt;"Subscription",INDEX('Game Records'!$U:$U,$H358)&lt;&gt;"Free Game",INDEX('Game Records'!$U:$U,$H358)&lt;&gt;"Disqualified — Free Game",OR(INDEX('Game Records'!$L:$L,$H358)="",LOWER(INDEX('Game Records'!$L:$L,$H358)&amp;"")="n/a")),"Disqualified Status; ",""))</f>
        <v/>
      </c>
      <c r="G358" s="25" t="str">
        <f t="array" ref="G358">IF($H358="","",IFERROR(INDEX('Game Records'!$M:$M,$H358),""))</f>
        <v/>
      </c>
      <c r="H358" s="8"/>
    </row>
    <row r="359" ht="24.0" customHeight="1">
      <c r="A359" s="21" t="str">
        <f t="shared" si="1"/>
        <v/>
      </c>
      <c r="B359" s="21" t="str">
        <f t="shared" si="2"/>
        <v/>
      </c>
      <c r="C359" s="25" t="str">
        <f t="array" ref="C359">IF($H359="","",IFERROR(INDEX('Game Records'!$A:$A,$H359),""))</f>
        <v/>
      </c>
      <c r="D359" s="25" t="str">
        <f t="array" ref="D359">IF($H359="","",IFERROR(INDEX('Game Records'!$U:$U,$H359),""))</f>
        <v/>
      </c>
      <c r="E359" s="25" t="str">
        <f t="shared" si="3"/>
        <v/>
      </c>
      <c r="F359" s="25" t="str">
        <f t="array" ref="F359">IF($H359="","",IF(OR(NOT(_xlfn.ISFORMULA(INDEX('Game Records'!$N:$N,$H359))),NOT(_xlfn.ISFORMULA(INDEX('Game Records'!$O:$O,$H359))),NOT(_xlfn.ISFORMULA(INDEX('Game Records'!$P:$P,$H359))),NOT(_xlfn.ISFORMULA(INDEX('Game Records'!$Q:$Q,$H359))),NOT(_xlfn.ISFORMULA(INDEX('Game Records'!$R:$R,$H359))),NOT(_xlfn.ISFORMULA(INDEX('Game Records'!$S:$S,$H359))),NOT(_xlfn.ISFORMULA(INDEX('Game Records'!$T:$T,$H359))),NOT(_xlfn.ISFORMULA(INDEX('Game Records'!$U:$U,$H359))),NOT(_xlfn.ISFORMULA(INDEX('Game Records'!$V:$V,$H359))),NOT(_xlfn.ISFORMULA(INDEX('Game Records'!$W:$W,$H359))),NOT(_xlfn.ISFORMULA(INDEX('Game Records'!$X:$X,$H359))),NOT(_xlfn.ISFORMULA(INDEX('Game Records'!$Y:$Y,$H359))),NOT(_xlfn.ISFORMULA(INDEX('Game Records'!$Z:$Z,$H359)))),"","")&amp;IF(INDEX('Game Records'!$B:$B,$H359)="","Start Date; ","")&amp;IF(INDEX('Game Records'!$C:$C,$H359)="","End Date; ","")&amp;IF(AND(INDEX('Game Records'!$U:$U,$H359)&lt;&gt;"Subscription",INDEX('Game Records'!$U:$U,$H359)&lt;&gt;"Free Game",INDEX('Game Records'!$U:$U,$H359)&lt;&gt;"Disqualified — Free Game",OR(INDEX('Game Records'!$D:$D,$H359)="",LOWER(INDEX('Game Records'!$D:$D,$H359)&amp;"")="n/a")),"Entry Mode; ","")&amp;IF(AND(INDEX('Game Records'!$U:$U,$H359)&lt;&gt;"Subscription",INDEX('Game Records'!$U:$U,$H359)&lt;&gt;"Free Game",INDEX('Game Records'!$U:$U,$H359)&lt;&gt;"Disqualified — Free Game",OR(INDEX('Game Records'!$E:$E,$H359)="",LOWER(INDEX('Game Records'!$E:$E,$H359)&amp;"")="n/a")),"Game Type; ","")&amp;IF(INDEX('Game Records'!$F:$F,$H359)="","Payment Type; ","")&amp;IF(AND(INDEX('Game Records'!$U:$U,$H359)&lt;&gt;"Subscription",INDEX('Game Records'!$U:$U,$H359)&lt;&gt;"Free Game",INDEX('Game Records'!$U:$U,$H359)&lt;&gt;"Disqualified — Free Game",INDEX('Game Records'!$G:$G,$H359)=""),"Gross Pot; ","")&amp;IF(AND(INDEX('Game Records'!$U:$U,$H359)&lt;&gt;"Free Game",INDEX('Game Records'!$U:$U,$H359)&lt;&gt;"Disqualified — Free Game",INDEX('Game Records'!$H:$H,$H359)=""),"Entry Fee; ","")&amp;IF(AND(INDEX('Game Records'!$U:$U,$H359)&lt;&gt;"Subscription",INDEX('Game Records'!$U:$U,$H359)&lt;&gt;"Free Game",INDEX('Game Records'!$U:$U,$H359)&lt;&gt;"Disqualified — Free Game",INDEX('Game Records'!$I:$I,$H359)=""),"Eligible Players; ","")&amp;IF(AND(INDEX('Game Records'!$U:$U,$H359)&lt;&gt;"Subscription",INDEX('Game Records'!$U:$U,$H359)&lt;&gt;"Free Game",INDEX('Game Records'!$U:$U,$H359)&lt;&gt;"Disqualified — Free Game",INDEX('Game Records'!$J:$J,$H359)=""),"Total Players; ","")&amp;IF(AND(LOWER(INDEX('Game Records'!$D:$D,$H359)&amp;"")="finalized",LOWER(INDEX('Game Records'!$L:$L,$H359)&amp;"")&lt;&gt;"yes",INDEX('Game Records'!$U:$U,$H359)&lt;&gt;"Subscription",INDEX('Game Records'!$U:$U,$H359)&lt;&gt;"Free Game",INDEX('Game Records'!$U:$U,$H359)&lt;&gt;"Disqualified — Free Game",INDEX('Game Records'!$K:$K,$H359)=""),"Final Payout; ","")&amp;IF(AND(LOWER(INDEX('Game Records'!$D:$D,$H359)&amp;"")="finalized",INDEX('Game Records'!$U:$U,$H359)&lt;&gt;"Subscription",INDEX('Game Records'!$U:$U,$H359)&lt;&gt;"Free Game",INDEX('Game Records'!$U:$U,$H359)&lt;&gt;"Disqualified — Free Game",OR(INDEX('Game Records'!$L:$L,$H359)="",LOWER(INDEX('Game Records'!$L:$L,$H359)&amp;"")="n/a")),"Disqualified Status; ",""))</f>
        <v/>
      </c>
      <c r="G359" s="25" t="str">
        <f t="array" ref="G359">IF($H359="","",IFERROR(INDEX('Game Records'!$M:$M,$H359),""))</f>
        <v/>
      </c>
      <c r="H359" s="8"/>
    </row>
    <row r="360" ht="24.0" customHeight="1">
      <c r="A360" s="21" t="str">
        <f t="shared" si="1"/>
        <v/>
      </c>
      <c r="B360" s="21" t="str">
        <f t="shared" si="2"/>
        <v/>
      </c>
      <c r="C360" s="25" t="str">
        <f t="array" ref="C360">IF($H360="","",IFERROR(INDEX('Game Records'!$A:$A,$H360),""))</f>
        <v/>
      </c>
      <c r="D360" s="25" t="str">
        <f t="array" ref="D360">IF($H360="","",IFERROR(INDEX('Game Records'!$U:$U,$H360),""))</f>
        <v/>
      </c>
      <c r="E360" s="25" t="str">
        <f t="shared" si="3"/>
        <v/>
      </c>
      <c r="F360" s="25" t="str">
        <f t="array" ref="F360">IF($H360="","",IF(OR(NOT(_xlfn.ISFORMULA(INDEX('Game Records'!$N:$N,$H360))),NOT(_xlfn.ISFORMULA(INDEX('Game Records'!$O:$O,$H360))),NOT(_xlfn.ISFORMULA(INDEX('Game Records'!$P:$P,$H360))),NOT(_xlfn.ISFORMULA(INDEX('Game Records'!$Q:$Q,$H360))),NOT(_xlfn.ISFORMULA(INDEX('Game Records'!$R:$R,$H360))),NOT(_xlfn.ISFORMULA(INDEX('Game Records'!$S:$S,$H360))),NOT(_xlfn.ISFORMULA(INDEX('Game Records'!$T:$T,$H360))),NOT(_xlfn.ISFORMULA(INDEX('Game Records'!$U:$U,$H360))),NOT(_xlfn.ISFORMULA(INDEX('Game Records'!$V:$V,$H360))),NOT(_xlfn.ISFORMULA(INDEX('Game Records'!$W:$W,$H360))),NOT(_xlfn.ISFORMULA(INDEX('Game Records'!$X:$X,$H360))),NOT(_xlfn.ISFORMULA(INDEX('Game Records'!$Y:$Y,$H360))),NOT(_xlfn.ISFORMULA(INDEX('Game Records'!$Z:$Z,$H360)))),"","")&amp;IF(INDEX('Game Records'!$B:$B,$H360)="","Start Date; ","")&amp;IF(INDEX('Game Records'!$C:$C,$H360)="","End Date; ","")&amp;IF(AND(INDEX('Game Records'!$U:$U,$H360)&lt;&gt;"Subscription",INDEX('Game Records'!$U:$U,$H360)&lt;&gt;"Free Game",INDEX('Game Records'!$U:$U,$H360)&lt;&gt;"Disqualified — Free Game",OR(INDEX('Game Records'!$D:$D,$H360)="",LOWER(INDEX('Game Records'!$D:$D,$H360)&amp;"")="n/a")),"Entry Mode; ","")&amp;IF(AND(INDEX('Game Records'!$U:$U,$H360)&lt;&gt;"Subscription",INDEX('Game Records'!$U:$U,$H360)&lt;&gt;"Free Game",INDEX('Game Records'!$U:$U,$H360)&lt;&gt;"Disqualified — Free Game",OR(INDEX('Game Records'!$E:$E,$H360)="",LOWER(INDEX('Game Records'!$E:$E,$H360)&amp;"")="n/a")),"Game Type; ","")&amp;IF(INDEX('Game Records'!$F:$F,$H360)="","Payment Type; ","")&amp;IF(AND(INDEX('Game Records'!$U:$U,$H360)&lt;&gt;"Subscription",INDEX('Game Records'!$U:$U,$H360)&lt;&gt;"Free Game",INDEX('Game Records'!$U:$U,$H360)&lt;&gt;"Disqualified — Free Game",INDEX('Game Records'!$G:$G,$H360)=""),"Gross Pot; ","")&amp;IF(AND(INDEX('Game Records'!$U:$U,$H360)&lt;&gt;"Free Game",INDEX('Game Records'!$U:$U,$H360)&lt;&gt;"Disqualified — Free Game",INDEX('Game Records'!$H:$H,$H360)=""),"Entry Fee; ","")&amp;IF(AND(INDEX('Game Records'!$U:$U,$H360)&lt;&gt;"Subscription",INDEX('Game Records'!$U:$U,$H360)&lt;&gt;"Free Game",INDEX('Game Records'!$U:$U,$H360)&lt;&gt;"Disqualified — Free Game",INDEX('Game Records'!$I:$I,$H360)=""),"Eligible Players; ","")&amp;IF(AND(INDEX('Game Records'!$U:$U,$H360)&lt;&gt;"Subscription",INDEX('Game Records'!$U:$U,$H360)&lt;&gt;"Free Game",INDEX('Game Records'!$U:$U,$H360)&lt;&gt;"Disqualified — Free Game",INDEX('Game Records'!$J:$J,$H360)=""),"Total Players; ","")&amp;IF(AND(LOWER(INDEX('Game Records'!$D:$D,$H360)&amp;"")="finalized",LOWER(INDEX('Game Records'!$L:$L,$H360)&amp;"")&lt;&gt;"yes",INDEX('Game Records'!$U:$U,$H360)&lt;&gt;"Subscription",INDEX('Game Records'!$U:$U,$H360)&lt;&gt;"Free Game",INDEX('Game Records'!$U:$U,$H360)&lt;&gt;"Disqualified — Free Game",INDEX('Game Records'!$K:$K,$H360)=""),"Final Payout; ","")&amp;IF(AND(LOWER(INDEX('Game Records'!$D:$D,$H360)&amp;"")="finalized",INDEX('Game Records'!$U:$U,$H360)&lt;&gt;"Subscription",INDEX('Game Records'!$U:$U,$H360)&lt;&gt;"Free Game",INDEX('Game Records'!$U:$U,$H360)&lt;&gt;"Disqualified — Free Game",OR(INDEX('Game Records'!$L:$L,$H360)="",LOWER(INDEX('Game Records'!$L:$L,$H360)&amp;"")="n/a")),"Disqualified Status; ",""))</f>
        <v/>
      </c>
      <c r="G360" s="25" t="str">
        <f t="array" ref="G360">IF($H360="","",IFERROR(INDEX('Game Records'!$M:$M,$H360),""))</f>
        <v/>
      </c>
      <c r="H360" s="8"/>
    </row>
    <row r="361" ht="24.0" customHeight="1">
      <c r="A361" s="21" t="str">
        <f t="shared" si="1"/>
        <v/>
      </c>
      <c r="B361" s="21" t="str">
        <f t="shared" si="2"/>
        <v/>
      </c>
      <c r="C361" s="25" t="str">
        <f t="array" ref="C361">IF($H361="","",IFERROR(INDEX('Game Records'!$A:$A,$H361),""))</f>
        <v/>
      </c>
      <c r="D361" s="25" t="str">
        <f t="array" ref="D361">IF($H361="","",IFERROR(INDEX('Game Records'!$U:$U,$H361),""))</f>
        <v/>
      </c>
      <c r="E361" s="25" t="str">
        <f t="shared" si="3"/>
        <v/>
      </c>
      <c r="F361" s="25" t="str">
        <f t="array" ref="F361">IF($H361="","",IF(OR(NOT(_xlfn.ISFORMULA(INDEX('Game Records'!$N:$N,$H361))),NOT(_xlfn.ISFORMULA(INDEX('Game Records'!$O:$O,$H361))),NOT(_xlfn.ISFORMULA(INDEX('Game Records'!$P:$P,$H361))),NOT(_xlfn.ISFORMULA(INDEX('Game Records'!$Q:$Q,$H361))),NOT(_xlfn.ISFORMULA(INDEX('Game Records'!$R:$R,$H361))),NOT(_xlfn.ISFORMULA(INDEX('Game Records'!$S:$S,$H361))),NOT(_xlfn.ISFORMULA(INDEX('Game Records'!$T:$T,$H361))),NOT(_xlfn.ISFORMULA(INDEX('Game Records'!$U:$U,$H361))),NOT(_xlfn.ISFORMULA(INDEX('Game Records'!$V:$V,$H361))),NOT(_xlfn.ISFORMULA(INDEX('Game Records'!$W:$W,$H361))),NOT(_xlfn.ISFORMULA(INDEX('Game Records'!$X:$X,$H361))),NOT(_xlfn.ISFORMULA(INDEX('Game Records'!$Y:$Y,$H361))),NOT(_xlfn.ISFORMULA(INDEX('Game Records'!$Z:$Z,$H361)))),"","")&amp;IF(INDEX('Game Records'!$B:$B,$H361)="","Start Date; ","")&amp;IF(INDEX('Game Records'!$C:$C,$H361)="","End Date; ","")&amp;IF(AND(INDEX('Game Records'!$U:$U,$H361)&lt;&gt;"Subscription",INDEX('Game Records'!$U:$U,$H361)&lt;&gt;"Free Game",INDEX('Game Records'!$U:$U,$H361)&lt;&gt;"Disqualified — Free Game",OR(INDEX('Game Records'!$D:$D,$H361)="",LOWER(INDEX('Game Records'!$D:$D,$H361)&amp;"")="n/a")),"Entry Mode; ","")&amp;IF(AND(INDEX('Game Records'!$U:$U,$H361)&lt;&gt;"Subscription",INDEX('Game Records'!$U:$U,$H361)&lt;&gt;"Free Game",INDEX('Game Records'!$U:$U,$H361)&lt;&gt;"Disqualified — Free Game",OR(INDEX('Game Records'!$E:$E,$H361)="",LOWER(INDEX('Game Records'!$E:$E,$H361)&amp;"")="n/a")),"Game Type; ","")&amp;IF(INDEX('Game Records'!$F:$F,$H361)="","Payment Type; ","")&amp;IF(AND(INDEX('Game Records'!$U:$U,$H361)&lt;&gt;"Subscription",INDEX('Game Records'!$U:$U,$H361)&lt;&gt;"Free Game",INDEX('Game Records'!$U:$U,$H361)&lt;&gt;"Disqualified — Free Game",INDEX('Game Records'!$G:$G,$H361)=""),"Gross Pot; ","")&amp;IF(AND(INDEX('Game Records'!$U:$U,$H361)&lt;&gt;"Free Game",INDEX('Game Records'!$U:$U,$H361)&lt;&gt;"Disqualified — Free Game",INDEX('Game Records'!$H:$H,$H361)=""),"Entry Fee; ","")&amp;IF(AND(INDEX('Game Records'!$U:$U,$H361)&lt;&gt;"Subscription",INDEX('Game Records'!$U:$U,$H361)&lt;&gt;"Free Game",INDEX('Game Records'!$U:$U,$H361)&lt;&gt;"Disqualified — Free Game",INDEX('Game Records'!$I:$I,$H361)=""),"Eligible Players; ","")&amp;IF(AND(INDEX('Game Records'!$U:$U,$H361)&lt;&gt;"Subscription",INDEX('Game Records'!$U:$U,$H361)&lt;&gt;"Free Game",INDEX('Game Records'!$U:$U,$H361)&lt;&gt;"Disqualified — Free Game",INDEX('Game Records'!$J:$J,$H361)=""),"Total Players; ","")&amp;IF(AND(LOWER(INDEX('Game Records'!$D:$D,$H361)&amp;"")="finalized",LOWER(INDEX('Game Records'!$L:$L,$H361)&amp;"")&lt;&gt;"yes",INDEX('Game Records'!$U:$U,$H361)&lt;&gt;"Subscription",INDEX('Game Records'!$U:$U,$H361)&lt;&gt;"Free Game",INDEX('Game Records'!$U:$U,$H361)&lt;&gt;"Disqualified — Free Game",INDEX('Game Records'!$K:$K,$H361)=""),"Final Payout; ","")&amp;IF(AND(LOWER(INDEX('Game Records'!$D:$D,$H361)&amp;"")="finalized",INDEX('Game Records'!$U:$U,$H361)&lt;&gt;"Subscription",INDEX('Game Records'!$U:$U,$H361)&lt;&gt;"Free Game",INDEX('Game Records'!$U:$U,$H361)&lt;&gt;"Disqualified — Free Game",OR(INDEX('Game Records'!$L:$L,$H361)="",LOWER(INDEX('Game Records'!$L:$L,$H361)&amp;"")="n/a")),"Disqualified Status; ",""))</f>
        <v/>
      </c>
      <c r="G361" s="25" t="str">
        <f t="array" ref="G361">IF($H361="","",IFERROR(INDEX('Game Records'!$M:$M,$H361),""))</f>
        <v/>
      </c>
      <c r="H361" s="8"/>
    </row>
    <row r="362" ht="24.0" customHeight="1">
      <c r="A362" s="21" t="str">
        <f t="shared" si="1"/>
        <v/>
      </c>
      <c r="B362" s="21" t="str">
        <f t="shared" si="2"/>
        <v/>
      </c>
      <c r="C362" s="25" t="str">
        <f t="array" ref="C362">IF($H362="","",IFERROR(INDEX('Game Records'!$A:$A,$H362),""))</f>
        <v/>
      </c>
      <c r="D362" s="25" t="str">
        <f t="array" ref="D362">IF($H362="","",IFERROR(INDEX('Game Records'!$U:$U,$H362),""))</f>
        <v/>
      </c>
      <c r="E362" s="25" t="str">
        <f t="shared" si="3"/>
        <v/>
      </c>
      <c r="F362" s="25" t="str">
        <f t="array" ref="F362">IF($H362="","",IF(OR(NOT(_xlfn.ISFORMULA(INDEX('Game Records'!$N:$N,$H362))),NOT(_xlfn.ISFORMULA(INDEX('Game Records'!$O:$O,$H362))),NOT(_xlfn.ISFORMULA(INDEX('Game Records'!$P:$P,$H362))),NOT(_xlfn.ISFORMULA(INDEX('Game Records'!$Q:$Q,$H362))),NOT(_xlfn.ISFORMULA(INDEX('Game Records'!$R:$R,$H362))),NOT(_xlfn.ISFORMULA(INDEX('Game Records'!$S:$S,$H362))),NOT(_xlfn.ISFORMULA(INDEX('Game Records'!$T:$T,$H362))),NOT(_xlfn.ISFORMULA(INDEX('Game Records'!$U:$U,$H362))),NOT(_xlfn.ISFORMULA(INDEX('Game Records'!$V:$V,$H362))),NOT(_xlfn.ISFORMULA(INDEX('Game Records'!$W:$W,$H362))),NOT(_xlfn.ISFORMULA(INDEX('Game Records'!$X:$X,$H362))),NOT(_xlfn.ISFORMULA(INDEX('Game Records'!$Y:$Y,$H362))),NOT(_xlfn.ISFORMULA(INDEX('Game Records'!$Z:$Z,$H362)))),"","")&amp;IF(INDEX('Game Records'!$B:$B,$H362)="","Start Date; ","")&amp;IF(INDEX('Game Records'!$C:$C,$H362)="","End Date; ","")&amp;IF(AND(INDEX('Game Records'!$U:$U,$H362)&lt;&gt;"Subscription",INDEX('Game Records'!$U:$U,$H362)&lt;&gt;"Free Game",INDEX('Game Records'!$U:$U,$H362)&lt;&gt;"Disqualified — Free Game",OR(INDEX('Game Records'!$D:$D,$H362)="",LOWER(INDEX('Game Records'!$D:$D,$H362)&amp;"")="n/a")),"Entry Mode; ","")&amp;IF(AND(INDEX('Game Records'!$U:$U,$H362)&lt;&gt;"Subscription",INDEX('Game Records'!$U:$U,$H362)&lt;&gt;"Free Game",INDEX('Game Records'!$U:$U,$H362)&lt;&gt;"Disqualified — Free Game",OR(INDEX('Game Records'!$E:$E,$H362)="",LOWER(INDEX('Game Records'!$E:$E,$H362)&amp;"")="n/a")),"Game Type; ","")&amp;IF(INDEX('Game Records'!$F:$F,$H362)="","Payment Type; ","")&amp;IF(AND(INDEX('Game Records'!$U:$U,$H362)&lt;&gt;"Subscription",INDEX('Game Records'!$U:$U,$H362)&lt;&gt;"Free Game",INDEX('Game Records'!$U:$U,$H362)&lt;&gt;"Disqualified — Free Game",INDEX('Game Records'!$G:$G,$H362)=""),"Gross Pot; ","")&amp;IF(AND(INDEX('Game Records'!$U:$U,$H362)&lt;&gt;"Free Game",INDEX('Game Records'!$U:$U,$H362)&lt;&gt;"Disqualified — Free Game",INDEX('Game Records'!$H:$H,$H362)=""),"Entry Fee; ","")&amp;IF(AND(INDEX('Game Records'!$U:$U,$H362)&lt;&gt;"Subscription",INDEX('Game Records'!$U:$U,$H362)&lt;&gt;"Free Game",INDEX('Game Records'!$U:$U,$H362)&lt;&gt;"Disqualified — Free Game",INDEX('Game Records'!$I:$I,$H362)=""),"Eligible Players; ","")&amp;IF(AND(INDEX('Game Records'!$U:$U,$H362)&lt;&gt;"Subscription",INDEX('Game Records'!$U:$U,$H362)&lt;&gt;"Free Game",INDEX('Game Records'!$U:$U,$H362)&lt;&gt;"Disqualified — Free Game",INDEX('Game Records'!$J:$J,$H362)=""),"Total Players; ","")&amp;IF(AND(LOWER(INDEX('Game Records'!$D:$D,$H362)&amp;"")="finalized",LOWER(INDEX('Game Records'!$L:$L,$H362)&amp;"")&lt;&gt;"yes",INDEX('Game Records'!$U:$U,$H362)&lt;&gt;"Subscription",INDEX('Game Records'!$U:$U,$H362)&lt;&gt;"Free Game",INDEX('Game Records'!$U:$U,$H362)&lt;&gt;"Disqualified — Free Game",INDEX('Game Records'!$K:$K,$H362)=""),"Final Payout; ","")&amp;IF(AND(LOWER(INDEX('Game Records'!$D:$D,$H362)&amp;"")="finalized",INDEX('Game Records'!$U:$U,$H362)&lt;&gt;"Subscription",INDEX('Game Records'!$U:$U,$H362)&lt;&gt;"Free Game",INDEX('Game Records'!$U:$U,$H362)&lt;&gt;"Disqualified — Free Game",OR(INDEX('Game Records'!$L:$L,$H362)="",LOWER(INDEX('Game Records'!$L:$L,$H362)&amp;"")="n/a")),"Disqualified Status; ",""))</f>
        <v/>
      </c>
      <c r="G362" s="25" t="str">
        <f t="array" ref="G362">IF($H362="","",IFERROR(INDEX('Game Records'!$M:$M,$H362),""))</f>
        <v/>
      </c>
      <c r="H362" s="8"/>
    </row>
    <row r="363" ht="24.0" customHeight="1">
      <c r="A363" s="21" t="str">
        <f t="shared" si="1"/>
        <v/>
      </c>
      <c r="B363" s="21" t="str">
        <f t="shared" si="2"/>
        <v/>
      </c>
      <c r="C363" s="25" t="str">
        <f t="array" ref="C363">IF($H363="","",IFERROR(INDEX('Game Records'!$A:$A,$H363),""))</f>
        <v/>
      </c>
      <c r="D363" s="25" t="str">
        <f t="array" ref="D363">IF($H363="","",IFERROR(INDEX('Game Records'!$U:$U,$H363),""))</f>
        <v/>
      </c>
      <c r="E363" s="25" t="str">
        <f t="shared" si="3"/>
        <v/>
      </c>
      <c r="F363" s="25" t="str">
        <f t="array" ref="F363">IF($H363="","",IF(OR(NOT(_xlfn.ISFORMULA(INDEX('Game Records'!$N:$N,$H363))),NOT(_xlfn.ISFORMULA(INDEX('Game Records'!$O:$O,$H363))),NOT(_xlfn.ISFORMULA(INDEX('Game Records'!$P:$P,$H363))),NOT(_xlfn.ISFORMULA(INDEX('Game Records'!$Q:$Q,$H363))),NOT(_xlfn.ISFORMULA(INDEX('Game Records'!$R:$R,$H363))),NOT(_xlfn.ISFORMULA(INDEX('Game Records'!$S:$S,$H363))),NOT(_xlfn.ISFORMULA(INDEX('Game Records'!$T:$T,$H363))),NOT(_xlfn.ISFORMULA(INDEX('Game Records'!$U:$U,$H363))),NOT(_xlfn.ISFORMULA(INDEX('Game Records'!$V:$V,$H363))),NOT(_xlfn.ISFORMULA(INDEX('Game Records'!$W:$W,$H363))),NOT(_xlfn.ISFORMULA(INDEX('Game Records'!$X:$X,$H363))),NOT(_xlfn.ISFORMULA(INDEX('Game Records'!$Y:$Y,$H363))),NOT(_xlfn.ISFORMULA(INDEX('Game Records'!$Z:$Z,$H363)))),"","")&amp;IF(INDEX('Game Records'!$B:$B,$H363)="","Start Date; ","")&amp;IF(INDEX('Game Records'!$C:$C,$H363)="","End Date; ","")&amp;IF(AND(INDEX('Game Records'!$U:$U,$H363)&lt;&gt;"Subscription",INDEX('Game Records'!$U:$U,$H363)&lt;&gt;"Free Game",INDEX('Game Records'!$U:$U,$H363)&lt;&gt;"Disqualified — Free Game",OR(INDEX('Game Records'!$D:$D,$H363)="",LOWER(INDEX('Game Records'!$D:$D,$H363)&amp;"")="n/a")),"Entry Mode; ","")&amp;IF(AND(INDEX('Game Records'!$U:$U,$H363)&lt;&gt;"Subscription",INDEX('Game Records'!$U:$U,$H363)&lt;&gt;"Free Game",INDEX('Game Records'!$U:$U,$H363)&lt;&gt;"Disqualified — Free Game",OR(INDEX('Game Records'!$E:$E,$H363)="",LOWER(INDEX('Game Records'!$E:$E,$H363)&amp;"")="n/a")),"Game Type; ","")&amp;IF(INDEX('Game Records'!$F:$F,$H363)="","Payment Type; ","")&amp;IF(AND(INDEX('Game Records'!$U:$U,$H363)&lt;&gt;"Subscription",INDEX('Game Records'!$U:$U,$H363)&lt;&gt;"Free Game",INDEX('Game Records'!$U:$U,$H363)&lt;&gt;"Disqualified — Free Game",INDEX('Game Records'!$G:$G,$H363)=""),"Gross Pot; ","")&amp;IF(AND(INDEX('Game Records'!$U:$U,$H363)&lt;&gt;"Free Game",INDEX('Game Records'!$U:$U,$H363)&lt;&gt;"Disqualified — Free Game",INDEX('Game Records'!$H:$H,$H363)=""),"Entry Fee; ","")&amp;IF(AND(INDEX('Game Records'!$U:$U,$H363)&lt;&gt;"Subscription",INDEX('Game Records'!$U:$U,$H363)&lt;&gt;"Free Game",INDEX('Game Records'!$U:$U,$H363)&lt;&gt;"Disqualified — Free Game",INDEX('Game Records'!$I:$I,$H363)=""),"Eligible Players; ","")&amp;IF(AND(INDEX('Game Records'!$U:$U,$H363)&lt;&gt;"Subscription",INDEX('Game Records'!$U:$U,$H363)&lt;&gt;"Free Game",INDEX('Game Records'!$U:$U,$H363)&lt;&gt;"Disqualified — Free Game",INDEX('Game Records'!$J:$J,$H363)=""),"Total Players; ","")&amp;IF(AND(LOWER(INDEX('Game Records'!$D:$D,$H363)&amp;"")="finalized",LOWER(INDEX('Game Records'!$L:$L,$H363)&amp;"")&lt;&gt;"yes",INDEX('Game Records'!$U:$U,$H363)&lt;&gt;"Subscription",INDEX('Game Records'!$U:$U,$H363)&lt;&gt;"Free Game",INDEX('Game Records'!$U:$U,$H363)&lt;&gt;"Disqualified — Free Game",INDEX('Game Records'!$K:$K,$H363)=""),"Final Payout; ","")&amp;IF(AND(LOWER(INDEX('Game Records'!$D:$D,$H363)&amp;"")="finalized",INDEX('Game Records'!$U:$U,$H363)&lt;&gt;"Subscription",INDEX('Game Records'!$U:$U,$H363)&lt;&gt;"Free Game",INDEX('Game Records'!$U:$U,$H363)&lt;&gt;"Disqualified — Free Game",OR(INDEX('Game Records'!$L:$L,$H363)="",LOWER(INDEX('Game Records'!$L:$L,$H363)&amp;"")="n/a")),"Disqualified Status; ",""))</f>
        <v/>
      </c>
      <c r="G363" s="25" t="str">
        <f t="array" ref="G363">IF($H363="","",IFERROR(INDEX('Game Records'!$M:$M,$H363),""))</f>
        <v/>
      </c>
      <c r="H363" s="8"/>
    </row>
    <row r="364" ht="24.0" customHeight="1">
      <c r="A364" s="21" t="str">
        <f t="shared" si="1"/>
        <v/>
      </c>
      <c r="B364" s="21" t="str">
        <f t="shared" si="2"/>
        <v/>
      </c>
      <c r="C364" s="25" t="str">
        <f t="array" ref="C364">IF($H364="","",IFERROR(INDEX('Game Records'!$A:$A,$H364),""))</f>
        <v/>
      </c>
      <c r="D364" s="25" t="str">
        <f t="array" ref="D364">IF($H364="","",IFERROR(INDEX('Game Records'!$U:$U,$H364),""))</f>
        <v/>
      </c>
      <c r="E364" s="25" t="str">
        <f t="shared" si="3"/>
        <v/>
      </c>
      <c r="F364" s="25" t="str">
        <f t="array" ref="F364">IF($H364="","",IF(OR(NOT(_xlfn.ISFORMULA(INDEX('Game Records'!$N:$N,$H364))),NOT(_xlfn.ISFORMULA(INDEX('Game Records'!$O:$O,$H364))),NOT(_xlfn.ISFORMULA(INDEX('Game Records'!$P:$P,$H364))),NOT(_xlfn.ISFORMULA(INDEX('Game Records'!$Q:$Q,$H364))),NOT(_xlfn.ISFORMULA(INDEX('Game Records'!$R:$R,$H364))),NOT(_xlfn.ISFORMULA(INDEX('Game Records'!$S:$S,$H364))),NOT(_xlfn.ISFORMULA(INDEX('Game Records'!$T:$T,$H364))),NOT(_xlfn.ISFORMULA(INDEX('Game Records'!$U:$U,$H364))),NOT(_xlfn.ISFORMULA(INDEX('Game Records'!$V:$V,$H364))),NOT(_xlfn.ISFORMULA(INDEX('Game Records'!$W:$W,$H364))),NOT(_xlfn.ISFORMULA(INDEX('Game Records'!$X:$X,$H364))),NOT(_xlfn.ISFORMULA(INDEX('Game Records'!$Y:$Y,$H364))),NOT(_xlfn.ISFORMULA(INDEX('Game Records'!$Z:$Z,$H364)))),"","")&amp;IF(INDEX('Game Records'!$B:$B,$H364)="","Start Date; ","")&amp;IF(INDEX('Game Records'!$C:$C,$H364)="","End Date; ","")&amp;IF(AND(INDEX('Game Records'!$U:$U,$H364)&lt;&gt;"Subscription",INDEX('Game Records'!$U:$U,$H364)&lt;&gt;"Free Game",INDEX('Game Records'!$U:$U,$H364)&lt;&gt;"Disqualified — Free Game",OR(INDEX('Game Records'!$D:$D,$H364)="",LOWER(INDEX('Game Records'!$D:$D,$H364)&amp;"")="n/a")),"Entry Mode; ","")&amp;IF(AND(INDEX('Game Records'!$U:$U,$H364)&lt;&gt;"Subscription",INDEX('Game Records'!$U:$U,$H364)&lt;&gt;"Free Game",INDEX('Game Records'!$U:$U,$H364)&lt;&gt;"Disqualified — Free Game",OR(INDEX('Game Records'!$E:$E,$H364)="",LOWER(INDEX('Game Records'!$E:$E,$H364)&amp;"")="n/a")),"Game Type; ","")&amp;IF(INDEX('Game Records'!$F:$F,$H364)="","Payment Type; ","")&amp;IF(AND(INDEX('Game Records'!$U:$U,$H364)&lt;&gt;"Subscription",INDEX('Game Records'!$U:$U,$H364)&lt;&gt;"Free Game",INDEX('Game Records'!$U:$U,$H364)&lt;&gt;"Disqualified — Free Game",INDEX('Game Records'!$G:$G,$H364)=""),"Gross Pot; ","")&amp;IF(AND(INDEX('Game Records'!$U:$U,$H364)&lt;&gt;"Free Game",INDEX('Game Records'!$U:$U,$H364)&lt;&gt;"Disqualified — Free Game",INDEX('Game Records'!$H:$H,$H364)=""),"Entry Fee; ","")&amp;IF(AND(INDEX('Game Records'!$U:$U,$H364)&lt;&gt;"Subscription",INDEX('Game Records'!$U:$U,$H364)&lt;&gt;"Free Game",INDEX('Game Records'!$U:$U,$H364)&lt;&gt;"Disqualified — Free Game",INDEX('Game Records'!$I:$I,$H364)=""),"Eligible Players; ","")&amp;IF(AND(INDEX('Game Records'!$U:$U,$H364)&lt;&gt;"Subscription",INDEX('Game Records'!$U:$U,$H364)&lt;&gt;"Free Game",INDEX('Game Records'!$U:$U,$H364)&lt;&gt;"Disqualified — Free Game",INDEX('Game Records'!$J:$J,$H364)=""),"Total Players; ","")&amp;IF(AND(LOWER(INDEX('Game Records'!$D:$D,$H364)&amp;"")="finalized",LOWER(INDEX('Game Records'!$L:$L,$H364)&amp;"")&lt;&gt;"yes",INDEX('Game Records'!$U:$U,$H364)&lt;&gt;"Subscription",INDEX('Game Records'!$U:$U,$H364)&lt;&gt;"Free Game",INDEX('Game Records'!$U:$U,$H364)&lt;&gt;"Disqualified — Free Game",INDEX('Game Records'!$K:$K,$H364)=""),"Final Payout; ","")&amp;IF(AND(LOWER(INDEX('Game Records'!$D:$D,$H364)&amp;"")="finalized",INDEX('Game Records'!$U:$U,$H364)&lt;&gt;"Subscription",INDEX('Game Records'!$U:$U,$H364)&lt;&gt;"Free Game",INDEX('Game Records'!$U:$U,$H364)&lt;&gt;"Disqualified — Free Game",OR(INDEX('Game Records'!$L:$L,$H364)="",LOWER(INDEX('Game Records'!$L:$L,$H364)&amp;"")="n/a")),"Disqualified Status; ",""))</f>
        <v/>
      </c>
      <c r="G364" s="25" t="str">
        <f t="array" ref="G364">IF($H364="","",IFERROR(INDEX('Game Records'!$M:$M,$H364),""))</f>
        <v/>
      </c>
      <c r="H364" s="8"/>
    </row>
    <row r="365" ht="24.0" customHeight="1">
      <c r="A365" s="21" t="str">
        <f t="shared" si="1"/>
        <v/>
      </c>
      <c r="B365" s="21" t="str">
        <f t="shared" si="2"/>
        <v/>
      </c>
      <c r="C365" s="25" t="str">
        <f t="array" ref="C365">IF($H365="","",IFERROR(INDEX('Game Records'!$A:$A,$H365),""))</f>
        <v/>
      </c>
      <c r="D365" s="25" t="str">
        <f t="array" ref="D365">IF($H365="","",IFERROR(INDEX('Game Records'!$U:$U,$H365),""))</f>
        <v/>
      </c>
      <c r="E365" s="25" t="str">
        <f t="shared" si="3"/>
        <v/>
      </c>
      <c r="F365" s="25" t="str">
        <f t="array" ref="F365">IF($H365="","",IF(OR(NOT(_xlfn.ISFORMULA(INDEX('Game Records'!$N:$N,$H365))),NOT(_xlfn.ISFORMULA(INDEX('Game Records'!$O:$O,$H365))),NOT(_xlfn.ISFORMULA(INDEX('Game Records'!$P:$P,$H365))),NOT(_xlfn.ISFORMULA(INDEX('Game Records'!$Q:$Q,$H365))),NOT(_xlfn.ISFORMULA(INDEX('Game Records'!$R:$R,$H365))),NOT(_xlfn.ISFORMULA(INDEX('Game Records'!$S:$S,$H365))),NOT(_xlfn.ISFORMULA(INDEX('Game Records'!$T:$T,$H365))),NOT(_xlfn.ISFORMULA(INDEX('Game Records'!$U:$U,$H365))),NOT(_xlfn.ISFORMULA(INDEX('Game Records'!$V:$V,$H365))),NOT(_xlfn.ISFORMULA(INDEX('Game Records'!$W:$W,$H365))),NOT(_xlfn.ISFORMULA(INDEX('Game Records'!$X:$X,$H365))),NOT(_xlfn.ISFORMULA(INDEX('Game Records'!$Y:$Y,$H365))),NOT(_xlfn.ISFORMULA(INDEX('Game Records'!$Z:$Z,$H365)))),"","")&amp;IF(INDEX('Game Records'!$B:$B,$H365)="","Start Date; ","")&amp;IF(INDEX('Game Records'!$C:$C,$H365)="","End Date; ","")&amp;IF(AND(INDEX('Game Records'!$U:$U,$H365)&lt;&gt;"Subscription",INDEX('Game Records'!$U:$U,$H365)&lt;&gt;"Free Game",INDEX('Game Records'!$U:$U,$H365)&lt;&gt;"Disqualified — Free Game",OR(INDEX('Game Records'!$D:$D,$H365)="",LOWER(INDEX('Game Records'!$D:$D,$H365)&amp;"")="n/a")),"Entry Mode; ","")&amp;IF(AND(INDEX('Game Records'!$U:$U,$H365)&lt;&gt;"Subscription",INDEX('Game Records'!$U:$U,$H365)&lt;&gt;"Free Game",INDEX('Game Records'!$U:$U,$H365)&lt;&gt;"Disqualified — Free Game",OR(INDEX('Game Records'!$E:$E,$H365)="",LOWER(INDEX('Game Records'!$E:$E,$H365)&amp;"")="n/a")),"Game Type; ","")&amp;IF(INDEX('Game Records'!$F:$F,$H365)="","Payment Type; ","")&amp;IF(AND(INDEX('Game Records'!$U:$U,$H365)&lt;&gt;"Subscription",INDEX('Game Records'!$U:$U,$H365)&lt;&gt;"Free Game",INDEX('Game Records'!$U:$U,$H365)&lt;&gt;"Disqualified — Free Game",INDEX('Game Records'!$G:$G,$H365)=""),"Gross Pot; ","")&amp;IF(AND(INDEX('Game Records'!$U:$U,$H365)&lt;&gt;"Free Game",INDEX('Game Records'!$U:$U,$H365)&lt;&gt;"Disqualified — Free Game",INDEX('Game Records'!$H:$H,$H365)=""),"Entry Fee; ","")&amp;IF(AND(INDEX('Game Records'!$U:$U,$H365)&lt;&gt;"Subscription",INDEX('Game Records'!$U:$U,$H365)&lt;&gt;"Free Game",INDEX('Game Records'!$U:$U,$H365)&lt;&gt;"Disqualified — Free Game",INDEX('Game Records'!$I:$I,$H365)=""),"Eligible Players; ","")&amp;IF(AND(INDEX('Game Records'!$U:$U,$H365)&lt;&gt;"Subscription",INDEX('Game Records'!$U:$U,$H365)&lt;&gt;"Free Game",INDEX('Game Records'!$U:$U,$H365)&lt;&gt;"Disqualified — Free Game",INDEX('Game Records'!$J:$J,$H365)=""),"Total Players; ","")&amp;IF(AND(LOWER(INDEX('Game Records'!$D:$D,$H365)&amp;"")="finalized",LOWER(INDEX('Game Records'!$L:$L,$H365)&amp;"")&lt;&gt;"yes",INDEX('Game Records'!$U:$U,$H365)&lt;&gt;"Subscription",INDEX('Game Records'!$U:$U,$H365)&lt;&gt;"Free Game",INDEX('Game Records'!$U:$U,$H365)&lt;&gt;"Disqualified — Free Game",INDEX('Game Records'!$K:$K,$H365)=""),"Final Payout; ","")&amp;IF(AND(LOWER(INDEX('Game Records'!$D:$D,$H365)&amp;"")="finalized",INDEX('Game Records'!$U:$U,$H365)&lt;&gt;"Subscription",INDEX('Game Records'!$U:$U,$H365)&lt;&gt;"Free Game",INDEX('Game Records'!$U:$U,$H365)&lt;&gt;"Disqualified — Free Game",OR(INDEX('Game Records'!$L:$L,$H365)="",LOWER(INDEX('Game Records'!$L:$L,$H365)&amp;"")="n/a")),"Disqualified Status; ",""))</f>
        <v/>
      </c>
      <c r="G365" s="25" t="str">
        <f t="array" ref="G365">IF($H365="","",IFERROR(INDEX('Game Records'!$M:$M,$H365),""))</f>
        <v/>
      </c>
      <c r="H365" s="8"/>
    </row>
    <row r="366" ht="24.0" customHeight="1">
      <c r="A366" s="21" t="str">
        <f t="shared" si="1"/>
        <v/>
      </c>
      <c r="B366" s="21" t="str">
        <f t="shared" si="2"/>
        <v/>
      </c>
      <c r="C366" s="25" t="str">
        <f t="array" ref="C366">IF($H366="","",IFERROR(INDEX('Game Records'!$A:$A,$H366),""))</f>
        <v/>
      </c>
      <c r="D366" s="25" t="str">
        <f t="array" ref="D366">IF($H366="","",IFERROR(INDEX('Game Records'!$U:$U,$H366),""))</f>
        <v/>
      </c>
      <c r="E366" s="25" t="str">
        <f t="shared" si="3"/>
        <v/>
      </c>
      <c r="F366" s="25" t="str">
        <f t="array" ref="F366">IF($H366="","",IF(OR(NOT(_xlfn.ISFORMULA(INDEX('Game Records'!$N:$N,$H366))),NOT(_xlfn.ISFORMULA(INDEX('Game Records'!$O:$O,$H366))),NOT(_xlfn.ISFORMULA(INDEX('Game Records'!$P:$P,$H366))),NOT(_xlfn.ISFORMULA(INDEX('Game Records'!$Q:$Q,$H366))),NOT(_xlfn.ISFORMULA(INDEX('Game Records'!$R:$R,$H366))),NOT(_xlfn.ISFORMULA(INDEX('Game Records'!$S:$S,$H366))),NOT(_xlfn.ISFORMULA(INDEX('Game Records'!$T:$T,$H366))),NOT(_xlfn.ISFORMULA(INDEX('Game Records'!$U:$U,$H366))),NOT(_xlfn.ISFORMULA(INDEX('Game Records'!$V:$V,$H366))),NOT(_xlfn.ISFORMULA(INDEX('Game Records'!$W:$W,$H366))),NOT(_xlfn.ISFORMULA(INDEX('Game Records'!$X:$X,$H366))),NOT(_xlfn.ISFORMULA(INDEX('Game Records'!$Y:$Y,$H366))),NOT(_xlfn.ISFORMULA(INDEX('Game Records'!$Z:$Z,$H366)))),"","")&amp;IF(INDEX('Game Records'!$B:$B,$H366)="","Start Date; ","")&amp;IF(INDEX('Game Records'!$C:$C,$H366)="","End Date; ","")&amp;IF(AND(INDEX('Game Records'!$U:$U,$H366)&lt;&gt;"Subscription",INDEX('Game Records'!$U:$U,$H366)&lt;&gt;"Free Game",INDEX('Game Records'!$U:$U,$H366)&lt;&gt;"Disqualified — Free Game",OR(INDEX('Game Records'!$D:$D,$H366)="",LOWER(INDEX('Game Records'!$D:$D,$H366)&amp;"")="n/a")),"Entry Mode; ","")&amp;IF(AND(INDEX('Game Records'!$U:$U,$H366)&lt;&gt;"Subscription",INDEX('Game Records'!$U:$U,$H366)&lt;&gt;"Free Game",INDEX('Game Records'!$U:$U,$H366)&lt;&gt;"Disqualified — Free Game",OR(INDEX('Game Records'!$E:$E,$H366)="",LOWER(INDEX('Game Records'!$E:$E,$H366)&amp;"")="n/a")),"Game Type; ","")&amp;IF(INDEX('Game Records'!$F:$F,$H366)="","Payment Type; ","")&amp;IF(AND(INDEX('Game Records'!$U:$U,$H366)&lt;&gt;"Subscription",INDEX('Game Records'!$U:$U,$H366)&lt;&gt;"Free Game",INDEX('Game Records'!$U:$U,$H366)&lt;&gt;"Disqualified — Free Game",INDEX('Game Records'!$G:$G,$H366)=""),"Gross Pot; ","")&amp;IF(AND(INDEX('Game Records'!$U:$U,$H366)&lt;&gt;"Free Game",INDEX('Game Records'!$U:$U,$H366)&lt;&gt;"Disqualified — Free Game",INDEX('Game Records'!$H:$H,$H366)=""),"Entry Fee; ","")&amp;IF(AND(INDEX('Game Records'!$U:$U,$H366)&lt;&gt;"Subscription",INDEX('Game Records'!$U:$U,$H366)&lt;&gt;"Free Game",INDEX('Game Records'!$U:$U,$H366)&lt;&gt;"Disqualified — Free Game",INDEX('Game Records'!$I:$I,$H366)=""),"Eligible Players; ","")&amp;IF(AND(INDEX('Game Records'!$U:$U,$H366)&lt;&gt;"Subscription",INDEX('Game Records'!$U:$U,$H366)&lt;&gt;"Free Game",INDEX('Game Records'!$U:$U,$H366)&lt;&gt;"Disqualified — Free Game",INDEX('Game Records'!$J:$J,$H366)=""),"Total Players; ","")&amp;IF(AND(LOWER(INDEX('Game Records'!$D:$D,$H366)&amp;"")="finalized",LOWER(INDEX('Game Records'!$L:$L,$H366)&amp;"")&lt;&gt;"yes",INDEX('Game Records'!$U:$U,$H366)&lt;&gt;"Subscription",INDEX('Game Records'!$U:$U,$H366)&lt;&gt;"Free Game",INDEX('Game Records'!$U:$U,$H366)&lt;&gt;"Disqualified — Free Game",INDEX('Game Records'!$K:$K,$H366)=""),"Final Payout; ","")&amp;IF(AND(LOWER(INDEX('Game Records'!$D:$D,$H366)&amp;"")="finalized",INDEX('Game Records'!$U:$U,$H366)&lt;&gt;"Subscription",INDEX('Game Records'!$U:$U,$H366)&lt;&gt;"Free Game",INDEX('Game Records'!$U:$U,$H366)&lt;&gt;"Disqualified — Free Game",OR(INDEX('Game Records'!$L:$L,$H366)="",LOWER(INDEX('Game Records'!$L:$L,$H366)&amp;"")="n/a")),"Disqualified Status; ",""))</f>
        <v/>
      </c>
      <c r="G366" s="25" t="str">
        <f t="array" ref="G366">IF($H366="","",IFERROR(INDEX('Game Records'!$M:$M,$H366),""))</f>
        <v/>
      </c>
      <c r="H366" s="8"/>
    </row>
    <row r="367" ht="24.0" customHeight="1">
      <c r="A367" s="21" t="str">
        <f t="shared" si="1"/>
        <v/>
      </c>
      <c r="B367" s="21" t="str">
        <f t="shared" si="2"/>
        <v/>
      </c>
      <c r="C367" s="25" t="str">
        <f t="array" ref="C367">IF($H367="","",IFERROR(INDEX('Game Records'!$A:$A,$H367),""))</f>
        <v/>
      </c>
      <c r="D367" s="25" t="str">
        <f t="array" ref="D367">IF($H367="","",IFERROR(INDEX('Game Records'!$U:$U,$H367),""))</f>
        <v/>
      </c>
      <c r="E367" s="25" t="str">
        <f t="shared" si="3"/>
        <v/>
      </c>
      <c r="F367" s="25" t="str">
        <f t="array" ref="F367">IF($H367="","",IF(OR(NOT(_xlfn.ISFORMULA(INDEX('Game Records'!$N:$N,$H367))),NOT(_xlfn.ISFORMULA(INDEX('Game Records'!$O:$O,$H367))),NOT(_xlfn.ISFORMULA(INDEX('Game Records'!$P:$P,$H367))),NOT(_xlfn.ISFORMULA(INDEX('Game Records'!$Q:$Q,$H367))),NOT(_xlfn.ISFORMULA(INDEX('Game Records'!$R:$R,$H367))),NOT(_xlfn.ISFORMULA(INDEX('Game Records'!$S:$S,$H367))),NOT(_xlfn.ISFORMULA(INDEX('Game Records'!$T:$T,$H367))),NOT(_xlfn.ISFORMULA(INDEX('Game Records'!$U:$U,$H367))),NOT(_xlfn.ISFORMULA(INDEX('Game Records'!$V:$V,$H367))),NOT(_xlfn.ISFORMULA(INDEX('Game Records'!$W:$W,$H367))),NOT(_xlfn.ISFORMULA(INDEX('Game Records'!$X:$X,$H367))),NOT(_xlfn.ISFORMULA(INDEX('Game Records'!$Y:$Y,$H367))),NOT(_xlfn.ISFORMULA(INDEX('Game Records'!$Z:$Z,$H367)))),"","")&amp;IF(INDEX('Game Records'!$B:$B,$H367)="","Start Date; ","")&amp;IF(INDEX('Game Records'!$C:$C,$H367)="","End Date; ","")&amp;IF(AND(INDEX('Game Records'!$U:$U,$H367)&lt;&gt;"Subscription",INDEX('Game Records'!$U:$U,$H367)&lt;&gt;"Free Game",INDEX('Game Records'!$U:$U,$H367)&lt;&gt;"Disqualified — Free Game",OR(INDEX('Game Records'!$D:$D,$H367)="",LOWER(INDEX('Game Records'!$D:$D,$H367)&amp;"")="n/a")),"Entry Mode; ","")&amp;IF(AND(INDEX('Game Records'!$U:$U,$H367)&lt;&gt;"Subscription",INDEX('Game Records'!$U:$U,$H367)&lt;&gt;"Free Game",INDEX('Game Records'!$U:$U,$H367)&lt;&gt;"Disqualified — Free Game",OR(INDEX('Game Records'!$E:$E,$H367)="",LOWER(INDEX('Game Records'!$E:$E,$H367)&amp;"")="n/a")),"Game Type; ","")&amp;IF(INDEX('Game Records'!$F:$F,$H367)="","Payment Type; ","")&amp;IF(AND(INDEX('Game Records'!$U:$U,$H367)&lt;&gt;"Subscription",INDEX('Game Records'!$U:$U,$H367)&lt;&gt;"Free Game",INDEX('Game Records'!$U:$U,$H367)&lt;&gt;"Disqualified — Free Game",INDEX('Game Records'!$G:$G,$H367)=""),"Gross Pot; ","")&amp;IF(AND(INDEX('Game Records'!$U:$U,$H367)&lt;&gt;"Free Game",INDEX('Game Records'!$U:$U,$H367)&lt;&gt;"Disqualified — Free Game",INDEX('Game Records'!$H:$H,$H367)=""),"Entry Fee; ","")&amp;IF(AND(INDEX('Game Records'!$U:$U,$H367)&lt;&gt;"Subscription",INDEX('Game Records'!$U:$U,$H367)&lt;&gt;"Free Game",INDEX('Game Records'!$U:$U,$H367)&lt;&gt;"Disqualified — Free Game",INDEX('Game Records'!$I:$I,$H367)=""),"Eligible Players; ","")&amp;IF(AND(INDEX('Game Records'!$U:$U,$H367)&lt;&gt;"Subscription",INDEX('Game Records'!$U:$U,$H367)&lt;&gt;"Free Game",INDEX('Game Records'!$U:$U,$H367)&lt;&gt;"Disqualified — Free Game",INDEX('Game Records'!$J:$J,$H367)=""),"Total Players; ","")&amp;IF(AND(LOWER(INDEX('Game Records'!$D:$D,$H367)&amp;"")="finalized",LOWER(INDEX('Game Records'!$L:$L,$H367)&amp;"")&lt;&gt;"yes",INDEX('Game Records'!$U:$U,$H367)&lt;&gt;"Subscription",INDEX('Game Records'!$U:$U,$H367)&lt;&gt;"Free Game",INDEX('Game Records'!$U:$U,$H367)&lt;&gt;"Disqualified — Free Game",INDEX('Game Records'!$K:$K,$H367)=""),"Final Payout; ","")&amp;IF(AND(LOWER(INDEX('Game Records'!$D:$D,$H367)&amp;"")="finalized",INDEX('Game Records'!$U:$U,$H367)&lt;&gt;"Subscription",INDEX('Game Records'!$U:$U,$H367)&lt;&gt;"Free Game",INDEX('Game Records'!$U:$U,$H367)&lt;&gt;"Disqualified — Free Game",OR(INDEX('Game Records'!$L:$L,$H367)="",LOWER(INDEX('Game Records'!$L:$L,$H367)&amp;"")="n/a")),"Disqualified Status; ",""))</f>
        <v/>
      </c>
      <c r="G367" s="25" t="str">
        <f t="array" ref="G367">IF($H367="","",IFERROR(INDEX('Game Records'!$M:$M,$H367),""))</f>
        <v/>
      </c>
      <c r="H367" s="8"/>
    </row>
    <row r="368" ht="24.0" customHeight="1">
      <c r="A368" s="21" t="str">
        <f t="shared" si="1"/>
        <v/>
      </c>
      <c r="B368" s="21" t="str">
        <f t="shared" si="2"/>
        <v/>
      </c>
      <c r="C368" s="25" t="str">
        <f t="array" ref="C368">IF($H368="","",IFERROR(INDEX('Game Records'!$A:$A,$H368),""))</f>
        <v/>
      </c>
      <c r="D368" s="25" t="str">
        <f t="array" ref="D368">IF($H368="","",IFERROR(INDEX('Game Records'!$U:$U,$H368),""))</f>
        <v/>
      </c>
      <c r="E368" s="25" t="str">
        <f t="shared" si="3"/>
        <v/>
      </c>
      <c r="F368" s="25" t="str">
        <f t="array" ref="F368">IF($H368="","",IF(OR(NOT(_xlfn.ISFORMULA(INDEX('Game Records'!$N:$N,$H368))),NOT(_xlfn.ISFORMULA(INDEX('Game Records'!$O:$O,$H368))),NOT(_xlfn.ISFORMULA(INDEX('Game Records'!$P:$P,$H368))),NOT(_xlfn.ISFORMULA(INDEX('Game Records'!$Q:$Q,$H368))),NOT(_xlfn.ISFORMULA(INDEX('Game Records'!$R:$R,$H368))),NOT(_xlfn.ISFORMULA(INDEX('Game Records'!$S:$S,$H368))),NOT(_xlfn.ISFORMULA(INDEX('Game Records'!$T:$T,$H368))),NOT(_xlfn.ISFORMULA(INDEX('Game Records'!$U:$U,$H368))),NOT(_xlfn.ISFORMULA(INDEX('Game Records'!$V:$V,$H368))),NOT(_xlfn.ISFORMULA(INDEX('Game Records'!$W:$W,$H368))),NOT(_xlfn.ISFORMULA(INDEX('Game Records'!$X:$X,$H368))),NOT(_xlfn.ISFORMULA(INDEX('Game Records'!$Y:$Y,$H368))),NOT(_xlfn.ISFORMULA(INDEX('Game Records'!$Z:$Z,$H368)))),"","")&amp;IF(INDEX('Game Records'!$B:$B,$H368)="","Start Date; ","")&amp;IF(INDEX('Game Records'!$C:$C,$H368)="","End Date; ","")&amp;IF(AND(INDEX('Game Records'!$U:$U,$H368)&lt;&gt;"Subscription",INDEX('Game Records'!$U:$U,$H368)&lt;&gt;"Free Game",INDEX('Game Records'!$U:$U,$H368)&lt;&gt;"Disqualified — Free Game",OR(INDEX('Game Records'!$D:$D,$H368)="",LOWER(INDEX('Game Records'!$D:$D,$H368)&amp;"")="n/a")),"Entry Mode; ","")&amp;IF(AND(INDEX('Game Records'!$U:$U,$H368)&lt;&gt;"Subscription",INDEX('Game Records'!$U:$U,$H368)&lt;&gt;"Free Game",INDEX('Game Records'!$U:$U,$H368)&lt;&gt;"Disqualified — Free Game",OR(INDEX('Game Records'!$E:$E,$H368)="",LOWER(INDEX('Game Records'!$E:$E,$H368)&amp;"")="n/a")),"Game Type; ","")&amp;IF(INDEX('Game Records'!$F:$F,$H368)="","Payment Type; ","")&amp;IF(AND(INDEX('Game Records'!$U:$U,$H368)&lt;&gt;"Subscription",INDEX('Game Records'!$U:$U,$H368)&lt;&gt;"Free Game",INDEX('Game Records'!$U:$U,$H368)&lt;&gt;"Disqualified — Free Game",INDEX('Game Records'!$G:$G,$H368)=""),"Gross Pot; ","")&amp;IF(AND(INDEX('Game Records'!$U:$U,$H368)&lt;&gt;"Free Game",INDEX('Game Records'!$U:$U,$H368)&lt;&gt;"Disqualified — Free Game",INDEX('Game Records'!$H:$H,$H368)=""),"Entry Fee; ","")&amp;IF(AND(INDEX('Game Records'!$U:$U,$H368)&lt;&gt;"Subscription",INDEX('Game Records'!$U:$U,$H368)&lt;&gt;"Free Game",INDEX('Game Records'!$U:$U,$H368)&lt;&gt;"Disqualified — Free Game",INDEX('Game Records'!$I:$I,$H368)=""),"Eligible Players; ","")&amp;IF(AND(INDEX('Game Records'!$U:$U,$H368)&lt;&gt;"Subscription",INDEX('Game Records'!$U:$U,$H368)&lt;&gt;"Free Game",INDEX('Game Records'!$U:$U,$H368)&lt;&gt;"Disqualified — Free Game",INDEX('Game Records'!$J:$J,$H368)=""),"Total Players; ","")&amp;IF(AND(LOWER(INDEX('Game Records'!$D:$D,$H368)&amp;"")="finalized",LOWER(INDEX('Game Records'!$L:$L,$H368)&amp;"")&lt;&gt;"yes",INDEX('Game Records'!$U:$U,$H368)&lt;&gt;"Subscription",INDEX('Game Records'!$U:$U,$H368)&lt;&gt;"Free Game",INDEX('Game Records'!$U:$U,$H368)&lt;&gt;"Disqualified — Free Game",INDEX('Game Records'!$K:$K,$H368)=""),"Final Payout; ","")&amp;IF(AND(LOWER(INDEX('Game Records'!$D:$D,$H368)&amp;"")="finalized",INDEX('Game Records'!$U:$U,$H368)&lt;&gt;"Subscription",INDEX('Game Records'!$U:$U,$H368)&lt;&gt;"Free Game",INDEX('Game Records'!$U:$U,$H368)&lt;&gt;"Disqualified — Free Game",OR(INDEX('Game Records'!$L:$L,$H368)="",LOWER(INDEX('Game Records'!$L:$L,$H368)&amp;"")="n/a")),"Disqualified Status; ",""))</f>
        <v/>
      </c>
      <c r="G368" s="25" t="str">
        <f t="array" ref="G368">IF($H368="","",IFERROR(INDEX('Game Records'!$M:$M,$H368),""))</f>
        <v/>
      </c>
      <c r="H368" s="8"/>
    </row>
    <row r="369" ht="24.0" customHeight="1">
      <c r="A369" s="21" t="str">
        <f t="shared" si="1"/>
        <v/>
      </c>
      <c r="B369" s="21" t="str">
        <f t="shared" si="2"/>
        <v/>
      </c>
      <c r="C369" s="25" t="str">
        <f t="array" ref="C369">IF($H369="","",IFERROR(INDEX('Game Records'!$A:$A,$H369),""))</f>
        <v/>
      </c>
      <c r="D369" s="25" t="str">
        <f t="array" ref="D369">IF($H369="","",IFERROR(INDEX('Game Records'!$U:$U,$H369),""))</f>
        <v/>
      </c>
      <c r="E369" s="25" t="str">
        <f t="shared" si="3"/>
        <v/>
      </c>
      <c r="F369" s="25" t="str">
        <f t="array" ref="F369">IF($H369="","",IF(OR(NOT(_xlfn.ISFORMULA(INDEX('Game Records'!$N:$N,$H369))),NOT(_xlfn.ISFORMULA(INDEX('Game Records'!$O:$O,$H369))),NOT(_xlfn.ISFORMULA(INDEX('Game Records'!$P:$P,$H369))),NOT(_xlfn.ISFORMULA(INDEX('Game Records'!$Q:$Q,$H369))),NOT(_xlfn.ISFORMULA(INDEX('Game Records'!$R:$R,$H369))),NOT(_xlfn.ISFORMULA(INDEX('Game Records'!$S:$S,$H369))),NOT(_xlfn.ISFORMULA(INDEX('Game Records'!$T:$T,$H369))),NOT(_xlfn.ISFORMULA(INDEX('Game Records'!$U:$U,$H369))),NOT(_xlfn.ISFORMULA(INDEX('Game Records'!$V:$V,$H369))),NOT(_xlfn.ISFORMULA(INDEX('Game Records'!$W:$W,$H369))),NOT(_xlfn.ISFORMULA(INDEX('Game Records'!$X:$X,$H369))),NOT(_xlfn.ISFORMULA(INDEX('Game Records'!$Y:$Y,$H369))),NOT(_xlfn.ISFORMULA(INDEX('Game Records'!$Z:$Z,$H369)))),"","")&amp;IF(INDEX('Game Records'!$B:$B,$H369)="","Start Date; ","")&amp;IF(INDEX('Game Records'!$C:$C,$H369)="","End Date; ","")&amp;IF(AND(INDEX('Game Records'!$U:$U,$H369)&lt;&gt;"Subscription",INDEX('Game Records'!$U:$U,$H369)&lt;&gt;"Free Game",INDEX('Game Records'!$U:$U,$H369)&lt;&gt;"Disqualified — Free Game",OR(INDEX('Game Records'!$D:$D,$H369)="",LOWER(INDEX('Game Records'!$D:$D,$H369)&amp;"")="n/a")),"Entry Mode; ","")&amp;IF(AND(INDEX('Game Records'!$U:$U,$H369)&lt;&gt;"Subscription",INDEX('Game Records'!$U:$U,$H369)&lt;&gt;"Free Game",INDEX('Game Records'!$U:$U,$H369)&lt;&gt;"Disqualified — Free Game",OR(INDEX('Game Records'!$E:$E,$H369)="",LOWER(INDEX('Game Records'!$E:$E,$H369)&amp;"")="n/a")),"Game Type; ","")&amp;IF(INDEX('Game Records'!$F:$F,$H369)="","Payment Type; ","")&amp;IF(AND(INDEX('Game Records'!$U:$U,$H369)&lt;&gt;"Subscription",INDEX('Game Records'!$U:$U,$H369)&lt;&gt;"Free Game",INDEX('Game Records'!$U:$U,$H369)&lt;&gt;"Disqualified — Free Game",INDEX('Game Records'!$G:$G,$H369)=""),"Gross Pot; ","")&amp;IF(AND(INDEX('Game Records'!$U:$U,$H369)&lt;&gt;"Free Game",INDEX('Game Records'!$U:$U,$H369)&lt;&gt;"Disqualified — Free Game",INDEX('Game Records'!$H:$H,$H369)=""),"Entry Fee; ","")&amp;IF(AND(INDEX('Game Records'!$U:$U,$H369)&lt;&gt;"Subscription",INDEX('Game Records'!$U:$U,$H369)&lt;&gt;"Free Game",INDEX('Game Records'!$U:$U,$H369)&lt;&gt;"Disqualified — Free Game",INDEX('Game Records'!$I:$I,$H369)=""),"Eligible Players; ","")&amp;IF(AND(INDEX('Game Records'!$U:$U,$H369)&lt;&gt;"Subscription",INDEX('Game Records'!$U:$U,$H369)&lt;&gt;"Free Game",INDEX('Game Records'!$U:$U,$H369)&lt;&gt;"Disqualified — Free Game",INDEX('Game Records'!$J:$J,$H369)=""),"Total Players; ","")&amp;IF(AND(LOWER(INDEX('Game Records'!$D:$D,$H369)&amp;"")="finalized",LOWER(INDEX('Game Records'!$L:$L,$H369)&amp;"")&lt;&gt;"yes",INDEX('Game Records'!$U:$U,$H369)&lt;&gt;"Subscription",INDEX('Game Records'!$U:$U,$H369)&lt;&gt;"Free Game",INDEX('Game Records'!$U:$U,$H369)&lt;&gt;"Disqualified — Free Game",INDEX('Game Records'!$K:$K,$H369)=""),"Final Payout; ","")&amp;IF(AND(LOWER(INDEX('Game Records'!$D:$D,$H369)&amp;"")="finalized",INDEX('Game Records'!$U:$U,$H369)&lt;&gt;"Subscription",INDEX('Game Records'!$U:$U,$H369)&lt;&gt;"Free Game",INDEX('Game Records'!$U:$U,$H369)&lt;&gt;"Disqualified — Free Game",OR(INDEX('Game Records'!$L:$L,$H369)="",LOWER(INDEX('Game Records'!$L:$L,$H369)&amp;"")="n/a")),"Disqualified Status; ",""))</f>
        <v/>
      </c>
      <c r="G369" s="25" t="str">
        <f t="array" ref="G369">IF($H369="","",IFERROR(INDEX('Game Records'!$M:$M,$H369),""))</f>
        <v/>
      </c>
      <c r="H369" s="8"/>
    </row>
    <row r="370" ht="24.0" customHeight="1">
      <c r="A370" s="21" t="str">
        <f t="shared" si="1"/>
        <v/>
      </c>
      <c r="B370" s="21" t="str">
        <f t="shared" si="2"/>
        <v/>
      </c>
      <c r="C370" s="25" t="str">
        <f t="array" ref="C370">IF($H370="","",IFERROR(INDEX('Game Records'!$A:$A,$H370),""))</f>
        <v/>
      </c>
      <c r="D370" s="25" t="str">
        <f t="array" ref="D370">IF($H370="","",IFERROR(INDEX('Game Records'!$U:$U,$H370),""))</f>
        <v/>
      </c>
      <c r="E370" s="25" t="str">
        <f t="shared" si="3"/>
        <v/>
      </c>
      <c r="F370" s="25" t="str">
        <f t="array" ref="F370">IF($H370="","",IF(OR(NOT(_xlfn.ISFORMULA(INDEX('Game Records'!$N:$N,$H370))),NOT(_xlfn.ISFORMULA(INDEX('Game Records'!$O:$O,$H370))),NOT(_xlfn.ISFORMULA(INDEX('Game Records'!$P:$P,$H370))),NOT(_xlfn.ISFORMULA(INDEX('Game Records'!$Q:$Q,$H370))),NOT(_xlfn.ISFORMULA(INDEX('Game Records'!$R:$R,$H370))),NOT(_xlfn.ISFORMULA(INDEX('Game Records'!$S:$S,$H370))),NOT(_xlfn.ISFORMULA(INDEX('Game Records'!$T:$T,$H370))),NOT(_xlfn.ISFORMULA(INDEX('Game Records'!$U:$U,$H370))),NOT(_xlfn.ISFORMULA(INDEX('Game Records'!$V:$V,$H370))),NOT(_xlfn.ISFORMULA(INDEX('Game Records'!$W:$W,$H370))),NOT(_xlfn.ISFORMULA(INDEX('Game Records'!$X:$X,$H370))),NOT(_xlfn.ISFORMULA(INDEX('Game Records'!$Y:$Y,$H370))),NOT(_xlfn.ISFORMULA(INDEX('Game Records'!$Z:$Z,$H370)))),"","")&amp;IF(INDEX('Game Records'!$B:$B,$H370)="","Start Date; ","")&amp;IF(INDEX('Game Records'!$C:$C,$H370)="","End Date; ","")&amp;IF(AND(INDEX('Game Records'!$U:$U,$H370)&lt;&gt;"Subscription",INDEX('Game Records'!$U:$U,$H370)&lt;&gt;"Free Game",INDEX('Game Records'!$U:$U,$H370)&lt;&gt;"Disqualified — Free Game",OR(INDEX('Game Records'!$D:$D,$H370)="",LOWER(INDEX('Game Records'!$D:$D,$H370)&amp;"")="n/a")),"Entry Mode; ","")&amp;IF(AND(INDEX('Game Records'!$U:$U,$H370)&lt;&gt;"Subscription",INDEX('Game Records'!$U:$U,$H370)&lt;&gt;"Free Game",INDEX('Game Records'!$U:$U,$H370)&lt;&gt;"Disqualified — Free Game",OR(INDEX('Game Records'!$E:$E,$H370)="",LOWER(INDEX('Game Records'!$E:$E,$H370)&amp;"")="n/a")),"Game Type; ","")&amp;IF(INDEX('Game Records'!$F:$F,$H370)="","Payment Type; ","")&amp;IF(AND(INDEX('Game Records'!$U:$U,$H370)&lt;&gt;"Subscription",INDEX('Game Records'!$U:$U,$H370)&lt;&gt;"Free Game",INDEX('Game Records'!$U:$U,$H370)&lt;&gt;"Disqualified — Free Game",INDEX('Game Records'!$G:$G,$H370)=""),"Gross Pot; ","")&amp;IF(AND(INDEX('Game Records'!$U:$U,$H370)&lt;&gt;"Free Game",INDEX('Game Records'!$U:$U,$H370)&lt;&gt;"Disqualified — Free Game",INDEX('Game Records'!$H:$H,$H370)=""),"Entry Fee; ","")&amp;IF(AND(INDEX('Game Records'!$U:$U,$H370)&lt;&gt;"Subscription",INDEX('Game Records'!$U:$U,$H370)&lt;&gt;"Free Game",INDEX('Game Records'!$U:$U,$H370)&lt;&gt;"Disqualified — Free Game",INDEX('Game Records'!$I:$I,$H370)=""),"Eligible Players; ","")&amp;IF(AND(INDEX('Game Records'!$U:$U,$H370)&lt;&gt;"Subscription",INDEX('Game Records'!$U:$U,$H370)&lt;&gt;"Free Game",INDEX('Game Records'!$U:$U,$H370)&lt;&gt;"Disqualified — Free Game",INDEX('Game Records'!$J:$J,$H370)=""),"Total Players; ","")&amp;IF(AND(LOWER(INDEX('Game Records'!$D:$D,$H370)&amp;"")="finalized",LOWER(INDEX('Game Records'!$L:$L,$H370)&amp;"")&lt;&gt;"yes",INDEX('Game Records'!$U:$U,$H370)&lt;&gt;"Subscription",INDEX('Game Records'!$U:$U,$H370)&lt;&gt;"Free Game",INDEX('Game Records'!$U:$U,$H370)&lt;&gt;"Disqualified — Free Game",INDEX('Game Records'!$K:$K,$H370)=""),"Final Payout; ","")&amp;IF(AND(LOWER(INDEX('Game Records'!$D:$D,$H370)&amp;"")="finalized",INDEX('Game Records'!$U:$U,$H370)&lt;&gt;"Subscription",INDEX('Game Records'!$U:$U,$H370)&lt;&gt;"Free Game",INDEX('Game Records'!$U:$U,$H370)&lt;&gt;"Disqualified — Free Game",OR(INDEX('Game Records'!$L:$L,$H370)="",LOWER(INDEX('Game Records'!$L:$L,$H370)&amp;"")="n/a")),"Disqualified Status; ",""))</f>
        <v/>
      </c>
      <c r="G370" s="25" t="str">
        <f t="array" ref="G370">IF($H370="","",IFERROR(INDEX('Game Records'!$M:$M,$H370),""))</f>
        <v/>
      </c>
      <c r="H370" s="8"/>
    </row>
    <row r="371" ht="24.0" customHeight="1">
      <c r="A371" s="21" t="str">
        <f t="shared" si="1"/>
        <v/>
      </c>
      <c r="B371" s="21" t="str">
        <f t="shared" si="2"/>
        <v/>
      </c>
      <c r="C371" s="25" t="str">
        <f t="array" ref="C371">IF($H371="","",IFERROR(INDEX('Game Records'!$A:$A,$H371),""))</f>
        <v/>
      </c>
      <c r="D371" s="25" t="str">
        <f t="array" ref="D371">IF($H371="","",IFERROR(INDEX('Game Records'!$U:$U,$H371),""))</f>
        <v/>
      </c>
      <c r="E371" s="25" t="str">
        <f t="shared" si="3"/>
        <v/>
      </c>
      <c r="F371" s="25" t="str">
        <f t="array" ref="F371">IF($H371="","",IF(OR(NOT(_xlfn.ISFORMULA(INDEX('Game Records'!$N:$N,$H371))),NOT(_xlfn.ISFORMULA(INDEX('Game Records'!$O:$O,$H371))),NOT(_xlfn.ISFORMULA(INDEX('Game Records'!$P:$P,$H371))),NOT(_xlfn.ISFORMULA(INDEX('Game Records'!$Q:$Q,$H371))),NOT(_xlfn.ISFORMULA(INDEX('Game Records'!$R:$R,$H371))),NOT(_xlfn.ISFORMULA(INDEX('Game Records'!$S:$S,$H371))),NOT(_xlfn.ISFORMULA(INDEX('Game Records'!$T:$T,$H371))),NOT(_xlfn.ISFORMULA(INDEX('Game Records'!$U:$U,$H371))),NOT(_xlfn.ISFORMULA(INDEX('Game Records'!$V:$V,$H371))),NOT(_xlfn.ISFORMULA(INDEX('Game Records'!$W:$W,$H371))),NOT(_xlfn.ISFORMULA(INDEX('Game Records'!$X:$X,$H371))),NOT(_xlfn.ISFORMULA(INDEX('Game Records'!$Y:$Y,$H371))),NOT(_xlfn.ISFORMULA(INDEX('Game Records'!$Z:$Z,$H371)))),"","")&amp;IF(INDEX('Game Records'!$B:$B,$H371)="","Start Date; ","")&amp;IF(INDEX('Game Records'!$C:$C,$H371)="","End Date; ","")&amp;IF(AND(INDEX('Game Records'!$U:$U,$H371)&lt;&gt;"Subscription",INDEX('Game Records'!$U:$U,$H371)&lt;&gt;"Free Game",INDEX('Game Records'!$U:$U,$H371)&lt;&gt;"Disqualified — Free Game",OR(INDEX('Game Records'!$D:$D,$H371)="",LOWER(INDEX('Game Records'!$D:$D,$H371)&amp;"")="n/a")),"Entry Mode; ","")&amp;IF(AND(INDEX('Game Records'!$U:$U,$H371)&lt;&gt;"Subscription",INDEX('Game Records'!$U:$U,$H371)&lt;&gt;"Free Game",INDEX('Game Records'!$U:$U,$H371)&lt;&gt;"Disqualified — Free Game",OR(INDEX('Game Records'!$E:$E,$H371)="",LOWER(INDEX('Game Records'!$E:$E,$H371)&amp;"")="n/a")),"Game Type; ","")&amp;IF(INDEX('Game Records'!$F:$F,$H371)="","Payment Type; ","")&amp;IF(AND(INDEX('Game Records'!$U:$U,$H371)&lt;&gt;"Subscription",INDEX('Game Records'!$U:$U,$H371)&lt;&gt;"Free Game",INDEX('Game Records'!$U:$U,$H371)&lt;&gt;"Disqualified — Free Game",INDEX('Game Records'!$G:$G,$H371)=""),"Gross Pot; ","")&amp;IF(AND(INDEX('Game Records'!$U:$U,$H371)&lt;&gt;"Free Game",INDEX('Game Records'!$U:$U,$H371)&lt;&gt;"Disqualified — Free Game",INDEX('Game Records'!$H:$H,$H371)=""),"Entry Fee; ","")&amp;IF(AND(INDEX('Game Records'!$U:$U,$H371)&lt;&gt;"Subscription",INDEX('Game Records'!$U:$U,$H371)&lt;&gt;"Free Game",INDEX('Game Records'!$U:$U,$H371)&lt;&gt;"Disqualified — Free Game",INDEX('Game Records'!$I:$I,$H371)=""),"Eligible Players; ","")&amp;IF(AND(INDEX('Game Records'!$U:$U,$H371)&lt;&gt;"Subscription",INDEX('Game Records'!$U:$U,$H371)&lt;&gt;"Free Game",INDEX('Game Records'!$U:$U,$H371)&lt;&gt;"Disqualified — Free Game",INDEX('Game Records'!$J:$J,$H371)=""),"Total Players; ","")&amp;IF(AND(LOWER(INDEX('Game Records'!$D:$D,$H371)&amp;"")="finalized",LOWER(INDEX('Game Records'!$L:$L,$H371)&amp;"")&lt;&gt;"yes",INDEX('Game Records'!$U:$U,$H371)&lt;&gt;"Subscription",INDEX('Game Records'!$U:$U,$H371)&lt;&gt;"Free Game",INDEX('Game Records'!$U:$U,$H371)&lt;&gt;"Disqualified — Free Game",INDEX('Game Records'!$K:$K,$H371)=""),"Final Payout; ","")&amp;IF(AND(LOWER(INDEX('Game Records'!$D:$D,$H371)&amp;"")="finalized",INDEX('Game Records'!$U:$U,$H371)&lt;&gt;"Subscription",INDEX('Game Records'!$U:$U,$H371)&lt;&gt;"Free Game",INDEX('Game Records'!$U:$U,$H371)&lt;&gt;"Disqualified — Free Game",OR(INDEX('Game Records'!$L:$L,$H371)="",LOWER(INDEX('Game Records'!$L:$L,$H371)&amp;"")="n/a")),"Disqualified Status; ",""))</f>
        <v/>
      </c>
      <c r="G371" s="25" t="str">
        <f t="array" ref="G371">IF($H371="","",IFERROR(INDEX('Game Records'!$M:$M,$H371),""))</f>
        <v/>
      </c>
      <c r="H371" s="8"/>
    </row>
    <row r="372" ht="24.0" customHeight="1">
      <c r="A372" s="21" t="str">
        <f t="shared" si="1"/>
        <v/>
      </c>
      <c r="B372" s="21" t="str">
        <f t="shared" si="2"/>
        <v/>
      </c>
      <c r="C372" s="25" t="str">
        <f t="array" ref="C372">IF($H372="","",IFERROR(INDEX('Game Records'!$A:$A,$H372),""))</f>
        <v/>
      </c>
      <c r="D372" s="25" t="str">
        <f t="array" ref="D372">IF($H372="","",IFERROR(INDEX('Game Records'!$U:$U,$H372),""))</f>
        <v/>
      </c>
      <c r="E372" s="25" t="str">
        <f t="shared" si="3"/>
        <v/>
      </c>
      <c r="F372" s="25" t="str">
        <f t="array" ref="F372">IF($H372="","",IF(OR(NOT(_xlfn.ISFORMULA(INDEX('Game Records'!$N:$N,$H372))),NOT(_xlfn.ISFORMULA(INDEX('Game Records'!$O:$O,$H372))),NOT(_xlfn.ISFORMULA(INDEX('Game Records'!$P:$P,$H372))),NOT(_xlfn.ISFORMULA(INDEX('Game Records'!$Q:$Q,$H372))),NOT(_xlfn.ISFORMULA(INDEX('Game Records'!$R:$R,$H372))),NOT(_xlfn.ISFORMULA(INDEX('Game Records'!$S:$S,$H372))),NOT(_xlfn.ISFORMULA(INDEX('Game Records'!$T:$T,$H372))),NOT(_xlfn.ISFORMULA(INDEX('Game Records'!$U:$U,$H372))),NOT(_xlfn.ISFORMULA(INDEX('Game Records'!$V:$V,$H372))),NOT(_xlfn.ISFORMULA(INDEX('Game Records'!$W:$W,$H372))),NOT(_xlfn.ISFORMULA(INDEX('Game Records'!$X:$X,$H372))),NOT(_xlfn.ISFORMULA(INDEX('Game Records'!$Y:$Y,$H372))),NOT(_xlfn.ISFORMULA(INDEX('Game Records'!$Z:$Z,$H372)))),"","")&amp;IF(INDEX('Game Records'!$B:$B,$H372)="","Start Date; ","")&amp;IF(INDEX('Game Records'!$C:$C,$H372)="","End Date; ","")&amp;IF(AND(INDEX('Game Records'!$U:$U,$H372)&lt;&gt;"Subscription",INDEX('Game Records'!$U:$U,$H372)&lt;&gt;"Free Game",INDEX('Game Records'!$U:$U,$H372)&lt;&gt;"Disqualified — Free Game",OR(INDEX('Game Records'!$D:$D,$H372)="",LOWER(INDEX('Game Records'!$D:$D,$H372)&amp;"")="n/a")),"Entry Mode; ","")&amp;IF(AND(INDEX('Game Records'!$U:$U,$H372)&lt;&gt;"Subscription",INDEX('Game Records'!$U:$U,$H372)&lt;&gt;"Free Game",INDEX('Game Records'!$U:$U,$H372)&lt;&gt;"Disqualified — Free Game",OR(INDEX('Game Records'!$E:$E,$H372)="",LOWER(INDEX('Game Records'!$E:$E,$H372)&amp;"")="n/a")),"Game Type; ","")&amp;IF(INDEX('Game Records'!$F:$F,$H372)="","Payment Type; ","")&amp;IF(AND(INDEX('Game Records'!$U:$U,$H372)&lt;&gt;"Subscription",INDEX('Game Records'!$U:$U,$H372)&lt;&gt;"Free Game",INDEX('Game Records'!$U:$U,$H372)&lt;&gt;"Disqualified — Free Game",INDEX('Game Records'!$G:$G,$H372)=""),"Gross Pot; ","")&amp;IF(AND(INDEX('Game Records'!$U:$U,$H372)&lt;&gt;"Free Game",INDEX('Game Records'!$U:$U,$H372)&lt;&gt;"Disqualified — Free Game",INDEX('Game Records'!$H:$H,$H372)=""),"Entry Fee; ","")&amp;IF(AND(INDEX('Game Records'!$U:$U,$H372)&lt;&gt;"Subscription",INDEX('Game Records'!$U:$U,$H372)&lt;&gt;"Free Game",INDEX('Game Records'!$U:$U,$H372)&lt;&gt;"Disqualified — Free Game",INDEX('Game Records'!$I:$I,$H372)=""),"Eligible Players; ","")&amp;IF(AND(INDEX('Game Records'!$U:$U,$H372)&lt;&gt;"Subscription",INDEX('Game Records'!$U:$U,$H372)&lt;&gt;"Free Game",INDEX('Game Records'!$U:$U,$H372)&lt;&gt;"Disqualified — Free Game",INDEX('Game Records'!$J:$J,$H372)=""),"Total Players; ","")&amp;IF(AND(LOWER(INDEX('Game Records'!$D:$D,$H372)&amp;"")="finalized",LOWER(INDEX('Game Records'!$L:$L,$H372)&amp;"")&lt;&gt;"yes",INDEX('Game Records'!$U:$U,$H372)&lt;&gt;"Subscription",INDEX('Game Records'!$U:$U,$H372)&lt;&gt;"Free Game",INDEX('Game Records'!$U:$U,$H372)&lt;&gt;"Disqualified — Free Game",INDEX('Game Records'!$K:$K,$H372)=""),"Final Payout; ","")&amp;IF(AND(LOWER(INDEX('Game Records'!$D:$D,$H372)&amp;"")="finalized",INDEX('Game Records'!$U:$U,$H372)&lt;&gt;"Subscription",INDEX('Game Records'!$U:$U,$H372)&lt;&gt;"Free Game",INDEX('Game Records'!$U:$U,$H372)&lt;&gt;"Disqualified — Free Game",OR(INDEX('Game Records'!$L:$L,$H372)="",LOWER(INDEX('Game Records'!$L:$L,$H372)&amp;"")="n/a")),"Disqualified Status; ",""))</f>
        <v/>
      </c>
      <c r="G372" s="25" t="str">
        <f t="array" ref="G372">IF($H372="","",IFERROR(INDEX('Game Records'!$M:$M,$H372),""))</f>
        <v/>
      </c>
      <c r="H372" s="8"/>
    </row>
    <row r="373" ht="24.0" customHeight="1">
      <c r="A373" s="21" t="str">
        <f t="shared" si="1"/>
        <v/>
      </c>
      <c r="B373" s="21" t="str">
        <f t="shared" si="2"/>
        <v/>
      </c>
      <c r="C373" s="25" t="str">
        <f t="array" ref="C373">IF($H373="","",IFERROR(INDEX('Game Records'!$A:$A,$H373),""))</f>
        <v/>
      </c>
      <c r="D373" s="25" t="str">
        <f t="array" ref="D373">IF($H373="","",IFERROR(INDEX('Game Records'!$U:$U,$H373),""))</f>
        <v/>
      </c>
      <c r="E373" s="25" t="str">
        <f t="shared" si="3"/>
        <v/>
      </c>
      <c r="F373" s="25" t="str">
        <f t="array" ref="F373">IF($H373="","",IF(OR(NOT(_xlfn.ISFORMULA(INDEX('Game Records'!$N:$N,$H373))),NOT(_xlfn.ISFORMULA(INDEX('Game Records'!$O:$O,$H373))),NOT(_xlfn.ISFORMULA(INDEX('Game Records'!$P:$P,$H373))),NOT(_xlfn.ISFORMULA(INDEX('Game Records'!$Q:$Q,$H373))),NOT(_xlfn.ISFORMULA(INDEX('Game Records'!$R:$R,$H373))),NOT(_xlfn.ISFORMULA(INDEX('Game Records'!$S:$S,$H373))),NOT(_xlfn.ISFORMULA(INDEX('Game Records'!$T:$T,$H373))),NOT(_xlfn.ISFORMULA(INDEX('Game Records'!$U:$U,$H373))),NOT(_xlfn.ISFORMULA(INDEX('Game Records'!$V:$V,$H373))),NOT(_xlfn.ISFORMULA(INDEX('Game Records'!$W:$W,$H373))),NOT(_xlfn.ISFORMULA(INDEX('Game Records'!$X:$X,$H373))),NOT(_xlfn.ISFORMULA(INDEX('Game Records'!$Y:$Y,$H373))),NOT(_xlfn.ISFORMULA(INDEX('Game Records'!$Z:$Z,$H373)))),"","")&amp;IF(INDEX('Game Records'!$B:$B,$H373)="","Start Date; ","")&amp;IF(INDEX('Game Records'!$C:$C,$H373)="","End Date; ","")&amp;IF(AND(INDEX('Game Records'!$U:$U,$H373)&lt;&gt;"Subscription",INDEX('Game Records'!$U:$U,$H373)&lt;&gt;"Free Game",INDEX('Game Records'!$U:$U,$H373)&lt;&gt;"Disqualified — Free Game",OR(INDEX('Game Records'!$D:$D,$H373)="",LOWER(INDEX('Game Records'!$D:$D,$H373)&amp;"")="n/a")),"Entry Mode; ","")&amp;IF(AND(INDEX('Game Records'!$U:$U,$H373)&lt;&gt;"Subscription",INDEX('Game Records'!$U:$U,$H373)&lt;&gt;"Free Game",INDEX('Game Records'!$U:$U,$H373)&lt;&gt;"Disqualified — Free Game",OR(INDEX('Game Records'!$E:$E,$H373)="",LOWER(INDEX('Game Records'!$E:$E,$H373)&amp;"")="n/a")),"Game Type; ","")&amp;IF(INDEX('Game Records'!$F:$F,$H373)="","Payment Type; ","")&amp;IF(AND(INDEX('Game Records'!$U:$U,$H373)&lt;&gt;"Subscription",INDEX('Game Records'!$U:$U,$H373)&lt;&gt;"Free Game",INDEX('Game Records'!$U:$U,$H373)&lt;&gt;"Disqualified — Free Game",INDEX('Game Records'!$G:$G,$H373)=""),"Gross Pot; ","")&amp;IF(AND(INDEX('Game Records'!$U:$U,$H373)&lt;&gt;"Free Game",INDEX('Game Records'!$U:$U,$H373)&lt;&gt;"Disqualified — Free Game",INDEX('Game Records'!$H:$H,$H373)=""),"Entry Fee; ","")&amp;IF(AND(INDEX('Game Records'!$U:$U,$H373)&lt;&gt;"Subscription",INDEX('Game Records'!$U:$U,$H373)&lt;&gt;"Free Game",INDEX('Game Records'!$U:$U,$H373)&lt;&gt;"Disqualified — Free Game",INDEX('Game Records'!$I:$I,$H373)=""),"Eligible Players; ","")&amp;IF(AND(INDEX('Game Records'!$U:$U,$H373)&lt;&gt;"Subscription",INDEX('Game Records'!$U:$U,$H373)&lt;&gt;"Free Game",INDEX('Game Records'!$U:$U,$H373)&lt;&gt;"Disqualified — Free Game",INDEX('Game Records'!$J:$J,$H373)=""),"Total Players; ","")&amp;IF(AND(LOWER(INDEX('Game Records'!$D:$D,$H373)&amp;"")="finalized",LOWER(INDEX('Game Records'!$L:$L,$H373)&amp;"")&lt;&gt;"yes",INDEX('Game Records'!$U:$U,$H373)&lt;&gt;"Subscription",INDEX('Game Records'!$U:$U,$H373)&lt;&gt;"Free Game",INDEX('Game Records'!$U:$U,$H373)&lt;&gt;"Disqualified — Free Game",INDEX('Game Records'!$K:$K,$H373)=""),"Final Payout; ","")&amp;IF(AND(LOWER(INDEX('Game Records'!$D:$D,$H373)&amp;"")="finalized",INDEX('Game Records'!$U:$U,$H373)&lt;&gt;"Subscription",INDEX('Game Records'!$U:$U,$H373)&lt;&gt;"Free Game",INDEX('Game Records'!$U:$U,$H373)&lt;&gt;"Disqualified — Free Game",OR(INDEX('Game Records'!$L:$L,$H373)="",LOWER(INDEX('Game Records'!$L:$L,$H373)&amp;"")="n/a")),"Disqualified Status; ",""))</f>
        <v/>
      </c>
      <c r="G373" s="25" t="str">
        <f t="array" ref="G373">IF($H373="","",IFERROR(INDEX('Game Records'!$M:$M,$H373),""))</f>
        <v/>
      </c>
      <c r="H373" s="8"/>
    </row>
    <row r="374" ht="24.0" customHeight="1">
      <c r="A374" s="21" t="str">
        <f t="shared" si="1"/>
        <v/>
      </c>
      <c r="B374" s="21" t="str">
        <f t="shared" si="2"/>
        <v/>
      </c>
      <c r="C374" s="25" t="str">
        <f t="array" ref="C374">IF($H374="","",IFERROR(INDEX('Game Records'!$A:$A,$H374),""))</f>
        <v/>
      </c>
      <c r="D374" s="25" t="str">
        <f t="array" ref="D374">IF($H374="","",IFERROR(INDEX('Game Records'!$U:$U,$H374),""))</f>
        <v/>
      </c>
      <c r="E374" s="25" t="str">
        <f t="shared" si="3"/>
        <v/>
      </c>
      <c r="F374" s="25" t="str">
        <f t="array" ref="F374">IF($H374="","",IF(OR(NOT(_xlfn.ISFORMULA(INDEX('Game Records'!$N:$N,$H374))),NOT(_xlfn.ISFORMULA(INDEX('Game Records'!$O:$O,$H374))),NOT(_xlfn.ISFORMULA(INDEX('Game Records'!$P:$P,$H374))),NOT(_xlfn.ISFORMULA(INDEX('Game Records'!$Q:$Q,$H374))),NOT(_xlfn.ISFORMULA(INDEX('Game Records'!$R:$R,$H374))),NOT(_xlfn.ISFORMULA(INDEX('Game Records'!$S:$S,$H374))),NOT(_xlfn.ISFORMULA(INDEX('Game Records'!$T:$T,$H374))),NOT(_xlfn.ISFORMULA(INDEX('Game Records'!$U:$U,$H374))),NOT(_xlfn.ISFORMULA(INDEX('Game Records'!$V:$V,$H374))),NOT(_xlfn.ISFORMULA(INDEX('Game Records'!$W:$W,$H374))),NOT(_xlfn.ISFORMULA(INDEX('Game Records'!$X:$X,$H374))),NOT(_xlfn.ISFORMULA(INDEX('Game Records'!$Y:$Y,$H374))),NOT(_xlfn.ISFORMULA(INDEX('Game Records'!$Z:$Z,$H374)))),"","")&amp;IF(INDEX('Game Records'!$B:$B,$H374)="","Start Date; ","")&amp;IF(INDEX('Game Records'!$C:$C,$H374)="","End Date; ","")&amp;IF(AND(INDEX('Game Records'!$U:$U,$H374)&lt;&gt;"Subscription",INDEX('Game Records'!$U:$U,$H374)&lt;&gt;"Free Game",INDEX('Game Records'!$U:$U,$H374)&lt;&gt;"Disqualified — Free Game",OR(INDEX('Game Records'!$D:$D,$H374)="",LOWER(INDEX('Game Records'!$D:$D,$H374)&amp;"")="n/a")),"Entry Mode; ","")&amp;IF(AND(INDEX('Game Records'!$U:$U,$H374)&lt;&gt;"Subscription",INDEX('Game Records'!$U:$U,$H374)&lt;&gt;"Free Game",INDEX('Game Records'!$U:$U,$H374)&lt;&gt;"Disqualified — Free Game",OR(INDEX('Game Records'!$E:$E,$H374)="",LOWER(INDEX('Game Records'!$E:$E,$H374)&amp;"")="n/a")),"Game Type; ","")&amp;IF(INDEX('Game Records'!$F:$F,$H374)="","Payment Type; ","")&amp;IF(AND(INDEX('Game Records'!$U:$U,$H374)&lt;&gt;"Subscription",INDEX('Game Records'!$U:$U,$H374)&lt;&gt;"Free Game",INDEX('Game Records'!$U:$U,$H374)&lt;&gt;"Disqualified — Free Game",INDEX('Game Records'!$G:$G,$H374)=""),"Gross Pot; ","")&amp;IF(AND(INDEX('Game Records'!$U:$U,$H374)&lt;&gt;"Free Game",INDEX('Game Records'!$U:$U,$H374)&lt;&gt;"Disqualified — Free Game",INDEX('Game Records'!$H:$H,$H374)=""),"Entry Fee; ","")&amp;IF(AND(INDEX('Game Records'!$U:$U,$H374)&lt;&gt;"Subscription",INDEX('Game Records'!$U:$U,$H374)&lt;&gt;"Free Game",INDEX('Game Records'!$U:$U,$H374)&lt;&gt;"Disqualified — Free Game",INDEX('Game Records'!$I:$I,$H374)=""),"Eligible Players; ","")&amp;IF(AND(INDEX('Game Records'!$U:$U,$H374)&lt;&gt;"Subscription",INDEX('Game Records'!$U:$U,$H374)&lt;&gt;"Free Game",INDEX('Game Records'!$U:$U,$H374)&lt;&gt;"Disqualified — Free Game",INDEX('Game Records'!$J:$J,$H374)=""),"Total Players; ","")&amp;IF(AND(LOWER(INDEX('Game Records'!$D:$D,$H374)&amp;"")="finalized",LOWER(INDEX('Game Records'!$L:$L,$H374)&amp;"")&lt;&gt;"yes",INDEX('Game Records'!$U:$U,$H374)&lt;&gt;"Subscription",INDEX('Game Records'!$U:$U,$H374)&lt;&gt;"Free Game",INDEX('Game Records'!$U:$U,$H374)&lt;&gt;"Disqualified — Free Game",INDEX('Game Records'!$K:$K,$H374)=""),"Final Payout; ","")&amp;IF(AND(LOWER(INDEX('Game Records'!$D:$D,$H374)&amp;"")="finalized",INDEX('Game Records'!$U:$U,$H374)&lt;&gt;"Subscription",INDEX('Game Records'!$U:$U,$H374)&lt;&gt;"Free Game",INDEX('Game Records'!$U:$U,$H374)&lt;&gt;"Disqualified — Free Game",OR(INDEX('Game Records'!$L:$L,$H374)="",LOWER(INDEX('Game Records'!$L:$L,$H374)&amp;"")="n/a")),"Disqualified Status; ",""))</f>
        <v/>
      </c>
      <c r="G374" s="25" t="str">
        <f t="array" ref="G374">IF($H374="","",IFERROR(INDEX('Game Records'!$M:$M,$H374),""))</f>
        <v/>
      </c>
      <c r="H374" s="8"/>
    </row>
    <row r="375" ht="24.0" customHeight="1">
      <c r="A375" s="21" t="str">
        <f t="shared" si="1"/>
        <v/>
      </c>
      <c r="B375" s="21" t="str">
        <f t="shared" si="2"/>
        <v/>
      </c>
      <c r="C375" s="25" t="str">
        <f t="array" ref="C375">IF($H375="","",IFERROR(INDEX('Game Records'!$A:$A,$H375),""))</f>
        <v/>
      </c>
      <c r="D375" s="25" t="str">
        <f t="array" ref="D375">IF($H375="","",IFERROR(INDEX('Game Records'!$U:$U,$H375),""))</f>
        <v/>
      </c>
      <c r="E375" s="25" t="str">
        <f t="shared" si="3"/>
        <v/>
      </c>
      <c r="F375" s="25" t="str">
        <f t="array" ref="F375">IF($H375="","",IF(OR(NOT(_xlfn.ISFORMULA(INDEX('Game Records'!$N:$N,$H375))),NOT(_xlfn.ISFORMULA(INDEX('Game Records'!$O:$O,$H375))),NOT(_xlfn.ISFORMULA(INDEX('Game Records'!$P:$P,$H375))),NOT(_xlfn.ISFORMULA(INDEX('Game Records'!$Q:$Q,$H375))),NOT(_xlfn.ISFORMULA(INDEX('Game Records'!$R:$R,$H375))),NOT(_xlfn.ISFORMULA(INDEX('Game Records'!$S:$S,$H375))),NOT(_xlfn.ISFORMULA(INDEX('Game Records'!$T:$T,$H375))),NOT(_xlfn.ISFORMULA(INDEX('Game Records'!$U:$U,$H375))),NOT(_xlfn.ISFORMULA(INDEX('Game Records'!$V:$V,$H375))),NOT(_xlfn.ISFORMULA(INDEX('Game Records'!$W:$W,$H375))),NOT(_xlfn.ISFORMULA(INDEX('Game Records'!$X:$X,$H375))),NOT(_xlfn.ISFORMULA(INDEX('Game Records'!$Y:$Y,$H375))),NOT(_xlfn.ISFORMULA(INDEX('Game Records'!$Z:$Z,$H375)))),"","")&amp;IF(INDEX('Game Records'!$B:$B,$H375)="","Start Date; ","")&amp;IF(INDEX('Game Records'!$C:$C,$H375)="","End Date; ","")&amp;IF(AND(INDEX('Game Records'!$U:$U,$H375)&lt;&gt;"Subscription",INDEX('Game Records'!$U:$U,$H375)&lt;&gt;"Free Game",INDEX('Game Records'!$U:$U,$H375)&lt;&gt;"Disqualified — Free Game",OR(INDEX('Game Records'!$D:$D,$H375)="",LOWER(INDEX('Game Records'!$D:$D,$H375)&amp;"")="n/a")),"Entry Mode; ","")&amp;IF(AND(INDEX('Game Records'!$U:$U,$H375)&lt;&gt;"Subscription",INDEX('Game Records'!$U:$U,$H375)&lt;&gt;"Free Game",INDEX('Game Records'!$U:$U,$H375)&lt;&gt;"Disqualified — Free Game",OR(INDEX('Game Records'!$E:$E,$H375)="",LOWER(INDEX('Game Records'!$E:$E,$H375)&amp;"")="n/a")),"Game Type; ","")&amp;IF(INDEX('Game Records'!$F:$F,$H375)="","Payment Type; ","")&amp;IF(AND(INDEX('Game Records'!$U:$U,$H375)&lt;&gt;"Subscription",INDEX('Game Records'!$U:$U,$H375)&lt;&gt;"Free Game",INDEX('Game Records'!$U:$U,$H375)&lt;&gt;"Disqualified — Free Game",INDEX('Game Records'!$G:$G,$H375)=""),"Gross Pot; ","")&amp;IF(AND(INDEX('Game Records'!$U:$U,$H375)&lt;&gt;"Free Game",INDEX('Game Records'!$U:$U,$H375)&lt;&gt;"Disqualified — Free Game",INDEX('Game Records'!$H:$H,$H375)=""),"Entry Fee; ","")&amp;IF(AND(INDEX('Game Records'!$U:$U,$H375)&lt;&gt;"Subscription",INDEX('Game Records'!$U:$U,$H375)&lt;&gt;"Free Game",INDEX('Game Records'!$U:$U,$H375)&lt;&gt;"Disqualified — Free Game",INDEX('Game Records'!$I:$I,$H375)=""),"Eligible Players; ","")&amp;IF(AND(INDEX('Game Records'!$U:$U,$H375)&lt;&gt;"Subscription",INDEX('Game Records'!$U:$U,$H375)&lt;&gt;"Free Game",INDEX('Game Records'!$U:$U,$H375)&lt;&gt;"Disqualified — Free Game",INDEX('Game Records'!$J:$J,$H375)=""),"Total Players; ","")&amp;IF(AND(LOWER(INDEX('Game Records'!$D:$D,$H375)&amp;"")="finalized",LOWER(INDEX('Game Records'!$L:$L,$H375)&amp;"")&lt;&gt;"yes",INDEX('Game Records'!$U:$U,$H375)&lt;&gt;"Subscription",INDEX('Game Records'!$U:$U,$H375)&lt;&gt;"Free Game",INDEX('Game Records'!$U:$U,$H375)&lt;&gt;"Disqualified — Free Game",INDEX('Game Records'!$K:$K,$H375)=""),"Final Payout; ","")&amp;IF(AND(LOWER(INDEX('Game Records'!$D:$D,$H375)&amp;"")="finalized",INDEX('Game Records'!$U:$U,$H375)&lt;&gt;"Subscription",INDEX('Game Records'!$U:$U,$H375)&lt;&gt;"Free Game",INDEX('Game Records'!$U:$U,$H375)&lt;&gt;"Disqualified — Free Game",OR(INDEX('Game Records'!$L:$L,$H375)="",LOWER(INDEX('Game Records'!$L:$L,$H375)&amp;"")="n/a")),"Disqualified Status; ",""))</f>
        <v/>
      </c>
      <c r="G375" s="25" t="str">
        <f t="array" ref="G375">IF($H375="","",IFERROR(INDEX('Game Records'!$M:$M,$H375),""))</f>
        <v/>
      </c>
      <c r="H375" s="8"/>
    </row>
    <row r="376" ht="24.0" customHeight="1">
      <c r="A376" s="21" t="str">
        <f t="shared" si="1"/>
        <v/>
      </c>
      <c r="B376" s="21" t="str">
        <f t="shared" si="2"/>
        <v/>
      </c>
      <c r="C376" s="25" t="str">
        <f t="array" ref="C376">IF($H376="","",IFERROR(INDEX('Game Records'!$A:$A,$H376),""))</f>
        <v/>
      </c>
      <c r="D376" s="25" t="str">
        <f t="array" ref="D376">IF($H376="","",IFERROR(INDEX('Game Records'!$U:$U,$H376),""))</f>
        <v/>
      </c>
      <c r="E376" s="25" t="str">
        <f t="shared" si="3"/>
        <v/>
      </c>
      <c r="F376" s="25" t="str">
        <f t="array" ref="F376">IF($H376="","",IF(OR(NOT(_xlfn.ISFORMULA(INDEX('Game Records'!$N:$N,$H376))),NOT(_xlfn.ISFORMULA(INDEX('Game Records'!$O:$O,$H376))),NOT(_xlfn.ISFORMULA(INDEX('Game Records'!$P:$P,$H376))),NOT(_xlfn.ISFORMULA(INDEX('Game Records'!$Q:$Q,$H376))),NOT(_xlfn.ISFORMULA(INDEX('Game Records'!$R:$R,$H376))),NOT(_xlfn.ISFORMULA(INDEX('Game Records'!$S:$S,$H376))),NOT(_xlfn.ISFORMULA(INDEX('Game Records'!$T:$T,$H376))),NOT(_xlfn.ISFORMULA(INDEX('Game Records'!$U:$U,$H376))),NOT(_xlfn.ISFORMULA(INDEX('Game Records'!$V:$V,$H376))),NOT(_xlfn.ISFORMULA(INDEX('Game Records'!$W:$W,$H376))),NOT(_xlfn.ISFORMULA(INDEX('Game Records'!$X:$X,$H376))),NOT(_xlfn.ISFORMULA(INDEX('Game Records'!$Y:$Y,$H376))),NOT(_xlfn.ISFORMULA(INDEX('Game Records'!$Z:$Z,$H376)))),"","")&amp;IF(INDEX('Game Records'!$B:$B,$H376)="","Start Date; ","")&amp;IF(INDEX('Game Records'!$C:$C,$H376)="","End Date; ","")&amp;IF(AND(INDEX('Game Records'!$U:$U,$H376)&lt;&gt;"Subscription",INDEX('Game Records'!$U:$U,$H376)&lt;&gt;"Free Game",INDEX('Game Records'!$U:$U,$H376)&lt;&gt;"Disqualified — Free Game",OR(INDEX('Game Records'!$D:$D,$H376)="",LOWER(INDEX('Game Records'!$D:$D,$H376)&amp;"")="n/a")),"Entry Mode; ","")&amp;IF(AND(INDEX('Game Records'!$U:$U,$H376)&lt;&gt;"Subscription",INDEX('Game Records'!$U:$U,$H376)&lt;&gt;"Free Game",INDEX('Game Records'!$U:$U,$H376)&lt;&gt;"Disqualified — Free Game",OR(INDEX('Game Records'!$E:$E,$H376)="",LOWER(INDEX('Game Records'!$E:$E,$H376)&amp;"")="n/a")),"Game Type; ","")&amp;IF(INDEX('Game Records'!$F:$F,$H376)="","Payment Type; ","")&amp;IF(AND(INDEX('Game Records'!$U:$U,$H376)&lt;&gt;"Subscription",INDEX('Game Records'!$U:$U,$H376)&lt;&gt;"Free Game",INDEX('Game Records'!$U:$U,$H376)&lt;&gt;"Disqualified — Free Game",INDEX('Game Records'!$G:$G,$H376)=""),"Gross Pot; ","")&amp;IF(AND(INDEX('Game Records'!$U:$U,$H376)&lt;&gt;"Free Game",INDEX('Game Records'!$U:$U,$H376)&lt;&gt;"Disqualified — Free Game",INDEX('Game Records'!$H:$H,$H376)=""),"Entry Fee; ","")&amp;IF(AND(INDEX('Game Records'!$U:$U,$H376)&lt;&gt;"Subscription",INDEX('Game Records'!$U:$U,$H376)&lt;&gt;"Free Game",INDEX('Game Records'!$U:$U,$H376)&lt;&gt;"Disqualified — Free Game",INDEX('Game Records'!$I:$I,$H376)=""),"Eligible Players; ","")&amp;IF(AND(INDEX('Game Records'!$U:$U,$H376)&lt;&gt;"Subscription",INDEX('Game Records'!$U:$U,$H376)&lt;&gt;"Free Game",INDEX('Game Records'!$U:$U,$H376)&lt;&gt;"Disqualified — Free Game",INDEX('Game Records'!$J:$J,$H376)=""),"Total Players; ","")&amp;IF(AND(LOWER(INDEX('Game Records'!$D:$D,$H376)&amp;"")="finalized",LOWER(INDEX('Game Records'!$L:$L,$H376)&amp;"")&lt;&gt;"yes",INDEX('Game Records'!$U:$U,$H376)&lt;&gt;"Subscription",INDEX('Game Records'!$U:$U,$H376)&lt;&gt;"Free Game",INDEX('Game Records'!$U:$U,$H376)&lt;&gt;"Disqualified — Free Game",INDEX('Game Records'!$K:$K,$H376)=""),"Final Payout; ","")&amp;IF(AND(LOWER(INDEX('Game Records'!$D:$D,$H376)&amp;"")="finalized",INDEX('Game Records'!$U:$U,$H376)&lt;&gt;"Subscription",INDEX('Game Records'!$U:$U,$H376)&lt;&gt;"Free Game",INDEX('Game Records'!$U:$U,$H376)&lt;&gt;"Disqualified — Free Game",OR(INDEX('Game Records'!$L:$L,$H376)="",LOWER(INDEX('Game Records'!$L:$L,$H376)&amp;"")="n/a")),"Disqualified Status; ",""))</f>
        <v/>
      </c>
      <c r="G376" s="25" t="str">
        <f t="array" ref="G376">IF($H376="","",IFERROR(INDEX('Game Records'!$M:$M,$H376),""))</f>
        <v/>
      </c>
      <c r="H376" s="8"/>
    </row>
    <row r="377" ht="24.0" customHeight="1">
      <c r="A377" s="21" t="str">
        <f t="shared" si="1"/>
        <v/>
      </c>
      <c r="B377" s="21" t="str">
        <f t="shared" si="2"/>
        <v/>
      </c>
      <c r="C377" s="25" t="str">
        <f t="array" ref="C377">IF($H377="","",IFERROR(INDEX('Game Records'!$A:$A,$H377),""))</f>
        <v/>
      </c>
      <c r="D377" s="25" t="str">
        <f t="array" ref="D377">IF($H377="","",IFERROR(INDEX('Game Records'!$U:$U,$H377),""))</f>
        <v/>
      </c>
      <c r="E377" s="25" t="str">
        <f t="shared" si="3"/>
        <v/>
      </c>
      <c r="F377" s="25" t="str">
        <f t="array" ref="F377">IF($H377="","",IF(OR(NOT(_xlfn.ISFORMULA(INDEX('Game Records'!$N:$N,$H377))),NOT(_xlfn.ISFORMULA(INDEX('Game Records'!$O:$O,$H377))),NOT(_xlfn.ISFORMULA(INDEX('Game Records'!$P:$P,$H377))),NOT(_xlfn.ISFORMULA(INDEX('Game Records'!$Q:$Q,$H377))),NOT(_xlfn.ISFORMULA(INDEX('Game Records'!$R:$R,$H377))),NOT(_xlfn.ISFORMULA(INDEX('Game Records'!$S:$S,$H377))),NOT(_xlfn.ISFORMULA(INDEX('Game Records'!$T:$T,$H377))),NOT(_xlfn.ISFORMULA(INDEX('Game Records'!$U:$U,$H377))),NOT(_xlfn.ISFORMULA(INDEX('Game Records'!$V:$V,$H377))),NOT(_xlfn.ISFORMULA(INDEX('Game Records'!$W:$W,$H377))),NOT(_xlfn.ISFORMULA(INDEX('Game Records'!$X:$X,$H377))),NOT(_xlfn.ISFORMULA(INDEX('Game Records'!$Y:$Y,$H377))),NOT(_xlfn.ISFORMULA(INDEX('Game Records'!$Z:$Z,$H377)))),"","")&amp;IF(INDEX('Game Records'!$B:$B,$H377)="","Start Date; ","")&amp;IF(INDEX('Game Records'!$C:$C,$H377)="","End Date; ","")&amp;IF(AND(INDEX('Game Records'!$U:$U,$H377)&lt;&gt;"Subscription",INDEX('Game Records'!$U:$U,$H377)&lt;&gt;"Free Game",INDEX('Game Records'!$U:$U,$H377)&lt;&gt;"Disqualified — Free Game",OR(INDEX('Game Records'!$D:$D,$H377)="",LOWER(INDEX('Game Records'!$D:$D,$H377)&amp;"")="n/a")),"Entry Mode; ","")&amp;IF(AND(INDEX('Game Records'!$U:$U,$H377)&lt;&gt;"Subscription",INDEX('Game Records'!$U:$U,$H377)&lt;&gt;"Free Game",INDEX('Game Records'!$U:$U,$H377)&lt;&gt;"Disqualified — Free Game",OR(INDEX('Game Records'!$E:$E,$H377)="",LOWER(INDEX('Game Records'!$E:$E,$H377)&amp;"")="n/a")),"Game Type; ","")&amp;IF(INDEX('Game Records'!$F:$F,$H377)="","Payment Type; ","")&amp;IF(AND(INDEX('Game Records'!$U:$U,$H377)&lt;&gt;"Subscription",INDEX('Game Records'!$U:$U,$H377)&lt;&gt;"Free Game",INDEX('Game Records'!$U:$U,$H377)&lt;&gt;"Disqualified — Free Game",INDEX('Game Records'!$G:$G,$H377)=""),"Gross Pot; ","")&amp;IF(AND(INDEX('Game Records'!$U:$U,$H377)&lt;&gt;"Free Game",INDEX('Game Records'!$U:$U,$H377)&lt;&gt;"Disqualified — Free Game",INDEX('Game Records'!$H:$H,$H377)=""),"Entry Fee; ","")&amp;IF(AND(INDEX('Game Records'!$U:$U,$H377)&lt;&gt;"Subscription",INDEX('Game Records'!$U:$U,$H377)&lt;&gt;"Free Game",INDEX('Game Records'!$U:$U,$H377)&lt;&gt;"Disqualified — Free Game",INDEX('Game Records'!$I:$I,$H377)=""),"Eligible Players; ","")&amp;IF(AND(INDEX('Game Records'!$U:$U,$H377)&lt;&gt;"Subscription",INDEX('Game Records'!$U:$U,$H377)&lt;&gt;"Free Game",INDEX('Game Records'!$U:$U,$H377)&lt;&gt;"Disqualified — Free Game",INDEX('Game Records'!$J:$J,$H377)=""),"Total Players; ","")&amp;IF(AND(LOWER(INDEX('Game Records'!$D:$D,$H377)&amp;"")="finalized",LOWER(INDEX('Game Records'!$L:$L,$H377)&amp;"")&lt;&gt;"yes",INDEX('Game Records'!$U:$U,$H377)&lt;&gt;"Subscription",INDEX('Game Records'!$U:$U,$H377)&lt;&gt;"Free Game",INDEX('Game Records'!$U:$U,$H377)&lt;&gt;"Disqualified — Free Game",INDEX('Game Records'!$K:$K,$H377)=""),"Final Payout; ","")&amp;IF(AND(LOWER(INDEX('Game Records'!$D:$D,$H377)&amp;"")="finalized",INDEX('Game Records'!$U:$U,$H377)&lt;&gt;"Subscription",INDEX('Game Records'!$U:$U,$H377)&lt;&gt;"Free Game",INDEX('Game Records'!$U:$U,$H377)&lt;&gt;"Disqualified — Free Game",OR(INDEX('Game Records'!$L:$L,$H377)="",LOWER(INDEX('Game Records'!$L:$L,$H377)&amp;"")="n/a")),"Disqualified Status; ",""))</f>
        <v/>
      </c>
      <c r="G377" s="25" t="str">
        <f t="array" ref="G377">IF($H377="","",IFERROR(INDEX('Game Records'!$M:$M,$H377),""))</f>
        <v/>
      </c>
      <c r="H377" s="8"/>
    </row>
    <row r="378" ht="24.0" customHeight="1">
      <c r="A378" s="21" t="str">
        <f t="shared" si="1"/>
        <v/>
      </c>
      <c r="B378" s="21" t="str">
        <f t="shared" si="2"/>
        <v/>
      </c>
      <c r="C378" s="25" t="str">
        <f t="array" ref="C378">IF($H378="","",IFERROR(INDEX('Game Records'!$A:$A,$H378),""))</f>
        <v/>
      </c>
      <c r="D378" s="25" t="str">
        <f t="array" ref="D378">IF($H378="","",IFERROR(INDEX('Game Records'!$U:$U,$H378),""))</f>
        <v/>
      </c>
      <c r="E378" s="25" t="str">
        <f t="shared" si="3"/>
        <v/>
      </c>
      <c r="F378" s="25" t="str">
        <f t="array" ref="F378">IF($H378="","",IF(OR(NOT(_xlfn.ISFORMULA(INDEX('Game Records'!$N:$N,$H378))),NOT(_xlfn.ISFORMULA(INDEX('Game Records'!$O:$O,$H378))),NOT(_xlfn.ISFORMULA(INDEX('Game Records'!$P:$P,$H378))),NOT(_xlfn.ISFORMULA(INDEX('Game Records'!$Q:$Q,$H378))),NOT(_xlfn.ISFORMULA(INDEX('Game Records'!$R:$R,$H378))),NOT(_xlfn.ISFORMULA(INDEX('Game Records'!$S:$S,$H378))),NOT(_xlfn.ISFORMULA(INDEX('Game Records'!$T:$T,$H378))),NOT(_xlfn.ISFORMULA(INDEX('Game Records'!$U:$U,$H378))),NOT(_xlfn.ISFORMULA(INDEX('Game Records'!$V:$V,$H378))),NOT(_xlfn.ISFORMULA(INDEX('Game Records'!$W:$W,$H378))),NOT(_xlfn.ISFORMULA(INDEX('Game Records'!$X:$X,$H378))),NOT(_xlfn.ISFORMULA(INDEX('Game Records'!$Y:$Y,$H378))),NOT(_xlfn.ISFORMULA(INDEX('Game Records'!$Z:$Z,$H378)))),"","")&amp;IF(INDEX('Game Records'!$B:$B,$H378)="","Start Date; ","")&amp;IF(INDEX('Game Records'!$C:$C,$H378)="","End Date; ","")&amp;IF(AND(INDEX('Game Records'!$U:$U,$H378)&lt;&gt;"Subscription",INDEX('Game Records'!$U:$U,$H378)&lt;&gt;"Free Game",INDEX('Game Records'!$U:$U,$H378)&lt;&gt;"Disqualified — Free Game",OR(INDEX('Game Records'!$D:$D,$H378)="",LOWER(INDEX('Game Records'!$D:$D,$H378)&amp;"")="n/a")),"Entry Mode; ","")&amp;IF(AND(INDEX('Game Records'!$U:$U,$H378)&lt;&gt;"Subscription",INDEX('Game Records'!$U:$U,$H378)&lt;&gt;"Free Game",INDEX('Game Records'!$U:$U,$H378)&lt;&gt;"Disqualified — Free Game",OR(INDEX('Game Records'!$E:$E,$H378)="",LOWER(INDEX('Game Records'!$E:$E,$H378)&amp;"")="n/a")),"Game Type; ","")&amp;IF(INDEX('Game Records'!$F:$F,$H378)="","Payment Type; ","")&amp;IF(AND(INDEX('Game Records'!$U:$U,$H378)&lt;&gt;"Subscription",INDEX('Game Records'!$U:$U,$H378)&lt;&gt;"Free Game",INDEX('Game Records'!$U:$U,$H378)&lt;&gt;"Disqualified — Free Game",INDEX('Game Records'!$G:$G,$H378)=""),"Gross Pot; ","")&amp;IF(AND(INDEX('Game Records'!$U:$U,$H378)&lt;&gt;"Free Game",INDEX('Game Records'!$U:$U,$H378)&lt;&gt;"Disqualified — Free Game",INDEX('Game Records'!$H:$H,$H378)=""),"Entry Fee; ","")&amp;IF(AND(INDEX('Game Records'!$U:$U,$H378)&lt;&gt;"Subscription",INDEX('Game Records'!$U:$U,$H378)&lt;&gt;"Free Game",INDEX('Game Records'!$U:$U,$H378)&lt;&gt;"Disqualified — Free Game",INDEX('Game Records'!$I:$I,$H378)=""),"Eligible Players; ","")&amp;IF(AND(INDEX('Game Records'!$U:$U,$H378)&lt;&gt;"Subscription",INDEX('Game Records'!$U:$U,$H378)&lt;&gt;"Free Game",INDEX('Game Records'!$U:$U,$H378)&lt;&gt;"Disqualified — Free Game",INDEX('Game Records'!$J:$J,$H378)=""),"Total Players; ","")&amp;IF(AND(LOWER(INDEX('Game Records'!$D:$D,$H378)&amp;"")="finalized",LOWER(INDEX('Game Records'!$L:$L,$H378)&amp;"")&lt;&gt;"yes",INDEX('Game Records'!$U:$U,$H378)&lt;&gt;"Subscription",INDEX('Game Records'!$U:$U,$H378)&lt;&gt;"Free Game",INDEX('Game Records'!$U:$U,$H378)&lt;&gt;"Disqualified — Free Game",INDEX('Game Records'!$K:$K,$H378)=""),"Final Payout; ","")&amp;IF(AND(LOWER(INDEX('Game Records'!$D:$D,$H378)&amp;"")="finalized",INDEX('Game Records'!$U:$U,$H378)&lt;&gt;"Subscription",INDEX('Game Records'!$U:$U,$H378)&lt;&gt;"Free Game",INDEX('Game Records'!$U:$U,$H378)&lt;&gt;"Disqualified — Free Game",OR(INDEX('Game Records'!$L:$L,$H378)="",LOWER(INDEX('Game Records'!$L:$L,$H378)&amp;"")="n/a")),"Disqualified Status; ",""))</f>
        <v/>
      </c>
      <c r="G378" s="25" t="str">
        <f t="array" ref="G378">IF($H378="","",IFERROR(INDEX('Game Records'!$M:$M,$H378),""))</f>
        <v/>
      </c>
      <c r="H378" s="8"/>
    </row>
    <row r="379" ht="24.0" customHeight="1">
      <c r="A379" s="21" t="str">
        <f t="shared" si="1"/>
        <v/>
      </c>
      <c r="B379" s="21" t="str">
        <f t="shared" si="2"/>
        <v/>
      </c>
      <c r="C379" s="25" t="str">
        <f t="array" ref="C379">IF($H379="","",IFERROR(INDEX('Game Records'!$A:$A,$H379),""))</f>
        <v/>
      </c>
      <c r="D379" s="25" t="str">
        <f t="array" ref="D379">IF($H379="","",IFERROR(INDEX('Game Records'!$U:$U,$H379),""))</f>
        <v/>
      </c>
      <c r="E379" s="25" t="str">
        <f t="shared" si="3"/>
        <v/>
      </c>
      <c r="F379" s="25" t="str">
        <f t="array" ref="F379">IF($H379="","",IF(OR(NOT(_xlfn.ISFORMULA(INDEX('Game Records'!$N:$N,$H379))),NOT(_xlfn.ISFORMULA(INDEX('Game Records'!$O:$O,$H379))),NOT(_xlfn.ISFORMULA(INDEX('Game Records'!$P:$P,$H379))),NOT(_xlfn.ISFORMULA(INDEX('Game Records'!$Q:$Q,$H379))),NOT(_xlfn.ISFORMULA(INDEX('Game Records'!$R:$R,$H379))),NOT(_xlfn.ISFORMULA(INDEX('Game Records'!$S:$S,$H379))),NOT(_xlfn.ISFORMULA(INDEX('Game Records'!$T:$T,$H379))),NOT(_xlfn.ISFORMULA(INDEX('Game Records'!$U:$U,$H379))),NOT(_xlfn.ISFORMULA(INDEX('Game Records'!$V:$V,$H379))),NOT(_xlfn.ISFORMULA(INDEX('Game Records'!$W:$W,$H379))),NOT(_xlfn.ISFORMULA(INDEX('Game Records'!$X:$X,$H379))),NOT(_xlfn.ISFORMULA(INDEX('Game Records'!$Y:$Y,$H379))),NOT(_xlfn.ISFORMULA(INDEX('Game Records'!$Z:$Z,$H379)))),"","")&amp;IF(INDEX('Game Records'!$B:$B,$H379)="","Start Date; ","")&amp;IF(INDEX('Game Records'!$C:$C,$H379)="","End Date; ","")&amp;IF(AND(INDEX('Game Records'!$U:$U,$H379)&lt;&gt;"Subscription",INDEX('Game Records'!$U:$U,$H379)&lt;&gt;"Free Game",INDEX('Game Records'!$U:$U,$H379)&lt;&gt;"Disqualified — Free Game",OR(INDEX('Game Records'!$D:$D,$H379)="",LOWER(INDEX('Game Records'!$D:$D,$H379)&amp;"")="n/a")),"Entry Mode; ","")&amp;IF(AND(INDEX('Game Records'!$U:$U,$H379)&lt;&gt;"Subscription",INDEX('Game Records'!$U:$U,$H379)&lt;&gt;"Free Game",INDEX('Game Records'!$U:$U,$H379)&lt;&gt;"Disqualified — Free Game",OR(INDEX('Game Records'!$E:$E,$H379)="",LOWER(INDEX('Game Records'!$E:$E,$H379)&amp;"")="n/a")),"Game Type; ","")&amp;IF(INDEX('Game Records'!$F:$F,$H379)="","Payment Type; ","")&amp;IF(AND(INDEX('Game Records'!$U:$U,$H379)&lt;&gt;"Subscription",INDEX('Game Records'!$U:$U,$H379)&lt;&gt;"Free Game",INDEX('Game Records'!$U:$U,$H379)&lt;&gt;"Disqualified — Free Game",INDEX('Game Records'!$G:$G,$H379)=""),"Gross Pot; ","")&amp;IF(AND(INDEX('Game Records'!$U:$U,$H379)&lt;&gt;"Free Game",INDEX('Game Records'!$U:$U,$H379)&lt;&gt;"Disqualified — Free Game",INDEX('Game Records'!$H:$H,$H379)=""),"Entry Fee; ","")&amp;IF(AND(INDEX('Game Records'!$U:$U,$H379)&lt;&gt;"Subscription",INDEX('Game Records'!$U:$U,$H379)&lt;&gt;"Free Game",INDEX('Game Records'!$U:$U,$H379)&lt;&gt;"Disqualified — Free Game",INDEX('Game Records'!$I:$I,$H379)=""),"Eligible Players; ","")&amp;IF(AND(INDEX('Game Records'!$U:$U,$H379)&lt;&gt;"Subscription",INDEX('Game Records'!$U:$U,$H379)&lt;&gt;"Free Game",INDEX('Game Records'!$U:$U,$H379)&lt;&gt;"Disqualified — Free Game",INDEX('Game Records'!$J:$J,$H379)=""),"Total Players; ","")&amp;IF(AND(LOWER(INDEX('Game Records'!$D:$D,$H379)&amp;"")="finalized",LOWER(INDEX('Game Records'!$L:$L,$H379)&amp;"")&lt;&gt;"yes",INDEX('Game Records'!$U:$U,$H379)&lt;&gt;"Subscription",INDEX('Game Records'!$U:$U,$H379)&lt;&gt;"Free Game",INDEX('Game Records'!$U:$U,$H379)&lt;&gt;"Disqualified — Free Game",INDEX('Game Records'!$K:$K,$H379)=""),"Final Payout; ","")&amp;IF(AND(LOWER(INDEX('Game Records'!$D:$D,$H379)&amp;"")="finalized",INDEX('Game Records'!$U:$U,$H379)&lt;&gt;"Subscription",INDEX('Game Records'!$U:$U,$H379)&lt;&gt;"Free Game",INDEX('Game Records'!$U:$U,$H379)&lt;&gt;"Disqualified — Free Game",OR(INDEX('Game Records'!$L:$L,$H379)="",LOWER(INDEX('Game Records'!$L:$L,$H379)&amp;"")="n/a")),"Disqualified Status; ",""))</f>
        <v/>
      </c>
      <c r="G379" s="25" t="str">
        <f t="array" ref="G379">IF($H379="","",IFERROR(INDEX('Game Records'!$M:$M,$H379),""))</f>
        <v/>
      </c>
      <c r="H379" s="8"/>
    </row>
    <row r="380" ht="24.0" customHeight="1">
      <c r="A380" s="21" t="str">
        <f t="shared" si="1"/>
        <v/>
      </c>
      <c r="B380" s="21" t="str">
        <f t="shared" si="2"/>
        <v/>
      </c>
      <c r="C380" s="25" t="str">
        <f t="array" ref="C380">IF($H380="","",IFERROR(INDEX('Game Records'!$A:$A,$H380),""))</f>
        <v/>
      </c>
      <c r="D380" s="25" t="str">
        <f t="array" ref="D380">IF($H380="","",IFERROR(INDEX('Game Records'!$U:$U,$H380),""))</f>
        <v/>
      </c>
      <c r="E380" s="25" t="str">
        <f t="shared" si="3"/>
        <v/>
      </c>
      <c r="F380" s="25" t="str">
        <f t="array" ref="F380">IF($H380="","",IF(OR(NOT(_xlfn.ISFORMULA(INDEX('Game Records'!$N:$N,$H380))),NOT(_xlfn.ISFORMULA(INDEX('Game Records'!$O:$O,$H380))),NOT(_xlfn.ISFORMULA(INDEX('Game Records'!$P:$P,$H380))),NOT(_xlfn.ISFORMULA(INDEX('Game Records'!$Q:$Q,$H380))),NOT(_xlfn.ISFORMULA(INDEX('Game Records'!$R:$R,$H380))),NOT(_xlfn.ISFORMULA(INDEX('Game Records'!$S:$S,$H380))),NOT(_xlfn.ISFORMULA(INDEX('Game Records'!$T:$T,$H380))),NOT(_xlfn.ISFORMULA(INDEX('Game Records'!$U:$U,$H380))),NOT(_xlfn.ISFORMULA(INDEX('Game Records'!$V:$V,$H380))),NOT(_xlfn.ISFORMULA(INDEX('Game Records'!$W:$W,$H380))),NOT(_xlfn.ISFORMULA(INDEX('Game Records'!$X:$X,$H380))),NOT(_xlfn.ISFORMULA(INDEX('Game Records'!$Y:$Y,$H380))),NOT(_xlfn.ISFORMULA(INDEX('Game Records'!$Z:$Z,$H380)))),"","")&amp;IF(INDEX('Game Records'!$B:$B,$H380)="","Start Date; ","")&amp;IF(INDEX('Game Records'!$C:$C,$H380)="","End Date; ","")&amp;IF(AND(INDEX('Game Records'!$U:$U,$H380)&lt;&gt;"Subscription",INDEX('Game Records'!$U:$U,$H380)&lt;&gt;"Free Game",INDEX('Game Records'!$U:$U,$H380)&lt;&gt;"Disqualified — Free Game",OR(INDEX('Game Records'!$D:$D,$H380)="",LOWER(INDEX('Game Records'!$D:$D,$H380)&amp;"")="n/a")),"Entry Mode; ","")&amp;IF(AND(INDEX('Game Records'!$U:$U,$H380)&lt;&gt;"Subscription",INDEX('Game Records'!$U:$U,$H380)&lt;&gt;"Free Game",INDEX('Game Records'!$U:$U,$H380)&lt;&gt;"Disqualified — Free Game",OR(INDEX('Game Records'!$E:$E,$H380)="",LOWER(INDEX('Game Records'!$E:$E,$H380)&amp;"")="n/a")),"Game Type; ","")&amp;IF(INDEX('Game Records'!$F:$F,$H380)="","Payment Type; ","")&amp;IF(AND(INDEX('Game Records'!$U:$U,$H380)&lt;&gt;"Subscription",INDEX('Game Records'!$U:$U,$H380)&lt;&gt;"Free Game",INDEX('Game Records'!$U:$U,$H380)&lt;&gt;"Disqualified — Free Game",INDEX('Game Records'!$G:$G,$H380)=""),"Gross Pot; ","")&amp;IF(AND(INDEX('Game Records'!$U:$U,$H380)&lt;&gt;"Free Game",INDEX('Game Records'!$U:$U,$H380)&lt;&gt;"Disqualified — Free Game",INDEX('Game Records'!$H:$H,$H380)=""),"Entry Fee; ","")&amp;IF(AND(INDEX('Game Records'!$U:$U,$H380)&lt;&gt;"Subscription",INDEX('Game Records'!$U:$U,$H380)&lt;&gt;"Free Game",INDEX('Game Records'!$U:$U,$H380)&lt;&gt;"Disqualified — Free Game",INDEX('Game Records'!$I:$I,$H380)=""),"Eligible Players; ","")&amp;IF(AND(INDEX('Game Records'!$U:$U,$H380)&lt;&gt;"Subscription",INDEX('Game Records'!$U:$U,$H380)&lt;&gt;"Free Game",INDEX('Game Records'!$U:$U,$H380)&lt;&gt;"Disqualified — Free Game",INDEX('Game Records'!$J:$J,$H380)=""),"Total Players; ","")&amp;IF(AND(LOWER(INDEX('Game Records'!$D:$D,$H380)&amp;"")="finalized",LOWER(INDEX('Game Records'!$L:$L,$H380)&amp;"")&lt;&gt;"yes",INDEX('Game Records'!$U:$U,$H380)&lt;&gt;"Subscription",INDEX('Game Records'!$U:$U,$H380)&lt;&gt;"Free Game",INDEX('Game Records'!$U:$U,$H380)&lt;&gt;"Disqualified — Free Game",INDEX('Game Records'!$K:$K,$H380)=""),"Final Payout; ","")&amp;IF(AND(LOWER(INDEX('Game Records'!$D:$D,$H380)&amp;"")="finalized",INDEX('Game Records'!$U:$U,$H380)&lt;&gt;"Subscription",INDEX('Game Records'!$U:$U,$H380)&lt;&gt;"Free Game",INDEX('Game Records'!$U:$U,$H380)&lt;&gt;"Disqualified — Free Game",OR(INDEX('Game Records'!$L:$L,$H380)="",LOWER(INDEX('Game Records'!$L:$L,$H380)&amp;"")="n/a")),"Disqualified Status; ",""))</f>
        <v/>
      </c>
      <c r="G380" s="25" t="str">
        <f t="array" ref="G380">IF($H380="","",IFERROR(INDEX('Game Records'!$M:$M,$H380),""))</f>
        <v/>
      </c>
      <c r="H380" s="8"/>
    </row>
    <row r="381" ht="24.0" customHeight="1">
      <c r="A381" s="21" t="str">
        <f t="shared" si="1"/>
        <v/>
      </c>
      <c r="B381" s="21" t="str">
        <f t="shared" si="2"/>
        <v/>
      </c>
      <c r="C381" s="25" t="str">
        <f t="array" ref="C381">IF($H381="","",IFERROR(INDEX('Game Records'!$A:$A,$H381),""))</f>
        <v/>
      </c>
      <c r="D381" s="25" t="str">
        <f t="array" ref="D381">IF($H381="","",IFERROR(INDEX('Game Records'!$U:$U,$H381),""))</f>
        <v/>
      </c>
      <c r="E381" s="25" t="str">
        <f t="shared" si="3"/>
        <v/>
      </c>
      <c r="F381" s="25" t="str">
        <f t="array" ref="F381">IF($H381="","",IF(OR(NOT(_xlfn.ISFORMULA(INDEX('Game Records'!$N:$N,$H381))),NOT(_xlfn.ISFORMULA(INDEX('Game Records'!$O:$O,$H381))),NOT(_xlfn.ISFORMULA(INDEX('Game Records'!$P:$P,$H381))),NOT(_xlfn.ISFORMULA(INDEX('Game Records'!$Q:$Q,$H381))),NOT(_xlfn.ISFORMULA(INDEX('Game Records'!$R:$R,$H381))),NOT(_xlfn.ISFORMULA(INDEX('Game Records'!$S:$S,$H381))),NOT(_xlfn.ISFORMULA(INDEX('Game Records'!$T:$T,$H381))),NOT(_xlfn.ISFORMULA(INDEX('Game Records'!$U:$U,$H381))),NOT(_xlfn.ISFORMULA(INDEX('Game Records'!$V:$V,$H381))),NOT(_xlfn.ISFORMULA(INDEX('Game Records'!$W:$W,$H381))),NOT(_xlfn.ISFORMULA(INDEX('Game Records'!$X:$X,$H381))),NOT(_xlfn.ISFORMULA(INDEX('Game Records'!$Y:$Y,$H381))),NOT(_xlfn.ISFORMULA(INDEX('Game Records'!$Z:$Z,$H381)))),"","")&amp;IF(INDEX('Game Records'!$B:$B,$H381)="","Start Date; ","")&amp;IF(INDEX('Game Records'!$C:$C,$H381)="","End Date; ","")&amp;IF(AND(INDEX('Game Records'!$U:$U,$H381)&lt;&gt;"Subscription",INDEX('Game Records'!$U:$U,$H381)&lt;&gt;"Free Game",INDEX('Game Records'!$U:$U,$H381)&lt;&gt;"Disqualified — Free Game",OR(INDEX('Game Records'!$D:$D,$H381)="",LOWER(INDEX('Game Records'!$D:$D,$H381)&amp;"")="n/a")),"Entry Mode; ","")&amp;IF(AND(INDEX('Game Records'!$U:$U,$H381)&lt;&gt;"Subscription",INDEX('Game Records'!$U:$U,$H381)&lt;&gt;"Free Game",INDEX('Game Records'!$U:$U,$H381)&lt;&gt;"Disqualified — Free Game",OR(INDEX('Game Records'!$E:$E,$H381)="",LOWER(INDEX('Game Records'!$E:$E,$H381)&amp;"")="n/a")),"Game Type; ","")&amp;IF(INDEX('Game Records'!$F:$F,$H381)="","Payment Type; ","")&amp;IF(AND(INDEX('Game Records'!$U:$U,$H381)&lt;&gt;"Subscription",INDEX('Game Records'!$U:$U,$H381)&lt;&gt;"Free Game",INDEX('Game Records'!$U:$U,$H381)&lt;&gt;"Disqualified — Free Game",INDEX('Game Records'!$G:$G,$H381)=""),"Gross Pot; ","")&amp;IF(AND(INDEX('Game Records'!$U:$U,$H381)&lt;&gt;"Free Game",INDEX('Game Records'!$U:$U,$H381)&lt;&gt;"Disqualified — Free Game",INDEX('Game Records'!$H:$H,$H381)=""),"Entry Fee; ","")&amp;IF(AND(INDEX('Game Records'!$U:$U,$H381)&lt;&gt;"Subscription",INDEX('Game Records'!$U:$U,$H381)&lt;&gt;"Free Game",INDEX('Game Records'!$U:$U,$H381)&lt;&gt;"Disqualified — Free Game",INDEX('Game Records'!$I:$I,$H381)=""),"Eligible Players; ","")&amp;IF(AND(INDEX('Game Records'!$U:$U,$H381)&lt;&gt;"Subscription",INDEX('Game Records'!$U:$U,$H381)&lt;&gt;"Free Game",INDEX('Game Records'!$U:$U,$H381)&lt;&gt;"Disqualified — Free Game",INDEX('Game Records'!$J:$J,$H381)=""),"Total Players; ","")&amp;IF(AND(LOWER(INDEX('Game Records'!$D:$D,$H381)&amp;"")="finalized",LOWER(INDEX('Game Records'!$L:$L,$H381)&amp;"")&lt;&gt;"yes",INDEX('Game Records'!$U:$U,$H381)&lt;&gt;"Subscription",INDEX('Game Records'!$U:$U,$H381)&lt;&gt;"Free Game",INDEX('Game Records'!$U:$U,$H381)&lt;&gt;"Disqualified — Free Game",INDEX('Game Records'!$K:$K,$H381)=""),"Final Payout; ","")&amp;IF(AND(LOWER(INDEX('Game Records'!$D:$D,$H381)&amp;"")="finalized",INDEX('Game Records'!$U:$U,$H381)&lt;&gt;"Subscription",INDEX('Game Records'!$U:$U,$H381)&lt;&gt;"Free Game",INDEX('Game Records'!$U:$U,$H381)&lt;&gt;"Disqualified — Free Game",OR(INDEX('Game Records'!$L:$L,$H381)="",LOWER(INDEX('Game Records'!$L:$L,$H381)&amp;"")="n/a")),"Disqualified Status; ",""))</f>
        <v/>
      </c>
      <c r="G381" s="25" t="str">
        <f t="array" ref="G381">IF($H381="","",IFERROR(INDEX('Game Records'!$M:$M,$H381),""))</f>
        <v/>
      </c>
      <c r="H381" s="8"/>
    </row>
    <row r="382" ht="24.0" customHeight="1">
      <c r="A382" s="21" t="str">
        <f t="shared" si="1"/>
        <v/>
      </c>
      <c r="B382" s="21" t="str">
        <f t="shared" si="2"/>
        <v/>
      </c>
      <c r="C382" s="25" t="str">
        <f t="array" ref="C382">IF($H382="","",IFERROR(INDEX('Game Records'!$A:$A,$H382),""))</f>
        <v/>
      </c>
      <c r="D382" s="25" t="str">
        <f t="array" ref="D382">IF($H382="","",IFERROR(INDEX('Game Records'!$U:$U,$H382),""))</f>
        <v/>
      </c>
      <c r="E382" s="25" t="str">
        <f t="shared" si="3"/>
        <v/>
      </c>
      <c r="F382" s="25" t="str">
        <f t="array" ref="F382">IF($H382="","",IF(OR(NOT(_xlfn.ISFORMULA(INDEX('Game Records'!$N:$N,$H382))),NOT(_xlfn.ISFORMULA(INDEX('Game Records'!$O:$O,$H382))),NOT(_xlfn.ISFORMULA(INDEX('Game Records'!$P:$P,$H382))),NOT(_xlfn.ISFORMULA(INDEX('Game Records'!$Q:$Q,$H382))),NOT(_xlfn.ISFORMULA(INDEX('Game Records'!$R:$R,$H382))),NOT(_xlfn.ISFORMULA(INDEX('Game Records'!$S:$S,$H382))),NOT(_xlfn.ISFORMULA(INDEX('Game Records'!$T:$T,$H382))),NOT(_xlfn.ISFORMULA(INDEX('Game Records'!$U:$U,$H382))),NOT(_xlfn.ISFORMULA(INDEX('Game Records'!$V:$V,$H382))),NOT(_xlfn.ISFORMULA(INDEX('Game Records'!$W:$W,$H382))),NOT(_xlfn.ISFORMULA(INDEX('Game Records'!$X:$X,$H382))),NOT(_xlfn.ISFORMULA(INDEX('Game Records'!$Y:$Y,$H382))),NOT(_xlfn.ISFORMULA(INDEX('Game Records'!$Z:$Z,$H382)))),"","")&amp;IF(INDEX('Game Records'!$B:$B,$H382)="","Start Date; ","")&amp;IF(INDEX('Game Records'!$C:$C,$H382)="","End Date; ","")&amp;IF(AND(INDEX('Game Records'!$U:$U,$H382)&lt;&gt;"Subscription",INDEX('Game Records'!$U:$U,$H382)&lt;&gt;"Free Game",INDEX('Game Records'!$U:$U,$H382)&lt;&gt;"Disqualified — Free Game",OR(INDEX('Game Records'!$D:$D,$H382)="",LOWER(INDEX('Game Records'!$D:$D,$H382)&amp;"")="n/a")),"Entry Mode; ","")&amp;IF(AND(INDEX('Game Records'!$U:$U,$H382)&lt;&gt;"Subscription",INDEX('Game Records'!$U:$U,$H382)&lt;&gt;"Free Game",INDEX('Game Records'!$U:$U,$H382)&lt;&gt;"Disqualified — Free Game",OR(INDEX('Game Records'!$E:$E,$H382)="",LOWER(INDEX('Game Records'!$E:$E,$H382)&amp;"")="n/a")),"Game Type; ","")&amp;IF(INDEX('Game Records'!$F:$F,$H382)="","Payment Type; ","")&amp;IF(AND(INDEX('Game Records'!$U:$U,$H382)&lt;&gt;"Subscription",INDEX('Game Records'!$U:$U,$H382)&lt;&gt;"Free Game",INDEX('Game Records'!$U:$U,$H382)&lt;&gt;"Disqualified — Free Game",INDEX('Game Records'!$G:$G,$H382)=""),"Gross Pot; ","")&amp;IF(AND(INDEX('Game Records'!$U:$U,$H382)&lt;&gt;"Free Game",INDEX('Game Records'!$U:$U,$H382)&lt;&gt;"Disqualified — Free Game",INDEX('Game Records'!$H:$H,$H382)=""),"Entry Fee; ","")&amp;IF(AND(INDEX('Game Records'!$U:$U,$H382)&lt;&gt;"Subscription",INDEX('Game Records'!$U:$U,$H382)&lt;&gt;"Free Game",INDEX('Game Records'!$U:$U,$H382)&lt;&gt;"Disqualified — Free Game",INDEX('Game Records'!$I:$I,$H382)=""),"Eligible Players; ","")&amp;IF(AND(INDEX('Game Records'!$U:$U,$H382)&lt;&gt;"Subscription",INDEX('Game Records'!$U:$U,$H382)&lt;&gt;"Free Game",INDEX('Game Records'!$U:$U,$H382)&lt;&gt;"Disqualified — Free Game",INDEX('Game Records'!$J:$J,$H382)=""),"Total Players; ","")&amp;IF(AND(LOWER(INDEX('Game Records'!$D:$D,$H382)&amp;"")="finalized",LOWER(INDEX('Game Records'!$L:$L,$H382)&amp;"")&lt;&gt;"yes",INDEX('Game Records'!$U:$U,$H382)&lt;&gt;"Subscription",INDEX('Game Records'!$U:$U,$H382)&lt;&gt;"Free Game",INDEX('Game Records'!$U:$U,$H382)&lt;&gt;"Disqualified — Free Game",INDEX('Game Records'!$K:$K,$H382)=""),"Final Payout; ","")&amp;IF(AND(LOWER(INDEX('Game Records'!$D:$D,$H382)&amp;"")="finalized",INDEX('Game Records'!$U:$U,$H382)&lt;&gt;"Subscription",INDEX('Game Records'!$U:$U,$H382)&lt;&gt;"Free Game",INDEX('Game Records'!$U:$U,$H382)&lt;&gt;"Disqualified — Free Game",OR(INDEX('Game Records'!$L:$L,$H382)="",LOWER(INDEX('Game Records'!$L:$L,$H382)&amp;"")="n/a")),"Disqualified Status; ",""))</f>
        <v/>
      </c>
      <c r="G382" s="25" t="str">
        <f t="array" ref="G382">IF($H382="","",IFERROR(INDEX('Game Records'!$M:$M,$H382),""))</f>
        <v/>
      </c>
      <c r="H382" s="8"/>
    </row>
    <row r="383" ht="24.0" customHeight="1">
      <c r="A383" s="21" t="str">
        <f t="shared" si="1"/>
        <v/>
      </c>
      <c r="B383" s="21" t="str">
        <f t="shared" si="2"/>
        <v/>
      </c>
      <c r="C383" s="25" t="str">
        <f t="array" ref="C383">IF($H383="","",IFERROR(INDEX('Game Records'!$A:$A,$H383),""))</f>
        <v/>
      </c>
      <c r="D383" s="25" t="str">
        <f t="array" ref="D383">IF($H383="","",IFERROR(INDEX('Game Records'!$U:$U,$H383),""))</f>
        <v/>
      </c>
      <c r="E383" s="25" t="str">
        <f t="shared" si="3"/>
        <v/>
      </c>
      <c r="F383" s="25" t="str">
        <f t="array" ref="F383">IF($H383="","",IF(OR(NOT(_xlfn.ISFORMULA(INDEX('Game Records'!$N:$N,$H383))),NOT(_xlfn.ISFORMULA(INDEX('Game Records'!$O:$O,$H383))),NOT(_xlfn.ISFORMULA(INDEX('Game Records'!$P:$P,$H383))),NOT(_xlfn.ISFORMULA(INDEX('Game Records'!$Q:$Q,$H383))),NOT(_xlfn.ISFORMULA(INDEX('Game Records'!$R:$R,$H383))),NOT(_xlfn.ISFORMULA(INDEX('Game Records'!$S:$S,$H383))),NOT(_xlfn.ISFORMULA(INDEX('Game Records'!$T:$T,$H383))),NOT(_xlfn.ISFORMULA(INDEX('Game Records'!$U:$U,$H383))),NOT(_xlfn.ISFORMULA(INDEX('Game Records'!$V:$V,$H383))),NOT(_xlfn.ISFORMULA(INDEX('Game Records'!$W:$W,$H383))),NOT(_xlfn.ISFORMULA(INDEX('Game Records'!$X:$X,$H383))),NOT(_xlfn.ISFORMULA(INDEX('Game Records'!$Y:$Y,$H383))),NOT(_xlfn.ISFORMULA(INDEX('Game Records'!$Z:$Z,$H383)))),"","")&amp;IF(INDEX('Game Records'!$B:$B,$H383)="","Start Date; ","")&amp;IF(INDEX('Game Records'!$C:$C,$H383)="","End Date; ","")&amp;IF(AND(INDEX('Game Records'!$U:$U,$H383)&lt;&gt;"Subscription",INDEX('Game Records'!$U:$U,$H383)&lt;&gt;"Free Game",INDEX('Game Records'!$U:$U,$H383)&lt;&gt;"Disqualified — Free Game",OR(INDEX('Game Records'!$D:$D,$H383)="",LOWER(INDEX('Game Records'!$D:$D,$H383)&amp;"")="n/a")),"Entry Mode; ","")&amp;IF(AND(INDEX('Game Records'!$U:$U,$H383)&lt;&gt;"Subscription",INDEX('Game Records'!$U:$U,$H383)&lt;&gt;"Free Game",INDEX('Game Records'!$U:$U,$H383)&lt;&gt;"Disqualified — Free Game",OR(INDEX('Game Records'!$E:$E,$H383)="",LOWER(INDEX('Game Records'!$E:$E,$H383)&amp;"")="n/a")),"Game Type; ","")&amp;IF(INDEX('Game Records'!$F:$F,$H383)="","Payment Type; ","")&amp;IF(AND(INDEX('Game Records'!$U:$U,$H383)&lt;&gt;"Subscription",INDEX('Game Records'!$U:$U,$H383)&lt;&gt;"Free Game",INDEX('Game Records'!$U:$U,$H383)&lt;&gt;"Disqualified — Free Game",INDEX('Game Records'!$G:$G,$H383)=""),"Gross Pot; ","")&amp;IF(AND(INDEX('Game Records'!$U:$U,$H383)&lt;&gt;"Free Game",INDEX('Game Records'!$U:$U,$H383)&lt;&gt;"Disqualified — Free Game",INDEX('Game Records'!$H:$H,$H383)=""),"Entry Fee; ","")&amp;IF(AND(INDEX('Game Records'!$U:$U,$H383)&lt;&gt;"Subscription",INDEX('Game Records'!$U:$U,$H383)&lt;&gt;"Free Game",INDEX('Game Records'!$U:$U,$H383)&lt;&gt;"Disqualified — Free Game",INDEX('Game Records'!$I:$I,$H383)=""),"Eligible Players; ","")&amp;IF(AND(INDEX('Game Records'!$U:$U,$H383)&lt;&gt;"Subscription",INDEX('Game Records'!$U:$U,$H383)&lt;&gt;"Free Game",INDEX('Game Records'!$U:$U,$H383)&lt;&gt;"Disqualified — Free Game",INDEX('Game Records'!$J:$J,$H383)=""),"Total Players; ","")&amp;IF(AND(LOWER(INDEX('Game Records'!$D:$D,$H383)&amp;"")="finalized",LOWER(INDEX('Game Records'!$L:$L,$H383)&amp;"")&lt;&gt;"yes",INDEX('Game Records'!$U:$U,$H383)&lt;&gt;"Subscription",INDEX('Game Records'!$U:$U,$H383)&lt;&gt;"Free Game",INDEX('Game Records'!$U:$U,$H383)&lt;&gt;"Disqualified — Free Game",INDEX('Game Records'!$K:$K,$H383)=""),"Final Payout; ","")&amp;IF(AND(LOWER(INDEX('Game Records'!$D:$D,$H383)&amp;"")="finalized",INDEX('Game Records'!$U:$U,$H383)&lt;&gt;"Subscription",INDEX('Game Records'!$U:$U,$H383)&lt;&gt;"Free Game",INDEX('Game Records'!$U:$U,$H383)&lt;&gt;"Disqualified — Free Game",OR(INDEX('Game Records'!$L:$L,$H383)="",LOWER(INDEX('Game Records'!$L:$L,$H383)&amp;"")="n/a")),"Disqualified Status; ",""))</f>
        <v/>
      </c>
      <c r="G383" s="25" t="str">
        <f t="array" ref="G383">IF($H383="","",IFERROR(INDEX('Game Records'!$M:$M,$H383),""))</f>
        <v/>
      </c>
      <c r="H383" s="8"/>
    </row>
    <row r="384" ht="24.0" customHeight="1">
      <c r="A384" s="21" t="str">
        <f t="shared" si="1"/>
        <v/>
      </c>
      <c r="B384" s="21" t="str">
        <f t="shared" si="2"/>
        <v/>
      </c>
      <c r="C384" s="25" t="str">
        <f t="array" ref="C384">IF($H384="","",IFERROR(INDEX('Game Records'!$A:$A,$H384),""))</f>
        <v/>
      </c>
      <c r="D384" s="25" t="str">
        <f t="array" ref="D384">IF($H384="","",IFERROR(INDEX('Game Records'!$U:$U,$H384),""))</f>
        <v/>
      </c>
      <c r="E384" s="25" t="str">
        <f t="shared" si="3"/>
        <v/>
      </c>
      <c r="F384" s="25" t="str">
        <f t="array" ref="F384">IF($H384="","",IF(OR(NOT(_xlfn.ISFORMULA(INDEX('Game Records'!$N:$N,$H384))),NOT(_xlfn.ISFORMULA(INDEX('Game Records'!$O:$O,$H384))),NOT(_xlfn.ISFORMULA(INDEX('Game Records'!$P:$P,$H384))),NOT(_xlfn.ISFORMULA(INDEX('Game Records'!$Q:$Q,$H384))),NOT(_xlfn.ISFORMULA(INDEX('Game Records'!$R:$R,$H384))),NOT(_xlfn.ISFORMULA(INDEX('Game Records'!$S:$S,$H384))),NOT(_xlfn.ISFORMULA(INDEX('Game Records'!$T:$T,$H384))),NOT(_xlfn.ISFORMULA(INDEX('Game Records'!$U:$U,$H384))),NOT(_xlfn.ISFORMULA(INDEX('Game Records'!$V:$V,$H384))),NOT(_xlfn.ISFORMULA(INDEX('Game Records'!$W:$W,$H384))),NOT(_xlfn.ISFORMULA(INDEX('Game Records'!$X:$X,$H384))),NOT(_xlfn.ISFORMULA(INDEX('Game Records'!$Y:$Y,$H384))),NOT(_xlfn.ISFORMULA(INDEX('Game Records'!$Z:$Z,$H384)))),"","")&amp;IF(INDEX('Game Records'!$B:$B,$H384)="","Start Date; ","")&amp;IF(INDEX('Game Records'!$C:$C,$H384)="","End Date; ","")&amp;IF(AND(INDEX('Game Records'!$U:$U,$H384)&lt;&gt;"Subscription",INDEX('Game Records'!$U:$U,$H384)&lt;&gt;"Free Game",INDEX('Game Records'!$U:$U,$H384)&lt;&gt;"Disqualified — Free Game",OR(INDEX('Game Records'!$D:$D,$H384)="",LOWER(INDEX('Game Records'!$D:$D,$H384)&amp;"")="n/a")),"Entry Mode; ","")&amp;IF(AND(INDEX('Game Records'!$U:$U,$H384)&lt;&gt;"Subscription",INDEX('Game Records'!$U:$U,$H384)&lt;&gt;"Free Game",INDEX('Game Records'!$U:$U,$H384)&lt;&gt;"Disqualified — Free Game",OR(INDEX('Game Records'!$E:$E,$H384)="",LOWER(INDEX('Game Records'!$E:$E,$H384)&amp;"")="n/a")),"Game Type; ","")&amp;IF(INDEX('Game Records'!$F:$F,$H384)="","Payment Type; ","")&amp;IF(AND(INDEX('Game Records'!$U:$U,$H384)&lt;&gt;"Subscription",INDEX('Game Records'!$U:$U,$H384)&lt;&gt;"Free Game",INDEX('Game Records'!$U:$U,$H384)&lt;&gt;"Disqualified — Free Game",INDEX('Game Records'!$G:$G,$H384)=""),"Gross Pot; ","")&amp;IF(AND(INDEX('Game Records'!$U:$U,$H384)&lt;&gt;"Free Game",INDEX('Game Records'!$U:$U,$H384)&lt;&gt;"Disqualified — Free Game",INDEX('Game Records'!$H:$H,$H384)=""),"Entry Fee; ","")&amp;IF(AND(INDEX('Game Records'!$U:$U,$H384)&lt;&gt;"Subscription",INDEX('Game Records'!$U:$U,$H384)&lt;&gt;"Free Game",INDEX('Game Records'!$U:$U,$H384)&lt;&gt;"Disqualified — Free Game",INDEX('Game Records'!$I:$I,$H384)=""),"Eligible Players; ","")&amp;IF(AND(INDEX('Game Records'!$U:$U,$H384)&lt;&gt;"Subscription",INDEX('Game Records'!$U:$U,$H384)&lt;&gt;"Free Game",INDEX('Game Records'!$U:$U,$H384)&lt;&gt;"Disqualified — Free Game",INDEX('Game Records'!$J:$J,$H384)=""),"Total Players; ","")&amp;IF(AND(LOWER(INDEX('Game Records'!$D:$D,$H384)&amp;"")="finalized",LOWER(INDEX('Game Records'!$L:$L,$H384)&amp;"")&lt;&gt;"yes",INDEX('Game Records'!$U:$U,$H384)&lt;&gt;"Subscription",INDEX('Game Records'!$U:$U,$H384)&lt;&gt;"Free Game",INDEX('Game Records'!$U:$U,$H384)&lt;&gt;"Disqualified — Free Game",INDEX('Game Records'!$K:$K,$H384)=""),"Final Payout; ","")&amp;IF(AND(LOWER(INDEX('Game Records'!$D:$D,$H384)&amp;"")="finalized",INDEX('Game Records'!$U:$U,$H384)&lt;&gt;"Subscription",INDEX('Game Records'!$U:$U,$H384)&lt;&gt;"Free Game",INDEX('Game Records'!$U:$U,$H384)&lt;&gt;"Disqualified — Free Game",OR(INDEX('Game Records'!$L:$L,$H384)="",LOWER(INDEX('Game Records'!$L:$L,$H384)&amp;"")="n/a")),"Disqualified Status; ",""))</f>
        <v/>
      </c>
      <c r="G384" s="25" t="str">
        <f t="array" ref="G384">IF($H384="","",IFERROR(INDEX('Game Records'!$M:$M,$H384),""))</f>
        <v/>
      </c>
      <c r="H384" s="8"/>
    </row>
    <row r="385" ht="24.0" customHeight="1">
      <c r="A385" s="21" t="str">
        <f t="shared" si="1"/>
        <v/>
      </c>
      <c r="B385" s="21" t="str">
        <f t="shared" si="2"/>
        <v/>
      </c>
      <c r="C385" s="25" t="str">
        <f t="array" ref="C385">IF($H385="","",IFERROR(INDEX('Game Records'!$A:$A,$H385),""))</f>
        <v/>
      </c>
      <c r="D385" s="25" t="str">
        <f t="array" ref="D385">IF($H385="","",IFERROR(INDEX('Game Records'!$U:$U,$H385),""))</f>
        <v/>
      </c>
      <c r="E385" s="25" t="str">
        <f t="shared" si="3"/>
        <v/>
      </c>
      <c r="F385" s="25" t="str">
        <f t="array" ref="F385">IF($H385="","",IF(OR(NOT(_xlfn.ISFORMULA(INDEX('Game Records'!$N:$N,$H385))),NOT(_xlfn.ISFORMULA(INDEX('Game Records'!$O:$O,$H385))),NOT(_xlfn.ISFORMULA(INDEX('Game Records'!$P:$P,$H385))),NOT(_xlfn.ISFORMULA(INDEX('Game Records'!$Q:$Q,$H385))),NOT(_xlfn.ISFORMULA(INDEX('Game Records'!$R:$R,$H385))),NOT(_xlfn.ISFORMULA(INDEX('Game Records'!$S:$S,$H385))),NOT(_xlfn.ISFORMULA(INDEX('Game Records'!$T:$T,$H385))),NOT(_xlfn.ISFORMULA(INDEX('Game Records'!$U:$U,$H385))),NOT(_xlfn.ISFORMULA(INDEX('Game Records'!$V:$V,$H385))),NOT(_xlfn.ISFORMULA(INDEX('Game Records'!$W:$W,$H385))),NOT(_xlfn.ISFORMULA(INDEX('Game Records'!$X:$X,$H385))),NOT(_xlfn.ISFORMULA(INDEX('Game Records'!$Y:$Y,$H385))),NOT(_xlfn.ISFORMULA(INDEX('Game Records'!$Z:$Z,$H385)))),"","")&amp;IF(INDEX('Game Records'!$B:$B,$H385)="","Start Date; ","")&amp;IF(INDEX('Game Records'!$C:$C,$H385)="","End Date; ","")&amp;IF(AND(INDEX('Game Records'!$U:$U,$H385)&lt;&gt;"Subscription",INDEX('Game Records'!$U:$U,$H385)&lt;&gt;"Free Game",INDEX('Game Records'!$U:$U,$H385)&lt;&gt;"Disqualified — Free Game",OR(INDEX('Game Records'!$D:$D,$H385)="",LOWER(INDEX('Game Records'!$D:$D,$H385)&amp;"")="n/a")),"Entry Mode; ","")&amp;IF(AND(INDEX('Game Records'!$U:$U,$H385)&lt;&gt;"Subscription",INDEX('Game Records'!$U:$U,$H385)&lt;&gt;"Free Game",INDEX('Game Records'!$U:$U,$H385)&lt;&gt;"Disqualified — Free Game",OR(INDEX('Game Records'!$E:$E,$H385)="",LOWER(INDEX('Game Records'!$E:$E,$H385)&amp;"")="n/a")),"Game Type; ","")&amp;IF(INDEX('Game Records'!$F:$F,$H385)="","Payment Type; ","")&amp;IF(AND(INDEX('Game Records'!$U:$U,$H385)&lt;&gt;"Subscription",INDEX('Game Records'!$U:$U,$H385)&lt;&gt;"Free Game",INDEX('Game Records'!$U:$U,$H385)&lt;&gt;"Disqualified — Free Game",INDEX('Game Records'!$G:$G,$H385)=""),"Gross Pot; ","")&amp;IF(AND(INDEX('Game Records'!$U:$U,$H385)&lt;&gt;"Free Game",INDEX('Game Records'!$U:$U,$H385)&lt;&gt;"Disqualified — Free Game",INDEX('Game Records'!$H:$H,$H385)=""),"Entry Fee; ","")&amp;IF(AND(INDEX('Game Records'!$U:$U,$H385)&lt;&gt;"Subscription",INDEX('Game Records'!$U:$U,$H385)&lt;&gt;"Free Game",INDEX('Game Records'!$U:$U,$H385)&lt;&gt;"Disqualified — Free Game",INDEX('Game Records'!$I:$I,$H385)=""),"Eligible Players; ","")&amp;IF(AND(INDEX('Game Records'!$U:$U,$H385)&lt;&gt;"Subscription",INDEX('Game Records'!$U:$U,$H385)&lt;&gt;"Free Game",INDEX('Game Records'!$U:$U,$H385)&lt;&gt;"Disqualified — Free Game",INDEX('Game Records'!$J:$J,$H385)=""),"Total Players; ","")&amp;IF(AND(LOWER(INDEX('Game Records'!$D:$D,$H385)&amp;"")="finalized",LOWER(INDEX('Game Records'!$L:$L,$H385)&amp;"")&lt;&gt;"yes",INDEX('Game Records'!$U:$U,$H385)&lt;&gt;"Subscription",INDEX('Game Records'!$U:$U,$H385)&lt;&gt;"Free Game",INDEX('Game Records'!$U:$U,$H385)&lt;&gt;"Disqualified — Free Game",INDEX('Game Records'!$K:$K,$H385)=""),"Final Payout; ","")&amp;IF(AND(LOWER(INDEX('Game Records'!$D:$D,$H385)&amp;"")="finalized",INDEX('Game Records'!$U:$U,$H385)&lt;&gt;"Subscription",INDEX('Game Records'!$U:$U,$H385)&lt;&gt;"Free Game",INDEX('Game Records'!$U:$U,$H385)&lt;&gt;"Disqualified — Free Game",OR(INDEX('Game Records'!$L:$L,$H385)="",LOWER(INDEX('Game Records'!$L:$L,$H385)&amp;"")="n/a")),"Disqualified Status; ",""))</f>
        <v/>
      </c>
      <c r="G385" s="25" t="str">
        <f t="array" ref="G385">IF($H385="","",IFERROR(INDEX('Game Records'!$M:$M,$H385),""))</f>
        <v/>
      </c>
      <c r="H385" s="8"/>
    </row>
    <row r="386" ht="24.0" customHeight="1">
      <c r="A386" s="21" t="str">
        <f t="shared" si="1"/>
        <v/>
      </c>
      <c r="B386" s="21" t="str">
        <f t="shared" si="2"/>
        <v/>
      </c>
      <c r="C386" s="25" t="str">
        <f t="array" ref="C386">IF($H386="","",IFERROR(INDEX('Game Records'!$A:$A,$H386),""))</f>
        <v/>
      </c>
      <c r="D386" s="25" t="str">
        <f t="array" ref="D386">IF($H386="","",IFERROR(INDEX('Game Records'!$U:$U,$H386),""))</f>
        <v/>
      </c>
      <c r="E386" s="25" t="str">
        <f t="shared" si="3"/>
        <v/>
      </c>
      <c r="F386" s="25" t="str">
        <f t="array" ref="F386">IF($H386="","",IF(OR(NOT(_xlfn.ISFORMULA(INDEX('Game Records'!$N:$N,$H386))),NOT(_xlfn.ISFORMULA(INDEX('Game Records'!$O:$O,$H386))),NOT(_xlfn.ISFORMULA(INDEX('Game Records'!$P:$P,$H386))),NOT(_xlfn.ISFORMULA(INDEX('Game Records'!$Q:$Q,$H386))),NOT(_xlfn.ISFORMULA(INDEX('Game Records'!$R:$R,$H386))),NOT(_xlfn.ISFORMULA(INDEX('Game Records'!$S:$S,$H386))),NOT(_xlfn.ISFORMULA(INDEX('Game Records'!$T:$T,$H386))),NOT(_xlfn.ISFORMULA(INDEX('Game Records'!$U:$U,$H386))),NOT(_xlfn.ISFORMULA(INDEX('Game Records'!$V:$V,$H386))),NOT(_xlfn.ISFORMULA(INDEX('Game Records'!$W:$W,$H386))),NOT(_xlfn.ISFORMULA(INDEX('Game Records'!$X:$X,$H386))),NOT(_xlfn.ISFORMULA(INDEX('Game Records'!$Y:$Y,$H386))),NOT(_xlfn.ISFORMULA(INDEX('Game Records'!$Z:$Z,$H386)))),"","")&amp;IF(INDEX('Game Records'!$B:$B,$H386)="","Start Date; ","")&amp;IF(INDEX('Game Records'!$C:$C,$H386)="","End Date; ","")&amp;IF(AND(INDEX('Game Records'!$U:$U,$H386)&lt;&gt;"Subscription",INDEX('Game Records'!$U:$U,$H386)&lt;&gt;"Free Game",INDEX('Game Records'!$U:$U,$H386)&lt;&gt;"Disqualified — Free Game",OR(INDEX('Game Records'!$D:$D,$H386)="",LOWER(INDEX('Game Records'!$D:$D,$H386)&amp;"")="n/a")),"Entry Mode; ","")&amp;IF(AND(INDEX('Game Records'!$U:$U,$H386)&lt;&gt;"Subscription",INDEX('Game Records'!$U:$U,$H386)&lt;&gt;"Free Game",INDEX('Game Records'!$U:$U,$H386)&lt;&gt;"Disqualified — Free Game",OR(INDEX('Game Records'!$E:$E,$H386)="",LOWER(INDEX('Game Records'!$E:$E,$H386)&amp;"")="n/a")),"Game Type; ","")&amp;IF(INDEX('Game Records'!$F:$F,$H386)="","Payment Type; ","")&amp;IF(AND(INDEX('Game Records'!$U:$U,$H386)&lt;&gt;"Subscription",INDEX('Game Records'!$U:$U,$H386)&lt;&gt;"Free Game",INDEX('Game Records'!$U:$U,$H386)&lt;&gt;"Disqualified — Free Game",INDEX('Game Records'!$G:$G,$H386)=""),"Gross Pot; ","")&amp;IF(AND(INDEX('Game Records'!$U:$U,$H386)&lt;&gt;"Free Game",INDEX('Game Records'!$U:$U,$H386)&lt;&gt;"Disqualified — Free Game",INDEX('Game Records'!$H:$H,$H386)=""),"Entry Fee; ","")&amp;IF(AND(INDEX('Game Records'!$U:$U,$H386)&lt;&gt;"Subscription",INDEX('Game Records'!$U:$U,$H386)&lt;&gt;"Free Game",INDEX('Game Records'!$U:$U,$H386)&lt;&gt;"Disqualified — Free Game",INDEX('Game Records'!$I:$I,$H386)=""),"Eligible Players; ","")&amp;IF(AND(INDEX('Game Records'!$U:$U,$H386)&lt;&gt;"Subscription",INDEX('Game Records'!$U:$U,$H386)&lt;&gt;"Free Game",INDEX('Game Records'!$U:$U,$H386)&lt;&gt;"Disqualified — Free Game",INDEX('Game Records'!$J:$J,$H386)=""),"Total Players; ","")&amp;IF(AND(LOWER(INDEX('Game Records'!$D:$D,$H386)&amp;"")="finalized",LOWER(INDEX('Game Records'!$L:$L,$H386)&amp;"")&lt;&gt;"yes",INDEX('Game Records'!$U:$U,$H386)&lt;&gt;"Subscription",INDEX('Game Records'!$U:$U,$H386)&lt;&gt;"Free Game",INDEX('Game Records'!$U:$U,$H386)&lt;&gt;"Disqualified — Free Game",INDEX('Game Records'!$K:$K,$H386)=""),"Final Payout; ","")&amp;IF(AND(LOWER(INDEX('Game Records'!$D:$D,$H386)&amp;"")="finalized",INDEX('Game Records'!$U:$U,$H386)&lt;&gt;"Subscription",INDEX('Game Records'!$U:$U,$H386)&lt;&gt;"Free Game",INDEX('Game Records'!$U:$U,$H386)&lt;&gt;"Disqualified — Free Game",OR(INDEX('Game Records'!$L:$L,$H386)="",LOWER(INDEX('Game Records'!$L:$L,$H386)&amp;"")="n/a")),"Disqualified Status; ",""))</f>
        <v/>
      </c>
      <c r="G386" s="25" t="str">
        <f t="array" ref="G386">IF($H386="","",IFERROR(INDEX('Game Records'!$M:$M,$H386),""))</f>
        <v/>
      </c>
      <c r="H386" s="8"/>
    </row>
    <row r="387" ht="24.0" customHeight="1">
      <c r="A387" s="21" t="str">
        <f t="shared" si="1"/>
        <v/>
      </c>
      <c r="B387" s="21" t="str">
        <f t="shared" si="2"/>
        <v/>
      </c>
      <c r="C387" s="25" t="str">
        <f t="array" ref="C387">IF($H387="","",IFERROR(INDEX('Game Records'!$A:$A,$H387),""))</f>
        <v/>
      </c>
      <c r="D387" s="25" t="str">
        <f t="array" ref="D387">IF($H387="","",IFERROR(INDEX('Game Records'!$U:$U,$H387),""))</f>
        <v/>
      </c>
      <c r="E387" s="25" t="str">
        <f t="shared" si="3"/>
        <v/>
      </c>
      <c r="F387" s="25" t="str">
        <f t="array" ref="F387">IF($H387="","",IF(OR(NOT(_xlfn.ISFORMULA(INDEX('Game Records'!$N:$N,$H387))),NOT(_xlfn.ISFORMULA(INDEX('Game Records'!$O:$O,$H387))),NOT(_xlfn.ISFORMULA(INDEX('Game Records'!$P:$P,$H387))),NOT(_xlfn.ISFORMULA(INDEX('Game Records'!$Q:$Q,$H387))),NOT(_xlfn.ISFORMULA(INDEX('Game Records'!$R:$R,$H387))),NOT(_xlfn.ISFORMULA(INDEX('Game Records'!$S:$S,$H387))),NOT(_xlfn.ISFORMULA(INDEX('Game Records'!$T:$T,$H387))),NOT(_xlfn.ISFORMULA(INDEX('Game Records'!$U:$U,$H387))),NOT(_xlfn.ISFORMULA(INDEX('Game Records'!$V:$V,$H387))),NOT(_xlfn.ISFORMULA(INDEX('Game Records'!$W:$W,$H387))),NOT(_xlfn.ISFORMULA(INDEX('Game Records'!$X:$X,$H387))),NOT(_xlfn.ISFORMULA(INDEX('Game Records'!$Y:$Y,$H387))),NOT(_xlfn.ISFORMULA(INDEX('Game Records'!$Z:$Z,$H387)))),"","")&amp;IF(INDEX('Game Records'!$B:$B,$H387)="","Start Date; ","")&amp;IF(INDEX('Game Records'!$C:$C,$H387)="","End Date; ","")&amp;IF(AND(INDEX('Game Records'!$U:$U,$H387)&lt;&gt;"Subscription",INDEX('Game Records'!$U:$U,$H387)&lt;&gt;"Free Game",INDEX('Game Records'!$U:$U,$H387)&lt;&gt;"Disqualified — Free Game",OR(INDEX('Game Records'!$D:$D,$H387)="",LOWER(INDEX('Game Records'!$D:$D,$H387)&amp;"")="n/a")),"Entry Mode; ","")&amp;IF(AND(INDEX('Game Records'!$U:$U,$H387)&lt;&gt;"Subscription",INDEX('Game Records'!$U:$U,$H387)&lt;&gt;"Free Game",INDEX('Game Records'!$U:$U,$H387)&lt;&gt;"Disqualified — Free Game",OR(INDEX('Game Records'!$E:$E,$H387)="",LOWER(INDEX('Game Records'!$E:$E,$H387)&amp;"")="n/a")),"Game Type; ","")&amp;IF(INDEX('Game Records'!$F:$F,$H387)="","Payment Type; ","")&amp;IF(AND(INDEX('Game Records'!$U:$U,$H387)&lt;&gt;"Subscription",INDEX('Game Records'!$U:$U,$H387)&lt;&gt;"Free Game",INDEX('Game Records'!$U:$U,$H387)&lt;&gt;"Disqualified — Free Game",INDEX('Game Records'!$G:$G,$H387)=""),"Gross Pot; ","")&amp;IF(AND(INDEX('Game Records'!$U:$U,$H387)&lt;&gt;"Free Game",INDEX('Game Records'!$U:$U,$H387)&lt;&gt;"Disqualified — Free Game",INDEX('Game Records'!$H:$H,$H387)=""),"Entry Fee; ","")&amp;IF(AND(INDEX('Game Records'!$U:$U,$H387)&lt;&gt;"Subscription",INDEX('Game Records'!$U:$U,$H387)&lt;&gt;"Free Game",INDEX('Game Records'!$U:$U,$H387)&lt;&gt;"Disqualified — Free Game",INDEX('Game Records'!$I:$I,$H387)=""),"Eligible Players; ","")&amp;IF(AND(INDEX('Game Records'!$U:$U,$H387)&lt;&gt;"Subscription",INDEX('Game Records'!$U:$U,$H387)&lt;&gt;"Free Game",INDEX('Game Records'!$U:$U,$H387)&lt;&gt;"Disqualified — Free Game",INDEX('Game Records'!$J:$J,$H387)=""),"Total Players; ","")&amp;IF(AND(LOWER(INDEX('Game Records'!$D:$D,$H387)&amp;"")="finalized",LOWER(INDEX('Game Records'!$L:$L,$H387)&amp;"")&lt;&gt;"yes",INDEX('Game Records'!$U:$U,$H387)&lt;&gt;"Subscription",INDEX('Game Records'!$U:$U,$H387)&lt;&gt;"Free Game",INDEX('Game Records'!$U:$U,$H387)&lt;&gt;"Disqualified — Free Game",INDEX('Game Records'!$K:$K,$H387)=""),"Final Payout; ","")&amp;IF(AND(LOWER(INDEX('Game Records'!$D:$D,$H387)&amp;"")="finalized",INDEX('Game Records'!$U:$U,$H387)&lt;&gt;"Subscription",INDEX('Game Records'!$U:$U,$H387)&lt;&gt;"Free Game",INDEX('Game Records'!$U:$U,$H387)&lt;&gt;"Disqualified — Free Game",OR(INDEX('Game Records'!$L:$L,$H387)="",LOWER(INDEX('Game Records'!$L:$L,$H387)&amp;"")="n/a")),"Disqualified Status; ",""))</f>
        <v/>
      </c>
      <c r="G387" s="25" t="str">
        <f t="array" ref="G387">IF($H387="","",IFERROR(INDEX('Game Records'!$M:$M,$H387),""))</f>
        <v/>
      </c>
      <c r="H387" s="8"/>
    </row>
    <row r="388" ht="24.0" customHeight="1">
      <c r="A388" s="21" t="str">
        <f t="shared" si="1"/>
        <v/>
      </c>
      <c r="B388" s="21" t="str">
        <f t="shared" si="2"/>
        <v/>
      </c>
      <c r="C388" s="25" t="str">
        <f t="array" ref="C388">IF($H388="","",IFERROR(INDEX('Game Records'!$A:$A,$H388),""))</f>
        <v/>
      </c>
      <c r="D388" s="25" t="str">
        <f t="array" ref="D388">IF($H388="","",IFERROR(INDEX('Game Records'!$U:$U,$H388),""))</f>
        <v/>
      </c>
      <c r="E388" s="25" t="str">
        <f t="shared" si="3"/>
        <v/>
      </c>
      <c r="F388" s="25" t="str">
        <f t="array" ref="F388">IF($H388="","",IF(OR(NOT(_xlfn.ISFORMULA(INDEX('Game Records'!$N:$N,$H388))),NOT(_xlfn.ISFORMULA(INDEX('Game Records'!$O:$O,$H388))),NOT(_xlfn.ISFORMULA(INDEX('Game Records'!$P:$P,$H388))),NOT(_xlfn.ISFORMULA(INDEX('Game Records'!$Q:$Q,$H388))),NOT(_xlfn.ISFORMULA(INDEX('Game Records'!$R:$R,$H388))),NOT(_xlfn.ISFORMULA(INDEX('Game Records'!$S:$S,$H388))),NOT(_xlfn.ISFORMULA(INDEX('Game Records'!$T:$T,$H388))),NOT(_xlfn.ISFORMULA(INDEX('Game Records'!$U:$U,$H388))),NOT(_xlfn.ISFORMULA(INDEX('Game Records'!$V:$V,$H388))),NOT(_xlfn.ISFORMULA(INDEX('Game Records'!$W:$W,$H388))),NOT(_xlfn.ISFORMULA(INDEX('Game Records'!$X:$X,$H388))),NOT(_xlfn.ISFORMULA(INDEX('Game Records'!$Y:$Y,$H388))),NOT(_xlfn.ISFORMULA(INDEX('Game Records'!$Z:$Z,$H388)))),"","")&amp;IF(INDEX('Game Records'!$B:$B,$H388)="","Start Date; ","")&amp;IF(INDEX('Game Records'!$C:$C,$H388)="","End Date; ","")&amp;IF(AND(INDEX('Game Records'!$U:$U,$H388)&lt;&gt;"Subscription",INDEX('Game Records'!$U:$U,$H388)&lt;&gt;"Free Game",INDEX('Game Records'!$U:$U,$H388)&lt;&gt;"Disqualified — Free Game",OR(INDEX('Game Records'!$D:$D,$H388)="",LOWER(INDEX('Game Records'!$D:$D,$H388)&amp;"")="n/a")),"Entry Mode; ","")&amp;IF(AND(INDEX('Game Records'!$U:$U,$H388)&lt;&gt;"Subscription",INDEX('Game Records'!$U:$U,$H388)&lt;&gt;"Free Game",INDEX('Game Records'!$U:$U,$H388)&lt;&gt;"Disqualified — Free Game",OR(INDEX('Game Records'!$E:$E,$H388)="",LOWER(INDEX('Game Records'!$E:$E,$H388)&amp;"")="n/a")),"Game Type; ","")&amp;IF(INDEX('Game Records'!$F:$F,$H388)="","Payment Type; ","")&amp;IF(AND(INDEX('Game Records'!$U:$U,$H388)&lt;&gt;"Subscription",INDEX('Game Records'!$U:$U,$H388)&lt;&gt;"Free Game",INDEX('Game Records'!$U:$U,$H388)&lt;&gt;"Disqualified — Free Game",INDEX('Game Records'!$G:$G,$H388)=""),"Gross Pot; ","")&amp;IF(AND(INDEX('Game Records'!$U:$U,$H388)&lt;&gt;"Free Game",INDEX('Game Records'!$U:$U,$H388)&lt;&gt;"Disqualified — Free Game",INDEX('Game Records'!$H:$H,$H388)=""),"Entry Fee; ","")&amp;IF(AND(INDEX('Game Records'!$U:$U,$H388)&lt;&gt;"Subscription",INDEX('Game Records'!$U:$U,$H388)&lt;&gt;"Free Game",INDEX('Game Records'!$U:$U,$H388)&lt;&gt;"Disqualified — Free Game",INDEX('Game Records'!$I:$I,$H388)=""),"Eligible Players; ","")&amp;IF(AND(INDEX('Game Records'!$U:$U,$H388)&lt;&gt;"Subscription",INDEX('Game Records'!$U:$U,$H388)&lt;&gt;"Free Game",INDEX('Game Records'!$U:$U,$H388)&lt;&gt;"Disqualified — Free Game",INDEX('Game Records'!$J:$J,$H388)=""),"Total Players; ","")&amp;IF(AND(LOWER(INDEX('Game Records'!$D:$D,$H388)&amp;"")="finalized",LOWER(INDEX('Game Records'!$L:$L,$H388)&amp;"")&lt;&gt;"yes",INDEX('Game Records'!$U:$U,$H388)&lt;&gt;"Subscription",INDEX('Game Records'!$U:$U,$H388)&lt;&gt;"Free Game",INDEX('Game Records'!$U:$U,$H388)&lt;&gt;"Disqualified — Free Game",INDEX('Game Records'!$K:$K,$H388)=""),"Final Payout; ","")&amp;IF(AND(LOWER(INDEX('Game Records'!$D:$D,$H388)&amp;"")="finalized",INDEX('Game Records'!$U:$U,$H388)&lt;&gt;"Subscription",INDEX('Game Records'!$U:$U,$H388)&lt;&gt;"Free Game",INDEX('Game Records'!$U:$U,$H388)&lt;&gt;"Disqualified — Free Game",OR(INDEX('Game Records'!$L:$L,$H388)="",LOWER(INDEX('Game Records'!$L:$L,$H388)&amp;"")="n/a")),"Disqualified Status; ",""))</f>
        <v/>
      </c>
      <c r="G388" s="25" t="str">
        <f t="array" ref="G388">IF($H388="","",IFERROR(INDEX('Game Records'!$M:$M,$H388),""))</f>
        <v/>
      </c>
      <c r="H388" s="8"/>
    </row>
    <row r="389" ht="24.0" customHeight="1">
      <c r="A389" s="21" t="str">
        <f t="shared" si="1"/>
        <v/>
      </c>
      <c r="B389" s="21" t="str">
        <f t="shared" si="2"/>
        <v/>
      </c>
      <c r="C389" s="25" t="str">
        <f t="array" ref="C389">IF($H389="","",IFERROR(INDEX('Game Records'!$A:$A,$H389),""))</f>
        <v/>
      </c>
      <c r="D389" s="25" t="str">
        <f t="array" ref="D389">IF($H389="","",IFERROR(INDEX('Game Records'!$U:$U,$H389),""))</f>
        <v/>
      </c>
      <c r="E389" s="25" t="str">
        <f t="shared" si="3"/>
        <v/>
      </c>
      <c r="F389" s="25" t="str">
        <f t="array" ref="F389">IF($H389="","",IF(OR(NOT(_xlfn.ISFORMULA(INDEX('Game Records'!$N:$N,$H389))),NOT(_xlfn.ISFORMULA(INDEX('Game Records'!$O:$O,$H389))),NOT(_xlfn.ISFORMULA(INDEX('Game Records'!$P:$P,$H389))),NOT(_xlfn.ISFORMULA(INDEX('Game Records'!$Q:$Q,$H389))),NOT(_xlfn.ISFORMULA(INDEX('Game Records'!$R:$R,$H389))),NOT(_xlfn.ISFORMULA(INDEX('Game Records'!$S:$S,$H389))),NOT(_xlfn.ISFORMULA(INDEX('Game Records'!$T:$T,$H389))),NOT(_xlfn.ISFORMULA(INDEX('Game Records'!$U:$U,$H389))),NOT(_xlfn.ISFORMULA(INDEX('Game Records'!$V:$V,$H389))),NOT(_xlfn.ISFORMULA(INDEX('Game Records'!$W:$W,$H389))),NOT(_xlfn.ISFORMULA(INDEX('Game Records'!$X:$X,$H389))),NOT(_xlfn.ISFORMULA(INDEX('Game Records'!$Y:$Y,$H389))),NOT(_xlfn.ISFORMULA(INDEX('Game Records'!$Z:$Z,$H389)))),"","")&amp;IF(INDEX('Game Records'!$B:$B,$H389)="","Start Date; ","")&amp;IF(INDEX('Game Records'!$C:$C,$H389)="","End Date; ","")&amp;IF(AND(INDEX('Game Records'!$U:$U,$H389)&lt;&gt;"Subscription",INDEX('Game Records'!$U:$U,$H389)&lt;&gt;"Free Game",INDEX('Game Records'!$U:$U,$H389)&lt;&gt;"Disqualified — Free Game",OR(INDEX('Game Records'!$D:$D,$H389)="",LOWER(INDEX('Game Records'!$D:$D,$H389)&amp;"")="n/a")),"Entry Mode; ","")&amp;IF(AND(INDEX('Game Records'!$U:$U,$H389)&lt;&gt;"Subscription",INDEX('Game Records'!$U:$U,$H389)&lt;&gt;"Free Game",INDEX('Game Records'!$U:$U,$H389)&lt;&gt;"Disqualified — Free Game",OR(INDEX('Game Records'!$E:$E,$H389)="",LOWER(INDEX('Game Records'!$E:$E,$H389)&amp;"")="n/a")),"Game Type; ","")&amp;IF(INDEX('Game Records'!$F:$F,$H389)="","Payment Type; ","")&amp;IF(AND(INDEX('Game Records'!$U:$U,$H389)&lt;&gt;"Subscription",INDEX('Game Records'!$U:$U,$H389)&lt;&gt;"Free Game",INDEX('Game Records'!$U:$U,$H389)&lt;&gt;"Disqualified — Free Game",INDEX('Game Records'!$G:$G,$H389)=""),"Gross Pot; ","")&amp;IF(AND(INDEX('Game Records'!$U:$U,$H389)&lt;&gt;"Free Game",INDEX('Game Records'!$U:$U,$H389)&lt;&gt;"Disqualified — Free Game",INDEX('Game Records'!$H:$H,$H389)=""),"Entry Fee; ","")&amp;IF(AND(INDEX('Game Records'!$U:$U,$H389)&lt;&gt;"Subscription",INDEX('Game Records'!$U:$U,$H389)&lt;&gt;"Free Game",INDEX('Game Records'!$U:$U,$H389)&lt;&gt;"Disqualified — Free Game",INDEX('Game Records'!$I:$I,$H389)=""),"Eligible Players; ","")&amp;IF(AND(INDEX('Game Records'!$U:$U,$H389)&lt;&gt;"Subscription",INDEX('Game Records'!$U:$U,$H389)&lt;&gt;"Free Game",INDEX('Game Records'!$U:$U,$H389)&lt;&gt;"Disqualified — Free Game",INDEX('Game Records'!$J:$J,$H389)=""),"Total Players; ","")&amp;IF(AND(LOWER(INDEX('Game Records'!$D:$D,$H389)&amp;"")="finalized",LOWER(INDEX('Game Records'!$L:$L,$H389)&amp;"")&lt;&gt;"yes",INDEX('Game Records'!$U:$U,$H389)&lt;&gt;"Subscription",INDEX('Game Records'!$U:$U,$H389)&lt;&gt;"Free Game",INDEX('Game Records'!$U:$U,$H389)&lt;&gt;"Disqualified — Free Game",INDEX('Game Records'!$K:$K,$H389)=""),"Final Payout; ","")&amp;IF(AND(LOWER(INDEX('Game Records'!$D:$D,$H389)&amp;"")="finalized",INDEX('Game Records'!$U:$U,$H389)&lt;&gt;"Subscription",INDEX('Game Records'!$U:$U,$H389)&lt;&gt;"Free Game",INDEX('Game Records'!$U:$U,$H389)&lt;&gt;"Disqualified — Free Game",OR(INDEX('Game Records'!$L:$L,$H389)="",LOWER(INDEX('Game Records'!$L:$L,$H389)&amp;"")="n/a")),"Disqualified Status; ",""))</f>
        <v/>
      </c>
      <c r="G389" s="25" t="str">
        <f t="array" ref="G389">IF($H389="","",IFERROR(INDEX('Game Records'!$M:$M,$H389),""))</f>
        <v/>
      </c>
      <c r="H389" s="8"/>
    </row>
    <row r="390" ht="24.0" customHeight="1">
      <c r="A390" s="21" t="str">
        <f t="shared" si="1"/>
        <v/>
      </c>
      <c r="B390" s="21" t="str">
        <f t="shared" si="2"/>
        <v/>
      </c>
      <c r="C390" s="25" t="str">
        <f t="array" ref="C390">IF($H390="","",IFERROR(INDEX('Game Records'!$A:$A,$H390),""))</f>
        <v/>
      </c>
      <c r="D390" s="25" t="str">
        <f t="array" ref="D390">IF($H390="","",IFERROR(INDEX('Game Records'!$U:$U,$H390),""))</f>
        <v/>
      </c>
      <c r="E390" s="25" t="str">
        <f t="shared" si="3"/>
        <v/>
      </c>
      <c r="F390" s="25" t="str">
        <f t="array" ref="F390">IF($H390="","",IF(OR(NOT(_xlfn.ISFORMULA(INDEX('Game Records'!$N:$N,$H390))),NOT(_xlfn.ISFORMULA(INDEX('Game Records'!$O:$O,$H390))),NOT(_xlfn.ISFORMULA(INDEX('Game Records'!$P:$P,$H390))),NOT(_xlfn.ISFORMULA(INDEX('Game Records'!$Q:$Q,$H390))),NOT(_xlfn.ISFORMULA(INDEX('Game Records'!$R:$R,$H390))),NOT(_xlfn.ISFORMULA(INDEX('Game Records'!$S:$S,$H390))),NOT(_xlfn.ISFORMULA(INDEX('Game Records'!$T:$T,$H390))),NOT(_xlfn.ISFORMULA(INDEX('Game Records'!$U:$U,$H390))),NOT(_xlfn.ISFORMULA(INDEX('Game Records'!$V:$V,$H390))),NOT(_xlfn.ISFORMULA(INDEX('Game Records'!$W:$W,$H390))),NOT(_xlfn.ISFORMULA(INDEX('Game Records'!$X:$X,$H390))),NOT(_xlfn.ISFORMULA(INDEX('Game Records'!$Y:$Y,$H390))),NOT(_xlfn.ISFORMULA(INDEX('Game Records'!$Z:$Z,$H390)))),"","")&amp;IF(INDEX('Game Records'!$B:$B,$H390)="","Start Date; ","")&amp;IF(INDEX('Game Records'!$C:$C,$H390)="","End Date; ","")&amp;IF(AND(INDEX('Game Records'!$U:$U,$H390)&lt;&gt;"Subscription",INDEX('Game Records'!$U:$U,$H390)&lt;&gt;"Free Game",INDEX('Game Records'!$U:$U,$H390)&lt;&gt;"Disqualified — Free Game",OR(INDEX('Game Records'!$D:$D,$H390)="",LOWER(INDEX('Game Records'!$D:$D,$H390)&amp;"")="n/a")),"Entry Mode; ","")&amp;IF(AND(INDEX('Game Records'!$U:$U,$H390)&lt;&gt;"Subscription",INDEX('Game Records'!$U:$U,$H390)&lt;&gt;"Free Game",INDEX('Game Records'!$U:$U,$H390)&lt;&gt;"Disqualified — Free Game",OR(INDEX('Game Records'!$E:$E,$H390)="",LOWER(INDEX('Game Records'!$E:$E,$H390)&amp;"")="n/a")),"Game Type; ","")&amp;IF(INDEX('Game Records'!$F:$F,$H390)="","Payment Type; ","")&amp;IF(AND(INDEX('Game Records'!$U:$U,$H390)&lt;&gt;"Subscription",INDEX('Game Records'!$U:$U,$H390)&lt;&gt;"Free Game",INDEX('Game Records'!$U:$U,$H390)&lt;&gt;"Disqualified — Free Game",INDEX('Game Records'!$G:$G,$H390)=""),"Gross Pot; ","")&amp;IF(AND(INDEX('Game Records'!$U:$U,$H390)&lt;&gt;"Free Game",INDEX('Game Records'!$U:$U,$H390)&lt;&gt;"Disqualified — Free Game",INDEX('Game Records'!$H:$H,$H390)=""),"Entry Fee; ","")&amp;IF(AND(INDEX('Game Records'!$U:$U,$H390)&lt;&gt;"Subscription",INDEX('Game Records'!$U:$U,$H390)&lt;&gt;"Free Game",INDEX('Game Records'!$U:$U,$H390)&lt;&gt;"Disqualified — Free Game",INDEX('Game Records'!$I:$I,$H390)=""),"Eligible Players; ","")&amp;IF(AND(INDEX('Game Records'!$U:$U,$H390)&lt;&gt;"Subscription",INDEX('Game Records'!$U:$U,$H390)&lt;&gt;"Free Game",INDEX('Game Records'!$U:$U,$H390)&lt;&gt;"Disqualified — Free Game",INDEX('Game Records'!$J:$J,$H390)=""),"Total Players; ","")&amp;IF(AND(LOWER(INDEX('Game Records'!$D:$D,$H390)&amp;"")="finalized",LOWER(INDEX('Game Records'!$L:$L,$H390)&amp;"")&lt;&gt;"yes",INDEX('Game Records'!$U:$U,$H390)&lt;&gt;"Subscription",INDEX('Game Records'!$U:$U,$H390)&lt;&gt;"Free Game",INDEX('Game Records'!$U:$U,$H390)&lt;&gt;"Disqualified — Free Game",INDEX('Game Records'!$K:$K,$H390)=""),"Final Payout; ","")&amp;IF(AND(LOWER(INDEX('Game Records'!$D:$D,$H390)&amp;"")="finalized",INDEX('Game Records'!$U:$U,$H390)&lt;&gt;"Subscription",INDEX('Game Records'!$U:$U,$H390)&lt;&gt;"Free Game",INDEX('Game Records'!$U:$U,$H390)&lt;&gt;"Disqualified — Free Game",OR(INDEX('Game Records'!$L:$L,$H390)="",LOWER(INDEX('Game Records'!$L:$L,$H390)&amp;"")="n/a")),"Disqualified Status; ",""))</f>
        <v/>
      </c>
      <c r="G390" s="25" t="str">
        <f t="array" ref="G390">IF($H390="","",IFERROR(INDEX('Game Records'!$M:$M,$H390),""))</f>
        <v/>
      </c>
      <c r="H390" s="8"/>
    </row>
    <row r="391" ht="24.0" customHeight="1">
      <c r="A391" s="21" t="str">
        <f t="shared" si="1"/>
        <v/>
      </c>
      <c r="B391" s="21" t="str">
        <f t="shared" si="2"/>
        <v/>
      </c>
      <c r="C391" s="25" t="str">
        <f t="array" ref="C391">IF($H391="","",IFERROR(INDEX('Game Records'!$A:$A,$H391),""))</f>
        <v/>
      </c>
      <c r="D391" s="25" t="str">
        <f t="array" ref="D391">IF($H391="","",IFERROR(INDEX('Game Records'!$U:$U,$H391),""))</f>
        <v/>
      </c>
      <c r="E391" s="25" t="str">
        <f t="shared" si="3"/>
        <v/>
      </c>
      <c r="F391" s="25" t="str">
        <f t="array" ref="F391">IF($H391="","",IF(OR(NOT(_xlfn.ISFORMULA(INDEX('Game Records'!$N:$N,$H391))),NOT(_xlfn.ISFORMULA(INDEX('Game Records'!$O:$O,$H391))),NOT(_xlfn.ISFORMULA(INDEX('Game Records'!$P:$P,$H391))),NOT(_xlfn.ISFORMULA(INDEX('Game Records'!$Q:$Q,$H391))),NOT(_xlfn.ISFORMULA(INDEX('Game Records'!$R:$R,$H391))),NOT(_xlfn.ISFORMULA(INDEX('Game Records'!$S:$S,$H391))),NOT(_xlfn.ISFORMULA(INDEX('Game Records'!$T:$T,$H391))),NOT(_xlfn.ISFORMULA(INDEX('Game Records'!$U:$U,$H391))),NOT(_xlfn.ISFORMULA(INDEX('Game Records'!$V:$V,$H391))),NOT(_xlfn.ISFORMULA(INDEX('Game Records'!$W:$W,$H391))),NOT(_xlfn.ISFORMULA(INDEX('Game Records'!$X:$X,$H391))),NOT(_xlfn.ISFORMULA(INDEX('Game Records'!$Y:$Y,$H391))),NOT(_xlfn.ISFORMULA(INDEX('Game Records'!$Z:$Z,$H391)))),"","")&amp;IF(INDEX('Game Records'!$B:$B,$H391)="","Start Date; ","")&amp;IF(INDEX('Game Records'!$C:$C,$H391)="","End Date; ","")&amp;IF(AND(INDEX('Game Records'!$U:$U,$H391)&lt;&gt;"Subscription",INDEX('Game Records'!$U:$U,$H391)&lt;&gt;"Free Game",INDEX('Game Records'!$U:$U,$H391)&lt;&gt;"Disqualified — Free Game",OR(INDEX('Game Records'!$D:$D,$H391)="",LOWER(INDEX('Game Records'!$D:$D,$H391)&amp;"")="n/a")),"Entry Mode; ","")&amp;IF(AND(INDEX('Game Records'!$U:$U,$H391)&lt;&gt;"Subscription",INDEX('Game Records'!$U:$U,$H391)&lt;&gt;"Free Game",INDEX('Game Records'!$U:$U,$H391)&lt;&gt;"Disqualified — Free Game",OR(INDEX('Game Records'!$E:$E,$H391)="",LOWER(INDEX('Game Records'!$E:$E,$H391)&amp;"")="n/a")),"Game Type; ","")&amp;IF(INDEX('Game Records'!$F:$F,$H391)="","Payment Type; ","")&amp;IF(AND(INDEX('Game Records'!$U:$U,$H391)&lt;&gt;"Subscription",INDEX('Game Records'!$U:$U,$H391)&lt;&gt;"Free Game",INDEX('Game Records'!$U:$U,$H391)&lt;&gt;"Disqualified — Free Game",INDEX('Game Records'!$G:$G,$H391)=""),"Gross Pot; ","")&amp;IF(AND(INDEX('Game Records'!$U:$U,$H391)&lt;&gt;"Free Game",INDEX('Game Records'!$U:$U,$H391)&lt;&gt;"Disqualified — Free Game",INDEX('Game Records'!$H:$H,$H391)=""),"Entry Fee; ","")&amp;IF(AND(INDEX('Game Records'!$U:$U,$H391)&lt;&gt;"Subscription",INDEX('Game Records'!$U:$U,$H391)&lt;&gt;"Free Game",INDEX('Game Records'!$U:$U,$H391)&lt;&gt;"Disqualified — Free Game",INDEX('Game Records'!$I:$I,$H391)=""),"Eligible Players; ","")&amp;IF(AND(INDEX('Game Records'!$U:$U,$H391)&lt;&gt;"Subscription",INDEX('Game Records'!$U:$U,$H391)&lt;&gt;"Free Game",INDEX('Game Records'!$U:$U,$H391)&lt;&gt;"Disqualified — Free Game",INDEX('Game Records'!$J:$J,$H391)=""),"Total Players; ","")&amp;IF(AND(LOWER(INDEX('Game Records'!$D:$D,$H391)&amp;"")="finalized",LOWER(INDEX('Game Records'!$L:$L,$H391)&amp;"")&lt;&gt;"yes",INDEX('Game Records'!$U:$U,$H391)&lt;&gt;"Subscription",INDEX('Game Records'!$U:$U,$H391)&lt;&gt;"Free Game",INDEX('Game Records'!$U:$U,$H391)&lt;&gt;"Disqualified — Free Game",INDEX('Game Records'!$K:$K,$H391)=""),"Final Payout; ","")&amp;IF(AND(LOWER(INDEX('Game Records'!$D:$D,$H391)&amp;"")="finalized",INDEX('Game Records'!$U:$U,$H391)&lt;&gt;"Subscription",INDEX('Game Records'!$U:$U,$H391)&lt;&gt;"Free Game",INDEX('Game Records'!$U:$U,$H391)&lt;&gt;"Disqualified — Free Game",OR(INDEX('Game Records'!$L:$L,$H391)="",LOWER(INDEX('Game Records'!$L:$L,$H391)&amp;"")="n/a")),"Disqualified Status; ",""))</f>
        <v/>
      </c>
      <c r="G391" s="25" t="str">
        <f t="array" ref="G391">IF($H391="","",IFERROR(INDEX('Game Records'!$M:$M,$H391),""))</f>
        <v/>
      </c>
      <c r="H391" s="8"/>
    </row>
    <row r="392" ht="24.0" customHeight="1">
      <c r="A392" s="21" t="str">
        <f t="shared" si="1"/>
        <v/>
      </c>
      <c r="B392" s="21" t="str">
        <f t="shared" si="2"/>
        <v/>
      </c>
      <c r="C392" s="25" t="str">
        <f t="array" ref="C392">IF($H392="","",IFERROR(INDEX('Game Records'!$A:$A,$H392),""))</f>
        <v/>
      </c>
      <c r="D392" s="25" t="str">
        <f t="array" ref="D392">IF($H392="","",IFERROR(INDEX('Game Records'!$U:$U,$H392),""))</f>
        <v/>
      </c>
      <c r="E392" s="25" t="str">
        <f t="shared" si="3"/>
        <v/>
      </c>
      <c r="F392" s="25" t="str">
        <f t="array" ref="F392">IF($H392="","",IF(OR(NOT(_xlfn.ISFORMULA(INDEX('Game Records'!$N:$N,$H392))),NOT(_xlfn.ISFORMULA(INDEX('Game Records'!$O:$O,$H392))),NOT(_xlfn.ISFORMULA(INDEX('Game Records'!$P:$P,$H392))),NOT(_xlfn.ISFORMULA(INDEX('Game Records'!$Q:$Q,$H392))),NOT(_xlfn.ISFORMULA(INDEX('Game Records'!$R:$R,$H392))),NOT(_xlfn.ISFORMULA(INDEX('Game Records'!$S:$S,$H392))),NOT(_xlfn.ISFORMULA(INDEX('Game Records'!$T:$T,$H392))),NOT(_xlfn.ISFORMULA(INDEX('Game Records'!$U:$U,$H392))),NOT(_xlfn.ISFORMULA(INDEX('Game Records'!$V:$V,$H392))),NOT(_xlfn.ISFORMULA(INDEX('Game Records'!$W:$W,$H392))),NOT(_xlfn.ISFORMULA(INDEX('Game Records'!$X:$X,$H392))),NOT(_xlfn.ISFORMULA(INDEX('Game Records'!$Y:$Y,$H392))),NOT(_xlfn.ISFORMULA(INDEX('Game Records'!$Z:$Z,$H392)))),"","")&amp;IF(INDEX('Game Records'!$B:$B,$H392)="","Start Date; ","")&amp;IF(INDEX('Game Records'!$C:$C,$H392)="","End Date; ","")&amp;IF(AND(INDEX('Game Records'!$U:$U,$H392)&lt;&gt;"Subscription",INDEX('Game Records'!$U:$U,$H392)&lt;&gt;"Free Game",INDEX('Game Records'!$U:$U,$H392)&lt;&gt;"Disqualified — Free Game",OR(INDEX('Game Records'!$D:$D,$H392)="",LOWER(INDEX('Game Records'!$D:$D,$H392)&amp;"")="n/a")),"Entry Mode; ","")&amp;IF(AND(INDEX('Game Records'!$U:$U,$H392)&lt;&gt;"Subscription",INDEX('Game Records'!$U:$U,$H392)&lt;&gt;"Free Game",INDEX('Game Records'!$U:$U,$H392)&lt;&gt;"Disqualified — Free Game",OR(INDEX('Game Records'!$E:$E,$H392)="",LOWER(INDEX('Game Records'!$E:$E,$H392)&amp;"")="n/a")),"Game Type; ","")&amp;IF(INDEX('Game Records'!$F:$F,$H392)="","Payment Type; ","")&amp;IF(AND(INDEX('Game Records'!$U:$U,$H392)&lt;&gt;"Subscription",INDEX('Game Records'!$U:$U,$H392)&lt;&gt;"Free Game",INDEX('Game Records'!$U:$U,$H392)&lt;&gt;"Disqualified — Free Game",INDEX('Game Records'!$G:$G,$H392)=""),"Gross Pot; ","")&amp;IF(AND(INDEX('Game Records'!$U:$U,$H392)&lt;&gt;"Free Game",INDEX('Game Records'!$U:$U,$H392)&lt;&gt;"Disqualified — Free Game",INDEX('Game Records'!$H:$H,$H392)=""),"Entry Fee; ","")&amp;IF(AND(INDEX('Game Records'!$U:$U,$H392)&lt;&gt;"Subscription",INDEX('Game Records'!$U:$U,$H392)&lt;&gt;"Free Game",INDEX('Game Records'!$U:$U,$H392)&lt;&gt;"Disqualified — Free Game",INDEX('Game Records'!$I:$I,$H392)=""),"Eligible Players; ","")&amp;IF(AND(INDEX('Game Records'!$U:$U,$H392)&lt;&gt;"Subscription",INDEX('Game Records'!$U:$U,$H392)&lt;&gt;"Free Game",INDEX('Game Records'!$U:$U,$H392)&lt;&gt;"Disqualified — Free Game",INDEX('Game Records'!$J:$J,$H392)=""),"Total Players; ","")&amp;IF(AND(LOWER(INDEX('Game Records'!$D:$D,$H392)&amp;"")="finalized",LOWER(INDEX('Game Records'!$L:$L,$H392)&amp;"")&lt;&gt;"yes",INDEX('Game Records'!$U:$U,$H392)&lt;&gt;"Subscription",INDEX('Game Records'!$U:$U,$H392)&lt;&gt;"Free Game",INDEX('Game Records'!$U:$U,$H392)&lt;&gt;"Disqualified — Free Game",INDEX('Game Records'!$K:$K,$H392)=""),"Final Payout; ","")&amp;IF(AND(LOWER(INDEX('Game Records'!$D:$D,$H392)&amp;"")="finalized",INDEX('Game Records'!$U:$U,$H392)&lt;&gt;"Subscription",INDEX('Game Records'!$U:$U,$H392)&lt;&gt;"Free Game",INDEX('Game Records'!$U:$U,$H392)&lt;&gt;"Disqualified — Free Game",OR(INDEX('Game Records'!$L:$L,$H392)="",LOWER(INDEX('Game Records'!$L:$L,$H392)&amp;"")="n/a")),"Disqualified Status; ",""))</f>
        <v/>
      </c>
      <c r="G392" s="25" t="str">
        <f t="array" ref="G392">IF($H392="","",IFERROR(INDEX('Game Records'!$M:$M,$H392),""))</f>
        <v/>
      </c>
      <c r="H392" s="8"/>
    </row>
    <row r="393" ht="24.0" customHeight="1">
      <c r="A393" s="21" t="str">
        <f t="shared" si="1"/>
        <v/>
      </c>
      <c r="B393" s="21" t="str">
        <f t="shared" si="2"/>
        <v/>
      </c>
      <c r="C393" s="25" t="str">
        <f t="array" ref="C393">IF($H393="","",IFERROR(INDEX('Game Records'!$A:$A,$H393),""))</f>
        <v/>
      </c>
      <c r="D393" s="25" t="str">
        <f t="array" ref="D393">IF($H393="","",IFERROR(INDEX('Game Records'!$U:$U,$H393),""))</f>
        <v/>
      </c>
      <c r="E393" s="25" t="str">
        <f t="shared" si="3"/>
        <v/>
      </c>
      <c r="F393" s="25" t="str">
        <f t="array" ref="F393">IF($H393="","",IF(OR(NOT(_xlfn.ISFORMULA(INDEX('Game Records'!$N:$N,$H393))),NOT(_xlfn.ISFORMULA(INDEX('Game Records'!$O:$O,$H393))),NOT(_xlfn.ISFORMULA(INDEX('Game Records'!$P:$P,$H393))),NOT(_xlfn.ISFORMULA(INDEX('Game Records'!$Q:$Q,$H393))),NOT(_xlfn.ISFORMULA(INDEX('Game Records'!$R:$R,$H393))),NOT(_xlfn.ISFORMULA(INDEX('Game Records'!$S:$S,$H393))),NOT(_xlfn.ISFORMULA(INDEX('Game Records'!$T:$T,$H393))),NOT(_xlfn.ISFORMULA(INDEX('Game Records'!$U:$U,$H393))),NOT(_xlfn.ISFORMULA(INDEX('Game Records'!$V:$V,$H393))),NOT(_xlfn.ISFORMULA(INDEX('Game Records'!$W:$W,$H393))),NOT(_xlfn.ISFORMULA(INDEX('Game Records'!$X:$X,$H393))),NOT(_xlfn.ISFORMULA(INDEX('Game Records'!$Y:$Y,$H393))),NOT(_xlfn.ISFORMULA(INDEX('Game Records'!$Z:$Z,$H393)))),"","")&amp;IF(INDEX('Game Records'!$B:$B,$H393)="","Start Date; ","")&amp;IF(INDEX('Game Records'!$C:$C,$H393)="","End Date; ","")&amp;IF(AND(INDEX('Game Records'!$U:$U,$H393)&lt;&gt;"Subscription",INDEX('Game Records'!$U:$U,$H393)&lt;&gt;"Free Game",INDEX('Game Records'!$U:$U,$H393)&lt;&gt;"Disqualified — Free Game",OR(INDEX('Game Records'!$D:$D,$H393)="",LOWER(INDEX('Game Records'!$D:$D,$H393)&amp;"")="n/a")),"Entry Mode; ","")&amp;IF(AND(INDEX('Game Records'!$U:$U,$H393)&lt;&gt;"Subscription",INDEX('Game Records'!$U:$U,$H393)&lt;&gt;"Free Game",INDEX('Game Records'!$U:$U,$H393)&lt;&gt;"Disqualified — Free Game",OR(INDEX('Game Records'!$E:$E,$H393)="",LOWER(INDEX('Game Records'!$E:$E,$H393)&amp;"")="n/a")),"Game Type; ","")&amp;IF(INDEX('Game Records'!$F:$F,$H393)="","Payment Type; ","")&amp;IF(AND(INDEX('Game Records'!$U:$U,$H393)&lt;&gt;"Subscription",INDEX('Game Records'!$U:$U,$H393)&lt;&gt;"Free Game",INDEX('Game Records'!$U:$U,$H393)&lt;&gt;"Disqualified — Free Game",INDEX('Game Records'!$G:$G,$H393)=""),"Gross Pot; ","")&amp;IF(AND(INDEX('Game Records'!$U:$U,$H393)&lt;&gt;"Free Game",INDEX('Game Records'!$U:$U,$H393)&lt;&gt;"Disqualified — Free Game",INDEX('Game Records'!$H:$H,$H393)=""),"Entry Fee; ","")&amp;IF(AND(INDEX('Game Records'!$U:$U,$H393)&lt;&gt;"Subscription",INDEX('Game Records'!$U:$U,$H393)&lt;&gt;"Free Game",INDEX('Game Records'!$U:$U,$H393)&lt;&gt;"Disqualified — Free Game",INDEX('Game Records'!$I:$I,$H393)=""),"Eligible Players; ","")&amp;IF(AND(INDEX('Game Records'!$U:$U,$H393)&lt;&gt;"Subscription",INDEX('Game Records'!$U:$U,$H393)&lt;&gt;"Free Game",INDEX('Game Records'!$U:$U,$H393)&lt;&gt;"Disqualified — Free Game",INDEX('Game Records'!$J:$J,$H393)=""),"Total Players; ","")&amp;IF(AND(LOWER(INDEX('Game Records'!$D:$D,$H393)&amp;"")="finalized",LOWER(INDEX('Game Records'!$L:$L,$H393)&amp;"")&lt;&gt;"yes",INDEX('Game Records'!$U:$U,$H393)&lt;&gt;"Subscription",INDEX('Game Records'!$U:$U,$H393)&lt;&gt;"Free Game",INDEX('Game Records'!$U:$U,$H393)&lt;&gt;"Disqualified — Free Game",INDEX('Game Records'!$K:$K,$H393)=""),"Final Payout; ","")&amp;IF(AND(LOWER(INDEX('Game Records'!$D:$D,$H393)&amp;"")="finalized",INDEX('Game Records'!$U:$U,$H393)&lt;&gt;"Subscription",INDEX('Game Records'!$U:$U,$H393)&lt;&gt;"Free Game",INDEX('Game Records'!$U:$U,$H393)&lt;&gt;"Disqualified — Free Game",OR(INDEX('Game Records'!$L:$L,$H393)="",LOWER(INDEX('Game Records'!$L:$L,$H393)&amp;"")="n/a")),"Disqualified Status; ",""))</f>
        <v/>
      </c>
      <c r="G393" s="25" t="str">
        <f t="array" ref="G393">IF($H393="","",IFERROR(INDEX('Game Records'!$M:$M,$H393),""))</f>
        <v/>
      </c>
      <c r="H393" s="8"/>
    </row>
    <row r="394" ht="24.0" customHeight="1">
      <c r="A394" s="21" t="str">
        <f t="shared" si="1"/>
        <v/>
      </c>
      <c r="B394" s="21" t="str">
        <f t="shared" si="2"/>
        <v/>
      </c>
      <c r="C394" s="25" t="str">
        <f t="array" ref="C394">IF($H394="","",IFERROR(INDEX('Game Records'!$A:$A,$H394),""))</f>
        <v/>
      </c>
      <c r="D394" s="25" t="str">
        <f t="array" ref="D394">IF($H394="","",IFERROR(INDEX('Game Records'!$U:$U,$H394),""))</f>
        <v/>
      </c>
      <c r="E394" s="25" t="str">
        <f t="shared" si="3"/>
        <v/>
      </c>
      <c r="F394" s="25" t="str">
        <f t="array" ref="F394">IF($H394="","",IF(OR(NOT(_xlfn.ISFORMULA(INDEX('Game Records'!$N:$N,$H394))),NOT(_xlfn.ISFORMULA(INDEX('Game Records'!$O:$O,$H394))),NOT(_xlfn.ISFORMULA(INDEX('Game Records'!$P:$P,$H394))),NOT(_xlfn.ISFORMULA(INDEX('Game Records'!$Q:$Q,$H394))),NOT(_xlfn.ISFORMULA(INDEX('Game Records'!$R:$R,$H394))),NOT(_xlfn.ISFORMULA(INDEX('Game Records'!$S:$S,$H394))),NOT(_xlfn.ISFORMULA(INDEX('Game Records'!$T:$T,$H394))),NOT(_xlfn.ISFORMULA(INDEX('Game Records'!$U:$U,$H394))),NOT(_xlfn.ISFORMULA(INDEX('Game Records'!$V:$V,$H394))),NOT(_xlfn.ISFORMULA(INDEX('Game Records'!$W:$W,$H394))),NOT(_xlfn.ISFORMULA(INDEX('Game Records'!$X:$X,$H394))),NOT(_xlfn.ISFORMULA(INDEX('Game Records'!$Y:$Y,$H394))),NOT(_xlfn.ISFORMULA(INDEX('Game Records'!$Z:$Z,$H394)))),"","")&amp;IF(INDEX('Game Records'!$B:$B,$H394)="","Start Date; ","")&amp;IF(INDEX('Game Records'!$C:$C,$H394)="","End Date; ","")&amp;IF(AND(INDEX('Game Records'!$U:$U,$H394)&lt;&gt;"Subscription",INDEX('Game Records'!$U:$U,$H394)&lt;&gt;"Free Game",INDEX('Game Records'!$U:$U,$H394)&lt;&gt;"Disqualified — Free Game",OR(INDEX('Game Records'!$D:$D,$H394)="",LOWER(INDEX('Game Records'!$D:$D,$H394)&amp;"")="n/a")),"Entry Mode; ","")&amp;IF(AND(INDEX('Game Records'!$U:$U,$H394)&lt;&gt;"Subscription",INDEX('Game Records'!$U:$U,$H394)&lt;&gt;"Free Game",INDEX('Game Records'!$U:$U,$H394)&lt;&gt;"Disqualified — Free Game",OR(INDEX('Game Records'!$E:$E,$H394)="",LOWER(INDEX('Game Records'!$E:$E,$H394)&amp;"")="n/a")),"Game Type; ","")&amp;IF(INDEX('Game Records'!$F:$F,$H394)="","Payment Type; ","")&amp;IF(AND(INDEX('Game Records'!$U:$U,$H394)&lt;&gt;"Subscription",INDEX('Game Records'!$U:$U,$H394)&lt;&gt;"Free Game",INDEX('Game Records'!$U:$U,$H394)&lt;&gt;"Disqualified — Free Game",INDEX('Game Records'!$G:$G,$H394)=""),"Gross Pot; ","")&amp;IF(AND(INDEX('Game Records'!$U:$U,$H394)&lt;&gt;"Free Game",INDEX('Game Records'!$U:$U,$H394)&lt;&gt;"Disqualified — Free Game",INDEX('Game Records'!$H:$H,$H394)=""),"Entry Fee; ","")&amp;IF(AND(INDEX('Game Records'!$U:$U,$H394)&lt;&gt;"Subscription",INDEX('Game Records'!$U:$U,$H394)&lt;&gt;"Free Game",INDEX('Game Records'!$U:$U,$H394)&lt;&gt;"Disqualified — Free Game",INDEX('Game Records'!$I:$I,$H394)=""),"Eligible Players; ","")&amp;IF(AND(INDEX('Game Records'!$U:$U,$H394)&lt;&gt;"Subscription",INDEX('Game Records'!$U:$U,$H394)&lt;&gt;"Free Game",INDEX('Game Records'!$U:$U,$H394)&lt;&gt;"Disqualified — Free Game",INDEX('Game Records'!$J:$J,$H394)=""),"Total Players; ","")&amp;IF(AND(LOWER(INDEX('Game Records'!$D:$D,$H394)&amp;"")="finalized",LOWER(INDEX('Game Records'!$L:$L,$H394)&amp;"")&lt;&gt;"yes",INDEX('Game Records'!$U:$U,$H394)&lt;&gt;"Subscription",INDEX('Game Records'!$U:$U,$H394)&lt;&gt;"Free Game",INDEX('Game Records'!$U:$U,$H394)&lt;&gt;"Disqualified — Free Game",INDEX('Game Records'!$K:$K,$H394)=""),"Final Payout; ","")&amp;IF(AND(LOWER(INDEX('Game Records'!$D:$D,$H394)&amp;"")="finalized",INDEX('Game Records'!$U:$U,$H394)&lt;&gt;"Subscription",INDEX('Game Records'!$U:$U,$H394)&lt;&gt;"Free Game",INDEX('Game Records'!$U:$U,$H394)&lt;&gt;"Disqualified — Free Game",OR(INDEX('Game Records'!$L:$L,$H394)="",LOWER(INDEX('Game Records'!$L:$L,$H394)&amp;"")="n/a")),"Disqualified Status; ",""))</f>
        <v/>
      </c>
      <c r="G394" s="25" t="str">
        <f t="array" ref="G394">IF($H394="","",IFERROR(INDEX('Game Records'!$M:$M,$H394),""))</f>
        <v/>
      </c>
      <c r="H394" s="8"/>
    </row>
    <row r="395" ht="24.0" customHeight="1">
      <c r="A395" s="21" t="str">
        <f t="shared" si="1"/>
        <v/>
      </c>
      <c r="B395" s="21" t="str">
        <f t="shared" si="2"/>
        <v/>
      </c>
      <c r="C395" s="25" t="str">
        <f t="array" ref="C395">IF($H395="","",IFERROR(INDEX('Game Records'!$A:$A,$H395),""))</f>
        <v/>
      </c>
      <c r="D395" s="25" t="str">
        <f t="array" ref="D395">IF($H395="","",IFERROR(INDEX('Game Records'!$U:$U,$H395),""))</f>
        <v/>
      </c>
      <c r="E395" s="25" t="str">
        <f t="shared" si="3"/>
        <v/>
      </c>
      <c r="F395" s="25" t="str">
        <f t="array" ref="F395">IF($H395="","",IF(OR(NOT(_xlfn.ISFORMULA(INDEX('Game Records'!$N:$N,$H395))),NOT(_xlfn.ISFORMULA(INDEX('Game Records'!$O:$O,$H395))),NOT(_xlfn.ISFORMULA(INDEX('Game Records'!$P:$P,$H395))),NOT(_xlfn.ISFORMULA(INDEX('Game Records'!$Q:$Q,$H395))),NOT(_xlfn.ISFORMULA(INDEX('Game Records'!$R:$R,$H395))),NOT(_xlfn.ISFORMULA(INDEX('Game Records'!$S:$S,$H395))),NOT(_xlfn.ISFORMULA(INDEX('Game Records'!$T:$T,$H395))),NOT(_xlfn.ISFORMULA(INDEX('Game Records'!$U:$U,$H395))),NOT(_xlfn.ISFORMULA(INDEX('Game Records'!$V:$V,$H395))),NOT(_xlfn.ISFORMULA(INDEX('Game Records'!$W:$W,$H395))),NOT(_xlfn.ISFORMULA(INDEX('Game Records'!$X:$X,$H395))),NOT(_xlfn.ISFORMULA(INDEX('Game Records'!$Y:$Y,$H395))),NOT(_xlfn.ISFORMULA(INDEX('Game Records'!$Z:$Z,$H395)))),"","")&amp;IF(INDEX('Game Records'!$B:$B,$H395)="","Start Date; ","")&amp;IF(INDEX('Game Records'!$C:$C,$H395)="","End Date; ","")&amp;IF(AND(INDEX('Game Records'!$U:$U,$H395)&lt;&gt;"Subscription",INDEX('Game Records'!$U:$U,$H395)&lt;&gt;"Free Game",INDEX('Game Records'!$U:$U,$H395)&lt;&gt;"Disqualified — Free Game",OR(INDEX('Game Records'!$D:$D,$H395)="",LOWER(INDEX('Game Records'!$D:$D,$H395)&amp;"")="n/a")),"Entry Mode; ","")&amp;IF(AND(INDEX('Game Records'!$U:$U,$H395)&lt;&gt;"Subscription",INDEX('Game Records'!$U:$U,$H395)&lt;&gt;"Free Game",INDEX('Game Records'!$U:$U,$H395)&lt;&gt;"Disqualified — Free Game",OR(INDEX('Game Records'!$E:$E,$H395)="",LOWER(INDEX('Game Records'!$E:$E,$H395)&amp;"")="n/a")),"Game Type; ","")&amp;IF(INDEX('Game Records'!$F:$F,$H395)="","Payment Type; ","")&amp;IF(AND(INDEX('Game Records'!$U:$U,$H395)&lt;&gt;"Subscription",INDEX('Game Records'!$U:$U,$H395)&lt;&gt;"Free Game",INDEX('Game Records'!$U:$U,$H395)&lt;&gt;"Disqualified — Free Game",INDEX('Game Records'!$G:$G,$H395)=""),"Gross Pot; ","")&amp;IF(AND(INDEX('Game Records'!$U:$U,$H395)&lt;&gt;"Free Game",INDEX('Game Records'!$U:$U,$H395)&lt;&gt;"Disqualified — Free Game",INDEX('Game Records'!$H:$H,$H395)=""),"Entry Fee; ","")&amp;IF(AND(INDEX('Game Records'!$U:$U,$H395)&lt;&gt;"Subscription",INDEX('Game Records'!$U:$U,$H395)&lt;&gt;"Free Game",INDEX('Game Records'!$U:$U,$H395)&lt;&gt;"Disqualified — Free Game",INDEX('Game Records'!$I:$I,$H395)=""),"Eligible Players; ","")&amp;IF(AND(INDEX('Game Records'!$U:$U,$H395)&lt;&gt;"Subscription",INDEX('Game Records'!$U:$U,$H395)&lt;&gt;"Free Game",INDEX('Game Records'!$U:$U,$H395)&lt;&gt;"Disqualified — Free Game",INDEX('Game Records'!$J:$J,$H395)=""),"Total Players; ","")&amp;IF(AND(LOWER(INDEX('Game Records'!$D:$D,$H395)&amp;"")="finalized",LOWER(INDEX('Game Records'!$L:$L,$H395)&amp;"")&lt;&gt;"yes",INDEX('Game Records'!$U:$U,$H395)&lt;&gt;"Subscription",INDEX('Game Records'!$U:$U,$H395)&lt;&gt;"Free Game",INDEX('Game Records'!$U:$U,$H395)&lt;&gt;"Disqualified — Free Game",INDEX('Game Records'!$K:$K,$H395)=""),"Final Payout; ","")&amp;IF(AND(LOWER(INDEX('Game Records'!$D:$D,$H395)&amp;"")="finalized",INDEX('Game Records'!$U:$U,$H395)&lt;&gt;"Subscription",INDEX('Game Records'!$U:$U,$H395)&lt;&gt;"Free Game",INDEX('Game Records'!$U:$U,$H395)&lt;&gt;"Disqualified — Free Game",OR(INDEX('Game Records'!$L:$L,$H395)="",LOWER(INDEX('Game Records'!$L:$L,$H395)&amp;"")="n/a")),"Disqualified Status; ",""))</f>
        <v/>
      </c>
      <c r="G395" s="25" t="str">
        <f t="array" ref="G395">IF($H395="","",IFERROR(INDEX('Game Records'!$M:$M,$H395),""))</f>
        <v/>
      </c>
      <c r="H395" s="8"/>
    </row>
    <row r="396" ht="24.0" customHeight="1">
      <c r="A396" s="21" t="str">
        <f t="shared" si="1"/>
        <v/>
      </c>
      <c r="B396" s="21" t="str">
        <f t="shared" si="2"/>
        <v/>
      </c>
      <c r="C396" s="25" t="str">
        <f t="array" ref="C396">IF($H396="","",IFERROR(INDEX('Game Records'!$A:$A,$H396),""))</f>
        <v/>
      </c>
      <c r="D396" s="25" t="str">
        <f t="array" ref="D396">IF($H396="","",IFERROR(INDEX('Game Records'!$U:$U,$H396),""))</f>
        <v/>
      </c>
      <c r="E396" s="25" t="str">
        <f t="shared" si="3"/>
        <v/>
      </c>
      <c r="F396" s="25" t="str">
        <f t="array" ref="F396">IF($H396="","",IF(OR(NOT(_xlfn.ISFORMULA(INDEX('Game Records'!$N:$N,$H396))),NOT(_xlfn.ISFORMULA(INDEX('Game Records'!$O:$O,$H396))),NOT(_xlfn.ISFORMULA(INDEX('Game Records'!$P:$P,$H396))),NOT(_xlfn.ISFORMULA(INDEX('Game Records'!$Q:$Q,$H396))),NOT(_xlfn.ISFORMULA(INDEX('Game Records'!$R:$R,$H396))),NOT(_xlfn.ISFORMULA(INDEX('Game Records'!$S:$S,$H396))),NOT(_xlfn.ISFORMULA(INDEX('Game Records'!$T:$T,$H396))),NOT(_xlfn.ISFORMULA(INDEX('Game Records'!$U:$U,$H396))),NOT(_xlfn.ISFORMULA(INDEX('Game Records'!$V:$V,$H396))),NOT(_xlfn.ISFORMULA(INDEX('Game Records'!$W:$W,$H396))),NOT(_xlfn.ISFORMULA(INDEX('Game Records'!$X:$X,$H396))),NOT(_xlfn.ISFORMULA(INDEX('Game Records'!$Y:$Y,$H396))),NOT(_xlfn.ISFORMULA(INDEX('Game Records'!$Z:$Z,$H396)))),"","")&amp;IF(INDEX('Game Records'!$B:$B,$H396)="","Start Date; ","")&amp;IF(INDEX('Game Records'!$C:$C,$H396)="","End Date; ","")&amp;IF(AND(INDEX('Game Records'!$U:$U,$H396)&lt;&gt;"Subscription",INDEX('Game Records'!$U:$U,$H396)&lt;&gt;"Free Game",INDEX('Game Records'!$U:$U,$H396)&lt;&gt;"Disqualified — Free Game",OR(INDEX('Game Records'!$D:$D,$H396)="",LOWER(INDEX('Game Records'!$D:$D,$H396)&amp;"")="n/a")),"Entry Mode; ","")&amp;IF(AND(INDEX('Game Records'!$U:$U,$H396)&lt;&gt;"Subscription",INDEX('Game Records'!$U:$U,$H396)&lt;&gt;"Free Game",INDEX('Game Records'!$U:$U,$H396)&lt;&gt;"Disqualified — Free Game",OR(INDEX('Game Records'!$E:$E,$H396)="",LOWER(INDEX('Game Records'!$E:$E,$H396)&amp;"")="n/a")),"Game Type; ","")&amp;IF(INDEX('Game Records'!$F:$F,$H396)="","Payment Type; ","")&amp;IF(AND(INDEX('Game Records'!$U:$U,$H396)&lt;&gt;"Subscription",INDEX('Game Records'!$U:$U,$H396)&lt;&gt;"Free Game",INDEX('Game Records'!$U:$U,$H396)&lt;&gt;"Disqualified — Free Game",INDEX('Game Records'!$G:$G,$H396)=""),"Gross Pot; ","")&amp;IF(AND(INDEX('Game Records'!$U:$U,$H396)&lt;&gt;"Free Game",INDEX('Game Records'!$U:$U,$H396)&lt;&gt;"Disqualified — Free Game",INDEX('Game Records'!$H:$H,$H396)=""),"Entry Fee; ","")&amp;IF(AND(INDEX('Game Records'!$U:$U,$H396)&lt;&gt;"Subscription",INDEX('Game Records'!$U:$U,$H396)&lt;&gt;"Free Game",INDEX('Game Records'!$U:$U,$H396)&lt;&gt;"Disqualified — Free Game",INDEX('Game Records'!$I:$I,$H396)=""),"Eligible Players; ","")&amp;IF(AND(INDEX('Game Records'!$U:$U,$H396)&lt;&gt;"Subscription",INDEX('Game Records'!$U:$U,$H396)&lt;&gt;"Free Game",INDEX('Game Records'!$U:$U,$H396)&lt;&gt;"Disqualified — Free Game",INDEX('Game Records'!$J:$J,$H396)=""),"Total Players; ","")&amp;IF(AND(LOWER(INDEX('Game Records'!$D:$D,$H396)&amp;"")="finalized",LOWER(INDEX('Game Records'!$L:$L,$H396)&amp;"")&lt;&gt;"yes",INDEX('Game Records'!$U:$U,$H396)&lt;&gt;"Subscription",INDEX('Game Records'!$U:$U,$H396)&lt;&gt;"Free Game",INDEX('Game Records'!$U:$U,$H396)&lt;&gt;"Disqualified — Free Game",INDEX('Game Records'!$K:$K,$H396)=""),"Final Payout; ","")&amp;IF(AND(LOWER(INDEX('Game Records'!$D:$D,$H396)&amp;"")="finalized",INDEX('Game Records'!$U:$U,$H396)&lt;&gt;"Subscription",INDEX('Game Records'!$U:$U,$H396)&lt;&gt;"Free Game",INDEX('Game Records'!$U:$U,$H396)&lt;&gt;"Disqualified — Free Game",OR(INDEX('Game Records'!$L:$L,$H396)="",LOWER(INDEX('Game Records'!$L:$L,$H396)&amp;"")="n/a")),"Disqualified Status; ",""))</f>
        <v/>
      </c>
      <c r="G396" s="25" t="str">
        <f t="array" ref="G396">IF($H396="","",IFERROR(INDEX('Game Records'!$M:$M,$H396),""))</f>
        <v/>
      </c>
      <c r="H396" s="8"/>
    </row>
    <row r="397" ht="24.0" customHeight="1">
      <c r="A397" s="21" t="str">
        <f t="shared" si="1"/>
        <v/>
      </c>
      <c r="B397" s="21" t="str">
        <f t="shared" si="2"/>
        <v/>
      </c>
      <c r="C397" s="25" t="str">
        <f t="array" ref="C397">IF($H397="","",IFERROR(INDEX('Game Records'!$A:$A,$H397),""))</f>
        <v/>
      </c>
      <c r="D397" s="25" t="str">
        <f t="array" ref="D397">IF($H397="","",IFERROR(INDEX('Game Records'!$U:$U,$H397),""))</f>
        <v/>
      </c>
      <c r="E397" s="25" t="str">
        <f t="shared" si="3"/>
        <v/>
      </c>
      <c r="F397" s="25" t="str">
        <f t="array" ref="F397">IF($H397="","",IF(OR(NOT(_xlfn.ISFORMULA(INDEX('Game Records'!$N:$N,$H397))),NOT(_xlfn.ISFORMULA(INDEX('Game Records'!$O:$O,$H397))),NOT(_xlfn.ISFORMULA(INDEX('Game Records'!$P:$P,$H397))),NOT(_xlfn.ISFORMULA(INDEX('Game Records'!$Q:$Q,$H397))),NOT(_xlfn.ISFORMULA(INDEX('Game Records'!$R:$R,$H397))),NOT(_xlfn.ISFORMULA(INDEX('Game Records'!$S:$S,$H397))),NOT(_xlfn.ISFORMULA(INDEX('Game Records'!$T:$T,$H397))),NOT(_xlfn.ISFORMULA(INDEX('Game Records'!$U:$U,$H397))),NOT(_xlfn.ISFORMULA(INDEX('Game Records'!$V:$V,$H397))),NOT(_xlfn.ISFORMULA(INDEX('Game Records'!$W:$W,$H397))),NOT(_xlfn.ISFORMULA(INDEX('Game Records'!$X:$X,$H397))),NOT(_xlfn.ISFORMULA(INDEX('Game Records'!$Y:$Y,$H397))),NOT(_xlfn.ISFORMULA(INDEX('Game Records'!$Z:$Z,$H397)))),"","")&amp;IF(INDEX('Game Records'!$B:$B,$H397)="","Start Date; ","")&amp;IF(INDEX('Game Records'!$C:$C,$H397)="","End Date; ","")&amp;IF(AND(INDEX('Game Records'!$U:$U,$H397)&lt;&gt;"Subscription",INDEX('Game Records'!$U:$U,$H397)&lt;&gt;"Free Game",INDEX('Game Records'!$U:$U,$H397)&lt;&gt;"Disqualified — Free Game",OR(INDEX('Game Records'!$D:$D,$H397)="",LOWER(INDEX('Game Records'!$D:$D,$H397)&amp;"")="n/a")),"Entry Mode; ","")&amp;IF(AND(INDEX('Game Records'!$U:$U,$H397)&lt;&gt;"Subscription",INDEX('Game Records'!$U:$U,$H397)&lt;&gt;"Free Game",INDEX('Game Records'!$U:$U,$H397)&lt;&gt;"Disqualified — Free Game",OR(INDEX('Game Records'!$E:$E,$H397)="",LOWER(INDEX('Game Records'!$E:$E,$H397)&amp;"")="n/a")),"Game Type; ","")&amp;IF(INDEX('Game Records'!$F:$F,$H397)="","Payment Type; ","")&amp;IF(AND(INDEX('Game Records'!$U:$U,$H397)&lt;&gt;"Subscription",INDEX('Game Records'!$U:$U,$H397)&lt;&gt;"Free Game",INDEX('Game Records'!$U:$U,$H397)&lt;&gt;"Disqualified — Free Game",INDEX('Game Records'!$G:$G,$H397)=""),"Gross Pot; ","")&amp;IF(AND(INDEX('Game Records'!$U:$U,$H397)&lt;&gt;"Free Game",INDEX('Game Records'!$U:$U,$H397)&lt;&gt;"Disqualified — Free Game",INDEX('Game Records'!$H:$H,$H397)=""),"Entry Fee; ","")&amp;IF(AND(INDEX('Game Records'!$U:$U,$H397)&lt;&gt;"Subscription",INDEX('Game Records'!$U:$U,$H397)&lt;&gt;"Free Game",INDEX('Game Records'!$U:$U,$H397)&lt;&gt;"Disqualified — Free Game",INDEX('Game Records'!$I:$I,$H397)=""),"Eligible Players; ","")&amp;IF(AND(INDEX('Game Records'!$U:$U,$H397)&lt;&gt;"Subscription",INDEX('Game Records'!$U:$U,$H397)&lt;&gt;"Free Game",INDEX('Game Records'!$U:$U,$H397)&lt;&gt;"Disqualified — Free Game",INDEX('Game Records'!$J:$J,$H397)=""),"Total Players; ","")&amp;IF(AND(LOWER(INDEX('Game Records'!$D:$D,$H397)&amp;"")="finalized",LOWER(INDEX('Game Records'!$L:$L,$H397)&amp;"")&lt;&gt;"yes",INDEX('Game Records'!$U:$U,$H397)&lt;&gt;"Subscription",INDEX('Game Records'!$U:$U,$H397)&lt;&gt;"Free Game",INDEX('Game Records'!$U:$U,$H397)&lt;&gt;"Disqualified — Free Game",INDEX('Game Records'!$K:$K,$H397)=""),"Final Payout; ","")&amp;IF(AND(LOWER(INDEX('Game Records'!$D:$D,$H397)&amp;"")="finalized",INDEX('Game Records'!$U:$U,$H397)&lt;&gt;"Subscription",INDEX('Game Records'!$U:$U,$H397)&lt;&gt;"Free Game",INDEX('Game Records'!$U:$U,$H397)&lt;&gt;"Disqualified — Free Game",OR(INDEX('Game Records'!$L:$L,$H397)="",LOWER(INDEX('Game Records'!$L:$L,$H397)&amp;"")="n/a")),"Disqualified Status; ",""))</f>
        <v/>
      </c>
      <c r="G397" s="25" t="str">
        <f t="array" ref="G397">IF($H397="","",IFERROR(INDEX('Game Records'!$M:$M,$H397),""))</f>
        <v/>
      </c>
      <c r="H397" s="8"/>
    </row>
    <row r="398" ht="24.0" customHeight="1">
      <c r="A398" s="21" t="str">
        <f t="shared" si="1"/>
        <v/>
      </c>
      <c r="B398" s="21" t="str">
        <f t="shared" si="2"/>
        <v/>
      </c>
      <c r="C398" s="25" t="str">
        <f t="array" ref="C398">IF($H398="","",IFERROR(INDEX('Game Records'!$A:$A,$H398),""))</f>
        <v/>
      </c>
      <c r="D398" s="25" t="str">
        <f t="array" ref="D398">IF($H398="","",IFERROR(INDEX('Game Records'!$U:$U,$H398),""))</f>
        <v/>
      </c>
      <c r="E398" s="25" t="str">
        <f t="shared" si="3"/>
        <v/>
      </c>
      <c r="F398" s="25" t="str">
        <f t="array" ref="F398">IF($H398="","",IF(OR(NOT(_xlfn.ISFORMULA(INDEX('Game Records'!$N:$N,$H398))),NOT(_xlfn.ISFORMULA(INDEX('Game Records'!$O:$O,$H398))),NOT(_xlfn.ISFORMULA(INDEX('Game Records'!$P:$P,$H398))),NOT(_xlfn.ISFORMULA(INDEX('Game Records'!$Q:$Q,$H398))),NOT(_xlfn.ISFORMULA(INDEX('Game Records'!$R:$R,$H398))),NOT(_xlfn.ISFORMULA(INDEX('Game Records'!$S:$S,$H398))),NOT(_xlfn.ISFORMULA(INDEX('Game Records'!$T:$T,$H398))),NOT(_xlfn.ISFORMULA(INDEX('Game Records'!$U:$U,$H398))),NOT(_xlfn.ISFORMULA(INDEX('Game Records'!$V:$V,$H398))),NOT(_xlfn.ISFORMULA(INDEX('Game Records'!$W:$W,$H398))),NOT(_xlfn.ISFORMULA(INDEX('Game Records'!$X:$X,$H398))),NOT(_xlfn.ISFORMULA(INDEX('Game Records'!$Y:$Y,$H398))),NOT(_xlfn.ISFORMULA(INDEX('Game Records'!$Z:$Z,$H398)))),"","")&amp;IF(INDEX('Game Records'!$B:$B,$H398)="","Start Date; ","")&amp;IF(INDEX('Game Records'!$C:$C,$H398)="","End Date; ","")&amp;IF(AND(INDEX('Game Records'!$U:$U,$H398)&lt;&gt;"Subscription",INDEX('Game Records'!$U:$U,$H398)&lt;&gt;"Free Game",INDEX('Game Records'!$U:$U,$H398)&lt;&gt;"Disqualified — Free Game",OR(INDEX('Game Records'!$D:$D,$H398)="",LOWER(INDEX('Game Records'!$D:$D,$H398)&amp;"")="n/a")),"Entry Mode; ","")&amp;IF(AND(INDEX('Game Records'!$U:$U,$H398)&lt;&gt;"Subscription",INDEX('Game Records'!$U:$U,$H398)&lt;&gt;"Free Game",INDEX('Game Records'!$U:$U,$H398)&lt;&gt;"Disqualified — Free Game",OR(INDEX('Game Records'!$E:$E,$H398)="",LOWER(INDEX('Game Records'!$E:$E,$H398)&amp;"")="n/a")),"Game Type; ","")&amp;IF(INDEX('Game Records'!$F:$F,$H398)="","Payment Type; ","")&amp;IF(AND(INDEX('Game Records'!$U:$U,$H398)&lt;&gt;"Subscription",INDEX('Game Records'!$U:$U,$H398)&lt;&gt;"Free Game",INDEX('Game Records'!$U:$U,$H398)&lt;&gt;"Disqualified — Free Game",INDEX('Game Records'!$G:$G,$H398)=""),"Gross Pot; ","")&amp;IF(AND(INDEX('Game Records'!$U:$U,$H398)&lt;&gt;"Free Game",INDEX('Game Records'!$U:$U,$H398)&lt;&gt;"Disqualified — Free Game",INDEX('Game Records'!$H:$H,$H398)=""),"Entry Fee; ","")&amp;IF(AND(INDEX('Game Records'!$U:$U,$H398)&lt;&gt;"Subscription",INDEX('Game Records'!$U:$U,$H398)&lt;&gt;"Free Game",INDEX('Game Records'!$U:$U,$H398)&lt;&gt;"Disqualified — Free Game",INDEX('Game Records'!$I:$I,$H398)=""),"Eligible Players; ","")&amp;IF(AND(INDEX('Game Records'!$U:$U,$H398)&lt;&gt;"Subscription",INDEX('Game Records'!$U:$U,$H398)&lt;&gt;"Free Game",INDEX('Game Records'!$U:$U,$H398)&lt;&gt;"Disqualified — Free Game",INDEX('Game Records'!$J:$J,$H398)=""),"Total Players; ","")&amp;IF(AND(LOWER(INDEX('Game Records'!$D:$D,$H398)&amp;"")="finalized",LOWER(INDEX('Game Records'!$L:$L,$H398)&amp;"")&lt;&gt;"yes",INDEX('Game Records'!$U:$U,$H398)&lt;&gt;"Subscription",INDEX('Game Records'!$U:$U,$H398)&lt;&gt;"Free Game",INDEX('Game Records'!$U:$U,$H398)&lt;&gt;"Disqualified — Free Game",INDEX('Game Records'!$K:$K,$H398)=""),"Final Payout; ","")&amp;IF(AND(LOWER(INDEX('Game Records'!$D:$D,$H398)&amp;"")="finalized",INDEX('Game Records'!$U:$U,$H398)&lt;&gt;"Subscription",INDEX('Game Records'!$U:$U,$H398)&lt;&gt;"Free Game",INDEX('Game Records'!$U:$U,$H398)&lt;&gt;"Disqualified — Free Game",OR(INDEX('Game Records'!$L:$L,$H398)="",LOWER(INDEX('Game Records'!$L:$L,$H398)&amp;"")="n/a")),"Disqualified Status; ",""))</f>
        <v/>
      </c>
      <c r="G398" s="25" t="str">
        <f t="array" ref="G398">IF($H398="","",IFERROR(INDEX('Game Records'!$M:$M,$H398),""))</f>
        <v/>
      </c>
      <c r="H398" s="8"/>
    </row>
    <row r="399" ht="24.0" customHeight="1">
      <c r="A399" s="21" t="str">
        <f t="shared" si="1"/>
        <v/>
      </c>
      <c r="B399" s="21" t="str">
        <f t="shared" si="2"/>
        <v/>
      </c>
      <c r="C399" s="25" t="str">
        <f t="array" ref="C399">IF($H399="","",IFERROR(INDEX('Game Records'!$A:$A,$H399),""))</f>
        <v/>
      </c>
      <c r="D399" s="25" t="str">
        <f t="array" ref="D399">IF($H399="","",IFERROR(INDEX('Game Records'!$U:$U,$H399),""))</f>
        <v/>
      </c>
      <c r="E399" s="25" t="str">
        <f t="shared" si="3"/>
        <v/>
      </c>
      <c r="F399" s="25" t="str">
        <f t="array" ref="F399">IF($H399="","",IF(OR(NOT(_xlfn.ISFORMULA(INDEX('Game Records'!$N:$N,$H399))),NOT(_xlfn.ISFORMULA(INDEX('Game Records'!$O:$O,$H399))),NOT(_xlfn.ISFORMULA(INDEX('Game Records'!$P:$P,$H399))),NOT(_xlfn.ISFORMULA(INDEX('Game Records'!$Q:$Q,$H399))),NOT(_xlfn.ISFORMULA(INDEX('Game Records'!$R:$R,$H399))),NOT(_xlfn.ISFORMULA(INDEX('Game Records'!$S:$S,$H399))),NOT(_xlfn.ISFORMULA(INDEX('Game Records'!$T:$T,$H399))),NOT(_xlfn.ISFORMULA(INDEX('Game Records'!$U:$U,$H399))),NOT(_xlfn.ISFORMULA(INDEX('Game Records'!$V:$V,$H399))),NOT(_xlfn.ISFORMULA(INDEX('Game Records'!$W:$W,$H399))),NOT(_xlfn.ISFORMULA(INDEX('Game Records'!$X:$X,$H399))),NOT(_xlfn.ISFORMULA(INDEX('Game Records'!$Y:$Y,$H399))),NOT(_xlfn.ISFORMULA(INDEX('Game Records'!$Z:$Z,$H399)))),"","")&amp;IF(INDEX('Game Records'!$B:$B,$H399)="","Start Date; ","")&amp;IF(INDEX('Game Records'!$C:$C,$H399)="","End Date; ","")&amp;IF(AND(INDEX('Game Records'!$U:$U,$H399)&lt;&gt;"Subscription",INDEX('Game Records'!$U:$U,$H399)&lt;&gt;"Free Game",INDEX('Game Records'!$U:$U,$H399)&lt;&gt;"Disqualified — Free Game",OR(INDEX('Game Records'!$D:$D,$H399)="",LOWER(INDEX('Game Records'!$D:$D,$H399)&amp;"")="n/a")),"Entry Mode; ","")&amp;IF(AND(INDEX('Game Records'!$U:$U,$H399)&lt;&gt;"Subscription",INDEX('Game Records'!$U:$U,$H399)&lt;&gt;"Free Game",INDEX('Game Records'!$U:$U,$H399)&lt;&gt;"Disqualified — Free Game",OR(INDEX('Game Records'!$E:$E,$H399)="",LOWER(INDEX('Game Records'!$E:$E,$H399)&amp;"")="n/a")),"Game Type; ","")&amp;IF(INDEX('Game Records'!$F:$F,$H399)="","Payment Type; ","")&amp;IF(AND(INDEX('Game Records'!$U:$U,$H399)&lt;&gt;"Subscription",INDEX('Game Records'!$U:$U,$H399)&lt;&gt;"Free Game",INDEX('Game Records'!$U:$U,$H399)&lt;&gt;"Disqualified — Free Game",INDEX('Game Records'!$G:$G,$H399)=""),"Gross Pot; ","")&amp;IF(AND(INDEX('Game Records'!$U:$U,$H399)&lt;&gt;"Free Game",INDEX('Game Records'!$U:$U,$H399)&lt;&gt;"Disqualified — Free Game",INDEX('Game Records'!$H:$H,$H399)=""),"Entry Fee; ","")&amp;IF(AND(INDEX('Game Records'!$U:$U,$H399)&lt;&gt;"Subscription",INDEX('Game Records'!$U:$U,$H399)&lt;&gt;"Free Game",INDEX('Game Records'!$U:$U,$H399)&lt;&gt;"Disqualified — Free Game",INDEX('Game Records'!$I:$I,$H399)=""),"Eligible Players; ","")&amp;IF(AND(INDEX('Game Records'!$U:$U,$H399)&lt;&gt;"Subscription",INDEX('Game Records'!$U:$U,$H399)&lt;&gt;"Free Game",INDEX('Game Records'!$U:$U,$H399)&lt;&gt;"Disqualified — Free Game",INDEX('Game Records'!$J:$J,$H399)=""),"Total Players; ","")&amp;IF(AND(LOWER(INDEX('Game Records'!$D:$D,$H399)&amp;"")="finalized",LOWER(INDEX('Game Records'!$L:$L,$H399)&amp;"")&lt;&gt;"yes",INDEX('Game Records'!$U:$U,$H399)&lt;&gt;"Subscription",INDEX('Game Records'!$U:$U,$H399)&lt;&gt;"Free Game",INDEX('Game Records'!$U:$U,$H399)&lt;&gt;"Disqualified — Free Game",INDEX('Game Records'!$K:$K,$H399)=""),"Final Payout; ","")&amp;IF(AND(LOWER(INDEX('Game Records'!$D:$D,$H399)&amp;"")="finalized",INDEX('Game Records'!$U:$U,$H399)&lt;&gt;"Subscription",INDEX('Game Records'!$U:$U,$H399)&lt;&gt;"Free Game",INDEX('Game Records'!$U:$U,$H399)&lt;&gt;"Disqualified — Free Game",OR(INDEX('Game Records'!$L:$L,$H399)="",LOWER(INDEX('Game Records'!$L:$L,$H399)&amp;"")="n/a")),"Disqualified Status; ",""))</f>
        <v/>
      </c>
      <c r="G399" s="25" t="str">
        <f t="array" ref="G399">IF($H399="","",IFERROR(INDEX('Game Records'!$M:$M,$H399),""))</f>
        <v/>
      </c>
      <c r="H399" s="8"/>
    </row>
    <row r="400" ht="24.0" customHeight="1">
      <c r="A400" s="21" t="str">
        <f t="shared" si="1"/>
        <v/>
      </c>
      <c r="B400" s="21" t="str">
        <f t="shared" si="2"/>
        <v/>
      </c>
      <c r="C400" s="25" t="str">
        <f t="array" ref="C400">IF($H400="","",IFERROR(INDEX('Game Records'!$A:$A,$H400),""))</f>
        <v/>
      </c>
      <c r="D400" s="25" t="str">
        <f t="array" ref="D400">IF($H400="","",IFERROR(INDEX('Game Records'!$U:$U,$H400),""))</f>
        <v/>
      </c>
      <c r="E400" s="25" t="str">
        <f t="shared" si="3"/>
        <v/>
      </c>
      <c r="F400" s="25" t="str">
        <f t="array" ref="F400">IF($H400="","",IF(OR(NOT(_xlfn.ISFORMULA(INDEX('Game Records'!$N:$N,$H400))),NOT(_xlfn.ISFORMULA(INDEX('Game Records'!$O:$O,$H400))),NOT(_xlfn.ISFORMULA(INDEX('Game Records'!$P:$P,$H400))),NOT(_xlfn.ISFORMULA(INDEX('Game Records'!$Q:$Q,$H400))),NOT(_xlfn.ISFORMULA(INDEX('Game Records'!$R:$R,$H400))),NOT(_xlfn.ISFORMULA(INDEX('Game Records'!$S:$S,$H400))),NOT(_xlfn.ISFORMULA(INDEX('Game Records'!$T:$T,$H400))),NOT(_xlfn.ISFORMULA(INDEX('Game Records'!$U:$U,$H400))),NOT(_xlfn.ISFORMULA(INDEX('Game Records'!$V:$V,$H400))),NOT(_xlfn.ISFORMULA(INDEX('Game Records'!$W:$W,$H400))),NOT(_xlfn.ISFORMULA(INDEX('Game Records'!$X:$X,$H400))),NOT(_xlfn.ISFORMULA(INDEX('Game Records'!$Y:$Y,$H400))),NOT(_xlfn.ISFORMULA(INDEX('Game Records'!$Z:$Z,$H400)))),"","")&amp;IF(INDEX('Game Records'!$B:$B,$H400)="","Start Date; ","")&amp;IF(INDEX('Game Records'!$C:$C,$H400)="","End Date; ","")&amp;IF(AND(INDEX('Game Records'!$U:$U,$H400)&lt;&gt;"Subscription",INDEX('Game Records'!$U:$U,$H400)&lt;&gt;"Free Game",INDEX('Game Records'!$U:$U,$H400)&lt;&gt;"Disqualified — Free Game",OR(INDEX('Game Records'!$D:$D,$H400)="",LOWER(INDEX('Game Records'!$D:$D,$H400)&amp;"")="n/a")),"Entry Mode; ","")&amp;IF(AND(INDEX('Game Records'!$U:$U,$H400)&lt;&gt;"Subscription",INDEX('Game Records'!$U:$U,$H400)&lt;&gt;"Free Game",INDEX('Game Records'!$U:$U,$H400)&lt;&gt;"Disqualified — Free Game",OR(INDEX('Game Records'!$E:$E,$H400)="",LOWER(INDEX('Game Records'!$E:$E,$H400)&amp;"")="n/a")),"Game Type; ","")&amp;IF(INDEX('Game Records'!$F:$F,$H400)="","Payment Type; ","")&amp;IF(AND(INDEX('Game Records'!$U:$U,$H400)&lt;&gt;"Subscription",INDEX('Game Records'!$U:$U,$H400)&lt;&gt;"Free Game",INDEX('Game Records'!$U:$U,$H400)&lt;&gt;"Disqualified — Free Game",INDEX('Game Records'!$G:$G,$H400)=""),"Gross Pot; ","")&amp;IF(AND(INDEX('Game Records'!$U:$U,$H400)&lt;&gt;"Free Game",INDEX('Game Records'!$U:$U,$H400)&lt;&gt;"Disqualified — Free Game",INDEX('Game Records'!$H:$H,$H400)=""),"Entry Fee; ","")&amp;IF(AND(INDEX('Game Records'!$U:$U,$H400)&lt;&gt;"Subscription",INDEX('Game Records'!$U:$U,$H400)&lt;&gt;"Free Game",INDEX('Game Records'!$U:$U,$H400)&lt;&gt;"Disqualified — Free Game",INDEX('Game Records'!$I:$I,$H400)=""),"Eligible Players; ","")&amp;IF(AND(INDEX('Game Records'!$U:$U,$H400)&lt;&gt;"Subscription",INDEX('Game Records'!$U:$U,$H400)&lt;&gt;"Free Game",INDEX('Game Records'!$U:$U,$H400)&lt;&gt;"Disqualified — Free Game",INDEX('Game Records'!$J:$J,$H400)=""),"Total Players; ","")&amp;IF(AND(LOWER(INDEX('Game Records'!$D:$D,$H400)&amp;"")="finalized",LOWER(INDEX('Game Records'!$L:$L,$H400)&amp;"")&lt;&gt;"yes",INDEX('Game Records'!$U:$U,$H400)&lt;&gt;"Subscription",INDEX('Game Records'!$U:$U,$H400)&lt;&gt;"Free Game",INDEX('Game Records'!$U:$U,$H400)&lt;&gt;"Disqualified — Free Game",INDEX('Game Records'!$K:$K,$H400)=""),"Final Payout; ","")&amp;IF(AND(LOWER(INDEX('Game Records'!$D:$D,$H400)&amp;"")="finalized",INDEX('Game Records'!$U:$U,$H400)&lt;&gt;"Subscription",INDEX('Game Records'!$U:$U,$H400)&lt;&gt;"Free Game",INDEX('Game Records'!$U:$U,$H400)&lt;&gt;"Disqualified — Free Game",OR(INDEX('Game Records'!$L:$L,$H400)="",LOWER(INDEX('Game Records'!$L:$L,$H400)&amp;"")="n/a")),"Disqualified Status; ",""))</f>
        <v/>
      </c>
      <c r="G400" s="25" t="str">
        <f t="array" ref="G400">IF($H400="","",IFERROR(INDEX('Game Records'!$M:$M,$H400),""))</f>
        <v/>
      </c>
      <c r="H400" s="8"/>
    </row>
    <row r="401" ht="24.0" customHeight="1">
      <c r="A401" s="21" t="str">
        <f t="shared" si="1"/>
        <v/>
      </c>
      <c r="B401" s="21" t="str">
        <f t="shared" si="2"/>
        <v/>
      </c>
      <c r="C401" s="25" t="str">
        <f t="array" ref="C401">IF($H401="","",IFERROR(INDEX('Game Records'!$A:$A,$H401),""))</f>
        <v/>
      </c>
      <c r="D401" s="25" t="str">
        <f t="array" ref="D401">IF($H401="","",IFERROR(INDEX('Game Records'!$U:$U,$H401),""))</f>
        <v/>
      </c>
      <c r="E401" s="25" t="str">
        <f t="shared" si="3"/>
        <v/>
      </c>
      <c r="F401" s="25" t="str">
        <f t="array" ref="F401">IF($H401="","",IF(OR(NOT(_xlfn.ISFORMULA(INDEX('Game Records'!$N:$N,$H401))),NOT(_xlfn.ISFORMULA(INDEX('Game Records'!$O:$O,$H401))),NOT(_xlfn.ISFORMULA(INDEX('Game Records'!$P:$P,$H401))),NOT(_xlfn.ISFORMULA(INDEX('Game Records'!$Q:$Q,$H401))),NOT(_xlfn.ISFORMULA(INDEX('Game Records'!$R:$R,$H401))),NOT(_xlfn.ISFORMULA(INDEX('Game Records'!$S:$S,$H401))),NOT(_xlfn.ISFORMULA(INDEX('Game Records'!$T:$T,$H401))),NOT(_xlfn.ISFORMULA(INDEX('Game Records'!$U:$U,$H401))),NOT(_xlfn.ISFORMULA(INDEX('Game Records'!$V:$V,$H401))),NOT(_xlfn.ISFORMULA(INDEX('Game Records'!$W:$W,$H401))),NOT(_xlfn.ISFORMULA(INDEX('Game Records'!$X:$X,$H401))),NOT(_xlfn.ISFORMULA(INDEX('Game Records'!$Y:$Y,$H401))),NOT(_xlfn.ISFORMULA(INDEX('Game Records'!$Z:$Z,$H401)))),"","")&amp;IF(INDEX('Game Records'!$B:$B,$H401)="","Start Date; ","")&amp;IF(INDEX('Game Records'!$C:$C,$H401)="","End Date; ","")&amp;IF(AND(INDEX('Game Records'!$U:$U,$H401)&lt;&gt;"Subscription",INDEX('Game Records'!$U:$U,$H401)&lt;&gt;"Free Game",INDEX('Game Records'!$U:$U,$H401)&lt;&gt;"Disqualified — Free Game",OR(INDEX('Game Records'!$D:$D,$H401)="",LOWER(INDEX('Game Records'!$D:$D,$H401)&amp;"")="n/a")),"Entry Mode; ","")&amp;IF(AND(INDEX('Game Records'!$U:$U,$H401)&lt;&gt;"Subscription",INDEX('Game Records'!$U:$U,$H401)&lt;&gt;"Free Game",INDEX('Game Records'!$U:$U,$H401)&lt;&gt;"Disqualified — Free Game",OR(INDEX('Game Records'!$E:$E,$H401)="",LOWER(INDEX('Game Records'!$E:$E,$H401)&amp;"")="n/a")),"Game Type; ","")&amp;IF(INDEX('Game Records'!$F:$F,$H401)="","Payment Type; ","")&amp;IF(AND(INDEX('Game Records'!$U:$U,$H401)&lt;&gt;"Subscription",INDEX('Game Records'!$U:$U,$H401)&lt;&gt;"Free Game",INDEX('Game Records'!$U:$U,$H401)&lt;&gt;"Disqualified — Free Game",INDEX('Game Records'!$G:$G,$H401)=""),"Gross Pot; ","")&amp;IF(AND(INDEX('Game Records'!$U:$U,$H401)&lt;&gt;"Free Game",INDEX('Game Records'!$U:$U,$H401)&lt;&gt;"Disqualified — Free Game",INDEX('Game Records'!$H:$H,$H401)=""),"Entry Fee; ","")&amp;IF(AND(INDEX('Game Records'!$U:$U,$H401)&lt;&gt;"Subscription",INDEX('Game Records'!$U:$U,$H401)&lt;&gt;"Free Game",INDEX('Game Records'!$U:$U,$H401)&lt;&gt;"Disqualified — Free Game",INDEX('Game Records'!$I:$I,$H401)=""),"Eligible Players; ","")&amp;IF(AND(INDEX('Game Records'!$U:$U,$H401)&lt;&gt;"Subscription",INDEX('Game Records'!$U:$U,$H401)&lt;&gt;"Free Game",INDEX('Game Records'!$U:$U,$H401)&lt;&gt;"Disqualified — Free Game",INDEX('Game Records'!$J:$J,$H401)=""),"Total Players; ","")&amp;IF(AND(LOWER(INDEX('Game Records'!$D:$D,$H401)&amp;"")="finalized",LOWER(INDEX('Game Records'!$L:$L,$H401)&amp;"")&lt;&gt;"yes",INDEX('Game Records'!$U:$U,$H401)&lt;&gt;"Subscription",INDEX('Game Records'!$U:$U,$H401)&lt;&gt;"Free Game",INDEX('Game Records'!$U:$U,$H401)&lt;&gt;"Disqualified — Free Game",INDEX('Game Records'!$K:$K,$H401)=""),"Final Payout; ","")&amp;IF(AND(LOWER(INDEX('Game Records'!$D:$D,$H401)&amp;"")="finalized",INDEX('Game Records'!$U:$U,$H401)&lt;&gt;"Subscription",INDEX('Game Records'!$U:$U,$H401)&lt;&gt;"Free Game",INDEX('Game Records'!$U:$U,$H401)&lt;&gt;"Disqualified — Free Game",OR(INDEX('Game Records'!$L:$L,$H401)="",LOWER(INDEX('Game Records'!$L:$L,$H401)&amp;"")="n/a")),"Disqualified Status; ",""))</f>
        <v/>
      </c>
      <c r="G401" s="25" t="str">
        <f t="array" ref="G401">IF($H401="","",IFERROR(INDEX('Game Records'!$M:$M,$H401),""))</f>
        <v/>
      </c>
      <c r="H401" s="8"/>
    </row>
    <row r="402" ht="24.0" customHeight="1">
      <c r="A402" s="21" t="str">
        <f t="shared" si="1"/>
        <v/>
      </c>
      <c r="B402" s="21" t="str">
        <f t="shared" si="2"/>
        <v/>
      </c>
      <c r="C402" s="25" t="str">
        <f t="array" ref="C402">IF($H402="","",IFERROR(INDEX('Game Records'!$A:$A,$H402),""))</f>
        <v/>
      </c>
      <c r="D402" s="25" t="str">
        <f t="array" ref="D402">IF($H402="","",IFERROR(INDEX('Game Records'!$U:$U,$H402),""))</f>
        <v/>
      </c>
      <c r="E402" s="25" t="str">
        <f t="shared" si="3"/>
        <v/>
      </c>
      <c r="F402" s="25" t="str">
        <f t="array" ref="F402">IF($H402="","",IF(OR(NOT(_xlfn.ISFORMULA(INDEX('Game Records'!$N:$N,$H402))),NOT(_xlfn.ISFORMULA(INDEX('Game Records'!$O:$O,$H402))),NOT(_xlfn.ISFORMULA(INDEX('Game Records'!$P:$P,$H402))),NOT(_xlfn.ISFORMULA(INDEX('Game Records'!$Q:$Q,$H402))),NOT(_xlfn.ISFORMULA(INDEX('Game Records'!$R:$R,$H402))),NOT(_xlfn.ISFORMULA(INDEX('Game Records'!$S:$S,$H402))),NOT(_xlfn.ISFORMULA(INDEX('Game Records'!$T:$T,$H402))),NOT(_xlfn.ISFORMULA(INDEX('Game Records'!$U:$U,$H402))),NOT(_xlfn.ISFORMULA(INDEX('Game Records'!$V:$V,$H402))),NOT(_xlfn.ISFORMULA(INDEX('Game Records'!$W:$W,$H402))),NOT(_xlfn.ISFORMULA(INDEX('Game Records'!$X:$X,$H402))),NOT(_xlfn.ISFORMULA(INDEX('Game Records'!$Y:$Y,$H402))),NOT(_xlfn.ISFORMULA(INDEX('Game Records'!$Z:$Z,$H402)))),"","")&amp;IF(INDEX('Game Records'!$B:$B,$H402)="","Start Date; ","")&amp;IF(INDEX('Game Records'!$C:$C,$H402)="","End Date; ","")&amp;IF(AND(INDEX('Game Records'!$U:$U,$H402)&lt;&gt;"Subscription",INDEX('Game Records'!$U:$U,$H402)&lt;&gt;"Free Game",INDEX('Game Records'!$U:$U,$H402)&lt;&gt;"Disqualified — Free Game",OR(INDEX('Game Records'!$D:$D,$H402)="",LOWER(INDEX('Game Records'!$D:$D,$H402)&amp;"")="n/a")),"Entry Mode; ","")&amp;IF(AND(INDEX('Game Records'!$U:$U,$H402)&lt;&gt;"Subscription",INDEX('Game Records'!$U:$U,$H402)&lt;&gt;"Free Game",INDEX('Game Records'!$U:$U,$H402)&lt;&gt;"Disqualified — Free Game",OR(INDEX('Game Records'!$E:$E,$H402)="",LOWER(INDEX('Game Records'!$E:$E,$H402)&amp;"")="n/a")),"Game Type; ","")&amp;IF(INDEX('Game Records'!$F:$F,$H402)="","Payment Type; ","")&amp;IF(AND(INDEX('Game Records'!$U:$U,$H402)&lt;&gt;"Subscription",INDEX('Game Records'!$U:$U,$H402)&lt;&gt;"Free Game",INDEX('Game Records'!$U:$U,$H402)&lt;&gt;"Disqualified — Free Game",INDEX('Game Records'!$G:$G,$H402)=""),"Gross Pot; ","")&amp;IF(AND(INDEX('Game Records'!$U:$U,$H402)&lt;&gt;"Free Game",INDEX('Game Records'!$U:$U,$H402)&lt;&gt;"Disqualified — Free Game",INDEX('Game Records'!$H:$H,$H402)=""),"Entry Fee; ","")&amp;IF(AND(INDEX('Game Records'!$U:$U,$H402)&lt;&gt;"Subscription",INDEX('Game Records'!$U:$U,$H402)&lt;&gt;"Free Game",INDEX('Game Records'!$U:$U,$H402)&lt;&gt;"Disqualified — Free Game",INDEX('Game Records'!$I:$I,$H402)=""),"Eligible Players; ","")&amp;IF(AND(INDEX('Game Records'!$U:$U,$H402)&lt;&gt;"Subscription",INDEX('Game Records'!$U:$U,$H402)&lt;&gt;"Free Game",INDEX('Game Records'!$U:$U,$H402)&lt;&gt;"Disqualified — Free Game",INDEX('Game Records'!$J:$J,$H402)=""),"Total Players; ","")&amp;IF(AND(LOWER(INDEX('Game Records'!$D:$D,$H402)&amp;"")="finalized",LOWER(INDEX('Game Records'!$L:$L,$H402)&amp;"")&lt;&gt;"yes",INDEX('Game Records'!$U:$U,$H402)&lt;&gt;"Subscription",INDEX('Game Records'!$U:$U,$H402)&lt;&gt;"Free Game",INDEX('Game Records'!$U:$U,$H402)&lt;&gt;"Disqualified — Free Game",INDEX('Game Records'!$K:$K,$H402)=""),"Final Payout; ","")&amp;IF(AND(LOWER(INDEX('Game Records'!$D:$D,$H402)&amp;"")="finalized",INDEX('Game Records'!$U:$U,$H402)&lt;&gt;"Subscription",INDEX('Game Records'!$U:$U,$H402)&lt;&gt;"Free Game",INDEX('Game Records'!$U:$U,$H402)&lt;&gt;"Disqualified — Free Game",OR(INDEX('Game Records'!$L:$L,$H402)="",LOWER(INDEX('Game Records'!$L:$L,$H402)&amp;"")="n/a")),"Disqualified Status; ",""))</f>
        <v/>
      </c>
      <c r="G402" s="25" t="str">
        <f t="array" ref="G402">IF($H402="","",IFERROR(INDEX('Game Records'!$M:$M,$H402),""))</f>
        <v/>
      </c>
      <c r="H402" s="8"/>
    </row>
    <row r="403" ht="24.0" customHeight="1">
      <c r="A403" s="21" t="str">
        <f t="shared" si="1"/>
        <v/>
      </c>
      <c r="B403" s="21" t="str">
        <f t="shared" si="2"/>
        <v/>
      </c>
      <c r="C403" s="25" t="str">
        <f t="array" ref="C403">IF($H403="","",IFERROR(INDEX('Game Records'!$A:$A,$H403),""))</f>
        <v/>
      </c>
      <c r="D403" s="25" t="str">
        <f t="array" ref="D403">IF($H403="","",IFERROR(INDEX('Game Records'!$U:$U,$H403),""))</f>
        <v/>
      </c>
      <c r="E403" s="25" t="str">
        <f t="shared" si="3"/>
        <v/>
      </c>
      <c r="F403" s="25" t="str">
        <f t="array" ref="F403">IF($H403="","",IF(OR(NOT(_xlfn.ISFORMULA(INDEX('Game Records'!$N:$N,$H403))),NOT(_xlfn.ISFORMULA(INDEX('Game Records'!$O:$O,$H403))),NOT(_xlfn.ISFORMULA(INDEX('Game Records'!$P:$P,$H403))),NOT(_xlfn.ISFORMULA(INDEX('Game Records'!$Q:$Q,$H403))),NOT(_xlfn.ISFORMULA(INDEX('Game Records'!$R:$R,$H403))),NOT(_xlfn.ISFORMULA(INDEX('Game Records'!$S:$S,$H403))),NOT(_xlfn.ISFORMULA(INDEX('Game Records'!$T:$T,$H403))),NOT(_xlfn.ISFORMULA(INDEX('Game Records'!$U:$U,$H403))),NOT(_xlfn.ISFORMULA(INDEX('Game Records'!$V:$V,$H403))),NOT(_xlfn.ISFORMULA(INDEX('Game Records'!$W:$W,$H403))),NOT(_xlfn.ISFORMULA(INDEX('Game Records'!$X:$X,$H403))),NOT(_xlfn.ISFORMULA(INDEX('Game Records'!$Y:$Y,$H403))),NOT(_xlfn.ISFORMULA(INDEX('Game Records'!$Z:$Z,$H403)))),"","")&amp;IF(INDEX('Game Records'!$B:$B,$H403)="","Start Date; ","")&amp;IF(INDEX('Game Records'!$C:$C,$H403)="","End Date; ","")&amp;IF(AND(INDEX('Game Records'!$U:$U,$H403)&lt;&gt;"Subscription",INDEX('Game Records'!$U:$U,$H403)&lt;&gt;"Free Game",INDEX('Game Records'!$U:$U,$H403)&lt;&gt;"Disqualified — Free Game",OR(INDEX('Game Records'!$D:$D,$H403)="",LOWER(INDEX('Game Records'!$D:$D,$H403)&amp;"")="n/a")),"Entry Mode; ","")&amp;IF(AND(INDEX('Game Records'!$U:$U,$H403)&lt;&gt;"Subscription",INDEX('Game Records'!$U:$U,$H403)&lt;&gt;"Free Game",INDEX('Game Records'!$U:$U,$H403)&lt;&gt;"Disqualified — Free Game",OR(INDEX('Game Records'!$E:$E,$H403)="",LOWER(INDEX('Game Records'!$E:$E,$H403)&amp;"")="n/a")),"Game Type; ","")&amp;IF(INDEX('Game Records'!$F:$F,$H403)="","Payment Type; ","")&amp;IF(AND(INDEX('Game Records'!$U:$U,$H403)&lt;&gt;"Subscription",INDEX('Game Records'!$U:$U,$H403)&lt;&gt;"Free Game",INDEX('Game Records'!$U:$U,$H403)&lt;&gt;"Disqualified — Free Game",INDEX('Game Records'!$G:$G,$H403)=""),"Gross Pot; ","")&amp;IF(AND(INDEX('Game Records'!$U:$U,$H403)&lt;&gt;"Free Game",INDEX('Game Records'!$U:$U,$H403)&lt;&gt;"Disqualified — Free Game",INDEX('Game Records'!$H:$H,$H403)=""),"Entry Fee; ","")&amp;IF(AND(INDEX('Game Records'!$U:$U,$H403)&lt;&gt;"Subscription",INDEX('Game Records'!$U:$U,$H403)&lt;&gt;"Free Game",INDEX('Game Records'!$U:$U,$H403)&lt;&gt;"Disqualified — Free Game",INDEX('Game Records'!$I:$I,$H403)=""),"Eligible Players; ","")&amp;IF(AND(INDEX('Game Records'!$U:$U,$H403)&lt;&gt;"Subscription",INDEX('Game Records'!$U:$U,$H403)&lt;&gt;"Free Game",INDEX('Game Records'!$U:$U,$H403)&lt;&gt;"Disqualified — Free Game",INDEX('Game Records'!$J:$J,$H403)=""),"Total Players; ","")&amp;IF(AND(LOWER(INDEX('Game Records'!$D:$D,$H403)&amp;"")="finalized",LOWER(INDEX('Game Records'!$L:$L,$H403)&amp;"")&lt;&gt;"yes",INDEX('Game Records'!$U:$U,$H403)&lt;&gt;"Subscription",INDEX('Game Records'!$U:$U,$H403)&lt;&gt;"Free Game",INDEX('Game Records'!$U:$U,$H403)&lt;&gt;"Disqualified — Free Game",INDEX('Game Records'!$K:$K,$H403)=""),"Final Payout; ","")&amp;IF(AND(LOWER(INDEX('Game Records'!$D:$D,$H403)&amp;"")="finalized",INDEX('Game Records'!$U:$U,$H403)&lt;&gt;"Subscription",INDEX('Game Records'!$U:$U,$H403)&lt;&gt;"Free Game",INDEX('Game Records'!$U:$U,$H403)&lt;&gt;"Disqualified — Free Game",OR(INDEX('Game Records'!$L:$L,$H403)="",LOWER(INDEX('Game Records'!$L:$L,$H403)&amp;"")="n/a")),"Disqualified Status; ",""))</f>
        <v/>
      </c>
      <c r="G403" s="25" t="str">
        <f t="array" ref="G403">IF($H403="","",IFERROR(INDEX('Game Records'!$M:$M,$H403),""))</f>
        <v/>
      </c>
      <c r="H403" s="8"/>
    </row>
    <row r="404" ht="24.0" customHeight="1">
      <c r="A404" s="21" t="str">
        <f t="shared" si="1"/>
        <v/>
      </c>
      <c r="B404" s="21" t="str">
        <f t="shared" si="2"/>
        <v/>
      </c>
      <c r="C404" s="25" t="str">
        <f t="array" ref="C404">IF($H404="","",IFERROR(INDEX('Game Records'!$A:$A,$H404),""))</f>
        <v/>
      </c>
      <c r="D404" s="25" t="str">
        <f t="array" ref="D404">IF($H404="","",IFERROR(INDEX('Game Records'!$U:$U,$H404),""))</f>
        <v/>
      </c>
      <c r="E404" s="25" t="str">
        <f t="shared" si="3"/>
        <v/>
      </c>
      <c r="F404" s="25" t="str">
        <f t="array" ref="F404">IF($H404="","",IF(OR(NOT(_xlfn.ISFORMULA(INDEX('Game Records'!$N:$N,$H404))),NOT(_xlfn.ISFORMULA(INDEX('Game Records'!$O:$O,$H404))),NOT(_xlfn.ISFORMULA(INDEX('Game Records'!$P:$P,$H404))),NOT(_xlfn.ISFORMULA(INDEX('Game Records'!$Q:$Q,$H404))),NOT(_xlfn.ISFORMULA(INDEX('Game Records'!$R:$R,$H404))),NOT(_xlfn.ISFORMULA(INDEX('Game Records'!$S:$S,$H404))),NOT(_xlfn.ISFORMULA(INDEX('Game Records'!$T:$T,$H404))),NOT(_xlfn.ISFORMULA(INDEX('Game Records'!$U:$U,$H404))),NOT(_xlfn.ISFORMULA(INDEX('Game Records'!$V:$V,$H404))),NOT(_xlfn.ISFORMULA(INDEX('Game Records'!$W:$W,$H404))),NOT(_xlfn.ISFORMULA(INDEX('Game Records'!$X:$X,$H404))),NOT(_xlfn.ISFORMULA(INDEX('Game Records'!$Y:$Y,$H404))),NOT(_xlfn.ISFORMULA(INDEX('Game Records'!$Z:$Z,$H404)))),"","")&amp;IF(INDEX('Game Records'!$B:$B,$H404)="","Start Date; ","")&amp;IF(INDEX('Game Records'!$C:$C,$H404)="","End Date; ","")&amp;IF(AND(INDEX('Game Records'!$U:$U,$H404)&lt;&gt;"Subscription",INDEX('Game Records'!$U:$U,$H404)&lt;&gt;"Free Game",INDEX('Game Records'!$U:$U,$H404)&lt;&gt;"Disqualified — Free Game",OR(INDEX('Game Records'!$D:$D,$H404)="",LOWER(INDEX('Game Records'!$D:$D,$H404)&amp;"")="n/a")),"Entry Mode; ","")&amp;IF(AND(INDEX('Game Records'!$U:$U,$H404)&lt;&gt;"Subscription",INDEX('Game Records'!$U:$U,$H404)&lt;&gt;"Free Game",INDEX('Game Records'!$U:$U,$H404)&lt;&gt;"Disqualified — Free Game",OR(INDEX('Game Records'!$E:$E,$H404)="",LOWER(INDEX('Game Records'!$E:$E,$H404)&amp;"")="n/a")),"Game Type; ","")&amp;IF(INDEX('Game Records'!$F:$F,$H404)="","Payment Type; ","")&amp;IF(AND(INDEX('Game Records'!$U:$U,$H404)&lt;&gt;"Subscription",INDEX('Game Records'!$U:$U,$H404)&lt;&gt;"Free Game",INDEX('Game Records'!$U:$U,$H404)&lt;&gt;"Disqualified — Free Game",INDEX('Game Records'!$G:$G,$H404)=""),"Gross Pot; ","")&amp;IF(AND(INDEX('Game Records'!$U:$U,$H404)&lt;&gt;"Free Game",INDEX('Game Records'!$U:$U,$H404)&lt;&gt;"Disqualified — Free Game",INDEX('Game Records'!$H:$H,$H404)=""),"Entry Fee; ","")&amp;IF(AND(INDEX('Game Records'!$U:$U,$H404)&lt;&gt;"Subscription",INDEX('Game Records'!$U:$U,$H404)&lt;&gt;"Free Game",INDEX('Game Records'!$U:$U,$H404)&lt;&gt;"Disqualified — Free Game",INDEX('Game Records'!$I:$I,$H404)=""),"Eligible Players; ","")&amp;IF(AND(INDEX('Game Records'!$U:$U,$H404)&lt;&gt;"Subscription",INDEX('Game Records'!$U:$U,$H404)&lt;&gt;"Free Game",INDEX('Game Records'!$U:$U,$H404)&lt;&gt;"Disqualified — Free Game",INDEX('Game Records'!$J:$J,$H404)=""),"Total Players; ","")&amp;IF(AND(LOWER(INDEX('Game Records'!$D:$D,$H404)&amp;"")="finalized",LOWER(INDEX('Game Records'!$L:$L,$H404)&amp;"")&lt;&gt;"yes",INDEX('Game Records'!$U:$U,$H404)&lt;&gt;"Subscription",INDEX('Game Records'!$U:$U,$H404)&lt;&gt;"Free Game",INDEX('Game Records'!$U:$U,$H404)&lt;&gt;"Disqualified — Free Game",INDEX('Game Records'!$K:$K,$H404)=""),"Final Payout; ","")&amp;IF(AND(LOWER(INDEX('Game Records'!$D:$D,$H404)&amp;"")="finalized",INDEX('Game Records'!$U:$U,$H404)&lt;&gt;"Subscription",INDEX('Game Records'!$U:$U,$H404)&lt;&gt;"Free Game",INDEX('Game Records'!$U:$U,$H404)&lt;&gt;"Disqualified — Free Game",OR(INDEX('Game Records'!$L:$L,$H404)="",LOWER(INDEX('Game Records'!$L:$L,$H404)&amp;"")="n/a")),"Disqualified Status; ",""))</f>
        <v/>
      </c>
      <c r="G404" s="25" t="str">
        <f t="array" ref="G404">IF($H404="","",IFERROR(INDEX('Game Records'!$M:$M,$H404),""))</f>
        <v/>
      </c>
      <c r="H404" s="8"/>
    </row>
    <row r="405" ht="24.0" customHeight="1">
      <c r="A405" s="21" t="str">
        <f t="shared" si="1"/>
        <v/>
      </c>
      <c r="B405" s="21" t="str">
        <f t="shared" si="2"/>
        <v/>
      </c>
      <c r="C405" s="25" t="str">
        <f t="array" ref="C405">IF($H405="","",IFERROR(INDEX('Game Records'!$A:$A,$H405),""))</f>
        <v/>
      </c>
      <c r="D405" s="25" t="str">
        <f t="array" ref="D405">IF($H405="","",IFERROR(INDEX('Game Records'!$U:$U,$H405),""))</f>
        <v/>
      </c>
      <c r="E405" s="25" t="str">
        <f t="shared" si="3"/>
        <v/>
      </c>
      <c r="F405" s="25" t="str">
        <f t="array" ref="F405">IF($H405="","",IF(OR(NOT(_xlfn.ISFORMULA(INDEX('Game Records'!$N:$N,$H405))),NOT(_xlfn.ISFORMULA(INDEX('Game Records'!$O:$O,$H405))),NOT(_xlfn.ISFORMULA(INDEX('Game Records'!$P:$P,$H405))),NOT(_xlfn.ISFORMULA(INDEX('Game Records'!$Q:$Q,$H405))),NOT(_xlfn.ISFORMULA(INDEX('Game Records'!$R:$R,$H405))),NOT(_xlfn.ISFORMULA(INDEX('Game Records'!$S:$S,$H405))),NOT(_xlfn.ISFORMULA(INDEX('Game Records'!$T:$T,$H405))),NOT(_xlfn.ISFORMULA(INDEX('Game Records'!$U:$U,$H405))),NOT(_xlfn.ISFORMULA(INDEX('Game Records'!$V:$V,$H405))),NOT(_xlfn.ISFORMULA(INDEX('Game Records'!$W:$W,$H405))),NOT(_xlfn.ISFORMULA(INDEX('Game Records'!$X:$X,$H405))),NOT(_xlfn.ISFORMULA(INDEX('Game Records'!$Y:$Y,$H405))),NOT(_xlfn.ISFORMULA(INDEX('Game Records'!$Z:$Z,$H405)))),"","")&amp;IF(INDEX('Game Records'!$B:$B,$H405)="","Start Date; ","")&amp;IF(INDEX('Game Records'!$C:$C,$H405)="","End Date; ","")&amp;IF(AND(INDEX('Game Records'!$U:$U,$H405)&lt;&gt;"Subscription",INDEX('Game Records'!$U:$U,$H405)&lt;&gt;"Free Game",INDEX('Game Records'!$U:$U,$H405)&lt;&gt;"Disqualified — Free Game",OR(INDEX('Game Records'!$D:$D,$H405)="",LOWER(INDEX('Game Records'!$D:$D,$H405)&amp;"")="n/a")),"Entry Mode; ","")&amp;IF(AND(INDEX('Game Records'!$U:$U,$H405)&lt;&gt;"Subscription",INDEX('Game Records'!$U:$U,$H405)&lt;&gt;"Free Game",INDEX('Game Records'!$U:$U,$H405)&lt;&gt;"Disqualified — Free Game",OR(INDEX('Game Records'!$E:$E,$H405)="",LOWER(INDEX('Game Records'!$E:$E,$H405)&amp;"")="n/a")),"Game Type; ","")&amp;IF(INDEX('Game Records'!$F:$F,$H405)="","Payment Type; ","")&amp;IF(AND(INDEX('Game Records'!$U:$U,$H405)&lt;&gt;"Subscription",INDEX('Game Records'!$U:$U,$H405)&lt;&gt;"Free Game",INDEX('Game Records'!$U:$U,$H405)&lt;&gt;"Disqualified — Free Game",INDEX('Game Records'!$G:$G,$H405)=""),"Gross Pot; ","")&amp;IF(AND(INDEX('Game Records'!$U:$U,$H405)&lt;&gt;"Free Game",INDEX('Game Records'!$U:$U,$H405)&lt;&gt;"Disqualified — Free Game",INDEX('Game Records'!$H:$H,$H405)=""),"Entry Fee; ","")&amp;IF(AND(INDEX('Game Records'!$U:$U,$H405)&lt;&gt;"Subscription",INDEX('Game Records'!$U:$U,$H405)&lt;&gt;"Free Game",INDEX('Game Records'!$U:$U,$H405)&lt;&gt;"Disqualified — Free Game",INDEX('Game Records'!$I:$I,$H405)=""),"Eligible Players; ","")&amp;IF(AND(INDEX('Game Records'!$U:$U,$H405)&lt;&gt;"Subscription",INDEX('Game Records'!$U:$U,$H405)&lt;&gt;"Free Game",INDEX('Game Records'!$U:$U,$H405)&lt;&gt;"Disqualified — Free Game",INDEX('Game Records'!$J:$J,$H405)=""),"Total Players; ","")&amp;IF(AND(LOWER(INDEX('Game Records'!$D:$D,$H405)&amp;"")="finalized",LOWER(INDEX('Game Records'!$L:$L,$H405)&amp;"")&lt;&gt;"yes",INDEX('Game Records'!$U:$U,$H405)&lt;&gt;"Subscription",INDEX('Game Records'!$U:$U,$H405)&lt;&gt;"Free Game",INDEX('Game Records'!$U:$U,$H405)&lt;&gt;"Disqualified — Free Game",INDEX('Game Records'!$K:$K,$H405)=""),"Final Payout; ","")&amp;IF(AND(LOWER(INDEX('Game Records'!$D:$D,$H405)&amp;"")="finalized",INDEX('Game Records'!$U:$U,$H405)&lt;&gt;"Subscription",INDEX('Game Records'!$U:$U,$H405)&lt;&gt;"Free Game",INDEX('Game Records'!$U:$U,$H405)&lt;&gt;"Disqualified — Free Game",OR(INDEX('Game Records'!$L:$L,$H405)="",LOWER(INDEX('Game Records'!$L:$L,$H405)&amp;"")="n/a")),"Disqualified Status; ",""))</f>
        <v/>
      </c>
      <c r="G405" s="25" t="str">
        <f t="array" ref="G405">IF($H405="","",IFERROR(INDEX('Game Records'!$M:$M,$H405),""))</f>
        <v/>
      </c>
      <c r="H405" s="8"/>
    </row>
    <row r="406" ht="24.0" customHeight="1">
      <c r="A406" s="21" t="str">
        <f t="shared" si="1"/>
        <v/>
      </c>
      <c r="B406" s="21" t="str">
        <f t="shared" si="2"/>
        <v/>
      </c>
      <c r="C406" s="25" t="str">
        <f t="array" ref="C406">IF($H406="","",IFERROR(INDEX('Game Records'!$A:$A,$H406),""))</f>
        <v/>
      </c>
      <c r="D406" s="25" t="str">
        <f t="array" ref="D406">IF($H406="","",IFERROR(INDEX('Game Records'!$U:$U,$H406),""))</f>
        <v/>
      </c>
      <c r="E406" s="25" t="str">
        <f t="shared" si="3"/>
        <v/>
      </c>
      <c r="F406" s="25" t="str">
        <f t="array" ref="F406">IF($H406="","",IF(OR(NOT(_xlfn.ISFORMULA(INDEX('Game Records'!$N:$N,$H406))),NOT(_xlfn.ISFORMULA(INDEX('Game Records'!$O:$O,$H406))),NOT(_xlfn.ISFORMULA(INDEX('Game Records'!$P:$P,$H406))),NOT(_xlfn.ISFORMULA(INDEX('Game Records'!$Q:$Q,$H406))),NOT(_xlfn.ISFORMULA(INDEX('Game Records'!$R:$R,$H406))),NOT(_xlfn.ISFORMULA(INDEX('Game Records'!$S:$S,$H406))),NOT(_xlfn.ISFORMULA(INDEX('Game Records'!$T:$T,$H406))),NOT(_xlfn.ISFORMULA(INDEX('Game Records'!$U:$U,$H406))),NOT(_xlfn.ISFORMULA(INDEX('Game Records'!$V:$V,$H406))),NOT(_xlfn.ISFORMULA(INDEX('Game Records'!$W:$W,$H406))),NOT(_xlfn.ISFORMULA(INDEX('Game Records'!$X:$X,$H406))),NOT(_xlfn.ISFORMULA(INDEX('Game Records'!$Y:$Y,$H406))),NOT(_xlfn.ISFORMULA(INDEX('Game Records'!$Z:$Z,$H406)))),"","")&amp;IF(INDEX('Game Records'!$B:$B,$H406)="","Start Date; ","")&amp;IF(INDEX('Game Records'!$C:$C,$H406)="","End Date; ","")&amp;IF(AND(INDEX('Game Records'!$U:$U,$H406)&lt;&gt;"Subscription",INDEX('Game Records'!$U:$U,$H406)&lt;&gt;"Free Game",INDEX('Game Records'!$U:$U,$H406)&lt;&gt;"Disqualified — Free Game",OR(INDEX('Game Records'!$D:$D,$H406)="",LOWER(INDEX('Game Records'!$D:$D,$H406)&amp;"")="n/a")),"Entry Mode; ","")&amp;IF(AND(INDEX('Game Records'!$U:$U,$H406)&lt;&gt;"Subscription",INDEX('Game Records'!$U:$U,$H406)&lt;&gt;"Free Game",INDEX('Game Records'!$U:$U,$H406)&lt;&gt;"Disqualified — Free Game",OR(INDEX('Game Records'!$E:$E,$H406)="",LOWER(INDEX('Game Records'!$E:$E,$H406)&amp;"")="n/a")),"Game Type; ","")&amp;IF(INDEX('Game Records'!$F:$F,$H406)="","Payment Type; ","")&amp;IF(AND(INDEX('Game Records'!$U:$U,$H406)&lt;&gt;"Subscription",INDEX('Game Records'!$U:$U,$H406)&lt;&gt;"Free Game",INDEX('Game Records'!$U:$U,$H406)&lt;&gt;"Disqualified — Free Game",INDEX('Game Records'!$G:$G,$H406)=""),"Gross Pot; ","")&amp;IF(AND(INDEX('Game Records'!$U:$U,$H406)&lt;&gt;"Free Game",INDEX('Game Records'!$U:$U,$H406)&lt;&gt;"Disqualified — Free Game",INDEX('Game Records'!$H:$H,$H406)=""),"Entry Fee; ","")&amp;IF(AND(INDEX('Game Records'!$U:$U,$H406)&lt;&gt;"Subscription",INDEX('Game Records'!$U:$U,$H406)&lt;&gt;"Free Game",INDEX('Game Records'!$U:$U,$H406)&lt;&gt;"Disqualified — Free Game",INDEX('Game Records'!$I:$I,$H406)=""),"Eligible Players; ","")&amp;IF(AND(INDEX('Game Records'!$U:$U,$H406)&lt;&gt;"Subscription",INDEX('Game Records'!$U:$U,$H406)&lt;&gt;"Free Game",INDEX('Game Records'!$U:$U,$H406)&lt;&gt;"Disqualified — Free Game",INDEX('Game Records'!$J:$J,$H406)=""),"Total Players; ","")&amp;IF(AND(LOWER(INDEX('Game Records'!$D:$D,$H406)&amp;"")="finalized",LOWER(INDEX('Game Records'!$L:$L,$H406)&amp;"")&lt;&gt;"yes",INDEX('Game Records'!$U:$U,$H406)&lt;&gt;"Subscription",INDEX('Game Records'!$U:$U,$H406)&lt;&gt;"Free Game",INDEX('Game Records'!$U:$U,$H406)&lt;&gt;"Disqualified — Free Game",INDEX('Game Records'!$K:$K,$H406)=""),"Final Payout; ","")&amp;IF(AND(LOWER(INDEX('Game Records'!$D:$D,$H406)&amp;"")="finalized",INDEX('Game Records'!$U:$U,$H406)&lt;&gt;"Subscription",INDEX('Game Records'!$U:$U,$H406)&lt;&gt;"Free Game",INDEX('Game Records'!$U:$U,$H406)&lt;&gt;"Disqualified — Free Game",OR(INDEX('Game Records'!$L:$L,$H406)="",LOWER(INDEX('Game Records'!$L:$L,$H406)&amp;"")="n/a")),"Disqualified Status; ",""))</f>
        <v/>
      </c>
      <c r="G406" s="25" t="str">
        <f t="array" ref="G406">IF($H406="","",IFERROR(INDEX('Game Records'!$M:$M,$H406),""))</f>
        <v/>
      </c>
      <c r="H406" s="8"/>
    </row>
    <row r="407" ht="24.0" customHeight="1">
      <c r="A407" s="21" t="str">
        <f t="shared" si="1"/>
        <v/>
      </c>
      <c r="B407" s="21" t="str">
        <f t="shared" si="2"/>
        <v/>
      </c>
      <c r="C407" s="25" t="str">
        <f t="array" ref="C407">IF($H407="","",IFERROR(INDEX('Game Records'!$A:$A,$H407),""))</f>
        <v/>
      </c>
      <c r="D407" s="25" t="str">
        <f t="array" ref="D407">IF($H407="","",IFERROR(INDEX('Game Records'!$U:$U,$H407),""))</f>
        <v/>
      </c>
      <c r="E407" s="25" t="str">
        <f t="shared" si="3"/>
        <v/>
      </c>
      <c r="F407" s="25" t="str">
        <f t="array" ref="F407">IF($H407="","",IF(OR(NOT(_xlfn.ISFORMULA(INDEX('Game Records'!$N:$N,$H407))),NOT(_xlfn.ISFORMULA(INDEX('Game Records'!$O:$O,$H407))),NOT(_xlfn.ISFORMULA(INDEX('Game Records'!$P:$P,$H407))),NOT(_xlfn.ISFORMULA(INDEX('Game Records'!$Q:$Q,$H407))),NOT(_xlfn.ISFORMULA(INDEX('Game Records'!$R:$R,$H407))),NOT(_xlfn.ISFORMULA(INDEX('Game Records'!$S:$S,$H407))),NOT(_xlfn.ISFORMULA(INDEX('Game Records'!$T:$T,$H407))),NOT(_xlfn.ISFORMULA(INDEX('Game Records'!$U:$U,$H407))),NOT(_xlfn.ISFORMULA(INDEX('Game Records'!$V:$V,$H407))),NOT(_xlfn.ISFORMULA(INDEX('Game Records'!$W:$W,$H407))),NOT(_xlfn.ISFORMULA(INDEX('Game Records'!$X:$X,$H407))),NOT(_xlfn.ISFORMULA(INDEX('Game Records'!$Y:$Y,$H407))),NOT(_xlfn.ISFORMULA(INDEX('Game Records'!$Z:$Z,$H407)))),"","")&amp;IF(INDEX('Game Records'!$B:$B,$H407)="","Start Date; ","")&amp;IF(INDEX('Game Records'!$C:$C,$H407)="","End Date; ","")&amp;IF(AND(INDEX('Game Records'!$U:$U,$H407)&lt;&gt;"Subscription",INDEX('Game Records'!$U:$U,$H407)&lt;&gt;"Free Game",INDEX('Game Records'!$U:$U,$H407)&lt;&gt;"Disqualified — Free Game",OR(INDEX('Game Records'!$D:$D,$H407)="",LOWER(INDEX('Game Records'!$D:$D,$H407)&amp;"")="n/a")),"Entry Mode; ","")&amp;IF(AND(INDEX('Game Records'!$U:$U,$H407)&lt;&gt;"Subscription",INDEX('Game Records'!$U:$U,$H407)&lt;&gt;"Free Game",INDEX('Game Records'!$U:$U,$H407)&lt;&gt;"Disqualified — Free Game",OR(INDEX('Game Records'!$E:$E,$H407)="",LOWER(INDEX('Game Records'!$E:$E,$H407)&amp;"")="n/a")),"Game Type; ","")&amp;IF(INDEX('Game Records'!$F:$F,$H407)="","Payment Type; ","")&amp;IF(AND(INDEX('Game Records'!$U:$U,$H407)&lt;&gt;"Subscription",INDEX('Game Records'!$U:$U,$H407)&lt;&gt;"Free Game",INDEX('Game Records'!$U:$U,$H407)&lt;&gt;"Disqualified — Free Game",INDEX('Game Records'!$G:$G,$H407)=""),"Gross Pot; ","")&amp;IF(AND(INDEX('Game Records'!$U:$U,$H407)&lt;&gt;"Free Game",INDEX('Game Records'!$U:$U,$H407)&lt;&gt;"Disqualified — Free Game",INDEX('Game Records'!$H:$H,$H407)=""),"Entry Fee; ","")&amp;IF(AND(INDEX('Game Records'!$U:$U,$H407)&lt;&gt;"Subscription",INDEX('Game Records'!$U:$U,$H407)&lt;&gt;"Free Game",INDEX('Game Records'!$U:$U,$H407)&lt;&gt;"Disqualified — Free Game",INDEX('Game Records'!$I:$I,$H407)=""),"Eligible Players; ","")&amp;IF(AND(INDEX('Game Records'!$U:$U,$H407)&lt;&gt;"Subscription",INDEX('Game Records'!$U:$U,$H407)&lt;&gt;"Free Game",INDEX('Game Records'!$U:$U,$H407)&lt;&gt;"Disqualified — Free Game",INDEX('Game Records'!$J:$J,$H407)=""),"Total Players; ","")&amp;IF(AND(LOWER(INDEX('Game Records'!$D:$D,$H407)&amp;"")="finalized",LOWER(INDEX('Game Records'!$L:$L,$H407)&amp;"")&lt;&gt;"yes",INDEX('Game Records'!$U:$U,$H407)&lt;&gt;"Subscription",INDEX('Game Records'!$U:$U,$H407)&lt;&gt;"Free Game",INDEX('Game Records'!$U:$U,$H407)&lt;&gt;"Disqualified — Free Game",INDEX('Game Records'!$K:$K,$H407)=""),"Final Payout; ","")&amp;IF(AND(LOWER(INDEX('Game Records'!$D:$D,$H407)&amp;"")="finalized",INDEX('Game Records'!$U:$U,$H407)&lt;&gt;"Subscription",INDEX('Game Records'!$U:$U,$H407)&lt;&gt;"Free Game",INDEX('Game Records'!$U:$U,$H407)&lt;&gt;"Disqualified — Free Game",OR(INDEX('Game Records'!$L:$L,$H407)="",LOWER(INDEX('Game Records'!$L:$L,$H407)&amp;"")="n/a")),"Disqualified Status; ",""))</f>
        <v/>
      </c>
      <c r="G407" s="25" t="str">
        <f t="array" ref="G407">IF($H407="","",IFERROR(INDEX('Game Records'!$M:$M,$H407),""))</f>
        <v/>
      </c>
      <c r="H407" s="8"/>
    </row>
    <row r="408" ht="24.0" customHeight="1">
      <c r="A408" s="21" t="str">
        <f t="shared" si="1"/>
        <v/>
      </c>
      <c r="B408" s="21" t="str">
        <f t="shared" si="2"/>
        <v/>
      </c>
      <c r="C408" s="25" t="str">
        <f t="array" ref="C408">IF($H408="","",IFERROR(INDEX('Game Records'!$A:$A,$H408),""))</f>
        <v/>
      </c>
      <c r="D408" s="25" t="str">
        <f t="array" ref="D408">IF($H408="","",IFERROR(INDEX('Game Records'!$U:$U,$H408),""))</f>
        <v/>
      </c>
      <c r="E408" s="25" t="str">
        <f t="shared" si="3"/>
        <v/>
      </c>
      <c r="F408" s="25" t="str">
        <f t="array" ref="F408">IF($H408="","",IF(OR(NOT(_xlfn.ISFORMULA(INDEX('Game Records'!$N:$N,$H408))),NOT(_xlfn.ISFORMULA(INDEX('Game Records'!$O:$O,$H408))),NOT(_xlfn.ISFORMULA(INDEX('Game Records'!$P:$P,$H408))),NOT(_xlfn.ISFORMULA(INDEX('Game Records'!$Q:$Q,$H408))),NOT(_xlfn.ISFORMULA(INDEX('Game Records'!$R:$R,$H408))),NOT(_xlfn.ISFORMULA(INDEX('Game Records'!$S:$S,$H408))),NOT(_xlfn.ISFORMULA(INDEX('Game Records'!$T:$T,$H408))),NOT(_xlfn.ISFORMULA(INDEX('Game Records'!$U:$U,$H408))),NOT(_xlfn.ISFORMULA(INDEX('Game Records'!$V:$V,$H408))),NOT(_xlfn.ISFORMULA(INDEX('Game Records'!$W:$W,$H408))),NOT(_xlfn.ISFORMULA(INDEX('Game Records'!$X:$X,$H408))),NOT(_xlfn.ISFORMULA(INDEX('Game Records'!$Y:$Y,$H408))),NOT(_xlfn.ISFORMULA(INDEX('Game Records'!$Z:$Z,$H408)))),"","")&amp;IF(INDEX('Game Records'!$B:$B,$H408)="","Start Date; ","")&amp;IF(INDEX('Game Records'!$C:$C,$H408)="","End Date; ","")&amp;IF(AND(INDEX('Game Records'!$U:$U,$H408)&lt;&gt;"Subscription",INDEX('Game Records'!$U:$U,$H408)&lt;&gt;"Free Game",INDEX('Game Records'!$U:$U,$H408)&lt;&gt;"Disqualified — Free Game",OR(INDEX('Game Records'!$D:$D,$H408)="",LOWER(INDEX('Game Records'!$D:$D,$H408)&amp;"")="n/a")),"Entry Mode; ","")&amp;IF(AND(INDEX('Game Records'!$U:$U,$H408)&lt;&gt;"Subscription",INDEX('Game Records'!$U:$U,$H408)&lt;&gt;"Free Game",INDEX('Game Records'!$U:$U,$H408)&lt;&gt;"Disqualified — Free Game",OR(INDEX('Game Records'!$E:$E,$H408)="",LOWER(INDEX('Game Records'!$E:$E,$H408)&amp;"")="n/a")),"Game Type; ","")&amp;IF(INDEX('Game Records'!$F:$F,$H408)="","Payment Type; ","")&amp;IF(AND(INDEX('Game Records'!$U:$U,$H408)&lt;&gt;"Subscription",INDEX('Game Records'!$U:$U,$H408)&lt;&gt;"Free Game",INDEX('Game Records'!$U:$U,$H408)&lt;&gt;"Disqualified — Free Game",INDEX('Game Records'!$G:$G,$H408)=""),"Gross Pot; ","")&amp;IF(AND(INDEX('Game Records'!$U:$U,$H408)&lt;&gt;"Free Game",INDEX('Game Records'!$U:$U,$H408)&lt;&gt;"Disqualified — Free Game",INDEX('Game Records'!$H:$H,$H408)=""),"Entry Fee; ","")&amp;IF(AND(INDEX('Game Records'!$U:$U,$H408)&lt;&gt;"Subscription",INDEX('Game Records'!$U:$U,$H408)&lt;&gt;"Free Game",INDEX('Game Records'!$U:$U,$H408)&lt;&gt;"Disqualified — Free Game",INDEX('Game Records'!$I:$I,$H408)=""),"Eligible Players; ","")&amp;IF(AND(INDEX('Game Records'!$U:$U,$H408)&lt;&gt;"Subscription",INDEX('Game Records'!$U:$U,$H408)&lt;&gt;"Free Game",INDEX('Game Records'!$U:$U,$H408)&lt;&gt;"Disqualified — Free Game",INDEX('Game Records'!$J:$J,$H408)=""),"Total Players; ","")&amp;IF(AND(LOWER(INDEX('Game Records'!$D:$D,$H408)&amp;"")="finalized",LOWER(INDEX('Game Records'!$L:$L,$H408)&amp;"")&lt;&gt;"yes",INDEX('Game Records'!$U:$U,$H408)&lt;&gt;"Subscription",INDEX('Game Records'!$U:$U,$H408)&lt;&gt;"Free Game",INDEX('Game Records'!$U:$U,$H408)&lt;&gt;"Disqualified — Free Game",INDEX('Game Records'!$K:$K,$H408)=""),"Final Payout; ","")&amp;IF(AND(LOWER(INDEX('Game Records'!$D:$D,$H408)&amp;"")="finalized",INDEX('Game Records'!$U:$U,$H408)&lt;&gt;"Subscription",INDEX('Game Records'!$U:$U,$H408)&lt;&gt;"Free Game",INDEX('Game Records'!$U:$U,$H408)&lt;&gt;"Disqualified — Free Game",OR(INDEX('Game Records'!$L:$L,$H408)="",LOWER(INDEX('Game Records'!$L:$L,$H408)&amp;"")="n/a")),"Disqualified Status; ",""))</f>
        <v/>
      </c>
      <c r="G408" s="25" t="str">
        <f t="array" ref="G408">IF($H408="","",IFERROR(INDEX('Game Records'!$M:$M,$H408),""))</f>
        <v/>
      </c>
      <c r="H408" s="8"/>
    </row>
    <row r="409" ht="24.0" customHeight="1">
      <c r="A409" s="21" t="str">
        <f t="shared" si="1"/>
        <v/>
      </c>
      <c r="B409" s="21" t="str">
        <f t="shared" si="2"/>
        <v/>
      </c>
      <c r="C409" s="25" t="str">
        <f t="array" ref="C409">IF($H409="","",IFERROR(INDEX('Game Records'!$A:$A,$H409),""))</f>
        <v/>
      </c>
      <c r="D409" s="25" t="str">
        <f t="array" ref="D409">IF($H409="","",IFERROR(INDEX('Game Records'!$U:$U,$H409),""))</f>
        <v/>
      </c>
      <c r="E409" s="25" t="str">
        <f t="shared" si="3"/>
        <v/>
      </c>
      <c r="F409" s="25" t="str">
        <f t="array" ref="F409">IF($H409="","",IF(OR(NOT(_xlfn.ISFORMULA(INDEX('Game Records'!$N:$N,$H409))),NOT(_xlfn.ISFORMULA(INDEX('Game Records'!$O:$O,$H409))),NOT(_xlfn.ISFORMULA(INDEX('Game Records'!$P:$P,$H409))),NOT(_xlfn.ISFORMULA(INDEX('Game Records'!$Q:$Q,$H409))),NOT(_xlfn.ISFORMULA(INDEX('Game Records'!$R:$R,$H409))),NOT(_xlfn.ISFORMULA(INDEX('Game Records'!$S:$S,$H409))),NOT(_xlfn.ISFORMULA(INDEX('Game Records'!$T:$T,$H409))),NOT(_xlfn.ISFORMULA(INDEX('Game Records'!$U:$U,$H409))),NOT(_xlfn.ISFORMULA(INDEX('Game Records'!$V:$V,$H409))),NOT(_xlfn.ISFORMULA(INDEX('Game Records'!$W:$W,$H409))),NOT(_xlfn.ISFORMULA(INDEX('Game Records'!$X:$X,$H409))),NOT(_xlfn.ISFORMULA(INDEX('Game Records'!$Y:$Y,$H409))),NOT(_xlfn.ISFORMULA(INDEX('Game Records'!$Z:$Z,$H409)))),"","")&amp;IF(INDEX('Game Records'!$B:$B,$H409)="","Start Date; ","")&amp;IF(INDEX('Game Records'!$C:$C,$H409)="","End Date; ","")&amp;IF(AND(INDEX('Game Records'!$U:$U,$H409)&lt;&gt;"Subscription",INDEX('Game Records'!$U:$U,$H409)&lt;&gt;"Free Game",INDEX('Game Records'!$U:$U,$H409)&lt;&gt;"Disqualified — Free Game",OR(INDEX('Game Records'!$D:$D,$H409)="",LOWER(INDEX('Game Records'!$D:$D,$H409)&amp;"")="n/a")),"Entry Mode; ","")&amp;IF(AND(INDEX('Game Records'!$U:$U,$H409)&lt;&gt;"Subscription",INDEX('Game Records'!$U:$U,$H409)&lt;&gt;"Free Game",INDEX('Game Records'!$U:$U,$H409)&lt;&gt;"Disqualified — Free Game",OR(INDEX('Game Records'!$E:$E,$H409)="",LOWER(INDEX('Game Records'!$E:$E,$H409)&amp;"")="n/a")),"Game Type; ","")&amp;IF(INDEX('Game Records'!$F:$F,$H409)="","Payment Type; ","")&amp;IF(AND(INDEX('Game Records'!$U:$U,$H409)&lt;&gt;"Subscription",INDEX('Game Records'!$U:$U,$H409)&lt;&gt;"Free Game",INDEX('Game Records'!$U:$U,$H409)&lt;&gt;"Disqualified — Free Game",INDEX('Game Records'!$G:$G,$H409)=""),"Gross Pot; ","")&amp;IF(AND(INDEX('Game Records'!$U:$U,$H409)&lt;&gt;"Free Game",INDEX('Game Records'!$U:$U,$H409)&lt;&gt;"Disqualified — Free Game",INDEX('Game Records'!$H:$H,$H409)=""),"Entry Fee; ","")&amp;IF(AND(INDEX('Game Records'!$U:$U,$H409)&lt;&gt;"Subscription",INDEX('Game Records'!$U:$U,$H409)&lt;&gt;"Free Game",INDEX('Game Records'!$U:$U,$H409)&lt;&gt;"Disqualified — Free Game",INDEX('Game Records'!$I:$I,$H409)=""),"Eligible Players; ","")&amp;IF(AND(INDEX('Game Records'!$U:$U,$H409)&lt;&gt;"Subscription",INDEX('Game Records'!$U:$U,$H409)&lt;&gt;"Free Game",INDEX('Game Records'!$U:$U,$H409)&lt;&gt;"Disqualified — Free Game",INDEX('Game Records'!$J:$J,$H409)=""),"Total Players; ","")&amp;IF(AND(LOWER(INDEX('Game Records'!$D:$D,$H409)&amp;"")="finalized",LOWER(INDEX('Game Records'!$L:$L,$H409)&amp;"")&lt;&gt;"yes",INDEX('Game Records'!$U:$U,$H409)&lt;&gt;"Subscription",INDEX('Game Records'!$U:$U,$H409)&lt;&gt;"Free Game",INDEX('Game Records'!$U:$U,$H409)&lt;&gt;"Disqualified — Free Game",INDEX('Game Records'!$K:$K,$H409)=""),"Final Payout; ","")&amp;IF(AND(LOWER(INDEX('Game Records'!$D:$D,$H409)&amp;"")="finalized",INDEX('Game Records'!$U:$U,$H409)&lt;&gt;"Subscription",INDEX('Game Records'!$U:$U,$H409)&lt;&gt;"Free Game",INDEX('Game Records'!$U:$U,$H409)&lt;&gt;"Disqualified — Free Game",OR(INDEX('Game Records'!$L:$L,$H409)="",LOWER(INDEX('Game Records'!$L:$L,$H409)&amp;"")="n/a")),"Disqualified Status; ",""))</f>
        <v/>
      </c>
      <c r="G409" s="25" t="str">
        <f t="array" ref="G409">IF($H409="","",IFERROR(INDEX('Game Records'!$M:$M,$H409),""))</f>
        <v/>
      </c>
      <c r="H409" s="8"/>
    </row>
    <row r="410" ht="24.0" customHeight="1">
      <c r="A410" s="21" t="str">
        <f t="shared" si="1"/>
        <v/>
      </c>
      <c r="B410" s="21" t="str">
        <f t="shared" si="2"/>
        <v/>
      </c>
      <c r="C410" s="25" t="str">
        <f t="array" ref="C410">IF($H410="","",IFERROR(INDEX('Game Records'!$A:$A,$H410),""))</f>
        <v/>
      </c>
      <c r="D410" s="25" t="str">
        <f t="array" ref="D410">IF($H410="","",IFERROR(INDEX('Game Records'!$U:$U,$H410),""))</f>
        <v/>
      </c>
      <c r="E410" s="25" t="str">
        <f t="shared" si="3"/>
        <v/>
      </c>
      <c r="F410" s="25" t="str">
        <f t="array" ref="F410">IF($H410="","",IF(OR(NOT(_xlfn.ISFORMULA(INDEX('Game Records'!$N:$N,$H410))),NOT(_xlfn.ISFORMULA(INDEX('Game Records'!$O:$O,$H410))),NOT(_xlfn.ISFORMULA(INDEX('Game Records'!$P:$P,$H410))),NOT(_xlfn.ISFORMULA(INDEX('Game Records'!$Q:$Q,$H410))),NOT(_xlfn.ISFORMULA(INDEX('Game Records'!$R:$R,$H410))),NOT(_xlfn.ISFORMULA(INDEX('Game Records'!$S:$S,$H410))),NOT(_xlfn.ISFORMULA(INDEX('Game Records'!$T:$T,$H410))),NOT(_xlfn.ISFORMULA(INDEX('Game Records'!$U:$U,$H410))),NOT(_xlfn.ISFORMULA(INDEX('Game Records'!$V:$V,$H410))),NOT(_xlfn.ISFORMULA(INDEX('Game Records'!$W:$W,$H410))),NOT(_xlfn.ISFORMULA(INDEX('Game Records'!$X:$X,$H410))),NOT(_xlfn.ISFORMULA(INDEX('Game Records'!$Y:$Y,$H410))),NOT(_xlfn.ISFORMULA(INDEX('Game Records'!$Z:$Z,$H410)))),"","")&amp;IF(INDEX('Game Records'!$B:$B,$H410)="","Start Date; ","")&amp;IF(INDEX('Game Records'!$C:$C,$H410)="","End Date; ","")&amp;IF(AND(INDEX('Game Records'!$U:$U,$H410)&lt;&gt;"Subscription",INDEX('Game Records'!$U:$U,$H410)&lt;&gt;"Free Game",INDEX('Game Records'!$U:$U,$H410)&lt;&gt;"Disqualified — Free Game",OR(INDEX('Game Records'!$D:$D,$H410)="",LOWER(INDEX('Game Records'!$D:$D,$H410)&amp;"")="n/a")),"Entry Mode; ","")&amp;IF(AND(INDEX('Game Records'!$U:$U,$H410)&lt;&gt;"Subscription",INDEX('Game Records'!$U:$U,$H410)&lt;&gt;"Free Game",INDEX('Game Records'!$U:$U,$H410)&lt;&gt;"Disqualified — Free Game",OR(INDEX('Game Records'!$E:$E,$H410)="",LOWER(INDEX('Game Records'!$E:$E,$H410)&amp;"")="n/a")),"Game Type; ","")&amp;IF(INDEX('Game Records'!$F:$F,$H410)="","Payment Type; ","")&amp;IF(AND(INDEX('Game Records'!$U:$U,$H410)&lt;&gt;"Subscription",INDEX('Game Records'!$U:$U,$H410)&lt;&gt;"Free Game",INDEX('Game Records'!$U:$U,$H410)&lt;&gt;"Disqualified — Free Game",INDEX('Game Records'!$G:$G,$H410)=""),"Gross Pot; ","")&amp;IF(AND(INDEX('Game Records'!$U:$U,$H410)&lt;&gt;"Free Game",INDEX('Game Records'!$U:$U,$H410)&lt;&gt;"Disqualified — Free Game",INDEX('Game Records'!$H:$H,$H410)=""),"Entry Fee; ","")&amp;IF(AND(INDEX('Game Records'!$U:$U,$H410)&lt;&gt;"Subscription",INDEX('Game Records'!$U:$U,$H410)&lt;&gt;"Free Game",INDEX('Game Records'!$U:$U,$H410)&lt;&gt;"Disqualified — Free Game",INDEX('Game Records'!$I:$I,$H410)=""),"Eligible Players; ","")&amp;IF(AND(INDEX('Game Records'!$U:$U,$H410)&lt;&gt;"Subscription",INDEX('Game Records'!$U:$U,$H410)&lt;&gt;"Free Game",INDEX('Game Records'!$U:$U,$H410)&lt;&gt;"Disqualified — Free Game",INDEX('Game Records'!$J:$J,$H410)=""),"Total Players; ","")&amp;IF(AND(LOWER(INDEX('Game Records'!$D:$D,$H410)&amp;"")="finalized",LOWER(INDEX('Game Records'!$L:$L,$H410)&amp;"")&lt;&gt;"yes",INDEX('Game Records'!$U:$U,$H410)&lt;&gt;"Subscription",INDEX('Game Records'!$U:$U,$H410)&lt;&gt;"Free Game",INDEX('Game Records'!$U:$U,$H410)&lt;&gt;"Disqualified — Free Game",INDEX('Game Records'!$K:$K,$H410)=""),"Final Payout; ","")&amp;IF(AND(LOWER(INDEX('Game Records'!$D:$D,$H410)&amp;"")="finalized",INDEX('Game Records'!$U:$U,$H410)&lt;&gt;"Subscription",INDEX('Game Records'!$U:$U,$H410)&lt;&gt;"Free Game",INDEX('Game Records'!$U:$U,$H410)&lt;&gt;"Disqualified — Free Game",OR(INDEX('Game Records'!$L:$L,$H410)="",LOWER(INDEX('Game Records'!$L:$L,$H410)&amp;"")="n/a")),"Disqualified Status; ",""))</f>
        <v/>
      </c>
      <c r="G410" s="25" t="str">
        <f t="array" ref="G410">IF($H410="","",IFERROR(INDEX('Game Records'!$M:$M,$H410),""))</f>
        <v/>
      </c>
      <c r="H410" s="8"/>
    </row>
    <row r="411" ht="24.0" customHeight="1">
      <c r="A411" s="21" t="str">
        <f t="shared" si="1"/>
        <v/>
      </c>
      <c r="B411" s="21" t="str">
        <f t="shared" si="2"/>
        <v/>
      </c>
      <c r="C411" s="25" t="str">
        <f t="array" ref="C411">IF($H411="","",IFERROR(INDEX('Game Records'!$A:$A,$H411),""))</f>
        <v/>
      </c>
      <c r="D411" s="25" t="str">
        <f t="array" ref="D411">IF($H411="","",IFERROR(INDEX('Game Records'!$U:$U,$H411),""))</f>
        <v/>
      </c>
      <c r="E411" s="25" t="str">
        <f t="shared" si="3"/>
        <v/>
      </c>
      <c r="F411" s="25" t="str">
        <f t="array" ref="F411">IF($H411="","",IF(OR(NOT(_xlfn.ISFORMULA(INDEX('Game Records'!$N:$N,$H411))),NOT(_xlfn.ISFORMULA(INDEX('Game Records'!$O:$O,$H411))),NOT(_xlfn.ISFORMULA(INDEX('Game Records'!$P:$P,$H411))),NOT(_xlfn.ISFORMULA(INDEX('Game Records'!$Q:$Q,$H411))),NOT(_xlfn.ISFORMULA(INDEX('Game Records'!$R:$R,$H411))),NOT(_xlfn.ISFORMULA(INDEX('Game Records'!$S:$S,$H411))),NOT(_xlfn.ISFORMULA(INDEX('Game Records'!$T:$T,$H411))),NOT(_xlfn.ISFORMULA(INDEX('Game Records'!$U:$U,$H411))),NOT(_xlfn.ISFORMULA(INDEX('Game Records'!$V:$V,$H411))),NOT(_xlfn.ISFORMULA(INDEX('Game Records'!$W:$W,$H411))),NOT(_xlfn.ISFORMULA(INDEX('Game Records'!$X:$X,$H411))),NOT(_xlfn.ISFORMULA(INDEX('Game Records'!$Y:$Y,$H411))),NOT(_xlfn.ISFORMULA(INDEX('Game Records'!$Z:$Z,$H411)))),"","")&amp;IF(INDEX('Game Records'!$B:$B,$H411)="","Start Date; ","")&amp;IF(INDEX('Game Records'!$C:$C,$H411)="","End Date; ","")&amp;IF(AND(INDEX('Game Records'!$U:$U,$H411)&lt;&gt;"Subscription",INDEX('Game Records'!$U:$U,$H411)&lt;&gt;"Free Game",INDEX('Game Records'!$U:$U,$H411)&lt;&gt;"Disqualified — Free Game",OR(INDEX('Game Records'!$D:$D,$H411)="",LOWER(INDEX('Game Records'!$D:$D,$H411)&amp;"")="n/a")),"Entry Mode; ","")&amp;IF(AND(INDEX('Game Records'!$U:$U,$H411)&lt;&gt;"Subscription",INDEX('Game Records'!$U:$U,$H411)&lt;&gt;"Free Game",INDEX('Game Records'!$U:$U,$H411)&lt;&gt;"Disqualified — Free Game",OR(INDEX('Game Records'!$E:$E,$H411)="",LOWER(INDEX('Game Records'!$E:$E,$H411)&amp;"")="n/a")),"Game Type; ","")&amp;IF(INDEX('Game Records'!$F:$F,$H411)="","Payment Type; ","")&amp;IF(AND(INDEX('Game Records'!$U:$U,$H411)&lt;&gt;"Subscription",INDEX('Game Records'!$U:$U,$H411)&lt;&gt;"Free Game",INDEX('Game Records'!$U:$U,$H411)&lt;&gt;"Disqualified — Free Game",INDEX('Game Records'!$G:$G,$H411)=""),"Gross Pot; ","")&amp;IF(AND(INDEX('Game Records'!$U:$U,$H411)&lt;&gt;"Free Game",INDEX('Game Records'!$U:$U,$H411)&lt;&gt;"Disqualified — Free Game",INDEX('Game Records'!$H:$H,$H411)=""),"Entry Fee; ","")&amp;IF(AND(INDEX('Game Records'!$U:$U,$H411)&lt;&gt;"Subscription",INDEX('Game Records'!$U:$U,$H411)&lt;&gt;"Free Game",INDEX('Game Records'!$U:$U,$H411)&lt;&gt;"Disqualified — Free Game",INDEX('Game Records'!$I:$I,$H411)=""),"Eligible Players; ","")&amp;IF(AND(INDEX('Game Records'!$U:$U,$H411)&lt;&gt;"Subscription",INDEX('Game Records'!$U:$U,$H411)&lt;&gt;"Free Game",INDEX('Game Records'!$U:$U,$H411)&lt;&gt;"Disqualified — Free Game",INDEX('Game Records'!$J:$J,$H411)=""),"Total Players; ","")&amp;IF(AND(LOWER(INDEX('Game Records'!$D:$D,$H411)&amp;"")="finalized",LOWER(INDEX('Game Records'!$L:$L,$H411)&amp;"")&lt;&gt;"yes",INDEX('Game Records'!$U:$U,$H411)&lt;&gt;"Subscription",INDEX('Game Records'!$U:$U,$H411)&lt;&gt;"Free Game",INDEX('Game Records'!$U:$U,$H411)&lt;&gt;"Disqualified — Free Game",INDEX('Game Records'!$K:$K,$H411)=""),"Final Payout; ","")&amp;IF(AND(LOWER(INDEX('Game Records'!$D:$D,$H411)&amp;"")="finalized",INDEX('Game Records'!$U:$U,$H411)&lt;&gt;"Subscription",INDEX('Game Records'!$U:$U,$H411)&lt;&gt;"Free Game",INDEX('Game Records'!$U:$U,$H411)&lt;&gt;"Disqualified — Free Game",OR(INDEX('Game Records'!$L:$L,$H411)="",LOWER(INDEX('Game Records'!$L:$L,$H411)&amp;"")="n/a")),"Disqualified Status; ",""))</f>
        <v/>
      </c>
      <c r="G411" s="25" t="str">
        <f t="array" ref="G411">IF($H411="","",IFERROR(INDEX('Game Records'!$M:$M,$H411),""))</f>
        <v/>
      </c>
      <c r="H411" s="8"/>
    </row>
    <row r="412" ht="24.0" customHeight="1">
      <c r="A412" s="21" t="str">
        <f t="shared" si="1"/>
        <v/>
      </c>
      <c r="B412" s="21" t="str">
        <f t="shared" si="2"/>
        <v/>
      </c>
      <c r="C412" s="25" t="str">
        <f t="array" ref="C412">IF($H412="","",IFERROR(INDEX('Game Records'!$A:$A,$H412),""))</f>
        <v/>
      </c>
      <c r="D412" s="25" t="str">
        <f t="array" ref="D412">IF($H412="","",IFERROR(INDEX('Game Records'!$U:$U,$H412),""))</f>
        <v/>
      </c>
      <c r="E412" s="25" t="str">
        <f t="shared" si="3"/>
        <v/>
      </c>
      <c r="F412" s="25" t="str">
        <f t="array" ref="F412">IF($H412="","",IF(OR(NOT(_xlfn.ISFORMULA(INDEX('Game Records'!$N:$N,$H412))),NOT(_xlfn.ISFORMULA(INDEX('Game Records'!$O:$O,$H412))),NOT(_xlfn.ISFORMULA(INDEX('Game Records'!$P:$P,$H412))),NOT(_xlfn.ISFORMULA(INDEX('Game Records'!$Q:$Q,$H412))),NOT(_xlfn.ISFORMULA(INDEX('Game Records'!$R:$R,$H412))),NOT(_xlfn.ISFORMULA(INDEX('Game Records'!$S:$S,$H412))),NOT(_xlfn.ISFORMULA(INDEX('Game Records'!$T:$T,$H412))),NOT(_xlfn.ISFORMULA(INDEX('Game Records'!$U:$U,$H412))),NOT(_xlfn.ISFORMULA(INDEX('Game Records'!$V:$V,$H412))),NOT(_xlfn.ISFORMULA(INDEX('Game Records'!$W:$W,$H412))),NOT(_xlfn.ISFORMULA(INDEX('Game Records'!$X:$X,$H412))),NOT(_xlfn.ISFORMULA(INDEX('Game Records'!$Y:$Y,$H412))),NOT(_xlfn.ISFORMULA(INDEX('Game Records'!$Z:$Z,$H412)))),"","")&amp;IF(INDEX('Game Records'!$B:$B,$H412)="","Start Date; ","")&amp;IF(INDEX('Game Records'!$C:$C,$H412)="","End Date; ","")&amp;IF(AND(INDEX('Game Records'!$U:$U,$H412)&lt;&gt;"Subscription",INDEX('Game Records'!$U:$U,$H412)&lt;&gt;"Free Game",INDEX('Game Records'!$U:$U,$H412)&lt;&gt;"Disqualified — Free Game",OR(INDEX('Game Records'!$D:$D,$H412)="",LOWER(INDEX('Game Records'!$D:$D,$H412)&amp;"")="n/a")),"Entry Mode; ","")&amp;IF(AND(INDEX('Game Records'!$U:$U,$H412)&lt;&gt;"Subscription",INDEX('Game Records'!$U:$U,$H412)&lt;&gt;"Free Game",INDEX('Game Records'!$U:$U,$H412)&lt;&gt;"Disqualified — Free Game",OR(INDEX('Game Records'!$E:$E,$H412)="",LOWER(INDEX('Game Records'!$E:$E,$H412)&amp;"")="n/a")),"Game Type; ","")&amp;IF(INDEX('Game Records'!$F:$F,$H412)="","Payment Type; ","")&amp;IF(AND(INDEX('Game Records'!$U:$U,$H412)&lt;&gt;"Subscription",INDEX('Game Records'!$U:$U,$H412)&lt;&gt;"Free Game",INDEX('Game Records'!$U:$U,$H412)&lt;&gt;"Disqualified — Free Game",INDEX('Game Records'!$G:$G,$H412)=""),"Gross Pot; ","")&amp;IF(AND(INDEX('Game Records'!$U:$U,$H412)&lt;&gt;"Free Game",INDEX('Game Records'!$U:$U,$H412)&lt;&gt;"Disqualified — Free Game",INDEX('Game Records'!$H:$H,$H412)=""),"Entry Fee; ","")&amp;IF(AND(INDEX('Game Records'!$U:$U,$H412)&lt;&gt;"Subscription",INDEX('Game Records'!$U:$U,$H412)&lt;&gt;"Free Game",INDEX('Game Records'!$U:$U,$H412)&lt;&gt;"Disqualified — Free Game",INDEX('Game Records'!$I:$I,$H412)=""),"Eligible Players; ","")&amp;IF(AND(INDEX('Game Records'!$U:$U,$H412)&lt;&gt;"Subscription",INDEX('Game Records'!$U:$U,$H412)&lt;&gt;"Free Game",INDEX('Game Records'!$U:$U,$H412)&lt;&gt;"Disqualified — Free Game",INDEX('Game Records'!$J:$J,$H412)=""),"Total Players; ","")&amp;IF(AND(LOWER(INDEX('Game Records'!$D:$D,$H412)&amp;"")="finalized",LOWER(INDEX('Game Records'!$L:$L,$H412)&amp;"")&lt;&gt;"yes",INDEX('Game Records'!$U:$U,$H412)&lt;&gt;"Subscription",INDEX('Game Records'!$U:$U,$H412)&lt;&gt;"Free Game",INDEX('Game Records'!$U:$U,$H412)&lt;&gt;"Disqualified — Free Game",INDEX('Game Records'!$K:$K,$H412)=""),"Final Payout; ","")&amp;IF(AND(LOWER(INDEX('Game Records'!$D:$D,$H412)&amp;"")="finalized",INDEX('Game Records'!$U:$U,$H412)&lt;&gt;"Subscription",INDEX('Game Records'!$U:$U,$H412)&lt;&gt;"Free Game",INDEX('Game Records'!$U:$U,$H412)&lt;&gt;"Disqualified — Free Game",OR(INDEX('Game Records'!$L:$L,$H412)="",LOWER(INDEX('Game Records'!$L:$L,$H412)&amp;"")="n/a")),"Disqualified Status; ",""))</f>
        <v/>
      </c>
      <c r="G412" s="25" t="str">
        <f t="array" ref="G412">IF($H412="","",IFERROR(INDEX('Game Records'!$M:$M,$H412),""))</f>
        <v/>
      </c>
      <c r="H412" s="8"/>
    </row>
    <row r="413" ht="24.0" customHeight="1">
      <c r="A413" s="21" t="str">
        <f t="shared" si="1"/>
        <v/>
      </c>
      <c r="B413" s="21" t="str">
        <f t="shared" si="2"/>
        <v/>
      </c>
      <c r="C413" s="25" t="str">
        <f t="array" ref="C413">IF($H413="","",IFERROR(INDEX('Game Records'!$A:$A,$H413),""))</f>
        <v/>
      </c>
      <c r="D413" s="25" t="str">
        <f t="array" ref="D413">IF($H413="","",IFERROR(INDEX('Game Records'!$U:$U,$H413),""))</f>
        <v/>
      </c>
      <c r="E413" s="25" t="str">
        <f t="shared" si="3"/>
        <v/>
      </c>
      <c r="F413" s="25" t="str">
        <f t="array" ref="F413">IF($H413="","",IF(OR(NOT(_xlfn.ISFORMULA(INDEX('Game Records'!$N:$N,$H413))),NOT(_xlfn.ISFORMULA(INDEX('Game Records'!$O:$O,$H413))),NOT(_xlfn.ISFORMULA(INDEX('Game Records'!$P:$P,$H413))),NOT(_xlfn.ISFORMULA(INDEX('Game Records'!$Q:$Q,$H413))),NOT(_xlfn.ISFORMULA(INDEX('Game Records'!$R:$R,$H413))),NOT(_xlfn.ISFORMULA(INDEX('Game Records'!$S:$S,$H413))),NOT(_xlfn.ISFORMULA(INDEX('Game Records'!$T:$T,$H413))),NOT(_xlfn.ISFORMULA(INDEX('Game Records'!$U:$U,$H413))),NOT(_xlfn.ISFORMULA(INDEX('Game Records'!$V:$V,$H413))),NOT(_xlfn.ISFORMULA(INDEX('Game Records'!$W:$W,$H413))),NOT(_xlfn.ISFORMULA(INDEX('Game Records'!$X:$X,$H413))),NOT(_xlfn.ISFORMULA(INDEX('Game Records'!$Y:$Y,$H413))),NOT(_xlfn.ISFORMULA(INDEX('Game Records'!$Z:$Z,$H413)))),"","")&amp;IF(INDEX('Game Records'!$B:$B,$H413)="","Start Date; ","")&amp;IF(INDEX('Game Records'!$C:$C,$H413)="","End Date; ","")&amp;IF(AND(INDEX('Game Records'!$U:$U,$H413)&lt;&gt;"Subscription",INDEX('Game Records'!$U:$U,$H413)&lt;&gt;"Free Game",INDEX('Game Records'!$U:$U,$H413)&lt;&gt;"Disqualified — Free Game",OR(INDEX('Game Records'!$D:$D,$H413)="",LOWER(INDEX('Game Records'!$D:$D,$H413)&amp;"")="n/a")),"Entry Mode; ","")&amp;IF(AND(INDEX('Game Records'!$U:$U,$H413)&lt;&gt;"Subscription",INDEX('Game Records'!$U:$U,$H413)&lt;&gt;"Free Game",INDEX('Game Records'!$U:$U,$H413)&lt;&gt;"Disqualified — Free Game",OR(INDEX('Game Records'!$E:$E,$H413)="",LOWER(INDEX('Game Records'!$E:$E,$H413)&amp;"")="n/a")),"Game Type; ","")&amp;IF(INDEX('Game Records'!$F:$F,$H413)="","Payment Type; ","")&amp;IF(AND(INDEX('Game Records'!$U:$U,$H413)&lt;&gt;"Subscription",INDEX('Game Records'!$U:$U,$H413)&lt;&gt;"Free Game",INDEX('Game Records'!$U:$U,$H413)&lt;&gt;"Disqualified — Free Game",INDEX('Game Records'!$G:$G,$H413)=""),"Gross Pot; ","")&amp;IF(AND(INDEX('Game Records'!$U:$U,$H413)&lt;&gt;"Free Game",INDEX('Game Records'!$U:$U,$H413)&lt;&gt;"Disqualified — Free Game",INDEX('Game Records'!$H:$H,$H413)=""),"Entry Fee; ","")&amp;IF(AND(INDEX('Game Records'!$U:$U,$H413)&lt;&gt;"Subscription",INDEX('Game Records'!$U:$U,$H413)&lt;&gt;"Free Game",INDEX('Game Records'!$U:$U,$H413)&lt;&gt;"Disqualified — Free Game",INDEX('Game Records'!$I:$I,$H413)=""),"Eligible Players; ","")&amp;IF(AND(INDEX('Game Records'!$U:$U,$H413)&lt;&gt;"Subscription",INDEX('Game Records'!$U:$U,$H413)&lt;&gt;"Free Game",INDEX('Game Records'!$U:$U,$H413)&lt;&gt;"Disqualified — Free Game",INDEX('Game Records'!$J:$J,$H413)=""),"Total Players; ","")&amp;IF(AND(LOWER(INDEX('Game Records'!$D:$D,$H413)&amp;"")="finalized",LOWER(INDEX('Game Records'!$L:$L,$H413)&amp;"")&lt;&gt;"yes",INDEX('Game Records'!$U:$U,$H413)&lt;&gt;"Subscription",INDEX('Game Records'!$U:$U,$H413)&lt;&gt;"Free Game",INDEX('Game Records'!$U:$U,$H413)&lt;&gt;"Disqualified — Free Game",INDEX('Game Records'!$K:$K,$H413)=""),"Final Payout; ","")&amp;IF(AND(LOWER(INDEX('Game Records'!$D:$D,$H413)&amp;"")="finalized",INDEX('Game Records'!$U:$U,$H413)&lt;&gt;"Subscription",INDEX('Game Records'!$U:$U,$H413)&lt;&gt;"Free Game",INDEX('Game Records'!$U:$U,$H413)&lt;&gt;"Disqualified — Free Game",OR(INDEX('Game Records'!$L:$L,$H413)="",LOWER(INDEX('Game Records'!$L:$L,$H413)&amp;"")="n/a")),"Disqualified Status; ",""))</f>
        <v/>
      </c>
      <c r="G413" s="25" t="str">
        <f t="array" ref="G413">IF($H413="","",IFERROR(INDEX('Game Records'!$M:$M,$H413),""))</f>
        <v/>
      </c>
      <c r="H413" s="8"/>
    </row>
    <row r="414" ht="24.0" customHeight="1">
      <c r="A414" s="21" t="str">
        <f t="shared" si="1"/>
        <v/>
      </c>
      <c r="B414" s="21" t="str">
        <f t="shared" si="2"/>
        <v/>
      </c>
      <c r="C414" s="25" t="str">
        <f t="array" ref="C414">IF($H414="","",IFERROR(INDEX('Game Records'!$A:$A,$H414),""))</f>
        <v/>
      </c>
      <c r="D414" s="25" t="str">
        <f t="array" ref="D414">IF($H414="","",IFERROR(INDEX('Game Records'!$U:$U,$H414),""))</f>
        <v/>
      </c>
      <c r="E414" s="25" t="str">
        <f t="shared" si="3"/>
        <v/>
      </c>
      <c r="F414" s="25" t="str">
        <f t="array" ref="F414">IF($H414="","",IF(OR(NOT(_xlfn.ISFORMULA(INDEX('Game Records'!$N:$N,$H414))),NOT(_xlfn.ISFORMULA(INDEX('Game Records'!$O:$O,$H414))),NOT(_xlfn.ISFORMULA(INDEX('Game Records'!$P:$P,$H414))),NOT(_xlfn.ISFORMULA(INDEX('Game Records'!$Q:$Q,$H414))),NOT(_xlfn.ISFORMULA(INDEX('Game Records'!$R:$R,$H414))),NOT(_xlfn.ISFORMULA(INDEX('Game Records'!$S:$S,$H414))),NOT(_xlfn.ISFORMULA(INDEX('Game Records'!$T:$T,$H414))),NOT(_xlfn.ISFORMULA(INDEX('Game Records'!$U:$U,$H414))),NOT(_xlfn.ISFORMULA(INDEX('Game Records'!$V:$V,$H414))),NOT(_xlfn.ISFORMULA(INDEX('Game Records'!$W:$W,$H414))),NOT(_xlfn.ISFORMULA(INDEX('Game Records'!$X:$X,$H414))),NOT(_xlfn.ISFORMULA(INDEX('Game Records'!$Y:$Y,$H414))),NOT(_xlfn.ISFORMULA(INDEX('Game Records'!$Z:$Z,$H414)))),"","")&amp;IF(INDEX('Game Records'!$B:$B,$H414)="","Start Date; ","")&amp;IF(INDEX('Game Records'!$C:$C,$H414)="","End Date; ","")&amp;IF(AND(INDEX('Game Records'!$U:$U,$H414)&lt;&gt;"Subscription",INDEX('Game Records'!$U:$U,$H414)&lt;&gt;"Free Game",INDEX('Game Records'!$U:$U,$H414)&lt;&gt;"Disqualified — Free Game",OR(INDEX('Game Records'!$D:$D,$H414)="",LOWER(INDEX('Game Records'!$D:$D,$H414)&amp;"")="n/a")),"Entry Mode; ","")&amp;IF(AND(INDEX('Game Records'!$U:$U,$H414)&lt;&gt;"Subscription",INDEX('Game Records'!$U:$U,$H414)&lt;&gt;"Free Game",INDEX('Game Records'!$U:$U,$H414)&lt;&gt;"Disqualified — Free Game",OR(INDEX('Game Records'!$E:$E,$H414)="",LOWER(INDEX('Game Records'!$E:$E,$H414)&amp;"")="n/a")),"Game Type; ","")&amp;IF(INDEX('Game Records'!$F:$F,$H414)="","Payment Type; ","")&amp;IF(AND(INDEX('Game Records'!$U:$U,$H414)&lt;&gt;"Subscription",INDEX('Game Records'!$U:$U,$H414)&lt;&gt;"Free Game",INDEX('Game Records'!$U:$U,$H414)&lt;&gt;"Disqualified — Free Game",INDEX('Game Records'!$G:$G,$H414)=""),"Gross Pot; ","")&amp;IF(AND(INDEX('Game Records'!$U:$U,$H414)&lt;&gt;"Free Game",INDEX('Game Records'!$U:$U,$H414)&lt;&gt;"Disqualified — Free Game",INDEX('Game Records'!$H:$H,$H414)=""),"Entry Fee; ","")&amp;IF(AND(INDEX('Game Records'!$U:$U,$H414)&lt;&gt;"Subscription",INDEX('Game Records'!$U:$U,$H414)&lt;&gt;"Free Game",INDEX('Game Records'!$U:$U,$H414)&lt;&gt;"Disqualified — Free Game",INDEX('Game Records'!$I:$I,$H414)=""),"Eligible Players; ","")&amp;IF(AND(INDEX('Game Records'!$U:$U,$H414)&lt;&gt;"Subscription",INDEX('Game Records'!$U:$U,$H414)&lt;&gt;"Free Game",INDEX('Game Records'!$U:$U,$H414)&lt;&gt;"Disqualified — Free Game",INDEX('Game Records'!$J:$J,$H414)=""),"Total Players; ","")&amp;IF(AND(LOWER(INDEX('Game Records'!$D:$D,$H414)&amp;"")="finalized",LOWER(INDEX('Game Records'!$L:$L,$H414)&amp;"")&lt;&gt;"yes",INDEX('Game Records'!$U:$U,$H414)&lt;&gt;"Subscription",INDEX('Game Records'!$U:$U,$H414)&lt;&gt;"Free Game",INDEX('Game Records'!$U:$U,$H414)&lt;&gt;"Disqualified — Free Game",INDEX('Game Records'!$K:$K,$H414)=""),"Final Payout; ","")&amp;IF(AND(LOWER(INDEX('Game Records'!$D:$D,$H414)&amp;"")="finalized",INDEX('Game Records'!$U:$U,$H414)&lt;&gt;"Subscription",INDEX('Game Records'!$U:$U,$H414)&lt;&gt;"Free Game",INDEX('Game Records'!$U:$U,$H414)&lt;&gt;"Disqualified — Free Game",OR(INDEX('Game Records'!$L:$L,$H414)="",LOWER(INDEX('Game Records'!$L:$L,$H414)&amp;"")="n/a")),"Disqualified Status; ",""))</f>
        <v/>
      </c>
      <c r="G414" s="25" t="str">
        <f t="array" ref="G414">IF($H414="","",IFERROR(INDEX('Game Records'!$M:$M,$H414),""))</f>
        <v/>
      </c>
      <c r="H414" s="8"/>
    </row>
    <row r="415" ht="24.0" customHeight="1">
      <c r="A415" s="21" t="str">
        <f t="shared" si="1"/>
        <v/>
      </c>
      <c r="B415" s="21" t="str">
        <f t="shared" si="2"/>
        <v/>
      </c>
      <c r="C415" s="25" t="str">
        <f t="array" ref="C415">IF($H415="","",IFERROR(INDEX('Game Records'!$A:$A,$H415),""))</f>
        <v/>
      </c>
      <c r="D415" s="25" t="str">
        <f t="array" ref="D415">IF($H415="","",IFERROR(INDEX('Game Records'!$U:$U,$H415),""))</f>
        <v/>
      </c>
      <c r="E415" s="25" t="str">
        <f t="shared" si="3"/>
        <v/>
      </c>
      <c r="F415" s="25" t="str">
        <f t="array" ref="F415">IF($H415="","",IF(OR(NOT(_xlfn.ISFORMULA(INDEX('Game Records'!$N:$N,$H415))),NOT(_xlfn.ISFORMULA(INDEX('Game Records'!$O:$O,$H415))),NOT(_xlfn.ISFORMULA(INDEX('Game Records'!$P:$P,$H415))),NOT(_xlfn.ISFORMULA(INDEX('Game Records'!$Q:$Q,$H415))),NOT(_xlfn.ISFORMULA(INDEX('Game Records'!$R:$R,$H415))),NOT(_xlfn.ISFORMULA(INDEX('Game Records'!$S:$S,$H415))),NOT(_xlfn.ISFORMULA(INDEX('Game Records'!$T:$T,$H415))),NOT(_xlfn.ISFORMULA(INDEX('Game Records'!$U:$U,$H415))),NOT(_xlfn.ISFORMULA(INDEX('Game Records'!$V:$V,$H415))),NOT(_xlfn.ISFORMULA(INDEX('Game Records'!$W:$W,$H415))),NOT(_xlfn.ISFORMULA(INDEX('Game Records'!$X:$X,$H415))),NOT(_xlfn.ISFORMULA(INDEX('Game Records'!$Y:$Y,$H415))),NOT(_xlfn.ISFORMULA(INDEX('Game Records'!$Z:$Z,$H415)))),"","")&amp;IF(INDEX('Game Records'!$B:$B,$H415)="","Start Date; ","")&amp;IF(INDEX('Game Records'!$C:$C,$H415)="","End Date; ","")&amp;IF(AND(INDEX('Game Records'!$U:$U,$H415)&lt;&gt;"Subscription",INDEX('Game Records'!$U:$U,$H415)&lt;&gt;"Free Game",INDEX('Game Records'!$U:$U,$H415)&lt;&gt;"Disqualified — Free Game",OR(INDEX('Game Records'!$D:$D,$H415)="",LOWER(INDEX('Game Records'!$D:$D,$H415)&amp;"")="n/a")),"Entry Mode; ","")&amp;IF(AND(INDEX('Game Records'!$U:$U,$H415)&lt;&gt;"Subscription",INDEX('Game Records'!$U:$U,$H415)&lt;&gt;"Free Game",INDEX('Game Records'!$U:$U,$H415)&lt;&gt;"Disqualified — Free Game",OR(INDEX('Game Records'!$E:$E,$H415)="",LOWER(INDEX('Game Records'!$E:$E,$H415)&amp;"")="n/a")),"Game Type; ","")&amp;IF(INDEX('Game Records'!$F:$F,$H415)="","Payment Type; ","")&amp;IF(AND(INDEX('Game Records'!$U:$U,$H415)&lt;&gt;"Subscription",INDEX('Game Records'!$U:$U,$H415)&lt;&gt;"Free Game",INDEX('Game Records'!$U:$U,$H415)&lt;&gt;"Disqualified — Free Game",INDEX('Game Records'!$G:$G,$H415)=""),"Gross Pot; ","")&amp;IF(AND(INDEX('Game Records'!$U:$U,$H415)&lt;&gt;"Free Game",INDEX('Game Records'!$U:$U,$H415)&lt;&gt;"Disqualified — Free Game",INDEX('Game Records'!$H:$H,$H415)=""),"Entry Fee; ","")&amp;IF(AND(INDEX('Game Records'!$U:$U,$H415)&lt;&gt;"Subscription",INDEX('Game Records'!$U:$U,$H415)&lt;&gt;"Free Game",INDEX('Game Records'!$U:$U,$H415)&lt;&gt;"Disqualified — Free Game",INDEX('Game Records'!$I:$I,$H415)=""),"Eligible Players; ","")&amp;IF(AND(INDEX('Game Records'!$U:$U,$H415)&lt;&gt;"Subscription",INDEX('Game Records'!$U:$U,$H415)&lt;&gt;"Free Game",INDEX('Game Records'!$U:$U,$H415)&lt;&gt;"Disqualified — Free Game",INDEX('Game Records'!$J:$J,$H415)=""),"Total Players; ","")&amp;IF(AND(LOWER(INDEX('Game Records'!$D:$D,$H415)&amp;"")="finalized",LOWER(INDEX('Game Records'!$L:$L,$H415)&amp;"")&lt;&gt;"yes",INDEX('Game Records'!$U:$U,$H415)&lt;&gt;"Subscription",INDEX('Game Records'!$U:$U,$H415)&lt;&gt;"Free Game",INDEX('Game Records'!$U:$U,$H415)&lt;&gt;"Disqualified — Free Game",INDEX('Game Records'!$K:$K,$H415)=""),"Final Payout; ","")&amp;IF(AND(LOWER(INDEX('Game Records'!$D:$D,$H415)&amp;"")="finalized",INDEX('Game Records'!$U:$U,$H415)&lt;&gt;"Subscription",INDEX('Game Records'!$U:$U,$H415)&lt;&gt;"Free Game",INDEX('Game Records'!$U:$U,$H415)&lt;&gt;"Disqualified — Free Game",OR(INDEX('Game Records'!$L:$L,$H415)="",LOWER(INDEX('Game Records'!$L:$L,$H415)&amp;"")="n/a")),"Disqualified Status; ",""))</f>
        <v/>
      </c>
      <c r="G415" s="25" t="str">
        <f t="array" ref="G415">IF($H415="","",IFERROR(INDEX('Game Records'!$M:$M,$H415),""))</f>
        <v/>
      </c>
      <c r="H415" s="8"/>
    </row>
    <row r="416" ht="24.0" customHeight="1">
      <c r="A416" s="21" t="str">
        <f t="shared" si="1"/>
        <v/>
      </c>
      <c r="B416" s="21" t="str">
        <f t="shared" si="2"/>
        <v/>
      </c>
      <c r="C416" s="25" t="str">
        <f t="array" ref="C416">IF($H416="","",IFERROR(INDEX('Game Records'!$A:$A,$H416),""))</f>
        <v/>
      </c>
      <c r="D416" s="25" t="str">
        <f t="array" ref="D416">IF($H416="","",IFERROR(INDEX('Game Records'!$U:$U,$H416),""))</f>
        <v/>
      </c>
      <c r="E416" s="25" t="str">
        <f t="shared" si="3"/>
        <v/>
      </c>
      <c r="F416" s="25" t="str">
        <f t="array" ref="F416">IF($H416="","",IF(OR(NOT(_xlfn.ISFORMULA(INDEX('Game Records'!$N:$N,$H416))),NOT(_xlfn.ISFORMULA(INDEX('Game Records'!$O:$O,$H416))),NOT(_xlfn.ISFORMULA(INDEX('Game Records'!$P:$P,$H416))),NOT(_xlfn.ISFORMULA(INDEX('Game Records'!$Q:$Q,$H416))),NOT(_xlfn.ISFORMULA(INDEX('Game Records'!$R:$R,$H416))),NOT(_xlfn.ISFORMULA(INDEX('Game Records'!$S:$S,$H416))),NOT(_xlfn.ISFORMULA(INDEX('Game Records'!$T:$T,$H416))),NOT(_xlfn.ISFORMULA(INDEX('Game Records'!$U:$U,$H416))),NOT(_xlfn.ISFORMULA(INDEX('Game Records'!$V:$V,$H416))),NOT(_xlfn.ISFORMULA(INDEX('Game Records'!$W:$W,$H416))),NOT(_xlfn.ISFORMULA(INDEX('Game Records'!$X:$X,$H416))),NOT(_xlfn.ISFORMULA(INDEX('Game Records'!$Y:$Y,$H416))),NOT(_xlfn.ISFORMULA(INDEX('Game Records'!$Z:$Z,$H416)))),"","")&amp;IF(INDEX('Game Records'!$B:$B,$H416)="","Start Date; ","")&amp;IF(INDEX('Game Records'!$C:$C,$H416)="","End Date; ","")&amp;IF(AND(INDEX('Game Records'!$U:$U,$H416)&lt;&gt;"Subscription",INDEX('Game Records'!$U:$U,$H416)&lt;&gt;"Free Game",INDEX('Game Records'!$U:$U,$H416)&lt;&gt;"Disqualified — Free Game",OR(INDEX('Game Records'!$D:$D,$H416)="",LOWER(INDEX('Game Records'!$D:$D,$H416)&amp;"")="n/a")),"Entry Mode; ","")&amp;IF(AND(INDEX('Game Records'!$U:$U,$H416)&lt;&gt;"Subscription",INDEX('Game Records'!$U:$U,$H416)&lt;&gt;"Free Game",INDEX('Game Records'!$U:$U,$H416)&lt;&gt;"Disqualified — Free Game",OR(INDEX('Game Records'!$E:$E,$H416)="",LOWER(INDEX('Game Records'!$E:$E,$H416)&amp;"")="n/a")),"Game Type; ","")&amp;IF(INDEX('Game Records'!$F:$F,$H416)="","Payment Type; ","")&amp;IF(AND(INDEX('Game Records'!$U:$U,$H416)&lt;&gt;"Subscription",INDEX('Game Records'!$U:$U,$H416)&lt;&gt;"Free Game",INDEX('Game Records'!$U:$U,$H416)&lt;&gt;"Disqualified — Free Game",INDEX('Game Records'!$G:$G,$H416)=""),"Gross Pot; ","")&amp;IF(AND(INDEX('Game Records'!$U:$U,$H416)&lt;&gt;"Free Game",INDEX('Game Records'!$U:$U,$H416)&lt;&gt;"Disqualified — Free Game",INDEX('Game Records'!$H:$H,$H416)=""),"Entry Fee; ","")&amp;IF(AND(INDEX('Game Records'!$U:$U,$H416)&lt;&gt;"Subscription",INDEX('Game Records'!$U:$U,$H416)&lt;&gt;"Free Game",INDEX('Game Records'!$U:$U,$H416)&lt;&gt;"Disqualified — Free Game",INDEX('Game Records'!$I:$I,$H416)=""),"Eligible Players; ","")&amp;IF(AND(INDEX('Game Records'!$U:$U,$H416)&lt;&gt;"Subscription",INDEX('Game Records'!$U:$U,$H416)&lt;&gt;"Free Game",INDEX('Game Records'!$U:$U,$H416)&lt;&gt;"Disqualified — Free Game",INDEX('Game Records'!$J:$J,$H416)=""),"Total Players; ","")&amp;IF(AND(LOWER(INDEX('Game Records'!$D:$D,$H416)&amp;"")="finalized",LOWER(INDEX('Game Records'!$L:$L,$H416)&amp;"")&lt;&gt;"yes",INDEX('Game Records'!$U:$U,$H416)&lt;&gt;"Subscription",INDEX('Game Records'!$U:$U,$H416)&lt;&gt;"Free Game",INDEX('Game Records'!$U:$U,$H416)&lt;&gt;"Disqualified — Free Game",INDEX('Game Records'!$K:$K,$H416)=""),"Final Payout; ","")&amp;IF(AND(LOWER(INDEX('Game Records'!$D:$D,$H416)&amp;"")="finalized",INDEX('Game Records'!$U:$U,$H416)&lt;&gt;"Subscription",INDEX('Game Records'!$U:$U,$H416)&lt;&gt;"Free Game",INDEX('Game Records'!$U:$U,$H416)&lt;&gt;"Disqualified — Free Game",OR(INDEX('Game Records'!$L:$L,$H416)="",LOWER(INDEX('Game Records'!$L:$L,$H416)&amp;"")="n/a")),"Disqualified Status; ",""))</f>
        <v/>
      </c>
      <c r="G416" s="25" t="str">
        <f t="array" ref="G416">IF($H416="","",IFERROR(INDEX('Game Records'!$M:$M,$H416),""))</f>
        <v/>
      </c>
      <c r="H416" s="8"/>
    </row>
    <row r="417" ht="24.0" customHeight="1">
      <c r="A417" s="21" t="str">
        <f t="shared" si="1"/>
        <v/>
      </c>
      <c r="B417" s="21" t="str">
        <f t="shared" si="2"/>
        <v/>
      </c>
      <c r="C417" s="25" t="str">
        <f t="array" ref="C417">IF($H417="","",IFERROR(INDEX('Game Records'!$A:$A,$H417),""))</f>
        <v/>
      </c>
      <c r="D417" s="25" t="str">
        <f t="array" ref="D417">IF($H417="","",IFERROR(INDEX('Game Records'!$U:$U,$H417),""))</f>
        <v/>
      </c>
      <c r="E417" s="25" t="str">
        <f t="shared" si="3"/>
        <v/>
      </c>
      <c r="F417" s="25" t="str">
        <f t="array" ref="F417">IF($H417="","",IF(OR(NOT(_xlfn.ISFORMULA(INDEX('Game Records'!$N:$N,$H417))),NOT(_xlfn.ISFORMULA(INDEX('Game Records'!$O:$O,$H417))),NOT(_xlfn.ISFORMULA(INDEX('Game Records'!$P:$P,$H417))),NOT(_xlfn.ISFORMULA(INDEX('Game Records'!$Q:$Q,$H417))),NOT(_xlfn.ISFORMULA(INDEX('Game Records'!$R:$R,$H417))),NOT(_xlfn.ISFORMULA(INDEX('Game Records'!$S:$S,$H417))),NOT(_xlfn.ISFORMULA(INDEX('Game Records'!$T:$T,$H417))),NOT(_xlfn.ISFORMULA(INDEX('Game Records'!$U:$U,$H417))),NOT(_xlfn.ISFORMULA(INDEX('Game Records'!$V:$V,$H417))),NOT(_xlfn.ISFORMULA(INDEX('Game Records'!$W:$W,$H417))),NOT(_xlfn.ISFORMULA(INDEX('Game Records'!$X:$X,$H417))),NOT(_xlfn.ISFORMULA(INDEX('Game Records'!$Y:$Y,$H417))),NOT(_xlfn.ISFORMULA(INDEX('Game Records'!$Z:$Z,$H417)))),"","")&amp;IF(INDEX('Game Records'!$B:$B,$H417)="","Start Date; ","")&amp;IF(INDEX('Game Records'!$C:$C,$H417)="","End Date; ","")&amp;IF(AND(INDEX('Game Records'!$U:$U,$H417)&lt;&gt;"Subscription",INDEX('Game Records'!$U:$U,$H417)&lt;&gt;"Free Game",INDEX('Game Records'!$U:$U,$H417)&lt;&gt;"Disqualified — Free Game",OR(INDEX('Game Records'!$D:$D,$H417)="",LOWER(INDEX('Game Records'!$D:$D,$H417)&amp;"")="n/a")),"Entry Mode; ","")&amp;IF(AND(INDEX('Game Records'!$U:$U,$H417)&lt;&gt;"Subscription",INDEX('Game Records'!$U:$U,$H417)&lt;&gt;"Free Game",INDEX('Game Records'!$U:$U,$H417)&lt;&gt;"Disqualified — Free Game",OR(INDEX('Game Records'!$E:$E,$H417)="",LOWER(INDEX('Game Records'!$E:$E,$H417)&amp;"")="n/a")),"Game Type; ","")&amp;IF(INDEX('Game Records'!$F:$F,$H417)="","Payment Type; ","")&amp;IF(AND(INDEX('Game Records'!$U:$U,$H417)&lt;&gt;"Subscription",INDEX('Game Records'!$U:$U,$H417)&lt;&gt;"Free Game",INDEX('Game Records'!$U:$U,$H417)&lt;&gt;"Disqualified — Free Game",INDEX('Game Records'!$G:$G,$H417)=""),"Gross Pot; ","")&amp;IF(AND(INDEX('Game Records'!$U:$U,$H417)&lt;&gt;"Free Game",INDEX('Game Records'!$U:$U,$H417)&lt;&gt;"Disqualified — Free Game",INDEX('Game Records'!$H:$H,$H417)=""),"Entry Fee; ","")&amp;IF(AND(INDEX('Game Records'!$U:$U,$H417)&lt;&gt;"Subscription",INDEX('Game Records'!$U:$U,$H417)&lt;&gt;"Free Game",INDEX('Game Records'!$U:$U,$H417)&lt;&gt;"Disqualified — Free Game",INDEX('Game Records'!$I:$I,$H417)=""),"Eligible Players; ","")&amp;IF(AND(INDEX('Game Records'!$U:$U,$H417)&lt;&gt;"Subscription",INDEX('Game Records'!$U:$U,$H417)&lt;&gt;"Free Game",INDEX('Game Records'!$U:$U,$H417)&lt;&gt;"Disqualified — Free Game",INDEX('Game Records'!$J:$J,$H417)=""),"Total Players; ","")&amp;IF(AND(LOWER(INDEX('Game Records'!$D:$D,$H417)&amp;"")="finalized",LOWER(INDEX('Game Records'!$L:$L,$H417)&amp;"")&lt;&gt;"yes",INDEX('Game Records'!$U:$U,$H417)&lt;&gt;"Subscription",INDEX('Game Records'!$U:$U,$H417)&lt;&gt;"Free Game",INDEX('Game Records'!$U:$U,$H417)&lt;&gt;"Disqualified — Free Game",INDEX('Game Records'!$K:$K,$H417)=""),"Final Payout; ","")&amp;IF(AND(LOWER(INDEX('Game Records'!$D:$D,$H417)&amp;"")="finalized",INDEX('Game Records'!$U:$U,$H417)&lt;&gt;"Subscription",INDEX('Game Records'!$U:$U,$H417)&lt;&gt;"Free Game",INDEX('Game Records'!$U:$U,$H417)&lt;&gt;"Disqualified — Free Game",OR(INDEX('Game Records'!$L:$L,$H417)="",LOWER(INDEX('Game Records'!$L:$L,$H417)&amp;"")="n/a")),"Disqualified Status; ",""))</f>
        <v/>
      </c>
      <c r="G417" s="25" t="str">
        <f t="array" ref="G417">IF($H417="","",IFERROR(INDEX('Game Records'!$M:$M,$H417),""))</f>
        <v/>
      </c>
      <c r="H417" s="8"/>
    </row>
    <row r="418" ht="24.0" customHeight="1">
      <c r="A418" s="21" t="str">
        <f t="shared" si="1"/>
        <v/>
      </c>
      <c r="B418" s="21" t="str">
        <f t="shared" si="2"/>
        <v/>
      </c>
      <c r="C418" s="25" t="str">
        <f t="array" ref="C418">IF($H418="","",IFERROR(INDEX('Game Records'!$A:$A,$H418),""))</f>
        <v/>
      </c>
      <c r="D418" s="25" t="str">
        <f t="array" ref="D418">IF($H418="","",IFERROR(INDEX('Game Records'!$U:$U,$H418),""))</f>
        <v/>
      </c>
      <c r="E418" s="25" t="str">
        <f t="shared" si="3"/>
        <v/>
      </c>
      <c r="F418" s="25" t="str">
        <f t="array" ref="F418">IF($H418="","",IF(OR(NOT(_xlfn.ISFORMULA(INDEX('Game Records'!$N:$N,$H418))),NOT(_xlfn.ISFORMULA(INDEX('Game Records'!$O:$O,$H418))),NOT(_xlfn.ISFORMULA(INDEX('Game Records'!$P:$P,$H418))),NOT(_xlfn.ISFORMULA(INDEX('Game Records'!$Q:$Q,$H418))),NOT(_xlfn.ISFORMULA(INDEX('Game Records'!$R:$R,$H418))),NOT(_xlfn.ISFORMULA(INDEX('Game Records'!$S:$S,$H418))),NOT(_xlfn.ISFORMULA(INDEX('Game Records'!$T:$T,$H418))),NOT(_xlfn.ISFORMULA(INDEX('Game Records'!$U:$U,$H418))),NOT(_xlfn.ISFORMULA(INDEX('Game Records'!$V:$V,$H418))),NOT(_xlfn.ISFORMULA(INDEX('Game Records'!$W:$W,$H418))),NOT(_xlfn.ISFORMULA(INDEX('Game Records'!$X:$X,$H418))),NOT(_xlfn.ISFORMULA(INDEX('Game Records'!$Y:$Y,$H418))),NOT(_xlfn.ISFORMULA(INDEX('Game Records'!$Z:$Z,$H418)))),"","")&amp;IF(INDEX('Game Records'!$B:$B,$H418)="","Start Date; ","")&amp;IF(INDEX('Game Records'!$C:$C,$H418)="","End Date; ","")&amp;IF(AND(INDEX('Game Records'!$U:$U,$H418)&lt;&gt;"Subscription",INDEX('Game Records'!$U:$U,$H418)&lt;&gt;"Free Game",INDEX('Game Records'!$U:$U,$H418)&lt;&gt;"Disqualified — Free Game",OR(INDEX('Game Records'!$D:$D,$H418)="",LOWER(INDEX('Game Records'!$D:$D,$H418)&amp;"")="n/a")),"Entry Mode; ","")&amp;IF(AND(INDEX('Game Records'!$U:$U,$H418)&lt;&gt;"Subscription",INDEX('Game Records'!$U:$U,$H418)&lt;&gt;"Free Game",INDEX('Game Records'!$U:$U,$H418)&lt;&gt;"Disqualified — Free Game",OR(INDEX('Game Records'!$E:$E,$H418)="",LOWER(INDEX('Game Records'!$E:$E,$H418)&amp;"")="n/a")),"Game Type; ","")&amp;IF(INDEX('Game Records'!$F:$F,$H418)="","Payment Type; ","")&amp;IF(AND(INDEX('Game Records'!$U:$U,$H418)&lt;&gt;"Subscription",INDEX('Game Records'!$U:$U,$H418)&lt;&gt;"Free Game",INDEX('Game Records'!$U:$U,$H418)&lt;&gt;"Disqualified — Free Game",INDEX('Game Records'!$G:$G,$H418)=""),"Gross Pot; ","")&amp;IF(AND(INDEX('Game Records'!$U:$U,$H418)&lt;&gt;"Free Game",INDEX('Game Records'!$U:$U,$H418)&lt;&gt;"Disqualified — Free Game",INDEX('Game Records'!$H:$H,$H418)=""),"Entry Fee; ","")&amp;IF(AND(INDEX('Game Records'!$U:$U,$H418)&lt;&gt;"Subscription",INDEX('Game Records'!$U:$U,$H418)&lt;&gt;"Free Game",INDEX('Game Records'!$U:$U,$H418)&lt;&gt;"Disqualified — Free Game",INDEX('Game Records'!$I:$I,$H418)=""),"Eligible Players; ","")&amp;IF(AND(INDEX('Game Records'!$U:$U,$H418)&lt;&gt;"Subscription",INDEX('Game Records'!$U:$U,$H418)&lt;&gt;"Free Game",INDEX('Game Records'!$U:$U,$H418)&lt;&gt;"Disqualified — Free Game",INDEX('Game Records'!$J:$J,$H418)=""),"Total Players; ","")&amp;IF(AND(LOWER(INDEX('Game Records'!$D:$D,$H418)&amp;"")="finalized",LOWER(INDEX('Game Records'!$L:$L,$H418)&amp;"")&lt;&gt;"yes",INDEX('Game Records'!$U:$U,$H418)&lt;&gt;"Subscription",INDEX('Game Records'!$U:$U,$H418)&lt;&gt;"Free Game",INDEX('Game Records'!$U:$U,$H418)&lt;&gt;"Disqualified — Free Game",INDEX('Game Records'!$K:$K,$H418)=""),"Final Payout; ","")&amp;IF(AND(LOWER(INDEX('Game Records'!$D:$D,$H418)&amp;"")="finalized",INDEX('Game Records'!$U:$U,$H418)&lt;&gt;"Subscription",INDEX('Game Records'!$U:$U,$H418)&lt;&gt;"Free Game",INDEX('Game Records'!$U:$U,$H418)&lt;&gt;"Disqualified — Free Game",OR(INDEX('Game Records'!$L:$L,$H418)="",LOWER(INDEX('Game Records'!$L:$L,$H418)&amp;"")="n/a")),"Disqualified Status; ",""))</f>
        <v/>
      </c>
      <c r="G418" s="25" t="str">
        <f t="array" ref="G418">IF($H418="","",IFERROR(INDEX('Game Records'!$M:$M,$H418),""))</f>
        <v/>
      </c>
      <c r="H418" s="8"/>
    </row>
    <row r="419" ht="24.0" customHeight="1">
      <c r="A419" s="21" t="str">
        <f t="shared" si="1"/>
        <v/>
      </c>
      <c r="B419" s="21" t="str">
        <f t="shared" si="2"/>
        <v/>
      </c>
      <c r="C419" s="25" t="str">
        <f t="array" ref="C419">IF($H419="","",IFERROR(INDEX('Game Records'!$A:$A,$H419),""))</f>
        <v/>
      </c>
      <c r="D419" s="25" t="str">
        <f t="array" ref="D419">IF($H419="","",IFERROR(INDEX('Game Records'!$U:$U,$H419),""))</f>
        <v/>
      </c>
      <c r="E419" s="25" t="str">
        <f t="shared" si="3"/>
        <v/>
      </c>
      <c r="F419" s="25" t="str">
        <f t="array" ref="F419">IF($H419="","",IF(OR(NOT(_xlfn.ISFORMULA(INDEX('Game Records'!$N:$N,$H419))),NOT(_xlfn.ISFORMULA(INDEX('Game Records'!$O:$O,$H419))),NOT(_xlfn.ISFORMULA(INDEX('Game Records'!$P:$P,$H419))),NOT(_xlfn.ISFORMULA(INDEX('Game Records'!$Q:$Q,$H419))),NOT(_xlfn.ISFORMULA(INDEX('Game Records'!$R:$R,$H419))),NOT(_xlfn.ISFORMULA(INDEX('Game Records'!$S:$S,$H419))),NOT(_xlfn.ISFORMULA(INDEX('Game Records'!$T:$T,$H419))),NOT(_xlfn.ISFORMULA(INDEX('Game Records'!$U:$U,$H419))),NOT(_xlfn.ISFORMULA(INDEX('Game Records'!$V:$V,$H419))),NOT(_xlfn.ISFORMULA(INDEX('Game Records'!$W:$W,$H419))),NOT(_xlfn.ISFORMULA(INDEX('Game Records'!$X:$X,$H419))),NOT(_xlfn.ISFORMULA(INDEX('Game Records'!$Y:$Y,$H419))),NOT(_xlfn.ISFORMULA(INDEX('Game Records'!$Z:$Z,$H419)))),"","")&amp;IF(INDEX('Game Records'!$B:$B,$H419)="","Start Date; ","")&amp;IF(INDEX('Game Records'!$C:$C,$H419)="","End Date; ","")&amp;IF(AND(INDEX('Game Records'!$U:$U,$H419)&lt;&gt;"Subscription",INDEX('Game Records'!$U:$U,$H419)&lt;&gt;"Free Game",INDEX('Game Records'!$U:$U,$H419)&lt;&gt;"Disqualified — Free Game",OR(INDEX('Game Records'!$D:$D,$H419)="",LOWER(INDEX('Game Records'!$D:$D,$H419)&amp;"")="n/a")),"Entry Mode; ","")&amp;IF(AND(INDEX('Game Records'!$U:$U,$H419)&lt;&gt;"Subscription",INDEX('Game Records'!$U:$U,$H419)&lt;&gt;"Free Game",INDEX('Game Records'!$U:$U,$H419)&lt;&gt;"Disqualified — Free Game",OR(INDEX('Game Records'!$E:$E,$H419)="",LOWER(INDEX('Game Records'!$E:$E,$H419)&amp;"")="n/a")),"Game Type; ","")&amp;IF(INDEX('Game Records'!$F:$F,$H419)="","Payment Type; ","")&amp;IF(AND(INDEX('Game Records'!$U:$U,$H419)&lt;&gt;"Subscription",INDEX('Game Records'!$U:$U,$H419)&lt;&gt;"Free Game",INDEX('Game Records'!$U:$U,$H419)&lt;&gt;"Disqualified — Free Game",INDEX('Game Records'!$G:$G,$H419)=""),"Gross Pot; ","")&amp;IF(AND(INDEX('Game Records'!$U:$U,$H419)&lt;&gt;"Free Game",INDEX('Game Records'!$U:$U,$H419)&lt;&gt;"Disqualified — Free Game",INDEX('Game Records'!$H:$H,$H419)=""),"Entry Fee; ","")&amp;IF(AND(INDEX('Game Records'!$U:$U,$H419)&lt;&gt;"Subscription",INDEX('Game Records'!$U:$U,$H419)&lt;&gt;"Free Game",INDEX('Game Records'!$U:$U,$H419)&lt;&gt;"Disqualified — Free Game",INDEX('Game Records'!$I:$I,$H419)=""),"Eligible Players; ","")&amp;IF(AND(INDEX('Game Records'!$U:$U,$H419)&lt;&gt;"Subscription",INDEX('Game Records'!$U:$U,$H419)&lt;&gt;"Free Game",INDEX('Game Records'!$U:$U,$H419)&lt;&gt;"Disqualified — Free Game",INDEX('Game Records'!$J:$J,$H419)=""),"Total Players; ","")&amp;IF(AND(LOWER(INDEX('Game Records'!$D:$D,$H419)&amp;"")="finalized",LOWER(INDEX('Game Records'!$L:$L,$H419)&amp;"")&lt;&gt;"yes",INDEX('Game Records'!$U:$U,$H419)&lt;&gt;"Subscription",INDEX('Game Records'!$U:$U,$H419)&lt;&gt;"Free Game",INDEX('Game Records'!$U:$U,$H419)&lt;&gt;"Disqualified — Free Game",INDEX('Game Records'!$K:$K,$H419)=""),"Final Payout; ","")&amp;IF(AND(LOWER(INDEX('Game Records'!$D:$D,$H419)&amp;"")="finalized",INDEX('Game Records'!$U:$U,$H419)&lt;&gt;"Subscription",INDEX('Game Records'!$U:$U,$H419)&lt;&gt;"Free Game",INDEX('Game Records'!$U:$U,$H419)&lt;&gt;"Disqualified — Free Game",OR(INDEX('Game Records'!$L:$L,$H419)="",LOWER(INDEX('Game Records'!$L:$L,$H419)&amp;"")="n/a")),"Disqualified Status; ",""))</f>
        <v/>
      </c>
      <c r="G419" s="25" t="str">
        <f t="array" ref="G419">IF($H419="","",IFERROR(INDEX('Game Records'!$M:$M,$H419),""))</f>
        <v/>
      </c>
      <c r="H419" s="8"/>
    </row>
    <row r="420" ht="24.0" customHeight="1">
      <c r="A420" s="21" t="str">
        <f t="shared" si="1"/>
        <v/>
      </c>
      <c r="B420" s="21" t="str">
        <f t="shared" si="2"/>
        <v/>
      </c>
      <c r="C420" s="25" t="str">
        <f t="array" ref="C420">IF($H420="","",IFERROR(INDEX('Game Records'!$A:$A,$H420),""))</f>
        <v/>
      </c>
      <c r="D420" s="25" t="str">
        <f t="array" ref="D420">IF($H420="","",IFERROR(INDEX('Game Records'!$U:$U,$H420),""))</f>
        <v/>
      </c>
      <c r="E420" s="25" t="str">
        <f t="shared" si="3"/>
        <v/>
      </c>
      <c r="F420" s="25" t="str">
        <f t="array" ref="F420">IF($H420="","",IF(OR(NOT(_xlfn.ISFORMULA(INDEX('Game Records'!$N:$N,$H420))),NOT(_xlfn.ISFORMULA(INDEX('Game Records'!$O:$O,$H420))),NOT(_xlfn.ISFORMULA(INDEX('Game Records'!$P:$P,$H420))),NOT(_xlfn.ISFORMULA(INDEX('Game Records'!$Q:$Q,$H420))),NOT(_xlfn.ISFORMULA(INDEX('Game Records'!$R:$R,$H420))),NOT(_xlfn.ISFORMULA(INDEX('Game Records'!$S:$S,$H420))),NOT(_xlfn.ISFORMULA(INDEX('Game Records'!$T:$T,$H420))),NOT(_xlfn.ISFORMULA(INDEX('Game Records'!$U:$U,$H420))),NOT(_xlfn.ISFORMULA(INDEX('Game Records'!$V:$V,$H420))),NOT(_xlfn.ISFORMULA(INDEX('Game Records'!$W:$W,$H420))),NOT(_xlfn.ISFORMULA(INDEX('Game Records'!$X:$X,$H420))),NOT(_xlfn.ISFORMULA(INDEX('Game Records'!$Y:$Y,$H420))),NOT(_xlfn.ISFORMULA(INDEX('Game Records'!$Z:$Z,$H420)))),"","")&amp;IF(INDEX('Game Records'!$B:$B,$H420)="","Start Date; ","")&amp;IF(INDEX('Game Records'!$C:$C,$H420)="","End Date; ","")&amp;IF(AND(INDEX('Game Records'!$U:$U,$H420)&lt;&gt;"Subscription",INDEX('Game Records'!$U:$U,$H420)&lt;&gt;"Free Game",INDEX('Game Records'!$U:$U,$H420)&lt;&gt;"Disqualified — Free Game",OR(INDEX('Game Records'!$D:$D,$H420)="",LOWER(INDEX('Game Records'!$D:$D,$H420)&amp;"")="n/a")),"Entry Mode; ","")&amp;IF(AND(INDEX('Game Records'!$U:$U,$H420)&lt;&gt;"Subscription",INDEX('Game Records'!$U:$U,$H420)&lt;&gt;"Free Game",INDEX('Game Records'!$U:$U,$H420)&lt;&gt;"Disqualified — Free Game",OR(INDEX('Game Records'!$E:$E,$H420)="",LOWER(INDEX('Game Records'!$E:$E,$H420)&amp;"")="n/a")),"Game Type; ","")&amp;IF(INDEX('Game Records'!$F:$F,$H420)="","Payment Type; ","")&amp;IF(AND(INDEX('Game Records'!$U:$U,$H420)&lt;&gt;"Subscription",INDEX('Game Records'!$U:$U,$H420)&lt;&gt;"Free Game",INDEX('Game Records'!$U:$U,$H420)&lt;&gt;"Disqualified — Free Game",INDEX('Game Records'!$G:$G,$H420)=""),"Gross Pot; ","")&amp;IF(AND(INDEX('Game Records'!$U:$U,$H420)&lt;&gt;"Free Game",INDEX('Game Records'!$U:$U,$H420)&lt;&gt;"Disqualified — Free Game",INDEX('Game Records'!$H:$H,$H420)=""),"Entry Fee; ","")&amp;IF(AND(INDEX('Game Records'!$U:$U,$H420)&lt;&gt;"Subscription",INDEX('Game Records'!$U:$U,$H420)&lt;&gt;"Free Game",INDEX('Game Records'!$U:$U,$H420)&lt;&gt;"Disqualified — Free Game",INDEX('Game Records'!$I:$I,$H420)=""),"Eligible Players; ","")&amp;IF(AND(INDEX('Game Records'!$U:$U,$H420)&lt;&gt;"Subscription",INDEX('Game Records'!$U:$U,$H420)&lt;&gt;"Free Game",INDEX('Game Records'!$U:$U,$H420)&lt;&gt;"Disqualified — Free Game",INDEX('Game Records'!$J:$J,$H420)=""),"Total Players; ","")&amp;IF(AND(LOWER(INDEX('Game Records'!$D:$D,$H420)&amp;"")="finalized",LOWER(INDEX('Game Records'!$L:$L,$H420)&amp;"")&lt;&gt;"yes",INDEX('Game Records'!$U:$U,$H420)&lt;&gt;"Subscription",INDEX('Game Records'!$U:$U,$H420)&lt;&gt;"Free Game",INDEX('Game Records'!$U:$U,$H420)&lt;&gt;"Disqualified — Free Game",INDEX('Game Records'!$K:$K,$H420)=""),"Final Payout; ","")&amp;IF(AND(LOWER(INDEX('Game Records'!$D:$D,$H420)&amp;"")="finalized",INDEX('Game Records'!$U:$U,$H420)&lt;&gt;"Subscription",INDEX('Game Records'!$U:$U,$H420)&lt;&gt;"Free Game",INDEX('Game Records'!$U:$U,$H420)&lt;&gt;"Disqualified — Free Game",OR(INDEX('Game Records'!$L:$L,$H420)="",LOWER(INDEX('Game Records'!$L:$L,$H420)&amp;"")="n/a")),"Disqualified Status; ",""))</f>
        <v/>
      </c>
      <c r="G420" s="25" t="str">
        <f t="array" ref="G420">IF($H420="","",IFERROR(INDEX('Game Records'!$M:$M,$H420),""))</f>
        <v/>
      </c>
      <c r="H420" s="8"/>
    </row>
    <row r="421" ht="24.0" customHeight="1">
      <c r="A421" s="21" t="str">
        <f t="shared" si="1"/>
        <v/>
      </c>
      <c r="B421" s="21" t="str">
        <f t="shared" si="2"/>
        <v/>
      </c>
      <c r="C421" s="25" t="str">
        <f t="array" ref="C421">IF($H421="","",IFERROR(INDEX('Game Records'!$A:$A,$H421),""))</f>
        <v/>
      </c>
      <c r="D421" s="25" t="str">
        <f t="array" ref="D421">IF($H421="","",IFERROR(INDEX('Game Records'!$U:$U,$H421),""))</f>
        <v/>
      </c>
      <c r="E421" s="25" t="str">
        <f t="shared" si="3"/>
        <v/>
      </c>
      <c r="F421" s="25" t="str">
        <f t="array" ref="F421">IF($H421="","",IF(OR(NOT(_xlfn.ISFORMULA(INDEX('Game Records'!$N:$N,$H421))),NOT(_xlfn.ISFORMULA(INDEX('Game Records'!$O:$O,$H421))),NOT(_xlfn.ISFORMULA(INDEX('Game Records'!$P:$P,$H421))),NOT(_xlfn.ISFORMULA(INDEX('Game Records'!$Q:$Q,$H421))),NOT(_xlfn.ISFORMULA(INDEX('Game Records'!$R:$R,$H421))),NOT(_xlfn.ISFORMULA(INDEX('Game Records'!$S:$S,$H421))),NOT(_xlfn.ISFORMULA(INDEX('Game Records'!$T:$T,$H421))),NOT(_xlfn.ISFORMULA(INDEX('Game Records'!$U:$U,$H421))),NOT(_xlfn.ISFORMULA(INDEX('Game Records'!$V:$V,$H421))),NOT(_xlfn.ISFORMULA(INDEX('Game Records'!$W:$W,$H421))),NOT(_xlfn.ISFORMULA(INDEX('Game Records'!$X:$X,$H421))),NOT(_xlfn.ISFORMULA(INDEX('Game Records'!$Y:$Y,$H421))),NOT(_xlfn.ISFORMULA(INDEX('Game Records'!$Z:$Z,$H421)))),"","")&amp;IF(INDEX('Game Records'!$B:$B,$H421)="","Start Date; ","")&amp;IF(INDEX('Game Records'!$C:$C,$H421)="","End Date; ","")&amp;IF(AND(INDEX('Game Records'!$U:$U,$H421)&lt;&gt;"Subscription",INDEX('Game Records'!$U:$U,$H421)&lt;&gt;"Free Game",INDEX('Game Records'!$U:$U,$H421)&lt;&gt;"Disqualified — Free Game",OR(INDEX('Game Records'!$D:$D,$H421)="",LOWER(INDEX('Game Records'!$D:$D,$H421)&amp;"")="n/a")),"Entry Mode; ","")&amp;IF(AND(INDEX('Game Records'!$U:$U,$H421)&lt;&gt;"Subscription",INDEX('Game Records'!$U:$U,$H421)&lt;&gt;"Free Game",INDEX('Game Records'!$U:$U,$H421)&lt;&gt;"Disqualified — Free Game",OR(INDEX('Game Records'!$E:$E,$H421)="",LOWER(INDEX('Game Records'!$E:$E,$H421)&amp;"")="n/a")),"Game Type; ","")&amp;IF(INDEX('Game Records'!$F:$F,$H421)="","Payment Type; ","")&amp;IF(AND(INDEX('Game Records'!$U:$U,$H421)&lt;&gt;"Subscription",INDEX('Game Records'!$U:$U,$H421)&lt;&gt;"Free Game",INDEX('Game Records'!$U:$U,$H421)&lt;&gt;"Disqualified — Free Game",INDEX('Game Records'!$G:$G,$H421)=""),"Gross Pot; ","")&amp;IF(AND(INDEX('Game Records'!$U:$U,$H421)&lt;&gt;"Free Game",INDEX('Game Records'!$U:$U,$H421)&lt;&gt;"Disqualified — Free Game",INDEX('Game Records'!$H:$H,$H421)=""),"Entry Fee; ","")&amp;IF(AND(INDEX('Game Records'!$U:$U,$H421)&lt;&gt;"Subscription",INDEX('Game Records'!$U:$U,$H421)&lt;&gt;"Free Game",INDEX('Game Records'!$U:$U,$H421)&lt;&gt;"Disqualified — Free Game",INDEX('Game Records'!$I:$I,$H421)=""),"Eligible Players; ","")&amp;IF(AND(INDEX('Game Records'!$U:$U,$H421)&lt;&gt;"Subscription",INDEX('Game Records'!$U:$U,$H421)&lt;&gt;"Free Game",INDEX('Game Records'!$U:$U,$H421)&lt;&gt;"Disqualified — Free Game",INDEX('Game Records'!$J:$J,$H421)=""),"Total Players; ","")&amp;IF(AND(LOWER(INDEX('Game Records'!$D:$D,$H421)&amp;"")="finalized",LOWER(INDEX('Game Records'!$L:$L,$H421)&amp;"")&lt;&gt;"yes",INDEX('Game Records'!$U:$U,$H421)&lt;&gt;"Subscription",INDEX('Game Records'!$U:$U,$H421)&lt;&gt;"Free Game",INDEX('Game Records'!$U:$U,$H421)&lt;&gt;"Disqualified — Free Game",INDEX('Game Records'!$K:$K,$H421)=""),"Final Payout; ","")&amp;IF(AND(LOWER(INDEX('Game Records'!$D:$D,$H421)&amp;"")="finalized",INDEX('Game Records'!$U:$U,$H421)&lt;&gt;"Subscription",INDEX('Game Records'!$U:$U,$H421)&lt;&gt;"Free Game",INDEX('Game Records'!$U:$U,$H421)&lt;&gt;"Disqualified — Free Game",OR(INDEX('Game Records'!$L:$L,$H421)="",LOWER(INDEX('Game Records'!$L:$L,$H421)&amp;"")="n/a")),"Disqualified Status; ",""))</f>
        <v/>
      </c>
      <c r="G421" s="25" t="str">
        <f t="array" ref="G421">IF($H421="","",IFERROR(INDEX('Game Records'!$M:$M,$H421),""))</f>
        <v/>
      </c>
      <c r="H421" s="8"/>
    </row>
    <row r="422" ht="24.0" customHeight="1">
      <c r="A422" s="21" t="str">
        <f t="shared" si="1"/>
        <v/>
      </c>
      <c r="B422" s="21" t="str">
        <f t="shared" si="2"/>
        <v/>
      </c>
      <c r="C422" s="25" t="str">
        <f t="array" ref="C422">IF($H422="","",IFERROR(INDEX('Game Records'!$A:$A,$H422),""))</f>
        <v/>
      </c>
      <c r="D422" s="25" t="str">
        <f t="array" ref="D422">IF($H422="","",IFERROR(INDEX('Game Records'!$U:$U,$H422),""))</f>
        <v/>
      </c>
      <c r="E422" s="25" t="str">
        <f t="shared" si="3"/>
        <v/>
      </c>
      <c r="F422" s="25" t="str">
        <f t="array" ref="F422">IF($H422="","",IF(OR(NOT(_xlfn.ISFORMULA(INDEX('Game Records'!$N:$N,$H422))),NOT(_xlfn.ISFORMULA(INDEX('Game Records'!$O:$O,$H422))),NOT(_xlfn.ISFORMULA(INDEX('Game Records'!$P:$P,$H422))),NOT(_xlfn.ISFORMULA(INDEX('Game Records'!$Q:$Q,$H422))),NOT(_xlfn.ISFORMULA(INDEX('Game Records'!$R:$R,$H422))),NOT(_xlfn.ISFORMULA(INDEX('Game Records'!$S:$S,$H422))),NOT(_xlfn.ISFORMULA(INDEX('Game Records'!$T:$T,$H422))),NOT(_xlfn.ISFORMULA(INDEX('Game Records'!$U:$U,$H422))),NOT(_xlfn.ISFORMULA(INDEX('Game Records'!$V:$V,$H422))),NOT(_xlfn.ISFORMULA(INDEX('Game Records'!$W:$W,$H422))),NOT(_xlfn.ISFORMULA(INDEX('Game Records'!$X:$X,$H422))),NOT(_xlfn.ISFORMULA(INDEX('Game Records'!$Y:$Y,$H422))),NOT(_xlfn.ISFORMULA(INDEX('Game Records'!$Z:$Z,$H422)))),"","")&amp;IF(INDEX('Game Records'!$B:$B,$H422)="","Start Date; ","")&amp;IF(INDEX('Game Records'!$C:$C,$H422)="","End Date; ","")&amp;IF(AND(INDEX('Game Records'!$U:$U,$H422)&lt;&gt;"Subscription",INDEX('Game Records'!$U:$U,$H422)&lt;&gt;"Free Game",INDEX('Game Records'!$U:$U,$H422)&lt;&gt;"Disqualified — Free Game",OR(INDEX('Game Records'!$D:$D,$H422)="",LOWER(INDEX('Game Records'!$D:$D,$H422)&amp;"")="n/a")),"Entry Mode; ","")&amp;IF(AND(INDEX('Game Records'!$U:$U,$H422)&lt;&gt;"Subscription",INDEX('Game Records'!$U:$U,$H422)&lt;&gt;"Free Game",INDEX('Game Records'!$U:$U,$H422)&lt;&gt;"Disqualified — Free Game",OR(INDEX('Game Records'!$E:$E,$H422)="",LOWER(INDEX('Game Records'!$E:$E,$H422)&amp;"")="n/a")),"Game Type; ","")&amp;IF(INDEX('Game Records'!$F:$F,$H422)="","Payment Type; ","")&amp;IF(AND(INDEX('Game Records'!$U:$U,$H422)&lt;&gt;"Subscription",INDEX('Game Records'!$U:$U,$H422)&lt;&gt;"Free Game",INDEX('Game Records'!$U:$U,$H422)&lt;&gt;"Disqualified — Free Game",INDEX('Game Records'!$G:$G,$H422)=""),"Gross Pot; ","")&amp;IF(AND(INDEX('Game Records'!$U:$U,$H422)&lt;&gt;"Free Game",INDEX('Game Records'!$U:$U,$H422)&lt;&gt;"Disqualified — Free Game",INDEX('Game Records'!$H:$H,$H422)=""),"Entry Fee; ","")&amp;IF(AND(INDEX('Game Records'!$U:$U,$H422)&lt;&gt;"Subscription",INDEX('Game Records'!$U:$U,$H422)&lt;&gt;"Free Game",INDEX('Game Records'!$U:$U,$H422)&lt;&gt;"Disqualified — Free Game",INDEX('Game Records'!$I:$I,$H422)=""),"Eligible Players; ","")&amp;IF(AND(INDEX('Game Records'!$U:$U,$H422)&lt;&gt;"Subscription",INDEX('Game Records'!$U:$U,$H422)&lt;&gt;"Free Game",INDEX('Game Records'!$U:$U,$H422)&lt;&gt;"Disqualified — Free Game",INDEX('Game Records'!$J:$J,$H422)=""),"Total Players; ","")&amp;IF(AND(LOWER(INDEX('Game Records'!$D:$D,$H422)&amp;"")="finalized",LOWER(INDEX('Game Records'!$L:$L,$H422)&amp;"")&lt;&gt;"yes",INDEX('Game Records'!$U:$U,$H422)&lt;&gt;"Subscription",INDEX('Game Records'!$U:$U,$H422)&lt;&gt;"Free Game",INDEX('Game Records'!$U:$U,$H422)&lt;&gt;"Disqualified — Free Game",INDEX('Game Records'!$K:$K,$H422)=""),"Final Payout; ","")&amp;IF(AND(LOWER(INDEX('Game Records'!$D:$D,$H422)&amp;"")="finalized",INDEX('Game Records'!$U:$U,$H422)&lt;&gt;"Subscription",INDEX('Game Records'!$U:$U,$H422)&lt;&gt;"Free Game",INDEX('Game Records'!$U:$U,$H422)&lt;&gt;"Disqualified — Free Game",OR(INDEX('Game Records'!$L:$L,$H422)="",LOWER(INDEX('Game Records'!$L:$L,$H422)&amp;"")="n/a")),"Disqualified Status; ",""))</f>
        <v/>
      </c>
      <c r="G422" s="25" t="str">
        <f t="array" ref="G422">IF($H422="","",IFERROR(INDEX('Game Records'!$M:$M,$H422),""))</f>
        <v/>
      </c>
      <c r="H422" s="8"/>
    </row>
    <row r="423" ht="24.0" customHeight="1">
      <c r="A423" s="21" t="str">
        <f t="shared" si="1"/>
        <v/>
      </c>
      <c r="B423" s="21" t="str">
        <f t="shared" si="2"/>
        <v/>
      </c>
      <c r="C423" s="25" t="str">
        <f t="array" ref="C423">IF($H423="","",IFERROR(INDEX('Game Records'!$A:$A,$H423),""))</f>
        <v/>
      </c>
      <c r="D423" s="25" t="str">
        <f t="array" ref="D423">IF($H423="","",IFERROR(INDEX('Game Records'!$U:$U,$H423),""))</f>
        <v/>
      </c>
      <c r="E423" s="25" t="str">
        <f t="shared" si="3"/>
        <v/>
      </c>
      <c r="F423" s="25" t="str">
        <f t="array" ref="F423">IF($H423="","",IF(OR(NOT(_xlfn.ISFORMULA(INDEX('Game Records'!$N:$N,$H423))),NOT(_xlfn.ISFORMULA(INDEX('Game Records'!$O:$O,$H423))),NOT(_xlfn.ISFORMULA(INDEX('Game Records'!$P:$P,$H423))),NOT(_xlfn.ISFORMULA(INDEX('Game Records'!$Q:$Q,$H423))),NOT(_xlfn.ISFORMULA(INDEX('Game Records'!$R:$R,$H423))),NOT(_xlfn.ISFORMULA(INDEX('Game Records'!$S:$S,$H423))),NOT(_xlfn.ISFORMULA(INDEX('Game Records'!$T:$T,$H423))),NOT(_xlfn.ISFORMULA(INDEX('Game Records'!$U:$U,$H423))),NOT(_xlfn.ISFORMULA(INDEX('Game Records'!$V:$V,$H423))),NOT(_xlfn.ISFORMULA(INDEX('Game Records'!$W:$W,$H423))),NOT(_xlfn.ISFORMULA(INDEX('Game Records'!$X:$X,$H423))),NOT(_xlfn.ISFORMULA(INDEX('Game Records'!$Y:$Y,$H423))),NOT(_xlfn.ISFORMULA(INDEX('Game Records'!$Z:$Z,$H423)))),"","")&amp;IF(INDEX('Game Records'!$B:$B,$H423)="","Start Date; ","")&amp;IF(INDEX('Game Records'!$C:$C,$H423)="","End Date; ","")&amp;IF(AND(INDEX('Game Records'!$U:$U,$H423)&lt;&gt;"Subscription",INDEX('Game Records'!$U:$U,$H423)&lt;&gt;"Free Game",INDEX('Game Records'!$U:$U,$H423)&lt;&gt;"Disqualified — Free Game",OR(INDEX('Game Records'!$D:$D,$H423)="",LOWER(INDEX('Game Records'!$D:$D,$H423)&amp;"")="n/a")),"Entry Mode; ","")&amp;IF(AND(INDEX('Game Records'!$U:$U,$H423)&lt;&gt;"Subscription",INDEX('Game Records'!$U:$U,$H423)&lt;&gt;"Free Game",INDEX('Game Records'!$U:$U,$H423)&lt;&gt;"Disqualified — Free Game",OR(INDEX('Game Records'!$E:$E,$H423)="",LOWER(INDEX('Game Records'!$E:$E,$H423)&amp;"")="n/a")),"Game Type; ","")&amp;IF(INDEX('Game Records'!$F:$F,$H423)="","Payment Type; ","")&amp;IF(AND(INDEX('Game Records'!$U:$U,$H423)&lt;&gt;"Subscription",INDEX('Game Records'!$U:$U,$H423)&lt;&gt;"Free Game",INDEX('Game Records'!$U:$U,$H423)&lt;&gt;"Disqualified — Free Game",INDEX('Game Records'!$G:$G,$H423)=""),"Gross Pot; ","")&amp;IF(AND(INDEX('Game Records'!$U:$U,$H423)&lt;&gt;"Free Game",INDEX('Game Records'!$U:$U,$H423)&lt;&gt;"Disqualified — Free Game",INDEX('Game Records'!$H:$H,$H423)=""),"Entry Fee; ","")&amp;IF(AND(INDEX('Game Records'!$U:$U,$H423)&lt;&gt;"Subscription",INDEX('Game Records'!$U:$U,$H423)&lt;&gt;"Free Game",INDEX('Game Records'!$U:$U,$H423)&lt;&gt;"Disqualified — Free Game",INDEX('Game Records'!$I:$I,$H423)=""),"Eligible Players; ","")&amp;IF(AND(INDEX('Game Records'!$U:$U,$H423)&lt;&gt;"Subscription",INDEX('Game Records'!$U:$U,$H423)&lt;&gt;"Free Game",INDEX('Game Records'!$U:$U,$H423)&lt;&gt;"Disqualified — Free Game",INDEX('Game Records'!$J:$J,$H423)=""),"Total Players; ","")&amp;IF(AND(LOWER(INDEX('Game Records'!$D:$D,$H423)&amp;"")="finalized",LOWER(INDEX('Game Records'!$L:$L,$H423)&amp;"")&lt;&gt;"yes",INDEX('Game Records'!$U:$U,$H423)&lt;&gt;"Subscription",INDEX('Game Records'!$U:$U,$H423)&lt;&gt;"Free Game",INDEX('Game Records'!$U:$U,$H423)&lt;&gt;"Disqualified — Free Game",INDEX('Game Records'!$K:$K,$H423)=""),"Final Payout; ","")&amp;IF(AND(LOWER(INDEX('Game Records'!$D:$D,$H423)&amp;"")="finalized",INDEX('Game Records'!$U:$U,$H423)&lt;&gt;"Subscription",INDEX('Game Records'!$U:$U,$H423)&lt;&gt;"Free Game",INDEX('Game Records'!$U:$U,$H423)&lt;&gt;"Disqualified — Free Game",OR(INDEX('Game Records'!$L:$L,$H423)="",LOWER(INDEX('Game Records'!$L:$L,$H423)&amp;"")="n/a")),"Disqualified Status; ",""))</f>
        <v/>
      </c>
      <c r="G423" s="25" t="str">
        <f t="array" ref="G423">IF($H423="","",IFERROR(INDEX('Game Records'!$M:$M,$H423),""))</f>
        <v/>
      </c>
      <c r="H423" s="8"/>
    </row>
    <row r="424" ht="24.0" customHeight="1">
      <c r="A424" s="21" t="str">
        <f t="shared" si="1"/>
        <v/>
      </c>
      <c r="B424" s="21" t="str">
        <f t="shared" si="2"/>
        <v/>
      </c>
      <c r="C424" s="25" t="str">
        <f t="array" ref="C424">IF($H424="","",IFERROR(INDEX('Game Records'!$A:$A,$H424),""))</f>
        <v/>
      </c>
      <c r="D424" s="25" t="str">
        <f t="array" ref="D424">IF($H424="","",IFERROR(INDEX('Game Records'!$U:$U,$H424),""))</f>
        <v/>
      </c>
      <c r="E424" s="25" t="str">
        <f t="shared" si="3"/>
        <v/>
      </c>
      <c r="F424" s="25" t="str">
        <f t="array" ref="F424">IF($H424="","",IF(OR(NOT(_xlfn.ISFORMULA(INDEX('Game Records'!$N:$N,$H424))),NOT(_xlfn.ISFORMULA(INDEX('Game Records'!$O:$O,$H424))),NOT(_xlfn.ISFORMULA(INDEX('Game Records'!$P:$P,$H424))),NOT(_xlfn.ISFORMULA(INDEX('Game Records'!$Q:$Q,$H424))),NOT(_xlfn.ISFORMULA(INDEX('Game Records'!$R:$R,$H424))),NOT(_xlfn.ISFORMULA(INDEX('Game Records'!$S:$S,$H424))),NOT(_xlfn.ISFORMULA(INDEX('Game Records'!$T:$T,$H424))),NOT(_xlfn.ISFORMULA(INDEX('Game Records'!$U:$U,$H424))),NOT(_xlfn.ISFORMULA(INDEX('Game Records'!$V:$V,$H424))),NOT(_xlfn.ISFORMULA(INDEX('Game Records'!$W:$W,$H424))),NOT(_xlfn.ISFORMULA(INDEX('Game Records'!$X:$X,$H424))),NOT(_xlfn.ISFORMULA(INDEX('Game Records'!$Y:$Y,$H424))),NOT(_xlfn.ISFORMULA(INDEX('Game Records'!$Z:$Z,$H424)))),"","")&amp;IF(INDEX('Game Records'!$B:$B,$H424)="","Start Date; ","")&amp;IF(INDEX('Game Records'!$C:$C,$H424)="","End Date; ","")&amp;IF(AND(INDEX('Game Records'!$U:$U,$H424)&lt;&gt;"Subscription",INDEX('Game Records'!$U:$U,$H424)&lt;&gt;"Free Game",INDEX('Game Records'!$U:$U,$H424)&lt;&gt;"Disqualified — Free Game",OR(INDEX('Game Records'!$D:$D,$H424)="",LOWER(INDEX('Game Records'!$D:$D,$H424)&amp;"")="n/a")),"Entry Mode; ","")&amp;IF(AND(INDEX('Game Records'!$U:$U,$H424)&lt;&gt;"Subscription",INDEX('Game Records'!$U:$U,$H424)&lt;&gt;"Free Game",INDEX('Game Records'!$U:$U,$H424)&lt;&gt;"Disqualified — Free Game",OR(INDEX('Game Records'!$E:$E,$H424)="",LOWER(INDEX('Game Records'!$E:$E,$H424)&amp;"")="n/a")),"Game Type; ","")&amp;IF(INDEX('Game Records'!$F:$F,$H424)="","Payment Type; ","")&amp;IF(AND(INDEX('Game Records'!$U:$U,$H424)&lt;&gt;"Subscription",INDEX('Game Records'!$U:$U,$H424)&lt;&gt;"Free Game",INDEX('Game Records'!$U:$U,$H424)&lt;&gt;"Disqualified — Free Game",INDEX('Game Records'!$G:$G,$H424)=""),"Gross Pot; ","")&amp;IF(AND(INDEX('Game Records'!$U:$U,$H424)&lt;&gt;"Free Game",INDEX('Game Records'!$U:$U,$H424)&lt;&gt;"Disqualified — Free Game",INDEX('Game Records'!$H:$H,$H424)=""),"Entry Fee; ","")&amp;IF(AND(INDEX('Game Records'!$U:$U,$H424)&lt;&gt;"Subscription",INDEX('Game Records'!$U:$U,$H424)&lt;&gt;"Free Game",INDEX('Game Records'!$U:$U,$H424)&lt;&gt;"Disqualified — Free Game",INDEX('Game Records'!$I:$I,$H424)=""),"Eligible Players; ","")&amp;IF(AND(INDEX('Game Records'!$U:$U,$H424)&lt;&gt;"Subscription",INDEX('Game Records'!$U:$U,$H424)&lt;&gt;"Free Game",INDEX('Game Records'!$U:$U,$H424)&lt;&gt;"Disqualified — Free Game",INDEX('Game Records'!$J:$J,$H424)=""),"Total Players; ","")&amp;IF(AND(LOWER(INDEX('Game Records'!$D:$D,$H424)&amp;"")="finalized",LOWER(INDEX('Game Records'!$L:$L,$H424)&amp;"")&lt;&gt;"yes",INDEX('Game Records'!$U:$U,$H424)&lt;&gt;"Subscription",INDEX('Game Records'!$U:$U,$H424)&lt;&gt;"Free Game",INDEX('Game Records'!$U:$U,$H424)&lt;&gt;"Disqualified — Free Game",INDEX('Game Records'!$K:$K,$H424)=""),"Final Payout; ","")&amp;IF(AND(LOWER(INDEX('Game Records'!$D:$D,$H424)&amp;"")="finalized",INDEX('Game Records'!$U:$U,$H424)&lt;&gt;"Subscription",INDEX('Game Records'!$U:$U,$H424)&lt;&gt;"Free Game",INDEX('Game Records'!$U:$U,$H424)&lt;&gt;"Disqualified — Free Game",OR(INDEX('Game Records'!$L:$L,$H424)="",LOWER(INDEX('Game Records'!$L:$L,$H424)&amp;"")="n/a")),"Disqualified Status; ",""))</f>
        <v/>
      </c>
      <c r="G424" s="25" t="str">
        <f t="array" ref="G424">IF($H424="","",IFERROR(INDEX('Game Records'!$M:$M,$H424),""))</f>
        <v/>
      </c>
      <c r="H424" s="8"/>
    </row>
    <row r="425" ht="24.0" customHeight="1">
      <c r="A425" s="21" t="str">
        <f t="shared" si="1"/>
        <v/>
      </c>
      <c r="B425" s="21" t="str">
        <f t="shared" si="2"/>
        <v/>
      </c>
      <c r="C425" s="25" t="str">
        <f t="array" ref="C425">IF($H425="","",IFERROR(INDEX('Game Records'!$A:$A,$H425),""))</f>
        <v/>
      </c>
      <c r="D425" s="25" t="str">
        <f t="array" ref="D425">IF($H425="","",IFERROR(INDEX('Game Records'!$U:$U,$H425),""))</f>
        <v/>
      </c>
      <c r="E425" s="25" t="str">
        <f t="shared" si="3"/>
        <v/>
      </c>
      <c r="F425" s="25" t="str">
        <f t="array" ref="F425">IF($H425="","",IF(OR(NOT(_xlfn.ISFORMULA(INDEX('Game Records'!$N:$N,$H425))),NOT(_xlfn.ISFORMULA(INDEX('Game Records'!$O:$O,$H425))),NOT(_xlfn.ISFORMULA(INDEX('Game Records'!$P:$P,$H425))),NOT(_xlfn.ISFORMULA(INDEX('Game Records'!$Q:$Q,$H425))),NOT(_xlfn.ISFORMULA(INDEX('Game Records'!$R:$R,$H425))),NOT(_xlfn.ISFORMULA(INDEX('Game Records'!$S:$S,$H425))),NOT(_xlfn.ISFORMULA(INDEX('Game Records'!$T:$T,$H425))),NOT(_xlfn.ISFORMULA(INDEX('Game Records'!$U:$U,$H425))),NOT(_xlfn.ISFORMULA(INDEX('Game Records'!$V:$V,$H425))),NOT(_xlfn.ISFORMULA(INDEX('Game Records'!$W:$W,$H425))),NOT(_xlfn.ISFORMULA(INDEX('Game Records'!$X:$X,$H425))),NOT(_xlfn.ISFORMULA(INDEX('Game Records'!$Y:$Y,$H425))),NOT(_xlfn.ISFORMULA(INDEX('Game Records'!$Z:$Z,$H425)))),"","")&amp;IF(INDEX('Game Records'!$B:$B,$H425)="","Start Date; ","")&amp;IF(INDEX('Game Records'!$C:$C,$H425)="","End Date; ","")&amp;IF(AND(INDEX('Game Records'!$U:$U,$H425)&lt;&gt;"Subscription",INDEX('Game Records'!$U:$U,$H425)&lt;&gt;"Free Game",INDEX('Game Records'!$U:$U,$H425)&lt;&gt;"Disqualified — Free Game",OR(INDEX('Game Records'!$D:$D,$H425)="",LOWER(INDEX('Game Records'!$D:$D,$H425)&amp;"")="n/a")),"Entry Mode; ","")&amp;IF(AND(INDEX('Game Records'!$U:$U,$H425)&lt;&gt;"Subscription",INDEX('Game Records'!$U:$U,$H425)&lt;&gt;"Free Game",INDEX('Game Records'!$U:$U,$H425)&lt;&gt;"Disqualified — Free Game",OR(INDEX('Game Records'!$E:$E,$H425)="",LOWER(INDEX('Game Records'!$E:$E,$H425)&amp;"")="n/a")),"Game Type; ","")&amp;IF(INDEX('Game Records'!$F:$F,$H425)="","Payment Type; ","")&amp;IF(AND(INDEX('Game Records'!$U:$U,$H425)&lt;&gt;"Subscription",INDEX('Game Records'!$U:$U,$H425)&lt;&gt;"Free Game",INDEX('Game Records'!$U:$U,$H425)&lt;&gt;"Disqualified — Free Game",INDEX('Game Records'!$G:$G,$H425)=""),"Gross Pot; ","")&amp;IF(AND(INDEX('Game Records'!$U:$U,$H425)&lt;&gt;"Free Game",INDEX('Game Records'!$U:$U,$H425)&lt;&gt;"Disqualified — Free Game",INDEX('Game Records'!$H:$H,$H425)=""),"Entry Fee; ","")&amp;IF(AND(INDEX('Game Records'!$U:$U,$H425)&lt;&gt;"Subscription",INDEX('Game Records'!$U:$U,$H425)&lt;&gt;"Free Game",INDEX('Game Records'!$U:$U,$H425)&lt;&gt;"Disqualified — Free Game",INDEX('Game Records'!$I:$I,$H425)=""),"Eligible Players; ","")&amp;IF(AND(INDEX('Game Records'!$U:$U,$H425)&lt;&gt;"Subscription",INDEX('Game Records'!$U:$U,$H425)&lt;&gt;"Free Game",INDEX('Game Records'!$U:$U,$H425)&lt;&gt;"Disqualified — Free Game",INDEX('Game Records'!$J:$J,$H425)=""),"Total Players; ","")&amp;IF(AND(LOWER(INDEX('Game Records'!$D:$D,$H425)&amp;"")="finalized",LOWER(INDEX('Game Records'!$L:$L,$H425)&amp;"")&lt;&gt;"yes",INDEX('Game Records'!$U:$U,$H425)&lt;&gt;"Subscription",INDEX('Game Records'!$U:$U,$H425)&lt;&gt;"Free Game",INDEX('Game Records'!$U:$U,$H425)&lt;&gt;"Disqualified — Free Game",INDEX('Game Records'!$K:$K,$H425)=""),"Final Payout; ","")&amp;IF(AND(LOWER(INDEX('Game Records'!$D:$D,$H425)&amp;"")="finalized",INDEX('Game Records'!$U:$U,$H425)&lt;&gt;"Subscription",INDEX('Game Records'!$U:$U,$H425)&lt;&gt;"Free Game",INDEX('Game Records'!$U:$U,$H425)&lt;&gt;"Disqualified — Free Game",OR(INDEX('Game Records'!$L:$L,$H425)="",LOWER(INDEX('Game Records'!$L:$L,$H425)&amp;"")="n/a")),"Disqualified Status; ",""))</f>
        <v/>
      </c>
      <c r="G425" s="25" t="str">
        <f t="array" ref="G425">IF($H425="","",IFERROR(INDEX('Game Records'!$M:$M,$H425),""))</f>
        <v/>
      </c>
      <c r="H425" s="8"/>
    </row>
    <row r="426" ht="24.0" customHeight="1">
      <c r="A426" s="21" t="str">
        <f t="shared" si="1"/>
        <v/>
      </c>
      <c r="B426" s="21" t="str">
        <f t="shared" si="2"/>
        <v/>
      </c>
      <c r="C426" s="25" t="str">
        <f t="array" ref="C426">IF($H426="","",IFERROR(INDEX('Game Records'!$A:$A,$H426),""))</f>
        <v/>
      </c>
      <c r="D426" s="25" t="str">
        <f t="array" ref="D426">IF($H426="","",IFERROR(INDEX('Game Records'!$U:$U,$H426),""))</f>
        <v/>
      </c>
      <c r="E426" s="25" t="str">
        <f t="shared" si="3"/>
        <v/>
      </c>
      <c r="F426" s="25" t="str">
        <f t="array" ref="F426">IF($H426="","",IF(OR(NOT(_xlfn.ISFORMULA(INDEX('Game Records'!$N:$N,$H426))),NOT(_xlfn.ISFORMULA(INDEX('Game Records'!$O:$O,$H426))),NOT(_xlfn.ISFORMULA(INDEX('Game Records'!$P:$P,$H426))),NOT(_xlfn.ISFORMULA(INDEX('Game Records'!$Q:$Q,$H426))),NOT(_xlfn.ISFORMULA(INDEX('Game Records'!$R:$R,$H426))),NOT(_xlfn.ISFORMULA(INDEX('Game Records'!$S:$S,$H426))),NOT(_xlfn.ISFORMULA(INDEX('Game Records'!$T:$T,$H426))),NOT(_xlfn.ISFORMULA(INDEX('Game Records'!$U:$U,$H426))),NOT(_xlfn.ISFORMULA(INDEX('Game Records'!$V:$V,$H426))),NOT(_xlfn.ISFORMULA(INDEX('Game Records'!$W:$W,$H426))),NOT(_xlfn.ISFORMULA(INDEX('Game Records'!$X:$X,$H426))),NOT(_xlfn.ISFORMULA(INDEX('Game Records'!$Y:$Y,$H426))),NOT(_xlfn.ISFORMULA(INDEX('Game Records'!$Z:$Z,$H426)))),"","")&amp;IF(INDEX('Game Records'!$B:$B,$H426)="","Start Date; ","")&amp;IF(INDEX('Game Records'!$C:$C,$H426)="","End Date; ","")&amp;IF(AND(INDEX('Game Records'!$U:$U,$H426)&lt;&gt;"Subscription",INDEX('Game Records'!$U:$U,$H426)&lt;&gt;"Free Game",INDEX('Game Records'!$U:$U,$H426)&lt;&gt;"Disqualified — Free Game",OR(INDEX('Game Records'!$D:$D,$H426)="",LOWER(INDEX('Game Records'!$D:$D,$H426)&amp;"")="n/a")),"Entry Mode; ","")&amp;IF(AND(INDEX('Game Records'!$U:$U,$H426)&lt;&gt;"Subscription",INDEX('Game Records'!$U:$U,$H426)&lt;&gt;"Free Game",INDEX('Game Records'!$U:$U,$H426)&lt;&gt;"Disqualified — Free Game",OR(INDEX('Game Records'!$E:$E,$H426)="",LOWER(INDEX('Game Records'!$E:$E,$H426)&amp;"")="n/a")),"Game Type; ","")&amp;IF(INDEX('Game Records'!$F:$F,$H426)="","Payment Type; ","")&amp;IF(AND(INDEX('Game Records'!$U:$U,$H426)&lt;&gt;"Subscription",INDEX('Game Records'!$U:$U,$H426)&lt;&gt;"Free Game",INDEX('Game Records'!$U:$U,$H426)&lt;&gt;"Disqualified — Free Game",INDEX('Game Records'!$G:$G,$H426)=""),"Gross Pot; ","")&amp;IF(AND(INDEX('Game Records'!$U:$U,$H426)&lt;&gt;"Free Game",INDEX('Game Records'!$U:$U,$H426)&lt;&gt;"Disqualified — Free Game",INDEX('Game Records'!$H:$H,$H426)=""),"Entry Fee; ","")&amp;IF(AND(INDEX('Game Records'!$U:$U,$H426)&lt;&gt;"Subscription",INDEX('Game Records'!$U:$U,$H426)&lt;&gt;"Free Game",INDEX('Game Records'!$U:$U,$H426)&lt;&gt;"Disqualified — Free Game",INDEX('Game Records'!$I:$I,$H426)=""),"Eligible Players; ","")&amp;IF(AND(INDEX('Game Records'!$U:$U,$H426)&lt;&gt;"Subscription",INDEX('Game Records'!$U:$U,$H426)&lt;&gt;"Free Game",INDEX('Game Records'!$U:$U,$H426)&lt;&gt;"Disqualified — Free Game",INDEX('Game Records'!$J:$J,$H426)=""),"Total Players; ","")&amp;IF(AND(LOWER(INDEX('Game Records'!$D:$D,$H426)&amp;"")="finalized",LOWER(INDEX('Game Records'!$L:$L,$H426)&amp;"")&lt;&gt;"yes",INDEX('Game Records'!$U:$U,$H426)&lt;&gt;"Subscription",INDEX('Game Records'!$U:$U,$H426)&lt;&gt;"Free Game",INDEX('Game Records'!$U:$U,$H426)&lt;&gt;"Disqualified — Free Game",INDEX('Game Records'!$K:$K,$H426)=""),"Final Payout; ","")&amp;IF(AND(LOWER(INDEX('Game Records'!$D:$D,$H426)&amp;"")="finalized",INDEX('Game Records'!$U:$U,$H426)&lt;&gt;"Subscription",INDEX('Game Records'!$U:$U,$H426)&lt;&gt;"Free Game",INDEX('Game Records'!$U:$U,$H426)&lt;&gt;"Disqualified — Free Game",OR(INDEX('Game Records'!$L:$L,$H426)="",LOWER(INDEX('Game Records'!$L:$L,$H426)&amp;"")="n/a")),"Disqualified Status; ",""))</f>
        <v/>
      </c>
      <c r="G426" s="25" t="str">
        <f t="array" ref="G426">IF($H426="","",IFERROR(INDEX('Game Records'!$M:$M,$H426),""))</f>
        <v/>
      </c>
      <c r="H426" s="8"/>
    </row>
    <row r="427" ht="24.0" customHeight="1">
      <c r="A427" s="21" t="str">
        <f t="shared" si="1"/>
        <v/>
      </c>
      <c r="B427" s="21" t="str">
        <f t="shared" si="2"/>
        <v/>
      </c>
      <c r="C427" s="25" t="str">
        <f t="array" ref="C427">IF($H427="","",IFERROR(INDEX('Game Records'!$A:$A,$H427),""))</f>
        <v/>
      </c>
      <c r="D427" s="25" t="str">
        <f t="array" ref="D427">IF($H427="","",IFERROR(INDEX('Game Records'!$U:$U,$H427),""))</f>
        <v/>
      </c>
      <c r="E427" s="25" t="str">
        <f t="shared" si="3"/>
        <v/>
      </c>
      <c r="F427" s="25" t="str">
        <f t="array" ref="F427">IF($H427="","",IF(OR(NOT(_xlfn.ISFORMULA(INDEX('Game Records'!$N:$N,$H427))),NOT(_xlfn.ISFORMULA(INDEX('Game Records'!$O:$O,$H427))),NOT(_xlfn.ISFORMULA(INDEX('Game Records'!$P:$P,$H427))),NOT(_xlfn.ISFORMULA(INDEX('Game Records'!$Q:$Q,$H427))),NOT(_xlfn.ISFORMULA(INDEX('Game Records'!$R:$R,$H427))),NOT(_xlfn.ISFORMULA(INDEX('Game Records'!$S:$S,$H427))),NOT(_xlfn.ISFORMULA(INDEX('Game Records'!$T:$T,$H427))),NOT(_xlfn.ISFORMULA(INDEX('Game Records'!$U:$U,$H427))),NOT(_xlfn.ISFORMULA(INDEX('Game Records'!$V:$V,$H427))),NOT(_xlfn.ISFORMULA(INDEX('Game Records'!$W:$W,$H427))),NOT(_xlfn.ISFORMULA(INDEX('Game Records'!$X:$X,$H427))),NOT(_xlfn.ISFORMULA(INDEX('Game Records'!$Y:$Y,$H427))),NOT(_xlfn.ISFORMULA(INDEX('Game Records'!$Z:$Z,$H427)))),"","")&amp;IF(INDEX('Game Records'!$B:$B,$H427)="","Start Date; ","")&amp;IF(INDEX('Game Records'!$C:$C,$H427)="","End Date; ","")&amp;IF(AND(INDEX('Game Records'!$U:$U,$H427)&lt;&gt;"Subscription",INDEX('Game Records'!$U:$U,$H427)&lt;&gt;"Free Game",INDEX('Game Records'!$U:$U,$H427)&lt;&gt;"Disqualified — Free Game",OR(INDEX('Game Records'!$D:$D,$H427)="",LOWER(INDEX('Game Records'!$D:$D,$H427)&amp;"")="n/a")),"Entry Mode; ","")&amp;IF(AND(INDEX('Game Records'!$U:$U,$H427)&lt;&gt;"Subscription",INDEX('Game Records'!$U:$U,$H427)&lt;&gt;"Free Game",INDEX('Game Records'!$U:$U,$H427)&lt;&gt;"Disqualified — Free Game",OR(INDEX('Game Records'!$E:$E,$H427)="",LOWER(INDEX('Game Records'!$E:$E,$H427)&amp;"")="n/a")),"Game Type; ","")&amp;IF(INDEX('Game Records'!$F:$F,$H427)="","Payment Type; ","")&amp;IF(AND(INDEX('Game Records'!$U:$U,$H427)&lt;&gt;"Subscription",INDEX('Game Records'!$U:$U,$H427)&lt;&gt;"Free Game",INDEX('Game Records'!$U:$U,$H427)&lt;&gt;"Disqualified — Free Game",INDEX('Game Records'!$G:$G,$H427)=""),"Gross Pot; ","")&amp;IF(AND(INDEX('Game Records'!$U:$U,$H427)&lt;&gt;"Free Game",INDEX('Game Records'!$U:$U,$H427)&lt;&gt;"Disqualified — Free Game",INDEX('Game Records'!$H:$H,$H427)=""),"Entry Fee; ","")&amp;IF(AND(INDEX('Game Records'!$U:$U,$H427)&lt;&gt;"Subscription",INDEX('Game Records'!$U:$U,$H427)&lt;&gt;"Free Game",INDEX('Game Records'!$U:$U,$H427)&lt;&gt;"Disqualified — Free Game",INDEX('Game Records'!$I:$I,$H427)=""),"Eligible Players; ","")&amp;IF(AND(INDEX('Game Records'!$U:$U,$H427)&lt;&gt;"Subscription",INDEX('Game Records'!$U:$U,$H427)&lt;&gt;"Free Game",INDEX('Game Records'!$U:$U,$H427)&lt;&gt;"Disqualified — Free Game",INDEX('Game Records'!$J:$J,$H427)=""),"Total Players; ","")&amp;IF(AND(LOWER(INDEX('Game Records'!$D:$D,$H427)&amp;"")="finalized",LOWER(INDEX('Game Records'!$L:$L,$H427)&amp;"")&lt;&gt;"yes",INDEX('Game Records'!$U:$U,$H427)&lt;&gt;"Subscription",INDEX('Game Records'!$U:$U,$H427)&lt;&gt;"Free Game",INDEX('Game Records'!$U:$U,$H427)&lt;&gt;"Disqualified — Free Game",INDEX('Game Records'!$K:$K,$H427)=""),"Final Payout; ","")&amp;IF(AND(LOWER(INDEX('Game Records'!$D:$D,$H427)&amp;"")="finalized",INDEX('Game Records'!$U:$U,$H427)&lt;&gt;"Subscription",INDEX('Game Records'!$U:$U,$H427)&lt;&gt;"Free Game",INDEX('Game Records'!$U:$U,$H427)&lt;&gt;"Disqualified — Free Game",OR(INDEX('Game Records'!$L:$L,$H427)="",LOWER(INDEX('Game Records'!$L:$L,$H427)&amp;"")="n/a")),"Disqualified Status; ",""))</f>
        <v/>
      </c>
      <c r="G427" s="25" t="str">
        <f t="array" ref="G427">IF($H427="","",IFERROR(INDEX('Game Records'!$M:$M,$H427),""))</f>
        <v/>
      </c>
      <c r="H427" s="8"/>
    </row>
    <row r="428" ht="24.0" customHeight="1">
      <c r="A428" s="21" t="str">
        <f t="shared" si="1"/>
        <v/>
      </c>
      <c r="B428" s="21" t="str">
        <f t="shared" si="2"/>
        <v/>
      </c>
      <c r="C428" s="25" t="str">
        <f t="array" ref="C428">IF($H428="","",IFERROR(INDEX('Game Records'!$A:$A,$H428),""))</f>
        <v/>
      </c>
      <c r="D428" s="25" t="str">
        <f t="array" ref="D428">IF($H428="","",IFERROR(INDEX('Game Records'!$U:$U,$H428),""))</f>
        <v/>
      </c>
      <c r="E428" s="25" t="str">
        <f t="shared" si="3"/>
        <v/>
      </c>
      <c r="F428" s="25" t="str">
        <f t="array" ref="F428">IF($H428="","",IF(OR(NOT(_xlfn.ISFORMULA(INDEX('Game Records'!$N:$N,$H428))),NOT(_xlfn.ISFORMULA(INDEX('Game Records'!$O:$O,$H428))),NOT(_xlfn.ISFORMULA(INDEX('Game Records'!$P:$P,$H428))),NOT(_xlfn.ISFORMULA(INDEX('Game Records'!$Q:$Q,$H428))),NOT(_xlfn.ISFORMULA(INDEX('Game Records'!$R:$R,$H428))),NOT(_xlfn.ISFORMULA(INDEX('Game Records'!$S:$S,$H428))),NOT(_xlfn.ISFORMULA(INDEX('Game Records'!$T:$T,$H428))),NOT(_xlfn.ISFORMULA(INDEX('Game Records'!$U:$U,$H428))),NOT(_xlfn.ISFORMULA(INDEX('Game Records'!$V:$V,$H428))),NOT(_xlfn.ISFORMULA(INDEX('Game Records'!$W:$W,$H428))),NOT(_xlfn.ISFORMULA(INDEX('Game Records'!$X:$X,$H428))),NOT(_xlfn.ISFORMULA(INDEX('Game Records'!$Y:$Y,$H428))),NOT(_xlfn.ISFORMULA(INDEX('Game Records'!$Z:$Z,$H428)))),"","")&amp;IF(INDEX('Game Records'!$B:$B,$H428)="","Start Date; ","")&amp;IF(INDEX('Game Records'!$C:$C,$H428)="","End Date; ","")&amp;IF(AND(INDEX('Game Records'!$U:$U,$H428)&lt;&gt;"Subscription",INDEX('Game Records'!$U:$U,$H428)&lt;&gt;"Free Game",INDEX('Game Records'!$U:$U,$H428)&lt;&gt;"Disqualified — Free Game",OR(INDEX('Game Records'!$D:$D,$H428)="",LOWER(INDEX('Game Records'!$D:$D,$H428)&amp;"")="n/a")),"Entry Mode; ","")&amp;IF(AND(INDEX('Game Records'!$U:$U,$H428)&lt;&gt;"Subscription",INDEX('Game Records'!$U:$U,$H428)&lt;&gt;"Free Game",INDEX('Game Records'!$U:$U,$H428)&lt;&gt;"Disqualified — Free Game",OR(INDEX('Game Records'!$E:$E,$H428)="",LOWER(INDEX('Game Records'!$E:$E,$H428)&amp;"")="n/a")),"Game Type; ","")&amp;IF(INDEX('Game Records'!$F:$F,$H428)="","Payment Type; ","")&amp;IF(AND(INDEX('Game Records'!$U:$U,$H428)&lt;&gt;"Subscription",INDEX('Game Records'!$U:$U,$H428)&lt;&gt;"Free Game",INDEX('Game Records'!$U:$U,$H428)&lt;&gt;"Disqualified — Free Game",INDEX('Game Records'!$G:$G,$H428)=""),"Gross Pot; ","")&amp;IF(AND(INDEX('Game Records'!$U:$U,$H428)&lt;&gt;"Free Game",INDEX('Game Records'!$U:$U,$H428)&lt;&gt;"Disqualified — Free Game",INDEX('Game Records'!$H:$H,$H428)=""),"Entry Fee; ","")&amp;IF(AND(INDEX('Game Records'!$U:$U,$H428)&lt;&gt;"Subscription",INDEX('Game Records'!$U:$U,$H428)&lt;&gt;"Free Game",INDEX('Game Records'!$U:$U,$H428)&lt;&gt;"Disqualified — Free Game",INDEX('Game Records'!$I:$I,$H428)=""),"Eligible Players; ","")&amp;IF(AND(INDEX('Game Records'!$U:$U,$H428)&lt;&gt;"Subscription",INDEX('Game Records'!$U:$U,$H428)&lt;&gt;"Free Game",INDEX('Game Records'!$U:$U,$H428)&lt;&gt;"Disqualified — Free Game",INDEX('Game Records'!$J:$J,$H428)=""),"Total Players; ","")&amp;IF(AND(LOWER(INDEX('Game Records'!$D:$D,$H428)&amp;"")="finalized",LOWER(INDEX('Game Records'!$L:$L,$H428)&amp;"")&lt;&gt;"yes",INDEX('Game Records'!$U:$U,$H428)&lt;&gt;"Subscription",INDEX('Game Records'!$U:$U,$H428)&lt;&gt;"Free Game",INDEX('Game Records'!$U:$U,$H428)&lt;&gt;"Disqualified — Free Game",INDEX('Game Records'!$K:$K,$H428)=""),"Final Payout; ","")&amp;IF(AND(LOWER(INDEX('Game Records'!$D:$D,$H428)&amp;"")="finalized",INDEX('Game Records'!$U:$U,$H428)&lt;&gt;"Subscription",INDEX('Game Records'!$U:$U,$H428)&lt;&gt;"Free Game",INDEX('Game Records'!$U:$U,$H428)&lt;&gt;"Disqualified — Free Game",OR(INDEX('Game Records'!$L:$L,$H428)="",LOWER(INDEX('Game Records'!$L:$L,$H428)&amp;"")="n/a")),"Disqualified Status; ",""))</f>
        <v/>
      </c>
      <c r="G428" s="25" t="str">
        <f t="array" ref="G428">IF($H428="","",IFERROR(INDEX('Game Records'!$M:$M,$H428),""))</f>
        <v/>
      </c>
      <c r="H428" s="8"/>
    </row>
    <row r="429" ht="24.0" customHeight="1">
      <c r="A429" s="21" t="str">
        <f t="shared" si="1"/>
        <v/>
      </c>
      <c r="B429" s="21" t="str">
        <f t="shared" si="2"/>
        <v/>
      </c>
      <c r="C429" s="25" t="str">
        <f t="array" ref="C429">IF($H429="","",IFERROR(INDEX('Game Records'!$A:$A,$H429),""))</f>
        <v/>
      </c>
      <c r="D429" s="25" t="str">
        <f t="array" ref="D429">IF($H429="","",IFERROR(INDEX('Game Records'!$U:$U,$H429),""))</f>
        <v/>
      </c>
      <c r="E429" s="25" t="str">
        <f t="shared" si="3"/>
        <v/>
      </c>
      <c r="F429" s="25" t="str">
        <f t="array" ref="F429">IF($H429="","",IF(OR(NOT(_xlfn.ISFORMULA(INDEX('Game Records'!$N:$N,$H429))),NOT(_xlfn.ISFORMULA(INDEX('Game Records'!$O:$O,$H429))),NOT(_xlfn.ISFORMULA(INDEX('Game Records'!$P:$P,$H429))),NOT(_xlfn.ISFORMULA(INDEX('Game Records'!$Q:$Q,$H429))),NOT(_xlfn.ISFORMULA(INDEX('Game Records'!$R:$R,$H429))),NOT(_xlfn.ISFORMULA(INDEX('Game Records'!$S:$S,$H429))),NOT(_xlfn.ISFORMULA(INDEX('Game Records'!$T:$T,$H429))),NOT(_xlfn.ISFORMULA(INDEX('Game Records'!$U:$U,$H429))),NOT(_xlfn.ISFORMULA(INDEX('Game Records'!$V:$V,$H429))),NOT(_xlfn.ISFORMULA(INDEX('Game Records'!$W:$W,$H429))),NOT(_xlfn.ISFORMULA(INDEX('Game Records'!$X:$X,$H429))),NOT(_xlfn.ISFORMULA(INDEX('Game Records'!$Y:$Y,$H429))),NOT(_xlfn.ISFORMULA(INDEX('Game Records'!$Z:$Z,$H429)))),"","")&amp;IF(INDEX('Game Records'!$B:$B,$H429)="","Start Date; ","")&amp;IF(INDEX('Game Records'!$C:$C,$H429)="","End Date; ","")&amp;IF(AND(INDEX('Game Records'!$U:$U,$H429)&lt;&gt;"Subscription",INDEX('Game Records'!$U:$U,$H429)&lt;&gt;"Free Game",INDEX('Game Records'!$U:$U,$H429)&lt;&gt;"Disqualified — Free Game",OR(INDEX('Game Records'!$D:$D,$H429)="",LOWER(INDEX('Game Records'!$D:$D,$H429)&amp;"")="n/a")),"Entry Mode; ","")&amp;IF(AND(INDEX('Game Records'!$U:$U,$H429)&lt;&gt;"Subscription",INDEX('Game Records'!$U:$U,$H429)&lt;&gt;"Free Game",INDEX('Game Records'!$U:$U,$H429)&lt;&gt;"Disqualified — Free Game",OR(INDEX('Game Records'!$E:$E,$H429)="",LOWER(INDEX('Game Records'!$E:$E,$H429)&amp;"")="n/a")),"Game Type; ","")&amp;IF(INDEX('Game Records'!$F:$F,$H429)="","Payment Type; ","")&amp;IF(AND(INDEX('Game Records'!$U:$U,$H429)&lt;&gt;"Subscription",INDEX('Game Records'!$U:$U,$H429)&lt;&gt;"Free Game",INDEX('Game Records'!$U:$U,$H429)&lt;&gt;"Disqualified — Free Game",INDEX('Game Records'!$G:$G,$H429)=""),"Gross Pot; ","")&amp;IF(AND(INDEX('Game Records'!$U:$U,$H429)&lt;&gt;"Free Game",INDEX('Game Records'!$U:$U,$H429)&lt;&gt;"Disqualified — Free Game",INDEX('Game Records'!$H:$H,$H429)=""),"Entry Fee; ","")&amp;IF(AND(INDEX('Game Records'!$U:$U,$H429)&lt;&gt;"Subscription",INDEX('Game Records'!$U:$U,$H429)&lt;&gt;"Free Game",INDEX('Game Records'!$U:$U,$H429)&lt;&gt;"Disqualified — Free Game",INDEX('Game Records'!$I:$I,$H429)=""),"Eligible Players; ","")&amp;IF(AND(INDEX('Game Records'!$U:$U,$H429)&lt;&gt;"Subscription",INDEX('Game Records'!$U:$U,$H429)&lt;&gt;"Free Game",INDEX('Game Records'!$U:$U,$H429)&lt;&gt;"Disqualified — Free Game",INDEX('Game Records'!$J:$J,$H429)=""),"Total Players; ","")&amp;IF(AND(LOWER(INDEX('Game Records'!$D:$D,$H429)&amp;"")="finalized",LOWER(INDEX('Game Records'!$L:$L,$H429)&amp;"")&lt;&gt;"yes",INDEX('Game Records'!$U:$U,$H429)&lt;&gt;"Subscription",INDEX('Game Records'!$U:$U,$H429)&lt;&gt;"Free Game",INDEX('Game Records'!$U:$U,$H429)&lt;&gt;"Disqualified — Free Game",INDEX('Game Records'!$K:$K,$H429)=""),"Final Payout; ","")&amp;IF(AND(LOWER(INDEX('Game Records'!$D:$D,$H429)&amp;"")="finalized",INDEX('Game Records'!$U:$U,$H429)&lt;&gt;"Subscription",INDEX('Game Records'!$U:$U,$H429)&lt;&gt;"Free Game",INDEX('Game Records'!$U:$U,$H429)&lt;&gt;"Disqualified — Free Game",OR(INDEX('Game Records'!$L:$L,$H429)="",LOWER(INDEX('Game Records'!$L:$L,$H429)&amp;"")="n/a")),"Disqualified Status; ",""))</f>
        <v/>
      </c>
      <c r="G429" s="25" t="str">
        <f t="array" ref="G429">IF($H429="","",IFERROR(INDEX('Game Records'!$M:$M,$H429),""))</f>
        <v/>
      </c>
      <c r="H429" s="8"/>
    </row>
    <row r="430" ht="24.0" customHeight="1">
      <c r="A430" s="21" t="str">
        <f t="shared" si="1"/>
        <v/>
      </c>
      <c r="B430" s="21" t="str">
        <f t="shared" si="2"/>
        <v/>
      </c>
      <c r="C430" s="25" t="str">
        <f t="array" ref="C430">IF($H430="","",IFERROR(INDEX('Game Records'!$A:$A,$H430),""))</f>
        <v/>
      </c>
      <c r="D430" s="25" t="str">
        <f t="array" ref="D430">IF($H430="","",IFERROR(INDEX('Game Records'!$U:$U,$H430),""))</f>
        <v/>
      </c>
      <c r="E430" s="25" t="str">
        <f t="shared" si="3"/>
        <v/>
      </c>
      <c r="F430" s="25" t="str">
        <f t="array" ref="F430">IF($H430="","",IF(OR(NOT(_xlfn.ISFORMULA(INDEX('Game Records'!$N:$N,$H430))),NOT(_xlfn.ISFORMULA(INDEX('Game Records'!$O:$O,$H430))),NOT(_xlfn.ISFORMULA(INDEX('Game Records'!$P:$P,$H430))),NOT(_xlfn.ISFORMULA(INDEX('Game Records'!$Q:$Q,$H430))),NOT(_xlfn.ISFORMULA(INDEX('Game Records'!$R:$R,$H430))),NOT(_xlfn.ISFORMULA(INDEX('Game Records'!$S:$S,$H430))),NOT(_xlfn.ISFORMULA(INDEX('Game Records'!$T:$T,$H430))),NOT(_xlfn.ISFORMULA(INDEX('Game Records'!$U:$U,$H430))),NOT(_xlfn.ISFORMULA(INDEX('Game Records'!$V:$V,$H430))),NOT(_xlfn.ISFORMULA(INDEX('Game Records'!$W:$W,$H430))),NOT(_xlfn.ISFORMULA(INDEX('Game Records'!$X:$X,$H430))),NOT(_xlfn.ISFORMULA(INDEX('Game Records'!$Y:$Y,$H430))),NOT(_xlfn.ISFORMULA(INDEX('Game Records'!$Z:$Z,$H430)))),"","")&amp;IF(INDEX('Game Records'!$B:$B,$H430)="","Start Date; ","")&amp;IF(INDEX('Game Records'!$C:$C,$H430)="","End Date; ","")&amp;IF(AND(INDEX('Game Records'!$U:$U,$H430)&lt;&gt;"Subscription",INDEX('Game Records'!$U:$U,$H430)&lt;&gt;"Free Game",INDEX('Game Records'!$U:$U,$H430)&lt;&gt;"Disqualified — Free Game",OR(INDEX('Game Records'!$D:$D,$H430)="",LOWER(INDEX('Game Records'!$D:$D,$H430)&amp;"")="n/a")),"Entry Mode; ","")&amp;IF(AND(INDEX('Game Records'!$U:$U,$H430)&lt;&gt;"Subscription",INDEX('Game Records'!$U:$U,$H430)&lt;&gt;"Free Game",INDEX('Game Records'!$U:$U,$H430)&lt;&gt;"Disqualified — Free Game",OR(INDEX('Game Records'!$E:$E,$H430)="",LOWER(INDEX('Game Records'!$E:$E,$H430)&amp;"")="n/a")),"Game Type; ","")&amp;IF(INDEX('Game Records'!$F:$F,$H430)="","Payment Type; ","")&amp;IF(AND(INDEX('Game Records'!$U:$U,$H430)&lt;&gt;"Subscription",INDEX('Game Records'!$U:$U,$H430)&lt;&gt;"Free Game",INDEX('Game Records'!$U:$U,$H430)&lt;&gt;"Disqualified — Free Game",INDEX('Game Records'!$G:$G,$H430)=""),"Gross Pot; ","")&amp;IF(AND(INDEX('Game Records'!$U:$U,$H430)&lt;&gt;"Free Game",INDEX('Game Records'!$U:$U,$H430)&lt;&gt;"Disqualified — Free Game",INDEX('Game Records'!$H:$H,$H430)=""),"Entry Fee; ","")&amp;IF(AND(INDEX('Game Records'!$U:$U,$H430)&lt;&gt;"Subscription",INDEX('Game Records'!$U:$U,$H430)&lt;&gt;"Free Game",INDEX('Game Records'!$U:$U,$H430)&lt;&gt;"Disqualified — Free Game",INDEX('Game Records'!$I:$I,$H430)=""),"Eligible Players; ","")&amp;IF(AND(INDEX('Game Records'!$U:$U,$H430)&lt;&gt;"Subscription",INDEX('Game Records'!$U:$U,$H430)&lt;&gt;"Free Game",INDEX('Game Records'!$U:$U,$H430)&lt;&gt;"Disqualified — Free Game",INDEX('Game Records'!$J:$J,$H430)=""),"Total Players; ","")&amp;IF(AND(LOWER(INDEX('Game Records'!$D:$D,$H430)&amp;"")="finalized",LOWER(INDEX('Game Records'!$L:$L,$H430)&amp;"")&lt;&gt;"yes",INDEX('Game Records'!$U:$U,$H430)&lt;&gt;"Subscription",INDEX('Game Records'!$U:$U,$H430)&lt;&gt;"Free Game",INDEX('Game Records'!$U:$U,$H430)&lt;&gt;"Disqualified — Free Game",INDEX('Game Records'!$K:$K,$H430)=""),"Final Payout; ","")&amp;IF(AND(LOWER(INDEX('Game Records'!$D:$D,$H430)&amp;"")="finalized",INDEX('Game Records'!$U:$U,$H430)&lt;&gt;"Subscription",INDEX('Game Records'!$U:$U,$H430)&lt;&gt;"Free Game",INDEX('Game Records'!$U:$U,$H430)&lt;&gt;"Disqualified — Free Game",OR(INDEX('Game Records'!$L:$L,$H430)="",LOWER(INDEX('Game Records'!$L:$L,$H430)&amp;"")="n/a")),"Disqualified Status; ",""))</f>
        <v/>
      </c>
      <c r="G430" s="25" t="str">
        <f t="array" ref="G430">IF($H430="","",IFERROR(INDEX('Game Records'!$M:$M,$H430),""))</f>
        <v/>
      </c>
      <c r="H430" s="8"/>
    </row>
    <row r="431" ht="24.0" customHeight="1">
      <c r="A431" s="21" t="str">
        <f t="shared" si="1"/>
        <v/>
      </c>
      <c r="B431" s="21" t="str">
        <f t="shared" si="2"/>
        <v/>
      </c>
      <c r="C431" s="25" t="str">
        <f t="array" ref="C431">IF($H431="","",IFERROR(INDEX('Game Records'!$A:$A,$H431),""))</f>
        <v/>
      </c>
      <c r="D431" s="25" t="str">
        <f t="array" ref="D431">IF($H431="","",IFERROR(INDEX('Game Records'!$U:$U,$H431),""))</f>
        <v/>
      </c>
      <c r="E431" s="25" t="str">
        <f t="shared" si="3"/>
        <v/>
      </c>
      <c r="F431" s="25" t="str">
        <f t="array" ref="F431">IF($H431="","",IF(OR(NOT(_xlfn.ISFORMULA(INDEX('Game Records'!$N:$N,$H431))),NOT(_xlfn.ISFORMULA(INDEX('Game Records'!$O:$O,$H431))),NOT(_xlfn.ISFORMULA(INDEX('Game Records'!$P:$P,$H431))),NOT(_xlfn.ISFORMULA(INDEX('Game Records'!$Q:$Q,$H431))),NOT(_xlfn.ISFORMULA(INDEX('Game Records'!$R:$R,$H431))),NOT(_xlfn.ISFORMULA(INDEX('Game Records'!$S:$S,$H431))),NOT(_xlfn.ISFORMULA(INDEX('Game Records'!$T:$T,$H431))),NOT(_xlfn.ISFORMULA(INDEX('Game Records'!$U:$U,$H431))),NOT(_xlfn.ISFORMULA(INDEX('Game Records'!$V:$V,$H431))),NOT(_xlfn.ISFORMULA(INDEX('Game Records'!$W:$W,$H431))),NOT(_xlfn.ISFORMULA(INDEX('Game Records'!$X:$X,$H431))),NOT(_xlfn.ISFORMULA(INDEX('Game Records'!$Y:$Y,$H431))),NOT(_xlfn.ISFORMULA(INDEX('Game Records'!$Z:$Z,$H431)))),"","")&amp;IF(INDEX('Game Records'!$B:$B,$H431)="","Start Date; ","")&amp;IF(INDEX('Game Records'!$C:$C,$H431)="","End Date; ","")&amp;IF(AND(INDEX('Game Records'!$U:$U,$H431)&lt;&gt;"Subscription",INDEX('Game Records'!$U:$U,$H431)&lt;&gt;"Free Game",INDEX('Game Records'!$U:$U,$H431)&lt;&gt;"Disqualified — Free Game",OR(INDEX('Game Records'!$D:$D,$H431)="",LOWER(INDEX('Game Records'!$D:$D,$H431)&amp;"")="n/a")),"Entry Mode; ","")&amp;IF(AND(INDEX('Game Records'!$U:$U,$H431)&lt;&gt;"Subscription",INDEX('Game Records'!$U:$U,$H431)&lt;&gt;"Free Game",INDEX('Game Records'!$U:$U,$H431)&lt;&gt;"Disqualified — Free Game",OR(INDEX('Game Records'!$E:$E,$H431)="",LOWER(INDEX('Game Records'!$E:$E,$H431)&amp;"")="n/a")),"Game Type; ","")&amp;IF(INDEX('Game Records'!$F:$F,$H431)="","Payment Type; ","")&amp;IF(AND(INDEX('Game Records'!$U:$U,$H431)&lt;&gt;"Subscription",INDEX('Game Records'!$U:$U,$H431)&lt;&gt;"Free Game",INDEX('Game Records'!$U:$U,$H431)&lt;&gt;"Disqualified — Free Game",INDEX('Game Records'!$G:$G,$H431)=""),"Gross Pot; ","")&amp;IF(AND(INDEX('Game Records'!$U:$U,$H431)&lt;&gt;"Free Game",INDEX('Game Records'!$U:$U,$H431)&lt;&gt;"Disqualified — Free Game",INDEX('Game Records'!$H:$H,$H431)=""),"Entry Fee; ","")&amp;IF(AND(INDEX('Game Records'!$U:$U,$H431)&lt;&gt;"Subscription",INDEX('Game Records'!$U:$U,$H431)&lt;&gt;"Free Game",INDEX('Game Records'!$U:$U,$H431)&lt;&gt;"Disqualified — Free Game",INDEX('Game Records'!$I:$I,$H431)=""),"Eligible Players; ","")&amp;IF(AND(INDEX('Game Records'!$U:$U,$H431)&lt;&gt;"Subscription",INDEX('Game Records'!$U:$U,$H431)&lt;&gt;"Free Game",INDEX('Game Records'!$U:$U,$H431)&lt;&gt;"Disqualified — Free Game",INDEX('Game Records'!$J:$J,$H431)=""),"Total Players; ","")&amp;IF(AND(LOWER(INDEX('Game Records'!$D:$D,$H431)&amp;"")="finalized",LOWER(INDEX('Game Records'!$L:$L,$H431)&amp;"")&lt;&gt;"yes",INDEX('Game Records'!$U:$U,$H431)&lt;&gt;"Subscription",INDEX('Game Records'!$U:$U,$H431)&lt;&gt;"Free Game",INDEX('Game Records'!$U:$U,$H431)&lt;&gt;"Disqualified — Free Game",INDEX('Game Records'!$K:$K,$H431)=""),"Final Payout; ","")&amp;IF(AND(LOWER(INDEX('Game Records'!$D:$D,$H431)&amp;"")="finalized",INDEX('Game Records'!$U:$U,$H431)&lt;&gt;"Subscription",INDEX('Game Records'!$U:$U,$H431)&lt;&gt;"Free Game",INDEX('Game Records'!$U:$U,$H431)&lt;&gt;"Disqualified — Free Game",OR(INDEX('Game Records'!$L:$L,$H431)="",LOWER(INDEX('Game Records'!$L:$L,$H431)&amp;"")="n/a")),"Disqualified Status; ",""))</f>
        <v/>
      </c>
      <c r="G431" s="25" t="str">
        <f t="array" ref="G431">IF($H431="","",IFERROR(INDEX('Game Records'!$M:$M,$H431),""))</f>
        <v/>
      </c>
      <c r="H431" s="8"/>
    </row>
    <row r="432" ht="24.0" customHeight="1">
      <c r="A432" s="21" t="str">
        <f t="shared" si="1"/>
        <v/>
      </c>
      <c r="B432" s="21" t="str">
        <f t="shared" si="2"/>
        <v/>
      </c>
      <c r="C432" s="25" t="str">
        <f t="array" ref="C432">IF($H432="","",IFERROR(INDEX('Game Records'!$A:$A,$H432),""))</f>
        <v/>
      </c>
      <c r="D432" s="25" t="str">
        <f t="array" ref="D432">IF($H432="","",IFERROR(INDEX('Game Records'!$U:$U,$H432),""))</f>
        <v/>
      </c>
      <c r="E432" s="25" t="str">
        <f t="shared" si="3"/>
        <v/>
      </c>
      <c r="F432" s="25" t="str">
        <f t="array" ref="F432">IF($H432="","",IF(OR(NOT(_xlfn.ISFORMULA(INDEX('Game Records'!$N:$N,$H432))),NOT(_xlfn.ISFORMULA(INDEX('Game Records'!$O:$O,$H432))),NOT(_xlfn.ISFORMULA(INDEX('Game Records'!$P:$P,$H432))),NOT(_xlfn.ISFORMULA(INDEX('Game Records'!$Q:$Q,$H432))),NOT(_xlfn.ISFORMULA(INDEX('Game Records'!$R:$R,$H432))),NOT(_xlfn.ISFORMULA(INDEX('Game Records'!$S:$S,$H432))),NOT(_xlfn.ISFORMULA(INDEX('Game Records'!$T:$T,$H432))),NOT(_xlfn.ISFORMULA(INDEX('Game Records'!$U:$U,$H432))),NOT(_xlfn.ISFORMULA(INDEX('Game Records'!$V:$V,$H432))),NOT(_xlfn.ISFORMULA(INDEX('Game Records'!$W:$W,$H432))),NOT(_xlfn.ISFORMULA(INDEX('Game Records'!$X:$X,$H432))),NOT(_xlfn.ISFORMULA(INDEX('Game Records'!$Y:$Y,$H432))),NOT(_xlfn.ISFORMULA(INDEX('Game Records'!$Z:$Z,$H432)))),"","")&amp;IF(INDEX('Game Records'!$B:$B,$H432)="","Start Date; ","")&amp;IF(INDEX('Game Records'!$C:$C,$H432)="","End Date; ","")&amp;IF(AND(INDEX('Game Records'!$U:$U,$H432)&lt;&gt;"Subscription",INDEX('Game Records'!$U:$U,$H432)&lt;&gt;"Free Game",INDEX('Game Records'!$U:$U,$H432)&lt;&gt;"Disqualified — Free Game",OR(INDEX('Game Records'!$D:$D,$H432)="",LOWER(INDEX('Game Records'!$D:$D,$H432)&amp;"")="n/a")),"Entry Mode; ","")&amp;IF(AND(INDEX('Game Records'!$U:$U,$H432)&lt;&gt;"Subscription",INDEX('Game Records'!$U:$U,$H432)&lt;&gt;"Free Game",INDEX('Game Records'!$U:$U,$H432)&lt;&gt;"Disqualified — Free Game",OR(INDEX('Game Records'!$E:$E,$H432)="",LOWER(INDEX('Game Records'!$E:$E,$H432)&amp;"")="n/a")),"Game Type; ","")&amp;IF(INDEX('Game Records'!$F:$F,$H432)="","Payment Type; ","")&amp;IF(AND(INDEX('Game Records'!$U:$U,$H432)&lt;&gt;"Subscription",INDEX('Game Records'!$U:$U,$H432)&lt;&gt;"Free Game",INDEX('Game Records'!$U:$U,$H432)&lt;&gt;"Disqualified — Free Game",INDEX('Game Records'!$G:$G,$H432)=""),"Gross Pot; ","")&amp;IF(AND(INDEX('Game Records'!$U:$U,$H432)&lt;&gt;"Free Game",INDEX('Game Records'!$U:$U,$H432)&lt;&gt;"Disqualified — Free Game",INDEX('Game Records'!$H:$H,$H432)=""),"Entry Fee; ","")&amp;IF(AND(INDEX('Game Records'!$U:$U,$H432)&lt;&gt;"Subscription",INDEX('Game Records'!$U:$U,$H432)&lt;&gt;"Free Game",INDEX('Game Records'!$U:$U,$H432)&lt;&gt;"Disqualified — Free Game",INDEX('Game Records'!$I:$I,$H432)=""),"Eligible Players; ","")&amp;IF(AND(INDEX('Game Records'!$U:$U,$H432)&lt;&gt;"Subscription",INDEX('Game Records'!$U:$U,$H432)&lt;&gt;"Free Game",INDEX('Game Records'!$U:$U,$H432)&lt;&gt;"Disqualified — Free Game",INDEX('Game Records'!$J:$J,$H432)=""),"Total Players; ","")&amp;IF(AND(LOWER(INDEX('Game Records'!$D:$D,$H432)&amp;"")="finalized",LOWER(INDEX('Game Records'!$L:$L,$H432)&amp;"")&lt;&gt;"yes",INDEX('Game Records'!$U:$U,$H432)&lt;&gt;"Subscription",INDEX('Game Records'!$U:$U,$H432)&lt;&gt;"Free Game",INDEX('Game Records'!$U:$U,$H432)&lt;&gt;"Disqualified — Free Game",INDEX('Game Records'!$K:$K,$H432)=""),"Final Payout; ","")&amp;IF(AND(LOWER(INDEX('Game Records'!$D:$D,$H432)&amp;"")="finalized",INDEX('Game Records'!$U:$U,$H432)&lt;&gt;"Subscription",INDEX('Game Records'!$U:$U,$H432)&lt;&gt;"Free Game",INDEX('Game Records'!$U:$U,$H432)&lt;&gt;"Disqualified — Free Game",OR(INDEX('Game Records'!$L:$L,$H432)="",LOWER(INDEX('Game Records'!$L:$L,$H432)&amp;"")="n/a")),"Disqualified Status; ",""))</f>
        <v/>
      </c>
      <c r="G432" s="25" t="str">
        <f t="array" ref="G432">IF($H432="","",IFERROR(INDEX('Game Records'!$M:$M,$H432),""))</f>
        <v/>
      </c>
      <c r="H432" s="8"/>
    </row>
    <row r="433" ht="24.0" customHeight="1">
      <c r="A433" s="21" t="str">
        <f t="shared" si="1"/>
        <v/>
      </c>
      <c r="B433" s="21" t="str">
        <f t="shared" si="2"/>
        <v/>
      </c>
      <c r="C433" s="25" t="str">
        <f t="array" ref="C433">IF($H433="","",IFERROR(INDEX('Game Records'!$A:$A,$H433),""))</f>
        <v/>
      </c>
      <c r="D433" s="25" t="str">
        <f t="array" ref="D433">IF($H433="","",IFERROR(INDEX('Game Records'!$U:$U,$H433),""))</f>
        <v/>
      </c>
      <c r="E433" s="25" t="str">
        <f t="shared" si="3"/>
        <v/>
      </c>
      <c r="F433" s="25" t="str">
        <f t="array" ref="F433">IF($H433="","",IF(OR(NOT(_xlfn.ISFORMULA(INDEX('Game Records'!$N:$N,$H433))),NOT(_xlfn.ISFORMULA(INDEX('Game Records'!$O:$O,$H433))),NOT(_xlfn.ISFORMULA(INDEX('Game Records'!$P:$P,$H433))),NOT(_xlfn.ISFORMULA(INDEX('Game Records'!$Q:$Q,$H433))),NOT(_xlfn.ISFORMULA(INDEX('Game Records'!$R:$R,$H433))),NOT(_xlfn.ISFORMULA(INDEX('Game Records'!$S:$S,$H433))),NOT(_xlfn.ISFORMULA(INDEX('Game Records'!$T:$T,$H433))),NOT(_xlfn.ISFORMULA(INDEX('Game Records'!$U:$U,$H433))),NOT(_xlfn.ISFORMULA(INDEX('Game Records'!$V:$V,$H433))),NOT(_xlfn.ISFORMULA(INDEX('Game Records'!$W:$W,$H433))),NOT(_xlfn.ISFORMULA(INDEX('Game Records'!$X:$X,$H433))),NOT(_xlfn.ISFORMULA(INDEX('Game Records'!$Y:$Y,$H433))),NOT(_xlfn.ISFORMULA(INDEX('Game Records'!$Z:$Z,$H433)))),"","")&amp;IF(INDEX('Game Records'!$B:$B,$H433)="","Start Date; ","")&amp;IF(INDEX('Game Records'!$C:$C,$H433)="","End Date; ","")&amp;IF(AND(INDEX('Game Records'!$U:$U,$H433)&lt;&gt;"Subscription",INDEX('Game Records'!$U:$U,$H433)&lt;&gt;"Free Game",INDEX('Game Records'!$U:$U,$H433)&lt;&gt;"Disqualified — Free Game",OR(INDEX('Game Records'!$D:$D,$H433)="",LOWER(INDEX('Game Records'!$D:$D,$H433)&amp;"")="n/a")),"Entry Mode; ","")&amp;IF(AND(INDEX('Game Records'!$U:$U,$H433)&lt;&gt;"Subscription",INDEX('Game Records'!$U:$U,$H433)&lt;&gt;"Free Game",INDEX('Game Records'!$U:$U,$H433)&lt;&gt;"Disqualified — Free Game",OR(INDEX('Game Records'!$E:$E,$H433)="",LOWER(INDEX('Game Records'!$E:$E,$H433)&amp;"")="n/a")),"Game Type; ","")&amp;IF(INDEX('Game Records'!$F:$F,$H433)="","Payment Type; ","")&amp;IF(AND(INDEX('Game Records'!$U:$U,$H433)&lt;&gt;"Subscription",INDEX('Game Records'!$U:$U,$H433)&lt;&gt;"Free Game",INDEX('Game Records'!$U:$U,$H433)&lt;&gt;"Disqualified — Free Game",INDEX('Game Records'!$G:$G,$H433)=""),"Gross Pot; ","")&amp;IF(AND(INDEX('Game Records'!$U:$U,$H433)&lt;&gt;"Free Game",INDEX('Game Records'!$U:$U,$H433)&lt;&gt;"Disqualified — Free Game",INDEX('Game Records'!$H:$H,$H433)=""),"Entry Fee; ","")&amp;IF(AND(INDEX('Game Records'!$U:$U,$H433)&lt;&gt;"Subscription",INDEX('Game Records'!$U:$U,$H433)&lt;&gt;"Free Game",INDEX('Game Records'!$U:$U,$H433)&lt;&gt;"Disqualified — Free Game",INDEX('Game Records'!$I:$I,$H433)=""),"Eligible Players; ","")&amp;IF(AND(INDEX('Game Records'!$U:$U,$H433)&lt;&gt;"Subscription",INDEX('Game Records'!$U:$U,$H433)&lt;&gt;"Free Game",INDEX('Game Records'!$U:$U,$H433)&lt;&gt;"Disqualified — Free Game",INDEX('Game Records'!$J:$J,$H433)=""),"Total Players; ","")&amp;IF(AND(LOWER(INDEX('Game Records'!$D:$D,$H433)&amp;"")="finalized",LOWER(INDEX('Game Records'!$L:$L,$H433)&amp;"")&lt;&gt;"yes",INDEX('Game Records'!$U:$U,$H433)&lt;&gt;"Subscription",INDEX('Game Records'!$U:$U,$H433)&lt;&gt;"Free Game",INDEX('Game Records'!$U:$U,$H433)&lt;&gt;"Disqualified — Free Game",INDEX('Game Records'!$K:$K,$H433)=""),"Final Payout; ","")&amp;IF(AND(LOWER(INDEX('Game Records'!$D:$D,$H433)&amp;"")="finalized",INDEX('Game Records'!$U:$U,$H433)&lt;&gt;"Subscription",INDEX('Game Records'!$U:$U,$H433)&lt;&gt;"Free Game",INDEX('Game Records'!$U:$U,$H433)&lt;&gt;"Disqualified — Free Game",OR(INDEX('Game Records'!$L:$L,$H433)="",LOWER(INDEX('Game Records'!$L:$L,$H433)&amp;"")="n/a")),"Disqualified Status; ",""))</f>
        <v/>
      </c>
      <c r="G433" s="25" t="str">
        <f t="array" ref="G433">IF($H433="","",IFERROR(INDEX('Game Records'!$M:$M,$H433),""))</f>
        <v/>
      </c>
      <c r="H433" s="8"/>
    </row>
    <row r="434" ht="24.0" customHeight="1">
      <c r="A434" s="21" t="str">
        <f t="shared" si="1"/>
        <v/>
      </c>
      <c r="B434" s="21" t="str">
        <f t="shared" si="2"/>
        <v/>
      </c>
      <c r="C434" s="25" t="str">
        <f t="array" ref="C434">IF($H434="","",IFERROR(INDEX('Game Records'!$A:$A,$H434),""))</f>
        <v/>
      </c>
      <c r="D434" s="25" t="str">
        <f t="array" ref="D434">IF($H434="","",IFERROR(INDEX('Game Records'!$U:$U,$H434),""))</f>
        <v/>
      </c>
      <c r="E434" s="25" t="str">
        <f t="shared" si="3"/>
        <v/>
      </c>
      <c r="F434" s="25" t="str">
        <f t="array" ref="F434">IF($H434="","",IF(OR(NOT(_xlfn.ISFORMULA(INDEX('Game Records'!$N:$N,$H434))),NOT(_xlfn.ISFORMULA(INDEX('Game Records'!$O:$O,$H434))),NOT(_xlfn.ISFORMULA(INDEX('Game Records'!$P:$P,$H434))),NOT(_xlfn.ISFORMULA(INDEX('Game Records'!$Q:$Q,$H434))),NOT(_xlfn.ISFORMULA(INDEX('Game Records'!$R:$R,$H434))),NOT(_xlfn.ISFORMULA(INDEX('Game Records'!$S:$S,$H434))),NOT(_xlfn.ISFORMULA(INDEX('Game Records'!$T:$T,$H434))),NOT(_xlfn.ISFORMULA(INDEX('Game Records'!$U:$U,$H434))),NOT(_xlfn.ISFORMULA(INDEX('Game Records'!$V:$V,$H434))),NOT(_xlfn.ISFORMULA(INDEX('Game Records'!$W:$W,$H434))),NOT(_xlfn.ISFORMULA(INDEX('Game Records'!$X:$X,$H434))),NOT(_xlfn.ISFORMULA(INDEX('Game Records'!$Y:$Y,$H434))),NOT(_xlfn.ISFORMULA(INDEX('Game Records'!$Z:$Z,$H434)))),"","")&amp;IF(INDEX('Game Records'!$B:$B,$H434)="","Start Date; ","")&amp;IF(INDEX('Game Records'!$C:$C,$H434)="","End Date; ","")&amp;IF(AND(INDEX('Game Records'!$U:$U,$H434)&lt;&gt;"Subscription",INDEX('Game Records'!$U:$U,$H434)&lt;&gt;"Free Game",INDEX('Game Records'!$U:$U,$H434)&lt;&gt;"Disqualified — Free Game",OR(INDEX('Game Records'!$D:$D,$H434)="",LOWER(INDEX('Game Records'!$D:$D,$H434)&amp;"")="n/a")),"Entry Mode; ","")&amp;IF(AND(INDEX('Game Records'!$U:$U,$H434)&lt;&gt;"Subscription",INDEX('Game Records'!$U:$U,$H434)&lt;&gt;"Free Game",INDEX('Game Records'!$U:$U,$H434)&lt;&gt;"Disqualified — Free Game",OR(INDEX('Game Records'!$E:$E,$H434)="",LOWER(INDEX('Game Records'!$E:$E,$H434)&amp;"")="n/a")),"Game Type; ","")&amp;IF(INDEX('Game Records'!$F:$F,$H434)="","Payment Type; ","")&amp;IF(AND(INDEX('Game Records'!$U:$U,$H434)&lt;&gt;"Subscription",INDEX('Game Records'!$U:$U,$H434)&lt;&gt;"Free Game",INDEX('Game Records'!$U:$U,$H434)&lt;&gt;"Disqualified — Free Game",INDEX('Game Records'!$G:$G,$H434)=""),"Gross Pot; ","")&amp;IF(AND(INDEX('Game Records'!$U:$U,$H434)&lt;&gt;"Free Game",INDEX('Game Records'!$U:$U,$H434)&lt;&gt;"Disqualified — Free Game",INDEX('Game Records'!$H:$H,$H434)=""),"Entry Fee; ","")&amp;IF(AND(INDEX('Game Records'!$U:$U,$H434)&lt;&gt;"Subscription",INDEX('Game Records'!$U:$U,$H434)&lt;&gt;"Free Game",INDEX('Game Records'!$U:$U,$H434)&lt;&gt;"Disqualified — Free Game",INDEX('Game Records'!$I:$I,$H434)=""),"Eligible Players; ","")&amp;IF(AND(INDEX('Game Records'!$U:$U,$H434)&lt;&gt;"Subscription",INDEX('Game Records'!$U:$U,$H434)&lt;&gt;"Free Game",INDEX('Game Records'!$U:$U,$H434)&lt;&gt;"Disqualified — Free Game",INDEX('Game Records'!$J:$J,$H434)=""),"Total Players; ","")&amp;IF(AND(LOWER(INDEX('Game Records'!$D:$D,$H434)&amp;"")="finalized",LOWER(INDEX('Game Records'!$L:$L,$H434)&amp;"")&lt;&gt;"yes",INDEX('Game Records'!$U:$U,$H434)&lt;&gt;"Subscription",INDEX('Game Records'!$U:$U,$H434)&lt;&gt;"Free Game",INDEX('Game Records'!$U:$U,$H434)&lt;&gt;"Disqualified — Free Game",INDEX('Game Records'!$K:$K,$H434)=""),"Final Payout; ","")&amp;IF(AND(LOWER(INDEX('Game Records'!$D:$D,$H434)&amp;"")="finalized",INDEX('Game Records'!$U:$U,$H434)&lt;&gt;"Subscription",INDEX('Game Records'!$U:$U,$H434)&lt;&gt;"Free Game",INDEX('Game Records'!$U:$U,$H434)&lt;&gt;"Disqualified — Free Game",OR(INDEX('Game Records'!$L:$L,$H434)="",LOWER(INDEX('Game Records'!$L:$L,$H434)&amp;"")="n/a")),"Disqualified Status; ",""))</f>
        <v/>
      </c>
      <c r="G434" s="25" t="str">
        <f t="array" ref="G434">IF($H434="","",IFERROR(INDEX('Game Records'!$M:$M,$H434),""))</f>
        <v/>
      </c>
      <c r="H434" s="8"/>
    </row>
    <row r="435" ht="24.0" customHeight="1">
      <c r="A435" s="21" t="str">
        <f t="shared" si="1"/>
        <v/>
      </c>
      <c r="B435" s="21" t="str">
        <f t="shared" si="2"/>
        <v/>
      </c>
      <c r="C435" s="25" t="str">
        <f t="array" ref="C435">IF($H435="","",IFERROR(INDEX('Game Records'!$A:$A,$H435),""))</f>
        <v/>
      </c>
      <c r="D435" s="25" t="str">
        <f t="array" ref="D435">IF($H435="","",IFERROR(INDEX('Game Records'!$U:$U,$H435),""))</f>
        <v/>
      </c>
      <c r="E435" s="25" t="str">
        <f t="shared" si="3"/>
        <v/>
      </c>
      <c r="F435" s="25" t="str">
        <f t="array" ref="F435">IF($H435="","",IF(OR(NOT(_xlfn.ISFORMULA(INDEX('Game Records'!$N:$N,$H435))),NOT(_xlfn.ISFORMULA(INDEX('Game Records'!$O:$O,$H435))),NOT(_xlfn.ISFORMULA(INDEX('Game Records'!$P:$P,$H435))),NOT(_xlfn.ISFORMULA(INDEX('Game Records'!$Q:$Q,$H435))),NOT(_xlfn.ISFORMULA(INDEX('Game Records'!$R:$R,$H435))),NOT(_xlfn.ISFORMULA(INDEX('Game Records'!$S:$S,$H435))),NOT(_xlfn.ISFORMULA(INDEX('Game Records'!$T:$T,$H435))),NOT(_xlfn.ISFORMULA(INDEX('Game Records'!$U:$U,$H435))),NOT(_xlfn.ISFORMULA(INDEX('Game Records'!$V:$V,$H435))),NOT(_xlfn.ISFORMULA(INDEX('Game Records'!$W:$W,$H435))),NOT(_xlfn.ISFORMULA(INDEX('Game Records'!$X:$X,$H435))),NOT(_xlfn.ISFORMULA(INDEX('Game Records'!$Y:$Y,$H435))),NOT(_xlfn.ISFORMULA(INDEX('Game Records'!$Z:$Z,$H435)))),"","")&amp;IF(INDEX('Game Records'!$B:$B,$H435)="","Start Date; ","")&amp;IF(INDEX('Game Records'!$C:$C,$H435)="","End Date; ","")&amp;IF(AND(INDEX('Game Records'!$U:$U,$H435)&lt;&gt;"Subscription",INDEX('Game Records'!$U:$U,$H435)&lt;&gt;"Free Game",INDEX('Game Records'!$U:$U,$H435)&lt;&gt;"Disqualified — Free Game",OR(INDEX('Game Records'!$D:$D,$H435)="",LOWER(INDEX('Game Records'!$D:$D,$H435)&amp;"")="n/a")),"Entry Mode; ","")&amp;IF(AND(INDEX('Game Records'!$U:$U,$H435)&lt;&gt;"Subscription",INDEX('Game Records'!$U:$U,$H435)&lt;&gt;"Free Game",INDEX('Game Records'!$U:$U,$H435)&lt;&gt;"Disqualified — Free Game",OR(INDEX('Game Records'!$E:$E,$H435)="",LOWER(INDEX('Game Records'!$E:$E,$H435)&amp;"")="n/a")),"Game Type; ","")&amp;IF(INDEX('Game Records'!$F:$F,$H435)="","Payment Type; ","")&amp;IF(AND(INDEX('Game Records'!$U:$U,$H435)&lt;&gt;"Subscription",INDEX('Game Records'!$U:$U,$H435)&lt;&gt;"Free Game",INDEX('Game Records'!$U:$U,$H435)&lt;&gt;"Disqualified — Free Game",INDEX('Game Records'!$G:$G,$H435)=""),"Gross Pot; ","")&amp;IF(AND(INDEX('Game Records'!$U:$U,$H435)&lt;&gt;"Free Game",INDEX('Game Records'!$U:$U,$H435)&lt;&gt;"Disqualified — Free Game",INDEX('Game Records'!$H:$H,$H435)=""),"Entry Fee; ","")&amp;IF(AND(INDEX('Game Records'!$U:$U,$H435)&lt;&gt;"Subscription",INDEX('Game Records'!$U:$U,$H435)&lt;&gt;"Free Game",INDEX('Game Records'!$U:$U,$H435)&lt;&gt;"Disqualified — Free Game",INDEX('Game Records'!$I:$I,$H435)=""),"Eligible Players; ","")&amp;IF(AND(INDEX('Game Records'!$U:$U,$H435)&lt;&gt;"Subscription",INDEX('Game Records'!$U:$U,$H435)&lt;&gt;"Free Game",INDEX('Game Records'!$U:$U,$H435)&lt;&gt;"Disqualified — Free Game",INDEX('Game Records'!$J:$J,$H435)=""),"Total Players; ","")&amp;IF(AND(LOWER(INDEX('Game Records'!$D:$D,$H435)&amp;"")="finalized",LOWER(INDEX('Game Records'!$L:$L,$H435)&amp;"")&lt;&gt;"yes",INDEX('Game Records'!$U:$U,$H435)&lt;&gt;"Subscription",INDEX('Game Records'!$U:$U,$H435)&lt;&gt;"Free Game",INDEX('Game Records'!$U:$U,$H435)&lt;&gt;"Disqualified — Free Game",INDEX('Game Records'!$K:$K,$H435)=""),"Final Payout; ","")&amp;IF(AND(LOWER(INDEX('Game Records'!$D:$D,$H435)&amp;"")="finalized",INDEX('Game Records'!$U:$U,$H435)&lt;&gt;"Subscription",INDEX('Game Records'!$U:$U,$H435)&lt;&gt;"Free Game",INDEX('Game Records'!$U:$U,$H435)&lt;&gt;"Disqualified — Free Game",OR(INDEX('Game Records'!$L:$L,$H435)="",LOWER(INDEX('Game Records'!$L:$L,$H435)&amp;"")="n/a")),"Disqualified Status; ",""))</f>
        <v/>
      </c>
      <c r="G435" s="25" t="str">
        <f t="array" ref="G435">IF($H435="","",IFERROR(INDEX('Game Records'!$M:$M,$H435),""))</f>
        <v/>
      </c>
      <c r="H435" s="8"/>
    </row>
    <row r="436" ht="24.0" customHeight="1">
      <c r="A436" s="21" t="str">
        <f t="shared" si="1"/>
        <v/>
      </c>
      <c r="B436" s="21" t="str">
        <f t="shared" si="2"/>
        <v/>
      </c>
      <c r="C436" s="25" t="str">
        <f t="array" ref="C436">IF($H436="","",IFERROR(INDEX('Game Records'!$A:$A,$H436),""))</f>
        <v/>
      </c>
      <c r="D436" s="25" t="str">
        <f t="array" ref="D436">IF($H436="","",IFERROR(INDEX('Game Records'!$U:$U,$H436),""))</f>
        <v/>
      </c>
      <c r="E436" s="25" t="str">
        <f t="shared" si="3"/>
        <v/>
      </c>
      <c r="F436" s="25" t="str">
        <f t="array" ref="F436">IF($H436="","",IF(OR(NOT(_xlfn.ISFORMULA(INDEX('Game Records'!$N:$N,$H436))),NOT(_xlfn.ISFORMULA(INDEX('Game Records'!$O:$O,$H436))),NOT(_xlfn.ISFORMULA(INDEX('Game Records'!$P:$P,$H436))),NOT(_xlfn.ISFORMULA(INDEX('Game Records'!$Q:$Q,$H436))),NOT(_xlfn.ISFORMULA(INDEX('Game Records'!$R:$R,$H436))),NOT(_xlfn.ISFORMULA(INDEX('Game Records'!$S:$S,$H436))),NOT(_xlfn.ISFORMULA(INDEX('Game Records'!$T:$T,$H436))),NOT(_xlfn.ISFORMULA(INDEX('Game Records'!$U:$U,$H436))),NOT(_xlfn.ISFORMULA(INDEX('Game Records'!$V:$V,$H436))),NOT(_xlfn.ISFORMULA(INDEX('Game Records'!$W:$W,$H436))),NOT(_xlfn.ISFORMULA(INDEX('Game Records'!$X:$X,$H436))),NOT(_xlfn.ISFORMULA(INDEX('Game Records'!$Y:$Y,$H436))),NOT(_xlfn.ISFORMULA(INDEX('Game Records'!$Z:$Z,$H436)))),"","")&amp;IF(INDEX('Game Records'!$B:$B,$H436)="","Start Date; ","")&amp;IF(INDEX('Game Records'!$C:$C,$H436)="","End Date; ","")&amp;IF(AND(INDEX('Game Records'!$U:$U,$H436)&lt;&gt;"Subscription",INDEX('Game Records'!$U:$U,$H436)&lt;&gt;"Free Game",INDEX('Game Records'!$U:$U,$H436)&lt;&gt;"Disqualified — Free Game",OR(INDEX('Game Records'!$D:$D,$H436)="",LOWER(INDEX('Game Records'!$D:$D,$H436)&amp;"")="n/a")),"Entry Mode; ","")&amp;IF(AND(INDEX('Game Records'!$U:$U,$H436)&lt;&gt;"Subscription",INDEX('Game Records'!$U:$U,$H436)&lt;&gt;"Free Game",INDEX('Game Records'!$U:$U,$H436)&lt;&gt;"Disqualified — Free Game",OR(INDEX('Game Records'!$E:$E,$H436)="",LOWER(INDEX('Game Records'!$E:$E,$H436)&amp;"")="n/a")),"Game Type; ","")&amp;IF(INDEX('Game Records'!$F:$F,$H436)="","Payment Type; ","")&amp;IF(AND(INDEX('Game Records'!$U:$U,$H436)&lt;&gt;"Subscription",INDEX('Game Records'!$U:$U,$H436)&lt;&gt;"Free Game",INDEX('Game Records'!$U:$U,$H436)&lt;&gt;"Disqualified — Free Game",INDEX('Game Records'!$G:$G,$H436)=""),"Gross Pot; ","")&amp;IF(AND(INDEX('Game Records'!$U:$U,$H436)&lt;&gt;"Free Game",INDEX('Game Records'!$U:$U,$H436)&lt;&gt;"Disqualified — Free Game",INDEX('Game Records'!$H:$H,$H436)=""),"Entry Fee; ","")&amp;IF(AND(INDEX('Game Records'!$U:$U,$H436)&lt;&gt;"Subscription",INDEX('Game Records'!$U:$U,$H436)&lt;&gt;"Free Game",INDEX('Game Records'!$U:$U,$H436)&lt;&gt;"Disqualified — Free Game",INDEX('Game Records'!$I:$I,$H436)=""),"Eligible Players; ","")&amp;IF(AND(INDEX('Game Records'!$U:$U,$H436)&lt;&gt;"Subscription",INDEX('Game Records'!$U:$U,$H436)&lt;&gt;"Free Game",INDEX('Game Records'!$U:$U,$H436)&lt;&gt;"Disqualified — Free Game",INDEX('Game Records'!$J:$J,$H436)=""),"Total Players; ","")&amp;IF(AND(LOWER(INDEX('Game Records'!$D:$D,$H436)&amp;"")="finalized",LOWER(INDEX('Game Records'!$L:$L,$H436)&amp;"")&lt;&gt;"yes",INDEX('Game Records'!$U:$U,$H436)&lt;&gt;"Subscription",INDEX('Game Records'!$U:$U,$H436)&lt;&gt;"Free Game",INDEX('Game Records'!$U:$U,$H436)&lt;&gt;"Disqualified — Free Game",INDEX('Game Records'!$K:$K,$H436)=""),"Final Payout; ","")&amp;IF(AND(LOWER(INDEX('Game Records'!$D:$D,$H436)&amp;"")="finalized",INDEX('Game Records'!$U:$U,$H436)&lt;&gt;"Subscription",INDEX('Game Records'!$U:$U,$H436)&lt;&gt;"Free Game",INDEX('Game Records'!$U:$U,$H436)&lt;&gt;"Disqualified — Free Game",OR(INDEX('Game Records'!$L:$L,$H436)="",LOWER(INDEX('Game Records'!$L:$L,$H436)&amp;"")="n/a")),"Disqualified Status; ",""))</f>
        <v/>
      </c>
      <c r="G436" s="25" t="str">
        <f t="array" ref="G436">IF($H436="","",IFERROR(INDEX('Game Records'!$M:$M,$H436),""))</f>
        <v/>
      </c>
      <c r="H436" s="8"/>
    </row>
    <row r="437" ht="24.0" customHeight="1">
      <c r="A437" s="21" t="str">
        <f t="shared" si="1"/>
        <v/>
      </c>
      <c r="B437" s="21" t="str">
        <f t="shared" si="2"/>
        <v/>
      </c>
      <c r="C437" s="25" t="str">
        <f t="array" ref="C437">IF($H437="","",IFERROR(INDEX('Game Records'!$A:$A,$H437),""))</f>
        <v/>
      </c>
      <c r="D437" s="25" t="str">
        <f t="array" ref="D437">IF($H437="","",IFERROR(INDEX('Game Records'!$U:$U,$H437),""))</f>
        <v/>
      </c>
      <c r="E437" s="25" t="str">
        <f t="shared" si="3"/>
        <v/>
      </c>
      <c r="F437" s="25" t="str">
        <f t="array" ref="F437">IF($H437="","",IF(OR(NOT(_xlfn.ISFORMULA(INDEX('Game Records'!$N:$N,$H437))),NOT(_xlfn.ISFORMULA(INDEX('Game Records'!$O:$O,$H437))),NOT(_xlfn.ISFORMULA(INDEX('Game Records'!$P:$P,$H437))),NOT(_xlfn.ISFORMULA(INDEX('Game Records'!$Q:$Q,$H437))),NOT(_xlfn.ISFORMULA(INDEX('Game Records'!$R:$R,$H437))),NOT(_xlfn.ISFORMULA(INDEX('Game Records'!$S:$S,$H437))),NOT(_xlfn.ISFORMULA(INDEX('Game Records'!$T:$T,$H437))),NOT(_xlfn.ISFORMULA(INDEX('Game Records'!$U:$U,$H437))),NOT(_xlfn.ISFORMULA(INDEX('Game Records'!$V:$V,$H437))),NOT(_xlfn.ISFORMULA(INDEX('Game Records'!$W:$W,$H437))),NOT(_xlfn.ISFORMULA(INDEX('Game Records'!$X:$X,$H437))),NOT(_xlfn.ISFORMULA(INDEX('Game Records'!$Y:$Y,$H437))),NOT(_xlfn.ISFORMULA(INDEX('Game Records'!$Z:$Z,$H437)))),"","")&amp;IF(INDEX('Game Records'!$B:$B,$H437)="","Start Date; ","")&amp;IF(INDEX('Game Records'!$C:$C,$H437)="","End Date; ","")&amp;IF(AND(INDEX('Game Records'!$U:$U,$H437)&lt;&gt;"Subscription",INDEX('Game Records'!$U:$U,$H437)&lt;&gt;"Free Game",INDEX('Game Records'!$U:$U,$H437)&lt;&gt;"Disqualified — Free Game",OR(INDEX('Game Records'!$D:$D,$H437)="",LOWER(INDEX('Game Records'!$D:$D,$H437)&amp;"")="n/a")),"Entry Mode; ","")&amp;IF(AND(INDEX('Game Records'!$U:$U,$H437)&lt;&gt;"Subscription",INDEX('Game Records'!$U:$U,$H437)&lt;&gt;"Free Game",INDEX('Game Records'!$U:$U,$H437)&lt;&gt;"Disqualified — Free Game",OR(INDEX('Game Records'!$E:$E,$H437)="",LOWER(INDEX('Game Records'!$E:$E,$H437)&amp;"")="n/a")),"Game Type; ","")&amp;IF(INDEX('Game Records'!$F:$F,$H437)="","Payment Type; ","")&amp;IF(AND(INDEX('Game Records'!$U:$U,$H437)&lt;&gt;"Subscription",INDEX('Game Records'!$U:$U,$H437)&lt;&gt;"Free Game",INDEX('Game Records'!$U:$U,$H437)&lt;&gt;"Disqualified — Free Game",INDEX('Game Records'!$G:$G,$H437)=""),"Gross Pot; ","")&amp;IF(AND(INDEX('Game Records'!$U:$U,$H437)&lt;&gt;"Free Game",INDEX('Game Records'!$U:$U,$H437)&lt;&gt;"Disqualified — Free Game",INDEX('Game Records'!$H:$H,$H437)=""),"Entry Fee; ","")&amp;IF(AND(INDEX('Game Records'!$U:$U,$H437)&lt;&gt;"Subscription",INDEX('Game Records'!$U:$U,$H437)&lt;&gt;"Free Game",INDEX('Game Records'!$U:$U,$H437)&lt;&gt;"Disqualified — Free Game",INDEX('Game Records'!$I:$I,$H437)=""),"Eligible Players; ","")&amp;IF(AND(INDEX('Game Records'!$U:$U,$H437)&lt;&gt;"Subscription",INDEX('Game Records'!$U:$U,$H437)&lt;&gt;"Free Game",INDEX('Game Records'!$U:$U,$H437)&lt;&gt;"Disqualified — Free Game",INDEX('Game Records'!$J:$J,$H437)=""),"Total Players; ","")&amp;IF(AND(LOWER(INDEX('Game Records'!$D:$D,$H437)&amp;"")="finalized",LOWER(INDEX('Game Records'!$L:$L,$H437)&amp;"")&lt;&gt;"yes",INDEX('Game Records'!$U:$U,$H437)&lt;&gt;"Subscription",INDEX('Game Records'!$U:$U,$H437)&lt;&gt;"Free Game",INDEX('Game Records'!$U:$U,$H437)&lt;&gt;"Disqualified — Free Game",INDEX('Game Records'!$K:$K,$H437)=""),"Final Payout; ","")&amp;IF(AND(LOWER(INDEX('Game Records'!$D:$D,$H437)&amp;"")="finalized",INDEX('Game Records'!$U:$U,$H437)&lt;&gt;"Subscription",INDEX('Game Records'!$U:$U,$H437)&lt;&gt;"Free Game",INDEX('Game Records'!$U:$U,$H437)&lt;&gt;"Disqualified — Free Game",OR(INDEX('Game Records'!$L:$L,$H437)="",LOWER(INDEX('Game Records'!$L:$L,$H437)&amp;"")="n/a")),"Disqualified Status; ",""))</f>
        <v/>
      </c>
      <c r="G437" s="25" t="str">
        <f t="array" ref="G437">IF($H437="","",IFERROR(INDEX('Game Records'!$M:$M,$H437),""))</f>
        <v/>
      </c>
      <c r="H437" s="8"/>
    </row>
    <row r="438" ht="24.0" customHeight="1">
      <c r="A438" s="21" t="str">
        <f t="shared" si="1"/>
        <v/>
      </c>
      <c r="B438" s="21" t="str">
        <f t="shared" si="2"/>
        <v/>
      </c>
      <c r="C438" s="25" t="str">
        <f t="array" ref="C438">IF($H438="","",IFERROR(INDEX('Game Records'!$A:$A,$H438),""))</f>
        <v/>
      </c>
      <c r="D438" s="25" t="str">
        <f t="array" ref="D438">IF($H438="","",IFERROR(INDEX('Game Records'!$U:$U,$H438),""))</f>
        <v/>
      </c>
      <c r="E438" s="25" t="str">
        <f t="shared" si="3"/>
        <v/>
      </c>
      <c r="F438" s="25" t="str">
        <f t="array" ref="F438">IF($H438="","",IF(OR(NOT(_xlfn.ISFORMULA(INDEX('Game Records'!$N:$N,$H438))),NOT(_xlfn.ISFORMULA(INDEX('Game Records'!$O:$O,$H438))),NOT(_xlfn.ISFORMULA(INDEX('Game Records'!$P:$P,$H438))),NOT(_xlfn.ISFORMULA(INDEX('Game Records'!$Q:$Q,$H438))),NOT(_xlfn.ISFORMULA(INDEX('Game Records'!$R:$R,$H438))),NOT(_xlfn.ISFORMULA(INDEX('Game Records'!$S:$S,$H438))),NOT(_xlfn.ISFORMULA(INDEX('Game Records'!$T:$T,$H438))),NOT(_xlfn.ISFORMULA(INDEX('Game Records'!$U:$U,$H438))),NOT(_xlfn.ISFORMULA(INDEX('Game Records'!$V:$V,$H438))),NOT(_xlfn.ISFORMULA(INDEX('Game Records'!$W:$W,$H438))),NOT(_xlfn.ISFORMULA(INDEX('Game Records'!$X:$X,$H438))),NOT(_xlfn.ISFORMULA(INDEX('Game Records'!$Y:$Y,$H438))),NOT(_xlfn.ISFORMULA(INDEX('Game Records'!$Z:$Z,$H438)))),"","")&amp;IF(INDEX('Game Records'!$B:$B,$H438)="","Start Date; ","")&amp;IF(INDEX('Game Records'!$C:$C,$H438)="","End Date; ","")&amp;IF(AND(INDEX('Game Records'!$U:$U,$H438)&lt;&gt;"Subscription",INDEX('Game Records'!$U:$U,$H438)&lt;&gt;"Free Game",INDEX('Game Records'!$U:$U,$H438)&lt;&gt;"Disqualified — Free Game",OR(INDEX('Game Records'!$D:$D,$H438)="",LOWER(INDEX('Game Records'!$D:$D,$H438)&amp;"")="n/a")),"Entry Mode; ","")&amp;IF(AND(INDEX('Game Records'!$U:$U,$H438)&lt;&gt;"Subscription",INDEX('Game Records'!$U:$U,$H438)&lt;&gt;"Free Game",INDEX('Game Records'!$U:$U,$H438)&lt;&gt;"Disqualified — Free Game",OR(INDEX('Game Records'!$E:$E,$H438)="",LOWER(INDEX('Game Records'!$E:$E,$H438)&amp;"")="n/a")),"Game Type; ","")&amp;IF(INDEX('Game Records'!$F:$F,$H438)="","Payment Type; ","")&amp;IF(AND(INDEX('Game Records'!$U:$U,$H438)&lt;&gt;"Subscription",INDEX('Game Records'!$U:$U,$H438)&lt;&gt;"Free Game",INDEX('Game Records'!$U:$U,$H438)&lt;&gt;"Disqualified — Free Game",INDEX('Game Records'!$G:$G,$H438)=""),"Gross Pot; ","")&amp;IF(AND(INDEX('Game Records'!$U:$U,$H438)&lt;&gt;"Free Game",INDEX('Game Records'!$U:$U,$H438)&lt;&gt;"Disqualified — Free Game",INDEX('Game Records'!$H:$H,$H438)=""),"Entry Fee; ","")&amp;IF(AND(INDEX('Game Records'!$U:$U,$H438)&lt;&gt;"Subscription",INDEX('Game Records'!$U:$U,$H438)&lt;&gt;"Free Game",INDEX('Game Records'!$U:$U,$H438)&lt;&gt;"Disqualified — Free Game",INDEX('Game Records'!$I:$I,$H438)=""),"Eligible Players; ","")&amp;IF(AND(INDEX('Game Records'!$U:$U,$H438)&lt;&gt;"Subscription",INDEX('Game Records'!$U:$U,$H438)&lt;&gt;"Free Game",INDEX('Game Records'!$U:$U,$H438)&lt;&gt;"Disqualified — Free Game",INDEX('Game Records'!$J:$J,$H438)=""),"Total Players; ","")&amp;IF(AND(LOWER(INDEX('Game Records'!$D:$D,$H438)&amp;"")="finalized",LOWER(INDEX('Game Records'!$L:$L,$H438)&amp;"")&lt;&gt;"yes",INDEX('Game Records'!$U:$U,$H438)&lt;&gt;"Subscription",INDEX('Game Records'!$U:$U,$H438)&lt;&gt;"Free Game",INDEX('Game Records'!$U:$U,$H438)&lt;&gt;"Disqualified — Free Game",INDEX('Game Records'!$K:$K,$H438)=""),"Final Payout; ","")&amp;IF(AND(LOWER(INDEX('Game Records'!$D:$D,$H438)&amp;"")="finalized",INDEX('Game Records'!$U:$U,$H438)&lt;&gt;"Subscription",INDEX('Game Records'!$U:$U,$H438)&lt;&gt;"Free Game",INDEX('Game Records'!$U:$U,$H438)&lt;&gt;"Disqualified — Free Game",OR(INDEX('Game Records'!$L:$L,$H438)="",LOWER(INDEX('Game Records'!$L:$L,$H438)&amp;"")="n/a")),"Disqualified Status; ",""))</f>
        <v/>
      </c>
      <c r="G438" s="25" t="str">
        <f t="array" ref="G438">IF($H438="","",IFERROR(INDEX('Game Records'!$M:$M,$H438),""))</f>
        <v/>
      </c>
      <c r="H438" s="8"/>
    </row>
    <row r="439" ht="24.0" customHeight="1">
      <c r="A439" s="21" t="str">
        <f t="shared" si="1"/>
        <v/>
      </c>
      <c r="B439" s="21" t="str">
        <f t="shared" si="2"/>
        <v/>
      </c>
      <c r="C439" s="25" t="str">
        <f t="array" ref="C439">IF($H439="","",IFERROR(INDEX('Game Records'!$A:$A,$H439),""))</f>
        <v/>
      </c>
      <c r="D439" s="25" t="str">
        <f t="array" ref="D439">IF($H439="","",IFERROR(INDEX('Game Records'!$U:$U,$H439),""))</f>
        <v/>
      </c>
      <c r="E439" s="25" t="str">
        <f t="shared" si="3"/>
        <v/>
      </c>
      <c r="F439" s="25" t="str">
        <f t="array" ref="F439">IF($H439="","",IF(OR(NOT(_xlfn.ISFORMULA(INDEX('Game Records'!$N:$N,$H439))),NOT(_xlfn.ISFORMULA(INDEX('Game Records'!$O:$O,$H439))),NOT(_xlfn.ISFORMULA(INDEX('Game Records'!$P:$P,$H439))),NOT(_xlfn.ISFORMULA(INDEX('Game Records'!$Q:$Q,$H439))),NOT(_xlfn.ISFORMULA(INDEX('Game Records'!$R:$R,$H439))),NOT(_xlfn.ISFORMULA(INDEX('Game Records'!$S:$S,$H439))),NOT(_xlfn.ISFORMULA(INDEX('Game Records'!$T:$T,$H439))),NOT(_xlfn.ISFORMULA(INDEX('Game Records'!$U:$U,$H439))),NOT(_xlfn.ISFORMULA(INDEX('Game Records'!$V:$V,$H439))),NOT(_xlfn.ISFORMULA(INDEX('Game Records'!$W:$W,$H439))),NOT(_xlfn.ISFORMULA(INDEX('Game Records'!$X:$X,$H439))),NOT(_xlfn.ISFORMULA(INDEX('Game Records'!$Y:$Y,$H439))),NOT(_xlfn.ISFORMULA(INDEX('Game Records'!$Z:$Z,$H439)))),"","")&amp;IF(INDEX('Game Records'!$B:$B,$H439)="","Start Date; ","")&amp;IF(INDEX('Game Records'!$C:$C,$H439)="","End Date; ","")&amp;IF(AND(INDEX('Game Records'!$U:$U,$H439)&lt;&gt;"Subscription",INDEX('Game Records'!$U:$U,$H439)&lt;&gt;"Free Game",INDEX('Game Records'!$U:$U,$H439)&lt;&gt;"Disqualified — Free Game",OR(INDEX('Game Records'!$D:$D,$H439)="",LOWER(INDEX('Game Records'!$D:$D,$H439)&amp;"")="n/a")),"Entry Mode; ","")&amp;IF(AND(INDEX('Game Records'!$U:$U,$H439)&lt;&gt;"Subscription",INDEX('Game Records'!$U:$U,$H439)&lt;&gt;"Free Game",INDEX('Game Records'!$U:$U,$H439)&lt;&gt;"Disqualified — Free Game",OR(INDEX('Game Records'!$E:$E,$H439)="",LOWER(INDEX('Game Records'!$E:$E,$H439)&amp;"")="n/a")),"Game Type; ","")&amp;IF(INDEX('Game Records'!$F:$F,$H439)="","Payment Type; ","")&amp;IF(AND(INDEX('Game Records'!$U:$U,$H439)&lt;&gt;"Subscription",INDEX('Game Records'!$U:$U,$H439)&lt;&gt;"Free Game",INDEX('Game Records'!$U:$U,$H439)&lt;&gt;"Disqualified — Free Game",INDEX('Game Records'!$G:$G,$H439)=""),"Gross Pot; ","")&amp;IF(AND(INDEX('Game Records'!$U:$U,$H439)&lt;&gt;"Free Game",INDEX('Game Records'!$U:$U,$H439)&lt;&gt;"Disqualified — Free Game",INDEX('Game Records'!$H:$H,$H439)=""),"Entry Fee; ","")&amp;IF(AND(INDEX('Game Records'!$U:$U,$H439)&lt;&gt;"Subscription",INDEX('Game Records'!$U:$U,$H439)&lt;&gt;"Free Game",INDEX('Game Records'!$U:$U,$H439)&lt;&gt;"Disqualified — Free Game",INDEX('Game Records'!$I:$I,$H439)=""),"Eligible Players; ","")&amp;IF(AND(INDEX('Game Records'!$U:$U,$H439)&lt;&gt;"Subscription",INDEX('Game Records'!$U:$U,$H439)&lt;&gt;"Free Game",INDEX('Game Records'!$U:$U,$H439)&lt;&gt;"Disqualified — Free Game",INDEX('Game Records'!$J:$J,$H439)=""),"Total Players; ","")&amp;IF(AND(LOWER(INDEX('Game Records'!$D:$D,$H439)&amp;"")="finalized",LOWER(INDEX('Game Records'!$L:$L,$H439)&amp;"")&lt;&gt;"yes",INDEX('Game Records'!$U:$U,$H439)&lt;&gt;"Subscription",INDEX('Game Records'!$U:$U,$H439)&lt;&gt;"Free Game",INDEX('Game Records'!$U:$U,$H439)&lt;&gt;"Disqualified — Free Game",INDEX('Game Records'!$K:$K,$H439)=""),"Final Payout; ","")&amp;IF(AND(LOWER(INDEX('Game Records'!$D:$D,$H439)&amp;"")="finalized",INDEX('Game Records'!$U:$U,$H439)&lt;&gt;"Subscription",INDEX('Game Records'!$U:$U,$H439)&lt;&gt;"Free Game",INDEX('Game Records'!$U:$U,$H439)&lt;&gt;"Disqualified — Free Game",OR(INDEX('Game Records'!$L:$L,$H439)="",LOWER(INDEX('Game Records'!$L:$L,$H439)&amp;"")="n/a")),"Disqualified Status; ",""))</f>
        <v/>
      </c>
      <c r="G439" s="25" t="str">
        <f t="array" ref="G439">IF($H439="","",IFERROR(INDEX('Game Records'!$M:$M,$H439),""))</f>
        <v/>
      </c>
      <c r="H439" s="8"/>
    </row>
    <row r="440" ht="24.0" customHeight="1">
      <c r="A440" s="21" t="str">
        <f t="shared" si="1"/>
        <v/>
      </c>
      <c r="B440" s="21" t="str">
        <f t="shared" si="2"/>
        <v/>
      </c>
      <c r="C440" s="25" t="str">
        <f t="array" ref="C440">IF($H440="","",IFERROR(INDEX('Game Records'!$A:$A,$H440),""))</f>
        <v/>
      </c>
      <c r="D440" s="25" t="str">
        <f t="array" ref="D440">IF($H440="","",IFERROR(INDEX('Game Records'!$U:$U,$H440),""))</f>
        <v/>
      </c>
      <c r="E440" s="25" t="str">
        <f t="shared" si="3"/>
        <v/>
      </c>
      <c r="F440" s="25" t="str">
        <f t="array" ref="F440">IF($H440="","",IF(OR(NOT(_xlfn.ISFORMULA(INDEX('Game Records'!$N:$N,$H440))),NOT(_xlfn.ISFORMULA(INDEX('Game Records'!$O:$O,$H440))),NOT(_xlfn.ISFORMULA(INDEX('Game Records'!$P:$P,$H440))),NOT(_xlfn.ISFORMULA(INDEX('Game Records'!$Q:$Q,$H440))),NOT(_xlfn.ISFORMULA(INDEX('Game Records'!$R:$R,$H440))),NOT(_xlfn.ISFORMULA(INDEX('Game Records'!$S:$S,$H440))),NOT(_xlfn.ISFORMULA(INDEX('Game Records'!$T:$T,$H440))),NOT(_xlfn.ISFORMULA(INDEX('Game Records'!$U:$U,$H440))),NOT(_xlfn.ISFORMULA(INDEX('Game Records'!$V:$V,$H440))),NOT(_xlfn.ISFORMULA(INDEX('Game Records'!$W:$W,$H440))),NOT(_xlfn.ISFORMULA(INDEX('Game Records'!$X:$X,$H440))),NOT(_xlfn.ISFORMULA(INDEX('Game Records'!$Y:$Y,$H440))),NOT(_xlfn.ISFORMULA(INDEX('Game Records'!$Z:$Z,$H440)))),"","")&amp;IF(INDEX('Game Records'!$B:$B,$H440)="","Start Date; ","")&amp;IF(INDEX('Game Records'!$C:$C,$H440)="","End Date; ","")&amp;IF(AND(INDEX('Game Records'!$U:$U,$H440)&lt;&gt;"Subscription",INDEX('Game Records'!$U:$U,$H440)&lt;&gt;"Free Game",INDEX('Game Records'!$U:$U,$H440)&lt;&gt;"Disqualified — Free Game",OR(INDEX('Game Records'!$D:$D,$H440)="",LOWER(INDEX('Game Records'!$D:$D,$H440)&amp;"")="n/a")),"Entry Mode; ","")&amp;IF(AND(INDEX('Game Records'!$U:$U,$H440)&lt;&gt;"Subscription",INDEX('Game Records'!$U:$U,$H440)&lt;&gt;"Free Game",INDEX('Game Records'!$U:$U,$H440)&lt;&gt;"Disqualified — Free Game",OR(INDEX('Game Records'!$E:$E,$H440)="",LOWER(INDEX('Game Records'!$E:$E,$H440)&amp;"")="n/a")),"Game Type; ","")&amp;IF(INDEX('Game Records'!$F:$F,$H440)="","Payment Type; ","")&amp;IF(AND(INDEX('Game Records'!$U:$U,$H440)&lt;&gt;"Subscription",INDEX('Game Records'!$U:$U,$H440)&lt;&gt;"Free Game",INDEX('Game Records'!$U:$U,$H440)&lt;&gt;"Disqualified — Free Game",INDEX('Game Records'!$G:$G,$H440)=""),"Gross Pot; ","")&amp;IF(AND(INDEX('Game Records'!$U:$U,$H440)&lt;&gt;"Free Game",INDEX('Game Records'!$U:$U,$H440)&lt;&gt;"Disqualified — Free Game",INDEX('Game Records'!$H:$H,$H440)=""),"Entry Fee; ","")&amp;IF(AND(INDEX('Game Records'!$U:$U,$H440)&lt;&gt;"Subscription",INDEX('Game Records'!$U:$U,$H440)&lt;&gt;"Free Game",INDEX('Game Records'!$U:$U,$H440)&lt;&gt;"Disqualified — Free Game",INDEX('Game Records'!$I:$I,$H440)=""),"Eligible Players; ","")&amp;IF(AND(INDEX('Game Records'!$U:$U,$H440)&lt;&gt;"Subscription",INDEX('Game Records'!$U:$U,$H440)&lt;&gt;"Free Game",INDEX('Game Records'!$U:$U,$H440)&lt;&gt;"Disqualified — Free Game",INDEX('Game Records'!$J:$J,$H440)=""),"Total Players; ","")&amp;IF(AND(LOWER(INDEX('Game Records'!$D:$D,$H440)&amp;"")="finalized",LOWER(INDEX('Game Records'!$L:$L,$H440)&amp;"")&lt;&gt;"yes",INDEX('Game Records'!$U:$U,$H440)&lt;&gt;"Subscription",INDEX('Game Records'!$U:$U,$H440)&lt;&gt;"Free Game",INDEX('Game Records'!$U:$U,$H440)&lt;&gt;"Disqualified — Free Game",INDEX('Game Records'!$K:$K,$H440)=""),"Final Payout; ","")&amp;IF(AND(LOWER(INDEX('Game Records'!$D:$D,$H440)&amp;"")="finalized",INDEX('Game Records'!$U:$U,$H440)&lt;&gt;"Subscription",INDEX('Game Records'!$U:$U,$H440)&lt;&gt;"Free Game",INDEX('Game Records'!$U:$U,$H440)&lt;&gt;"Disqualified — Free Game",OR(INDEX('Game Records'!$L:$L,$H440)="",LOWER(INDEX('Game Records'!$L:$L,$H440)&amp;"")="n/a")),"Disqualified Status; ",""))</f>
        <v/>
      </c>
      <c r="G440" s="25" t="str">
        <f t="array" ref="G440">IF($H440="","",IFERROR(INDEX('Game Records'!$M:$M,$H440),""))</f>
        <v/>
      </c>
      <c r="H440" s="8"/>
    </row>
    <row r="441" ht="24.0" customHeight="1">
      <c r="A441" s="21" t="str">
        <f t="shared" si="1"/>
        <v/>
      </c>
      <c r="B441" s="21" t="str">
        <f t="shared" si="2"/>
        <v/>
      </c>
      <c r="C441" s="25" t="str">
        <f t="array" ref="C441">IF($H441="","",IFERROR(INDEX('Game Records'!$A:$A,$H441),""))</f>
        <v/>
      </c>
      <c r="D441" s="25" t="str">
        <f t="array" ref="D441">IF($H441="","",IFERROR(INDEX('Game Records'!$U:$U,$H441),""))</f>
        <v/>
      </c>
      <c r="E441" s="25" t="str">
        <f t="shared" si="3"/>
        <v/>
      </c>
      <c r="F441" s="25" t="str">
        <f t="array" ref="F441">IF($H441="","",IF(OR(NOT(_xlfn.ISFORMULA(INDEX('Game Records'!$N:$N,$H441))),NOT(_xlfn.ISFORMULA(INDEX('Game Records'!$O:$O,$H441))),NOT(_xlfn.ISFORMULA(INDEX('Game Records'!$P:$P,$H441))),NOT(_xlfn.ISFORMULA(INDEX('Game Records'!$Q:$Q,$H441))),NOT(_xlfn.ISFORMULA(INDEX('Game Records'!$R:$R,$H441))),NOT(_xlfn.ISFORMULA(INDEX('Game Records'!$S:$S,$H441))),NOT(_xlfn.ISFORMULA(INDEX('Game Records'!$T:$T,$H441))),NOT(_xlfn.ISFORMULA(INDEX('Game Records'!$U:$U,$H441))),NOT(_xlfn.ISFORMULA(INDEX('Game Records'!$V:$V,$H441))),NOT(_xlfn.ISFORMULA(INDEX('Game Records'!$W:$W,$H441))),NOT(_xlfn.ISFORMULA(INDEX('Game Records'!$X:$X,$H441))),NOT(_xlfn.ISFORMULA(INDEX('Game Records'!$Y:$Y,$H441))),NOT(_xlfn.ISFORMULA(INDEX('Game Records'!$Z:$Z,$H441)))),"","")&amp;IF(INDEX('Game Records'!$B:$B,$H441)="","Start Date; ","")&amp;IF(INDEX('Game Records'!$C:$C,$H441)="","End Date; ","")&amp;IF(AND(INDEX('Game Records'!$U:$U,$H441)&lt;&gt;"Subscription",INDEX('Game Records'!$U:$U,$H441)&lt;&gt;"Free Game",INDEX('Game Records'!$U:$U,$H441)&lt;&gt;"Disqualified — Free Game",OR(INDEX('Game Records'!$D:$D,$H441)="",LOWER(INDEX('Game Records'!$D:$D,$H441)&amp;"")="n/a")),"Entry Mode; ","")&amp;IF(AND(INDEX('Game Records'!$U:$U,$H441)&lt;&gt;"Subscription",INDEX('Game Records'!$U:$U,$H441)&lt;&gt;"Free Game",INDEX('Game Records'!$U:$U,$H441)&lt;&gt;"Disqualified — Free Game",OR(INDEX('Game Records'!$E:$E,$H441)="",LOWER(INDEX('Game Records'!$E:$E,$H441)&amp;"")="n/a")),"Game Type; ","")&amp;IF(INDEX('Game Records'!$F:$F,$H441)="","Payment Type; ","")&amp;IF(AND(INDEX('Game Records'!$U:$U,$H441)&lt;&gt;"Subscription",INDEX('Game Records'!$U:$U,$H441)&lt;&gt;"Free Game",INDEX('Game Records'!$U:$U,$H441)&lt;&gt;"Disqualified — Free Game",INDEX('Game Records'!$G:$G,$H441)=""),"Gross Pot; ","")&amp;IF(AND(INDEX('Game Records'!$U:$U,$H441)&lt;&gt;"Free Game",INDEX('Game Records'!$U:$U,$H441)&lt;&gt;"Disqualified — Free Game",INDEX('Game Records'!$H:$H,$H441)=""),"Entry Fee; ","")&amp;IF(AND(INDEX('Game Records'!$U:$U,$H441)&lt;&gt;"Subscription",INDEX('Game Records'!$U:$U,$H441)&lt;&gt;"Free Game",INDEX('Game Records'!$U:$U,$H441)&lt;&gt;"Disqualified — Free Game",INDEX('Game Records'!$I:$I,$H441)=""),"Eligible Players; ","")&amp;IF(AND(INDEX('Game Records'!$U:$U,$H441)&lt;&gt;"Subscription",INDEX('Game Records'!$U:$U,$H441)&lt;&gt;"Free Game",INDEX('Game Records'!$U:$U,$H441)&lt;&gt;"Disqualified — Free Game",INDEX('Game Records'!$J:$J,$H441)=""),"Total Players; ","")&amp;IF(AND(LOWER(INDEX('Game Records'!$D:$D,$H441)&amp;"")="finalized",LOWER(INDEX('Game Records'!$L:$L,$H441)&amp;"")&lt;&gt;"yes",INDEX('Game Records'!$U:$U,$H441)&lt;&gt;"Subscription",INDEX('Game Records'!$U:$U,$H441)&lt;&gt;"Free Game",INDEX('Game Records'!$U:$U,$H441)&lt;&gt;"Disqualified — Free Game",INDEX('Game Records'!$K:$K,$H441)=""),"Final Payout; ","")&amp;IF(AND(LOWER(INDEX('Game Records'!$D:$D,$H441)&amp;"")="finalized",INDEX('Game Records'!$U:$U,$H441)&lt;&gt;"Subscription",INDEX('Game Records'!$U:$U,$H441)&lt;&gt;"Free Game",INDEX('Game Records'!$U:$U,$H441)&lt;&gt;"Disqualified — Free Game",OR(INDEX('Game Records'!$L:$L,$H441)="",LOWER(INDEX('Game Records'!$L:$L,$H441)&amp;"")="n/a")),"Disqualified Status; ",""))</f>
        <v/>
      </c>
      <c r="G441" s="25" t="str">
        <f t="array" ref="G441">IF($H441="","",IFERROR(INDEX('Game Records'!$M:$M,$H441),""))</f>
        <v/>
      </c>
      <c r="H441" s="8"/>
    </row>
    <row r="442" ht="24.0" customHeight="1">
      <c r="A442" s="21" t="str">
        <f t="shared" si="1"/>
        <v/>
      </c>
      <c r="B442" s="21" t="str">
        <f t="shared" si="2"/>
        <v/>
      </c>
      <c r="C442" s="25" t="str">
        <f t="array" ref="C442">IF($H442="","",IFERROR(INDEX('Game Records'!$A:$A,$H442),""))</f>
        <v/>
      </c>
      <c r="D442" s="25" t="str">
        <f t="array" ref="D442">IF($H442="","",IFERROR(INDEX('Game Records'!$U:$U,$H442),""))</f>
        <v/>
      </c>
      <c r="E442" s="25" t="str">
        <f t="shared" si="3"/>
        <v/>
      </c>
      <c r="F442" s="25" t="str">
        <f t="array" ref="F442">IF($H442="","",IF(OR(NOT(_xlfn.ISFORMULA(INDEX('Game Records'!$N:$N,$H442))),NOT(_xlfn.ISFORMULA(INDEX('Game Records'!$O:$O,$H442))),NOT(_xlfn.ISFORMULA(INDEX('Game Records'!$P:$P,$H442))),NOT(_xlfn.ISFORMULA(INDEX('Game Records'!$Q:$Q,$H442))),NOT(_xlfn.ISFORMULA(INDEX('Game Records'!$R:$R,$H442))),NOT(_xlfn.ISFORMULA(INDEX('Game Records'!$S:$S,$H442))),NOT(_xlfn.ISFORMULA(INDEX('Game Records'!$T:$T,$H442))),NOT(_xlfn.ISFORMULA(INDEX('Game Records'!$U:$U,$H442))),NOT(_xlfn.ISFORMULA(INDEX('Game Records'!$V:$V,$H442))),NOT(_xlfn.ISFORMULA(INDEX('Game Records'!$W:$W,$H442))),NOT(_xlfn.ISFORMULA(INDEX('Game Records'!$X:$X,$H442))),NOT(_xlfn.ISFORMULA(INDEX('Game Records'!$Y:$Y,$H442))),NOT(_xlfn.ISFORMULA(INDEX('Game Records'!$Z:$Z,$H442)))),"","")&amp;IF(INDEX('Game Records'!$B:$B,$H442)="","Start Date; ","")&amp;IF(INDEX('Game Records'!$C:$C,$H442)="","End Date; ","")&amp;IF(AND(INDEX('Game Records'!$U:$U,$H442)&lt;&gt;"Subscription",INDEX('Game Records'!$U:$U,$H442)&lt;&gt;"Free Game",INDEX('Game Records'!$U:$U,$H442)&lt;&gt;"Disqualified — Free Game",OR(INDEX('Game Records'!$D:$D,$H442)="",LOWER(INDEX('Game Records'!$D:$D,$H442)&amp;"")="n/a")),"Entry Mode; ","")&amp;IF(AND(INDEX('Game Records'!$U:$U,$H442)&lt;&gt;"Subscription",INDEX('Game Records'!$U:$U,$H442)&lt;&gt;"Free Game",INDEX('Game Records'!$U:$U,$H442)&lt;&gt;"Disqualified — Free Game",OR(INDEX('Game Records'!$E:$E,$H442)="",LOWER(INDEX('Game Records'!$E:$E,$H442)&amp;"")="n/a")),"Game Type; ","")&amp;IF(INDEX('Game Records'!$F:$F,$H442)="","Payment Type; ","")&amp;IF(AND(INDEX('Game Records'!$U:$U,$H442)&lt;&gt;"Subscription",INDEX('Game Records'!$U:$U,$H442)&lt;&gt;"Free Game",INDEX('Game Records'!$U:$U,$H442)&lt;&gt;"Disqualified — Free Game",INDEX('Game Records'!$G:$G,$H442)=""),"Gross Pot; ","")&amp;IF(AND(INDEX('Game Records'!$U:$U,$H442)&lt;&gt;"Free Game",INDEX('Game Records'!$U:$U,$H442)&lt;&gt;"Disqualified — Free Game",INDEX('Game Records'!$H:$H,$H442)=""),"Entry Fee; ","")&amp;IF(AND(INDEX('Game Records'!$U:$U,$H442)&lt;&gt;"Subscription",INDEX('Game Records'!$U:$U,$H442)&lt;&gt;"Free Game",INDEX('Game Records'!$U:$U,$H442)&lt;&gt;"Disqualified — Free Game",INDEX('Game Records'!$I:$I,$H442)=""),"Eligible Players; ","")&amp;IF(AND(INDEX('Game Records'!$U:$U,$H442)&lt;&gt;"Subscription",INDEX('Game Records'!$U:$U,$H442)&lt;&gt;"Free Game",INDEX('Game Records'!$U:$U,$H442)&lt;&gt;"Disqualified — Free Game",INDEX('Game Records'!$J:$J,$H442)=""),"Total Players; ","")&amp;IF(AND(LOWER(INDEX('Game Records'!$D:$D,$H442)&amp;"")="finalized",LOWER(INDEX('Game Records'!$L:$L,$H442)&amp;"")&lt;&gt;"yes",INDEX('Game Records'!$U:$U,$H442)&lt;&gt;"Subscription",INDEX('Game Records'!$U:$U,$H442)&lt;&gt;"Free Game",INDEX('Game Records'!$U:$U,$H442)&lt;&gt;"Disqualified — Free Game",INDEX('Game Records'!$K:$K,$H442)=""),"Final Payout; ","")&amp;IF(AND(LOWER(INDEX('Game Records'!$D:$D,$H442)&amp;"")="finalized",INDEX('Game Records'!$U:$U,$H442)&lt;&gt;"Subscription",INDEX('Game Records'!$U:$U,$H442)&lt;&gt;"Free Game",INDEX('Game Records'!$U:$U,$H442)&lt;&gt;"Disqualified — Free Game",OR(INDEX('Game Records'!$L:$L,$H442)="",LOWER(INDEX('Game Records'!$L:$L,$H442)&amp;"")="n/a")),"Disqualified Status; ",""))</f>
        <v/>
      </c>
      <c r="G442" s="25" t="str">
        <f t="array" ref="G442">IF($H442="","",IFERROR(INDEX('Game Records'!$M:$M,$H442),""))</f>
        <v/>
      </c>
      <c r="H442" s="8"/>
    </row>
    <row r="443" ht="24.0" customHeight="1">
      <c r="A443" s="21" t="str">
        <f t="shared" si="1"/>
        <v/>
      </c>
      <c r="B443" s="21" t="str">
        <f t="shared" si="2"/>
        <v/>
      </c>
      <c r="C443" s="25" t="str">
        <f t="array" ref="C443">IF($H443="","",IFERROR(INDEX('Game Records'!$A:$A,$H443),""))</f>
        <v/>
      </c>
      <c r="D443" s="25" t="str">
        <f t="array" ref="D443">IF($H443="","",IFERROR(INDEX('Game Records'!$U:$U,$H443),""))</f>
        <v/>
      </c>
      <c r="E443" s="25" t="str">
        <f t="shared" si="3"/>
        <v/>
      </c>
      <c r="F443" s="25" t="str">
        <f t="array" ref="F443">IF($H443="","",IF(OR(NOT(_xlfn.ISFORMULA(INDEX('Game Records'!$N:$N,$H443))),NOT(_xlfn.ISFORMULA(INDEX('Game Records'!$O:$O,$H443))),NOT(_xlfn.ISFORMULA(INDEX('Game Records'!$P:$P,$H443))),NOT(_xlfn.ISFORMULA(INDEX('Game Records'!$Q:$Q,$H443))),NOT(_xlfn.ISFORMULA(INDEX('Game Records'!$R:$R,$H443))),NOT(_xlfn.ISFORMULA(INDEX('Game Records'!$S:$S,$H443))),NOT(_xlfn.ISFORMULA(INDEX('Game Records'!$T:$T,$H443))),NOT(_xlfn.ISFORMULA(INDEX('Game Records'!$U:$U,$H443))),NOT(_xlfn.ISFORMULA(INDEX('Game Records'!$V:$V,$H443))),NOT(_xlfn.ISFORMULA(INDEX('Game Records'!$W:$W,$H443))),NOT(_xlfn.ISFORMULA(INDEX('Game Records'!$X:$X,$H443))),NOT(_xlfn.ISFORMULA(INDEX('Game Records'!$Y:$Y,$H443))),NOT(_xlfn.ISFORMULA(INDEX('Game Records'!$Z:$Z,$H443)))),"","")&amp;IF(INDEX('Game Records'!$B:$B,$H443)="","Start Date; ","")&amp;IF(INDEX('Game Records'!$C:$C,$H443)="","End Date; ","")&amp;IF(AND(INDEX('Game Records'!$U:$U,$H443)&lt;&gt;"Subscription",INDEX('Game Records'!$U:$U,$H443)&lt;&gt;"Free Game",INDEX('Game Records'!$U:$U,$H443)&lt;&gt;"Disqualified — Free Game",OR(INDEX('Game Records'!$D:$D,$H443)="",LOWER(INDEX('Game Records'!$D:$D,$H443)&amp;"")="n/a")),"Entry Mode; ","")&amp;IF(AND(INDEX('Game Records'!$U:$U,$H443)&lt;&gt;"Subscription",INDEX('Game Records'!$U:$U,$H443)&lt;&gt;"Free Game",INDEX('Game Records'!$U:$U,$H443)&lt;&gt;"Disqualified — Free Game",OR(INDEX('Game Records'!$E:$E,$H443)="",LOWER(INDEX('Game Records'!$E:$E,$H443)&amp;"")="n/a")),"Game Type; ","")&amp;IF(INDEX('Game Records'!$F:$F,$H443)="","Payment Type; ","")&amp;IF(AND(INDEX('Game Records'!$U:$U,$H443)&lt;&gt;"Subscription",INDEX('Game Records'!$U:$U,$H443)&lt;&gt;"Free Game",INDEX('Game Records'!$U:$U,$H443)&lt;&gt;"Disqualified — Free Game",INDEX('Game Records'!$G:$G,$H443)=""),"Gross Pot; ","")&amp;IF(AND(INDEX('Game Records'!$U:$U,$H443)&lt;&gt;"Free Game",INDEX('Game Records'!$U:$U,$H443)&lt;&gt;"Disqualified — Free Game",INDEX('Game Records'!$H:$H,$H443)=""),"Entry Fee; ","")&amp;IF(AND(INDEX('Game Records'!$U:$U,$H443)&lt;&gt;"Subscription",INDEX('Game Records'!$U:$U,$H443)&lt;&gt;"Free Game",INDEX('Game Records'!$U:$U,$H443)&lt;&gt;"Disqualified — Free Game",INDEX('Game Records'!$I:$I,$H443)=""),"Eligible Players; ","")&amp;IF(AND(INDEX('Game Records'!$U:$U,$H443)&lt;&gt;"Subscription",INDEX('Game Records'!$U:$U,$H443)&lt;&gt;"Free Game",INDEX('Game Records'!$U:$U,$H443)&lt;&gt;"Disqualified — Free Game",INDEX('Game Records'!$J:$J,$H443)=""),"Total Players; ","")&amp;IF(AND(LOWER(INDEX('Game Records'!$D:$D,$H443)&amp;"")="finalized",LOWER(INDEX('Game Records'!$L:$L,$H443)&amp;"")&lt;&gt;"yes",INDEX('Game Records'!$U:$U,$H443)&lt;&gt;"Subscription",INDEX('Game Records'!$U:$U,$H443)&lt;&gt;"Free Game",INDEX('Game Records'!$U:$U,$H443)&lt;&gt;"Disqualified — Free Game",INDEX('Game Records'!$K:$K,$H443)=""),"Final Payout; ","")&amp;IF(AND(LOWER(INDEX('Game Records'!$D:$D,$H443)&amp;"")="finalized",INDEX('Game Records'!$U:$U,$H443)&lt;&gt;"Subscription",INDEX('Game Records'!$U:$U,$H443)&lt;&gt;"Free Game",INDEX('Game Records'!$U:$U,$H443)&lt;&gt;"Disqualified — Free Game",OR(INDEX('Game Records'!$L:$L,$H443)="",LOWER(INDEX('Game Records'!$L:$L,$H443)&amp;"")="n/a")),"Disqualified Status; ",""))</f>
        <v/>
      </c>
      <c r="G443" s="25" t="str">
        <f t="array" ref="G443">IF($H443="","",IFERROR(INDEX('Game Records'!$M:$M,$H443),""))</f>
        <v/>
      </c>
      <c r="H443" s="8"/>
    </row>
    <row r="444" ht="24.0" customHeight="1">
      <c r="A444" s="21" t="str">
        <f t="shared" si="1"/>
        <v/>
      </c>
      <c r="B444" s="21" t="str">
        <f t="shared" si="2"/>
        <v/>
      </c>
      <c r="C444" s="25" t="str">
        <f t="array" ref="C444">IF($H444="","",IFERROR(INDEX('Game Records'!$A:$A,$H444),""))</f>
        <v/>
      </c>
      <c r="D444" s="25" t="str">
        <f t="array" ref="D444">IF($H444="","",IFERROR(INDEX('Game Records'!$U:$U,$H444),""))</f>
        <v/>
      </c>
      <c r="E444" s="25" t="str">
        <f t="shared" si="3"/>
        <v/>
      </c>
      <c r="F444" s="25" t="str">
        <f t="array" ref="F444">IF($H444="","",IF(OR(NOT(_xlfn.ISFORMULA(INDEX('Game Records'!$N:$N,$H444))),NOT(_xlfn.ISFORMULA(INDEX('Game Records'!$O:$O,$H444))),NOT(_xlfn.ISFORMULA(INDEX('Game Records'!$P:$P,$H444))),NOT(_xlfn.ISFORMULA(INDEX('Game Records'!$Q:$Q,$H444))),NOT(_xlfn.ISFORMULA(INDEX('Game Records'!$R:$R,$H444))),NOT(_xlfn.ISFORMULA(INDEX('Game Records'!$S:$S,$H444))),NOT(_xlfn.ISFORMULA(INDEX('Game Records'!$T:$T,$H444))),NOT(_xlfn.ISFORMULA(INDEX('Game Records'!$U:$U,$H444))),NOT(_xlfn.ISFORMULA(INDEX('Game Records'!$V:$V,$H444))),NOT(_xlfn.ISFORMULA(INDEX('Game Records'!$W:$W,$H444))),NOT(_xlfn.ISFORMULA(INDEX('Game Records'!$X:$X,$H444))),NOT(_xlfn.ISFORMULA(INDEX('Game Records'!$Y:$Y,$H444))),NOT(_xlfn.ISFORMULA(INDEX('Game Records'!$Z:$Z,$H444)))),"","")&amp;IF(INDEX('Game Records'!$B:$B,$H444)="","Start Date; ","")&amp;IF(INDEX('Game Records'!$C:$C,$H444)="","End Date; ","")&amp;IF(AND(INDEX('Game Records'!$U:$U,$H444)&lt;&gt;"Subscription",INDEX('Game Records'!$U:$U,$H444)&lt;&gt;"Free Game",INDEX('Game Records'!$U:$U,$H444)&lt;&gt;"Disqualified — Free Game",OR(INDEX('Game Records'!$D:$D,$H444)="",LOWER(INDEX('Game Records'!$D:$D,$H444)&amp;"")="n/a")),"Entry Mode; ","")&amp;IF(AND(INDEX('Game Records'!$U:$U,$H444)&lt;&gt;"Subscription",INDEX('Game Records'!$U:$U,$H444)&lt;&gt;"Free Game",INDEX('Game Records'!$U:$U,$H444)&lt;&gt;"Disqualified — Free Game",OR(INDEX('Game Records'!$E:$E,$H444)="",LOWER(INDEX('Game Records'!$E:$E,$H444)&amp;"")="n/a")),"Game Type; ","")&amp;IF(INDEX('Game Records'!$F:$F,$H444)="","Payment Type; ","")&amp;IF(AND(INDEX('Game Records'!$U:$U,$H444)&lt;&gt;"Subscription",INDEX('Game Records'!$U:$U,$H444)&lt;&gt;"Free Game",INDEX('Game Records'!$U:$U,$H444)&lt;&gt;"Disqualified — Free Game",INDEX('Game Records'!$G:$G,$H444)=""),"Gross Pot; ","")&amp;IF(AND(INDEX('Game Records'!$U:$U,$H444)&lt;&gt;"Free Game",INDEX('Game Records'!$U:$U,$H444)&lt;&gt;"Disqualified — Free Game",INDEX('Game Records'!$H:$H,$H444)=""),"Entry Fee; ","")&amp;IF(AND(INDEX('Game Records'!$U:$U,$H444)&lt;&gt;"Subscription",INDEX('Game Records'!$U:$U,$H444)&lt;&gt;"Free Game",INDEX('Game Records'!$U:$U,$H444)&lt;&gt;"Disqualified — Free Game",INDEX('Game Records'!$I:$I,$H444)=""),"Eligible Players; ","")&amp;IF(AND(INDEX('Game Records'!$U:$U,$H444)&lt;&gt;"Subscription",INDEX('Game Records'!$U:$U,$H444)&lt;&gt;"Free Game",INDEX('Game Records'!$U:$U,$H444)&lt;&gt;"Disqualified — Free Game",INDEX('Game Records'!$J:$J,$H444)=""),"Total Players; ","")&amp;IF(AND(LOWER(INDEX('Game Records'!$D:$D,$H444)&amp;"")="finalized",LOWER(INDEX('Game Records'!$L:$L,$H444)&amp;"")&lt;&gt;"yes",INDEX('Game Records'!$U:$U,$H444)&lt;&gt;"Subscription",INDEX('Game Records'!$U:$U,$H444)&lt;&gt;"Free Game",INDEX('Game Records'!$U:$U,$H444)&lt;&gt;"Disqualified — Free Game",INDEX('Game Records'!$K:$K,$H444)=""),"Final Payout; ","")&amp;IF(AND(LOWER(INDEX('Game Records'!$D:$D,$H444)&amp;"")="finalized",INDEX('Game Records'!$U:$U,$H444)&lt;&gt;"Subscription",INDEX('Game Records'!$U:$U,$H444)&lt;&gt;"Free Game",INDEX('Game Records'!$U:$U,$H444)&lt;&gt;"Disqualified — Free Game",OR(INDEX('Game Records'!$L:$L,$H444)="",LOWER(INDEX('Game Records'!$L:$L,$H444)&amp;"")="n/a")),"Disqualified Status; ",""))</f>
        <v/>
      </c>
      <c r="G444" s="25" t="str">
        <f t="array" ref="G444">IF($H444="","",IFERROR(INDEX('Game Records'!$M:$M,$H444),""))</f>
        <v/>
      </c>
      <c r="H444" s="8"/>
    </row>
    <row r="445" ht="24.0" customHeight="1">
      <c r="A445" s="21" t="str">
        <f t="shared" si="1"/>
        <v/>
      </c>
      <c r="B445" s="21" t="str">
        <f t="shared" si="2"/>
        <v/>
      </c>
      <c r="C445" s="25" t="str">
        <f t="array" ref="C445">IF($H445="","",IFERROR(INDEX('Game Records'!$A:$A,$H445),""))</f>
        <v/>
      </c>
      <c r="D445" s="25" t="str">
        <f t="array" ref="D445">IF($H445="","",IFERROR(INDEX('Game Records'!$U:$U,$H445),""))</f>
        <v/>
      </c>
      <c r="E445" s="25" t="str">
        <f t="shared" si="3"/>
        <v/>
      </c>
      <c r="F445" s="25" t="str">
        <f t="array" ref="F445">IF($H445="","",IF(OR(NOT(_xlfn.ISFORMULA(INDEX('Game Records'!$N:$N,$H445))),NOT(_xlfn.ISFORMULA(INDEX('Game Records'!$O:$O,$H445))),NOT(_xlfn.ISFORMULA(INDEX('Game Records'!$P:$P,$H445))),NOT(_xlfn.ISFORMULA(INDEX('Game Records'!$Q:$Q,$H445))),NOT(_xlfn.ISFORMULA(INDEX('Game Records'!$R:$R,$H445))),NOT(_xlfn.ISFORMULA(INDEX('Game Records'!$S:$S,$H445))),NOT(_xlfn.ISFORMULA(INDEX('Game Records'!$T:$T,$H445))),NOT(_xlfn.ISFORMULA(INDEX('Game Records'!$U:$U,$H445))),NOT(_xlfn.ISFORMULA(INDEX('Game Records'!$V:$V,$H445))),NOT(_xlfn.ISFORMULA(INDEX('Game Records'!$W:$W,$H445))),NOT(_xlfn.ISFORMULA(INDEX('Game Records'!$X:$X,$H445))),NOT(_xlfn.ISFORMULA(INDEX('Game Records'!$Y:$Y,$H445))),NOT(_xlfn.ISFORMULA(INDEX('Game Records'!$Z:$Z,$H445)))),"","")&amp;IF(INDEX('Game Records'!$B:$B,$H445)="","Start Date; ","")&amp;IF(INDEX('Game Records'!$C:$C,$H445)="","End Date; ","")&amp;IF(AND(INDEX('Game Records'!$U:$U,$H445)&lt;&gt;"Subscription",INDEX('Game Records'!$U:$U,$H445)&lt;&gt;"Free Game",INDEX('Game Records'!$U:$U,$H445)&lt;&gt;"Disqualified — Free Game",OR(INDEX('Game Records'!$D:$D,$H445)="",LOWER(INDEX('Game Records'!$D:$D,$H445)&amp;"")="n/a")),"Entry Mode; ","")&amp;IF(AND(INDEX('Game Records'!$U:$U,$H445)&lt;&gt;"Subscription",INDEX('Game Records'!$U:$U,$H445)&lt;&gt;"Free Game",INDEX('Game Records'!$U:$U,$H445)&lt;&gt;"Disqualified — Free Game",OR(INDEX('Game Records'!$E:$E,$H445)="",LOWER(INDEX('Game Records'!$E:$E,$H445)&amp;"")="n/a")),"Game Type; ","")&amp;IF(INDEX('Game Records'!$F:$F,$H445)="","Payment Type; ","")&amp;IF(AND(INDEX('Game Records'!$U:$U,$H445)&lt;&gt;"Subscription",INDEX('Game Records'!$U:$U,$H445)&lt;&gt;"Free Game",INDEX('Game Records'!$U:$U,$H445)&lt;&gt;"Disqualified — Free Game",INDEX('Game Records'!$G:$G,$H445)=""),"Gross Pot; ","")&amp;IF(AND(INDEX('Game Records'!$U:$U,$H445)&lt;&gt;"Free Game",INDEX('Game Records'!$U:$U,$H445)&lt;&gt;"Disqualified — Free Game",INDEX('Game Records'!$H:$H,$H445)=""),"Entry Fee; ","")&amp;IF(AND(INDEX('Game Records'!$U:$U,$H445)&lt;&gt;"Subscription",INDEX('Game Records'!$U:$U,$H445)&lt;&gt;"Free Game",INDEX('Game Records'!$U:$U,$H445)&lt;&gt;"Disqualified — Free Game",INDEX('Game Records'!$I:$I,$H445)=""),"Eligible Players; ","")&amp;IF(AND(INDEX('Game Records'!$U:$U,$H445)&lt;&gt;"Subscription",INDEX('Game Records'!$U:$U,$H445)&lt;&gt;"Free Game",INDEX('Game Records'!$U:$U,$H445)&lt;&gt;"Disqualified — Free Game",INDEX('Game Records'!$J:$J,$H445)=""),"Total Players; ","")&amp;IF(AND(LOWER(INDEX('Game Records'!$D:$D,$H445)&amp;"")="finalized",LOWER(INDEX('Game Records'!$L:$L,$H445)&amp;"")&lt;&gt;"yes",INDEX('Game Records'!$U:$U,$H445)&lt;&gt;"Subscription",INDEX('Game Records'!$U:$U,$H445)&lt;&gt;"Free Game",INDEX('Game Records'!$U:$U,$H445)&lt;&gt;"Disqualified — Free Game",INDEX('Game Records'!$K:$K,$H445)=""),"Final Payout; ","")&amp;IF(AND(LOWER(INDEX('Game Records'!$D:$D,$H445)&amp;"")="finalized",INDEX('Game Records'!$U:$U,$H445)&lt;&gt;"Subscription",INDEX('Game Records'!$U:$U,$H445)&lt;&gt;"Free Game",INDEX('Game Records'!$U:$U,$H445)&lt;&gt;"Disqualified — Free Game",OR(INDEX('Game Records'!$L:$L,$H445)="",LOWER(INDEX('Game Records'!$L:$L,$H445)&amp;"")="n/a")),"Disqualified Status; ",""))</f>
        <v/>
      </c>
      <c r="G445" s="25" t="str">
        <f t="array" ref="G445">IF($H445="","",IFERROR(INDEX('Game Records'!$M:$M,$H445),""))</f>
        <v/>
      </c>
      <c r="H445" s="8"/>
    </row>
    <row r="446" ht="24.0" customHeight="1">
      <c r="A446" s="21" t="str">
        <f t="shared" si="1"/>
        <v/>
      </c>
      <c r="B446" s="21" t="str">
        <f t="shared" si="2"/>
        <v/>
      </c>
      <c r="C446" s="25" t="str">
        <f t="array" ref="C446">IF($H446="","",IFERROR(INDEX('Game Records'!$A:$A,$H446),""))</f>
        <v/>
      </c>
      <c r="D446" s="25" t="str">
        <f t="array" ref="D446">IF($H446="","",IFERROR(INDEX('Game Records'!$U:$U,$H446),""))</f>
        <v/>
      </c>
      <c r="E446" s="25" t="str">
        <f t="shared" si="3"/>
        <v/>
      </c>
      <c r="F446" s="25" t="str">
        <f t="array" ref="F446">IF($H446="","",IF(OR(NOT(_xlfn.ISFORMULA(INDEX('Game Records'!$N:$N,$H446))),NOT(_xlfn.ISFORMULA(INDEX('Game Records'!$O:$O,$H446))),NOT(_xlfn.ISFORMULA(INDEX('Game Records'!$P:$P,$H446))),NOT(_xlfn.ISFORMULA(INDEX('Game Records'!$Q:$Q,$H446))),NOT(_xlfn.ISFORMULA(INDEX('Game Records'!$R:$R,$H446))),NOT(_xlfn.ISFORMULA(INDEX('Game Records'!$S:$S,$H446))),NOT(_xlfn.ISFORMULA(INDEX('Game Records'!$T:$T,$H446))),NOT(_xlfn.ISFORMULA(INDEX('Game Records'!$U:$U,$H446))),NOT(_xlfn.ISFORMULA(INDEX('Game Records'!$V:$V,$H446))),NOT(_xlfn.ISFORMULA(INDEX('Game Records'!$W:$W,$H446))),NOT(_xlfn.ISFORMULA(INDEX('Game Records'!$X:$X,$H446))),NOT(_xlfn.ISFORMULA(INDEX('Game Records'!$Y:$Y,$H446))),NOT(_xlfn.ISFORMULA(INDEX('Game Records'!$Z:$Z,$H446)))),"","")&amp;IF(INDEX('Game Records'!$B:$B,$H446)="","Start Date; ","")&amp;IF(INDEX('Game Records'!$C:$C,$H446)="","End Date; ","")&amp;IF(AND(INDEX('Game Records'!$U:$U,$H446)&lt;&gt;"Subscription",INDEX('Game Records'!$U:$U,$H446)&lt;&gt;"Free Game",INDEX('Game Records'!$U:$U,$H446)&lt;&gt;"Disqualified — Free Game",OR(INDEX('Game Records'!$D:$D,$H446)="",LOWER(INDEX('Game Records'!$D:$D,$H446)&amp;"")="n/a")),"Entry Mode; ","")&amp;IF(AND(INDEX('Game Records'!$U:$U,$H446)&lt;&gt;"Subscription",INDEX('Game Records'!$U:$U,$H446)&lt;&gt;"Free Game",INDEX('Game Records'!$U:$U,$H446)&lt;&gt;"Disqualified — Free Game",OR(INDEX('Game Records'!$E:$E,$H446)="",LOWER(INDEX('Game Records'!$E:$E,$H446)&amp;"")="n/a")),"Game Type; ","")&amp;IF(INDEX('Game Records'!$F:$F,$H446)="","Payment Type; ","")&amp;IF(AND(INDEX('Game Records'!$U:$U,$H446)&lt;&gt;"Subscription",INDEX('Game Records'!$U:$U,$H446)&lt;&gt;"Free Game",INDEX('Game Records'!$U:$U,$H446)&lt;&gt;"Disqualified — Free Game",INDEX('Game Records'!$G:$G,$H446)=""),"Gross Pot; ","")&amp;IF(AND(INDEX('Game Records'!$U:$U,$H446)&lt;&gt;"Free Game",INDEX('Game Records'!$U:$U,$H446)&lt;&gt;"Disqualified — Free Game",INDEX('Game Records'!$H:$H,$H446)=""),"Entry Fee; ","")&amp;IF(AND(INDEX('Game Records'!$U:$U,$H446)&lt;&gt;"Subscription",INDEX('Game Records'!$U:$U,$H446)&lt;&gt;"Free Game",INDEX('Game Records'!$U:$U,$H446)&lt;&gt;"Disqualified — Free Game",INDEX('Game Records'!$I:$I,$H446)=""),"Eligible Players; ","")&amp;IF(AND(INDEX('Game Records'!$U:$U,$H446)&lt;&gt;"Subscription",INDEX('Game Records'!$U:$U,$H446)&lt;&gt;"Free Game",INDEX('Game Records'!$U:$U,$H446)&lt;&gt;"Disqualified — Free Game",INDEX('Game Records'!$J:$J,$H446)=""),"Total Players; ","")&amp;IF(AND(LOWER(INDEX('Game Records'!$D:$D,$H446)&amp;"")="finalized",LOWER(INDEX('Game Records'!$L:$L,$H446)&amp;"")&lt;&gt;"yes",INDEX('Game Records'!$U:$U,$H446)&lt;&gt;"Subscription",INDEX('Game Records'!$U:$U,$H446)&lt;&gt;"Free Game",INDEX('Game Records'!$U:$U,$H446)&lt;&gt;"Disqualified — Free Game",INDEX('Game Records'!$K:$K,$H446)=""),"Final Payout; ","")&amp;IF(AND(LOWER(INDEX('Game Records'!$D:$D,$H446)&amp;"")="finalized",INDEX('Game Records'!$U:$U,$H446)&lt;&gt;"Subscription",INDEX('Game Records'!$U:$U,$H446)&lt;&gt;"Free Game",INDEX('Game Records'!$U:$U,$H446)&lt;&gt;"Disqualified — Free Game",OR(INDEX('Game Records'!$L:$L,$H446)="",LOWER(INDEX('Game Records'!$L:$L,$H446)&amp;"")="n/a")),"Disqualified Status; ",""))</f>
        <v/>
      </c>
      <c r="G446" s="25" t="str">
        <f t="array" ref="G446">IF($H446="","",IFERROR(INDEX('Game Records'!$M:$M,$H446),""))</f>
        <v/>
      </c>
      <c r="H446" s="8"/>
    </row>
    <row r="447" ht="24.0" customHeight="1">
      <c r="A447" s="21" t="str">
        <f t="shared" si="1"/>
        <v/>
      </c>
      <c r="B447" s="21" t="str">
        <f t="shared" si="2"/>
        <v/>
      </c>
      <c r="C447" s="25" t="str">
        <f t="array" ref="C447">IF($H447="","",IFERROR(INDEX('Game Records'!$A:$A,$H447),""))</f>
        <v/>
      </c>
      <c r="D447" s="25" t="str">
        <f t="array" ref="D447">IF($H447="","",IFERROR(INDEX('Game Records'!$U:$U,$H447),""))</f>
        <v/>
      </c>
      <c r="E447" s="25" t="str">
        <f t="shared" si="3"/>
        <v/>
      </c>
      <c r="F447" s="25" t="str">
        <f t="array" ref="F447">IF($H447="","",IF(OR(NOT(_xlfn.ISFORMULA(INDEX('Game Records'!$N:$N,$H447))),NOT(_xlfn.ISFORMULA(INDEX('Game Records'!$O:$O,$H447))),NOT(_xlfn.ISFORMULA(INDEX('Game Records'!$P:$P,$H447))),NOT(_xlfn.ISFORMULA(INDEX('Game Records'!$Q:$Q,$H447))),NOT(_xlfn.ISFORMULA(INDEX('Game Records'!$R:$R,$H447))),NOT(_xlfn.ISFORMULA(INDEX('Game Records'!$S:$S,$H447))),NOT(_xlfn.ISFORMULA(INDEX('Game Records'!$T:$T,$H447))),NOT(_xlfn.ISFORMULA(INDEX('Game Records'!$U:$U,$H447))),NOT(_xlfn.ISFORMULA(INDEX('Game Records'!$V:$V,$H447))),NOT(_xlfn.ISFORMULA(INDEX('Game Records'!$W:$W,$H447))),NOT(_xlfn.ISFORMULA(INDEX('Game Records'!$X:$X,$H447))),NOT(_xlfn.ISFORMULA(INDEX('Game Records'!$Y:$Y,$H447))),NOT(_xlfn.ISFORMULA(INDEX('Game Records'!$Z:$Z,$H447)))),"","")&amp;IF(INDEX('Game Records'!$B:$B,$H447)="","Start Date; ","")&amp;IF(INDEX('Game Records'!$C:$C,$H447)="","End Date; ","")&amp;IF(AND(INDEX('Game Records'!$U:$U,$H447)&lt;&gt;"Subscription",INDEX('Game Records'!$U:$U,$H447)&lt;&gt;"Free Game",INDEX('Game Records'!$U:$U,$H447)&lt;&gt;"Disqualified — Free Game",OR(INDEX('Game Records'!$D:$D,$H447)="",LOWER(INDEX('Game Records'!$D:$D,$H447)&amp;"")="n/a")),"Entry Mode; ","")&amp;IF(AND(INDEX('Game Records'!$U:$U,$H447)&lt;&gt;"Subscription",INDEX('Game Records'!$U:$U,$H447)&lt;&gt;"Free Game",INDEX('Game Records'!$U:$U,$H447)&lt;&gt;"Disqualified — Free Game",OR(INDEX('Game Records'!$E:$E,$H447)="",LOWER(INDEX('Game Records'!$E:$E,$H447)&amp;"")="n/a")),"Game Type; ","")&amp;IF(INDEX('Game Records'!$F:$F,$H447)="","Payment Type; ","")&amp;IF(AND(INDEX('Game Records'!$U:$U,$H447)&lt;&gt;"Subscription",INDEX('Game Records'!$U:$U,$H447)&lt;&gt;"Free Game",INDEX('Game Records'!$U:$U,$H447)&lt;&gt;"Disqualified — Free Game",INDEX('Game Records'!$G:$G,$H447)=""),"Gross Pot; ","")&amp;IF(AND(INDEX('Game Records'!$U:$U,$H447)&lt;&gt;"Free Game",INDEX('Game Records'!$U:$U,$H447)&lt;&gt;"Disqualified — Free Game",INDEX('Game Records'!$H:$H,$H447)=""),"Entry Fee; ","")&amp;IF(AND(INDEX('Game Records'!$U:$U,$H447)&lt;&gt;"Subscription",INDEX('Game Records'!$U:$U,$H447)&lt;&gt;"Free Game",INDEX('Game Records'!$U:$U,$H447)&lt;&gt;"Disqualified — Free Game",INDEX('Game Records'!$I:$I,$H447)=""),"Eligible Players; ","")&amp;IF(AND(INDEX('Game Records'!$U:$U,$H447)&lt;&gt;"Subscription",INDEX('Game Records'!$U:$U,$H447)&lt;&gt;"Free Game",INDEX('Game Records'!$U:$U,$H447)&lt;&gt;"Disqualified — Free Game",INDEX('Game Records'!$J:$J,$H447)=""),"Total Players; ","")&amp;IF(AND(LOWER(INDEX('Game Records'!$D:$D,$H447)&amp;"")="finalized",LOWER(INDEX('Game Records'!$L:$L,$H447)&amp;"")&lt;&gt;"yes",INDEX('Game Records'!$U:$U,$H447)&lt;&gt;"Subscription",INDEX('Game Records'!$U:$U,$H447)&lt;&gt;"Free Game",INDEX('Game Records'!$U:$U,$H447)&lt;&gt;"Disqualified — Free Game",INDEX('Game Records'!$K:$K,$H447)=""),"Final Payout; ","")&amp;IF(AND(LOWER(INDEX('Game Records'!$D:$D,$H447)&amp;"")="finalized",INDEX('Game Records'!$U:$U,$H447)&lt;&gt;"Subscription",INDEX('Game Records'!$U:$U,$H447)&lt;&gt;"Free Game",INDEX('Game Records'!$U:$U,$H447)&lt;&gt;"Disqualified — Free Game",OR(INDEX('Game Records'!$L:$L,$H447)="",LOWER(INDEX('Game Records'!$L:$L,$H447)&amp;"")="n/a")),"Disqualified Status; ",""))</f>
        <v/>
      </c>
      <c r="G447" s="25" t="str">
        <f t="array" ref="G447">IF($H447="","",IFERROR(INDEX('Game Records'!$M:$M,$H447),""))</f>
        <v/>
      </c>
      <c r="H447" s="8"/>
    </row>
    <row r="448" ht="24.0" customHeight="1">
      <c r="A448" s="21" t="str">
        <f t="shared" si="1"/>
        <v/>
      </c>
      <c r="B448" s="21" t="str">
        <f t="shared" si="2"/>
        <v/>
      </c>
      <c r="C448" s="25" t="str">
        <f t="array" ref="C448">IF($H448="","",IFERROR(INDEX('Game Records'!$A:$A,$H448),""))</f>
        <v/>
      </c>
      <c r="D448" s="25" t="str">
        <f t="array" ref="D448">IF($H448="","",IFERROR(INDEX('Game Records'!$U:$U,$H448),""))</f>
        <v/>
      </c>
      <c r="E448" s="25" t="str">
        <f t="shared" si="3"/>
        <v/>
      </c>
      <c r="F448" s="25" t="str">
        <f t="array" ref="F448">IF($H448="","",IF(OR(NOT(_xlfn.ISFORMULA(INDEX('Game Records'!$N:$N,$H448))),NOT(_xlfn.ISFORMULA(INDEX('Game Records'!$O:$O,$H448))),NOT(_xlfn.ISFORMULA(INDEX('Game Records'!$P:$P,$H448))),NOT(_xlfn.ISFORMULA(INDEX('Game Records'!$Q:$Q,$H448))),NOT(_xlfn.ISFORMULA(INDEX('Game Records'!$R:$R,$H448))),NOT(_xlfn.ISFORMULA(INDEX('Game Records'!$S:$S,$H448))),NOT(_xlfn.ISFORMULA(INDEX('Game Records'!$T:$T,$H448))),NOT(_xlfn.ISFORMULA(INDEX('Game Records'!$U:$U,$H448))),NOT(_xlfn.ISFORMULA(INDEX('Game Records'!$V:$V,$H448))),NOT(_xlfn.ISFORMULA(INDEX('Game Records'!$W:$W,$H448))),NOT(_xlfn.ISFORMULA(INDEX('Game Records'!$X:$X,$H448))),NOT(_xlfn.ISFORMULA(INDEX('Game Records'!$Y:$Y,$H448))),NOT(_xlfn.ISFORMULA(INDEX('Game Records'!$Z:$Z,$H448)))),"","")&amp;IF(INDEX('Game Records'!$B:$B,$H448)="","Start Date; ","")&amp;IF(INDEX('Game Records'!$C:$C,$H448)="","End Date; ","")&amp;IF(AND(INDEX('Game Records'!$U:$U,$H448)&lt;&gt;"Subscription",INDEX('Game Records'!$U:$U,$H448)&lt;&gt;"Free Game",INDEX('Game Records'!$U:$U,$H448)&lt;&gt;"Disqualified — Free Game",OR(INDEX('Game Records'!$D:$D,$H448)="",LOWER(INDEX('Game Records'!$D:$D,$H448)&amp;"")="n/a")),"Entry Mode; ","")&amp;IF(AND(INDEX('Game Records'!$U:$U,$H448)&lt;&gt;"Subscription",INDEX('Game Records'!$U:$U,$H448)&lt;&gt;"Free Game",INDEX('Game Records'!$U:$U,$H448)&lt;&gt;"Disqualified — Free Game",OR(INDEX('Game Records'!$E:$E,$H448)="",LOWER(INDEX('Game Records'!$E:$E,$H448)&amp;"")="n/a")),"Game Type; ","")&amp;IF(INDEX('Game Records'!$F:$F,$H448)="","Payment Type; ","")&amp;IF(AND(INDEX('Game Records'!$U:$U,$H448)&lt;&gt;"Subscription",INDEX('Game Records'!$U:$U,$H448)&lt;&gt;"Free Game",INDEX('Game Records'!$U:$U,$H448)&lt;&gt;"Disqualified — Free Game",INDEX('Game Records'!$G:$G,$H448)=""),"Gross Pot; ","")&amp;IF(AND(INDEX('Game Records'!$U:$U,$H448)&lt;&gt;"Free Game",INDEX('Game Records'!$U:$U,$H448)&lt;&gt;"Disqualified — Free Game",INDEX('Game Records'!$H:$H,$H448)=""),"Entry Fee; ","")&amp;IF(AND(INDEX('Game Records'!$U:$U,$H448)&lt;&gt;"Subscription",INDEX('Game Records'!$U:$U,$H448)&lt;&gt;"Free Game",INDEX('Game Records'!$U:$U,$H448)&lt;&gt;"Disqualified — Free Game",INDEX('Game Records'!$I:$I,$H448)=""),"Eligible Players; ","")&amp;IF(AND(INDEX('Game Records'!$U:$U,$H448)&lt;&gt;"Subscription",INDEX('Game Records'!$U:$U,$H448)&lt;&gt;"Free Game",INDEX('Game Records'!$U:$U,$H448)&lt;&gt;"Disqualified — Free Game",INDEX('Game Records'!$J:$J,$H448)=""),"Total Players; ","")&amp;IF(AND(LOWER(INDEX('Game Records'!$D:$D,$H448)&amp;"")="finalized",LOWER(INDEX('Game Records'!$L:$L,$H448)&amp;"")&lt;&gt;"yes",INDEX('Game Records'!$U:$U,$H448)&lt;&gt;"Subscription",INDEX('Game Records'!$U:$U,$H448)&lt;&gt;"Free Game",INDEX('Game Records'!$U:$U,$H448)&lt;&gt;"Disqualified — Free Game",INDEX('Game Records'!$K:$K,$H448)=""),"Final Payout; ","")&amp;IF(AND(LOWER(INDEX('Game Records'!$D:$D,$H448)&amp;"")="finalized",INDEX('Game Records'!$U:$U,$H448)&lt;&gt;"Subscription",INDEX('Game Records'!$U:$U,$H448)&lt;&gt;"Free Game",INDEX('Game Records'!$U:$U,$H448)&lt;&gt;"Disqualified — Free Game",OR(INDEX('Game Records'!$L:$L,$H448)="",LOWER(INDEX('Game Records'!$L:$L,$H448)&amp;"")="n/a")),"Disqualified Status; ",""))</f>
        <v/>
      </c>
      <c r="G448" s="25" t="str">
        <f t="array" ref="G448">IF($H448="","",IFERROR(INDEX('Game Records'!$M:$M,$H448),""))</f>
        <v/>
      </c>
      <c r="H448" s="8"/>
    </row>
    <row r="449" ht="24.0" customHeight="1">
      <c r="A449" s="21" t="str">
        <f t="shared" si="1"/>
        <v/>
      </c>
      <c r="B449" s="21" t="str">
        <f t="shared" si="2"/>
        <v/>
      </c>
      <c r="C449" s="25" t="str">
        <f t="array" ref="C449">IF($H449="","",IFERROR(INDEX('Game Records'!$A:$A,$H449),""))</f>
        <v/>
      </c>
      <c r="D449" s="25" t="str">
        <f t="array" ref="D449">IF($H449="","",IFERROR(INDEX('Game Records'!$U:$U,$H449),""))</f>
        <v/>
      </c>
      <c r="E449" s="25" t="str">
        <f t="shared" si="3"/>
        <v/>
      </c>
      <c r="F449" s="25" t="str">
        <f t="array" ref="F449">IF($H449="","",IF(OR(NOT(_xlfn.ISFORMULA(INDEX('Game Records'!$N:$N,$H449))),NOT(_xlfn.ISFORMULA(INDEX('Game Records'!$O:$O,$H449))),NOT(_xlfn.ISFORMULA(INDEX('Game Records'!$P:$P,$H449))),NOT(_xlfn.ISFORMULA(INDEX('Game Records'!$Q:$Q,$H449))),NOT(_xlfn.ISFORMULA(INDEX('Game Records'!$R:$R,$H449))),NOT(_xlfn.ISFORMULA(INDEX('Game Records'!$S:$S,$H449))),NOT(_xlfn.ISFORMULA(INDEX('Game Records'!$T:$T,$H449))),NOT(_xlfn.ISFORMULA(INDEX('Game Records'!$U:$U,$H449))),NOT(_xlfn.ISFORMULA(INDEX('Game Records'!$V:$V,$H449))),NOT(_xlfn.ISFORMULA(INDEX('Game Records'!$W:$W,$H449))),NOT(_xlfn.ISFORMULA(INDEX('Game Records'!$X:$X,$H449))),NOT(_xlfn.ISFORMULA(INDEX('Game Records'!$Y:$Y,$H449))),NOT(_xlfn.ISFORMULA(INDEX('Game Records'!$Z:$Z,$H449)))),"","")&amp;IF(INDEX('Game Records'!$B:$B,$H449)="","Start Date; ","")&amp;IF(INDEX('Game Records'!$C:$C,$H449)="","End Date; ","")&amp;IF(AND(INDEX('Game Records'!$U:$U,$H449)&lt;&gt;"Subscription",INDEX('Game Records'!$U:$U,$H449)&lt;&gt;"Free Game",INDEX('Game Records'!$U:$U,$H449)&lt;&gt;"Disqualified — Free Game",OR(INDEX('Game Records'!$D:$D,$H449)="",LOWER(INDEX('Game Records'!$D:$D,$H449)&amp;"")="n/a")),"Entry Mode; ","")&amp;IF(AND(INDEX('Game Records'!$U:$U,$H449)&lt;&gt;"Subscription",INDEX('Game Records'!$U:$U,$H449)&lt;&gt;"Free Game",INDEX('Game Records'!$U:$U,$H449)&lt;&gt;"Disqualified — Free Game",OR(INDEX('Game Records'!$E:$E,$H449)="",LOWER(INDEX('Game Records'!$E:$E,$H449)&amp;"")="n/a")),"Game Type; ","")&amp;IF(INDEX('Game Records'!$F:$F,$H449)="","Payment Type; ","")&amp;IF(AND(INDEX('Game Records'!$U:$U,$H449)&lt;&gt;"Subscription",INDEX('Game Records'!$U:$U,$H449)&lt;&gt;"Free Game",INDEX('Game Records'!$U:$U,$H449)&lt;&gt;"Disqualified — Free Game",INDEX('Game Records'!$G:$G,$H449)=""),"Gross Pot; ","")&amp;IF(AND(INDEX('Game Records'!$U:$U,$H449)&lt;&gt;"Free Game",INDEX('Game Records'!$U:$U,$H449)&lt;&gt;"Disqualified — Free Game",INDEX('Game Records'!$H:$H,$H449)=""),"Entry Fee; ","")&amp;IF(AND(INDEX('Game Records'!$U:$U,$H449)&lt;&gt;"Subscription",INDEX('Game Records'!$U:$U,$H449)&lt;&gt;"Free Game",INDEX('Game Records'!$U:$U,$H449)&lt;&gt;"Disqualified — Free Game",INDEX('Game Records'!$I:$I,$H449)=""),"Eligible Players; ","")&amp;IF(AND(INDEX('Game Records'!$U:$U,$H449)&lt;&gt;"Subscription",INDEX('Game Records'!$U:$U,$H449)&lt;&gt;"Free Game",INDEX('Game Records'!$U:$U,$H449)&lt;&gt;"Disqualified — Free Game",INDEX('Game Records'!$J:$J,$H449)=""),"Total Players; ","")&amp;IF(AND(LOWER(INDEX('Game Records'!$D:$D,$H449)&amp;"")="finalized",LOWER(INDEX('Game Records'!$L:$L,$H449)&amp;"")&lt;&gt;"yes",INDEX('Game Records'!$U:$U,$H449)&lt;&gt;"Subscription",INDEX('Game Records'!$U:$U,$H449)&lt;&gt;"Free Game",INDEX('Game Records'!$U:$U,$H449)&lt;&gt;"Disqualified — Free Game",INDEX('Game Records'!$K:$K,$H449)=""),"Final Payout; ","")&amp;IF(AND(LOWER(INDEX('Game Records'!$D:$D,$H449)&amp;"")="finalized",INDEX('Game Records'!$U:$U,$H449)&lt;&gt;"Subscription",INDEX('Game Records'!$U:$U,$H449)&lt;&gt;"Free Game",INDEX('Game Records'!$U:$U,$H449)&lt;&gt;"Disqualified — Free Game",OR(INDEX('Game Records'!$L:$L,$H449)="",LOWER(INDEX('Game Records'!$L:$L,$H449)&amp;"")="n/a")),"Disqualified Status; ",""))</f>
        <v/>
      </c>
      <c r="G449" s="25" t="str">
        <f t="array" ref="G449">IF($H449="","",IFERROR(INDEX('Game Records'!$M:$M,$H449),""))</f>
        <v/>
      </c>
      <c r="H449" s="8"/>
    </row>
    <row r="450" ht="24.0" customHeight="1">
      <c r="A450" s="21" t="str">
        <f t="shared" si="1"/>
        <v/>
      </c>
      <c r="B450" s="21" t="str">
        <f t="shared" si="2"/>
        <v/>
      </c>
      <c r="C450" s="25" t="str">
        <f t="array" ref="C450">IF($H450="","",IFERROR(INDEX('Game Records'!$A:$A,$H450),""))</f>
        <v/>
      </c>
      <c r="D450" s="25" t="str">
        <f t="array" ref="D450">IF($H450="","",IFERROR(INDEX('Game Records'!$U:$U,$H450),""))</f>
        <v/>
      </c>
      <c r="E450" s="25" t="str">
        <f t="shared" si="3"/>
        <v/>
      </c>
      <c r="F450" s="25" t="str">
        <f t="array" ref="F450">IF($H450="","",IF(OR(NOT(_xlfn.ISFORMULA(INDEX('Game Records'!$N:$N,$H450))),NOT(_xlfn.ISFORMULA(INDEX('Game Records'!$O:$O,$H450))),NOT(_xlfn.ISFORMULA(INDEX('Game Records'!$P:$P,$H450))),NOT(_xlfn.ISFORMULA(INDEX('Game Records'!$Q:$Q,$H450))),NOT(_xlfn.ISFORMULA(INDEX('Game Records'!$R:$R,$H450))),NOT(_xlfn.ISFORMULA(INDEX('Game Records'!$S:$S,$H450))),NOT(_xlfn.ISFORMULA(INDEX('Game Records'!$T:$T,$H450))),NOT(_xlfn.ISFORMULA(INDEX('Game Records'!$U:$U,$H450))),NOT(_xlfn.ISFORMULA(INDEX('Game Records'!$V:$V,$H450))),NOT(_xlfn.ISFORMULA(INDEX('Game Records'!$W:$W,$H450))),NOT(_xlfn.ISFORMULA(INDEX('Game Records'!$X:$X,$H450))),NOT(_xlfn.ISFORMULA(INDEX('Game Records'!$Y:$Y,$H450))),NOT(_xlfn.ISFORMULA(INDEX('Game Records'!$Z:$Z,$H450)))),"","")&amp;IF(INDEX('Game Records'!$B:$B,$H450)="","Start Date; ","")&amp;IF(INDEX('Game Records'!$C:$C,$H450)="","End Date; ","")&amp;IF(AND(INDEX('Game Records'!$U:$U,$H450)&lt;&gt;"Subscription",INDEX('Game Records'!$U:$U,$H450)&lt;&gt;"Free Game",INDEX('Game Records'!$U:$U,$H450)&lt;&gt;"Disqualified — Free Game",OR(INDEX('Game Records'!$D:$D,$H450)="",LOWER(INDEX('Game Records'!$D:$D,$H450)&amp;"")="n/a")),"Entry Mode; ","")&amp;IF(AND(INDEX('Game Records'!$U:$U,$H450)&lt;&gt;"Subscription",INDEX('Game Records'!$U:$U,$H450)&lt;&gt;"Free Game",INDEX('Game Records'!$U:$U,$H450)&lt;&gt;"Disqualified — Free Game",OR(INDEX('Game Records'!$E:$E,$H450)="",LOWER(INDEX('Game Records'!$E:$E,$H450)&amp;"")="n/a")),"Game Type; ","")&amp;IF(INDEX('Game Records'!$F:$F,$H450)="","Payment Type; ","")&amp;IF(AND(INDEX('Game Records'!$U:$U,$H450)&lt;&gt;"Subscription",INDEX('Game Records'!$U:$U,$H450)&lt;&gt;"Free Game",INDEX('Game Records'!$U:$U,$H450)&lt;&gt;"Disqualified — Free Game",INDEX('Game Records'!$G:$G,$H450)=""),"Gross Pot; ","")&amp;IF(AND(INDEX('Game Records'!$U:$U,$H450)&lt;&gt;"Free Game",INDEX('Game Records'!$U:$U,$H450)&lt;&gt;"Disqualified — Free Game",INDEX('Game Records'!$H:$H,$H450)=""),"Entry Fee; ","")&amp;IF(AND(INDEX('Game Records'!$U:$U,$H450)&lt;&gt;"Subscription",INDEX('Game Records'!$U:$U,$H450)&lt;&gt;"Free Game",INDEX('Game Records'!$U:$U,$H450)&lt;&gt;"Disqualified — Free Game",INDEX('Game Records'!$I:$I,$H450)=""),"Eligible Players; ","")&amp;IF(AND(INDEX('Game Records'!$U:$U,$H450)&lt;&gt;"Subscription",INDEX('Game Records'!$U:$U,$H450)&lt;&gt;"Free Game",INDEX('Game Records'!$U:$U,$H450)&lt;&gt;"Disqualified — Free Game",INDEX('Game Records'!$J:$J,$H450)=""),"Total Players; ","")&amp;IF(AND(LOWER(INDEX('Game Records'!$D:$D,$H450)&amp;"")="finalized",LOWER(INDEX('Game Records'!$L:$L,$H450)&amp;"")&lt;&gt;"yes",INDEX('Game Records'!$U:$U,$H450)&lt;&gt;"Subscription",INDEX('Game Records'!$U:$U,$H450)&lt;&gt;"Free Game",INDEX('Game Records'!$U:$U,$H450)&lt;&gt;"Disqualified — Free Game",INDEX('Game Records'!$K:$K,$H450)=""),"Final Payout; ","")&amp;IF(AND(LOWER(INDEX('Game Records'!$D:$D,$H450)&amp;"")="finalized",INDEX('Game Records'!$U:$U,$H450)&lt;&gt;"Subscription",INDEX('Game Records'!$U:$U,$H450)&lt;&gt;"Free Game",INDEX('Game Records'!$U:$U,$H450)&lt;&gt;"Disqualified — Free Game",OR(INDEX('Game Records'!$L:$L,$H450)="",LOWER(INDEX('Game Records'!$L:$L,$H450)&amp;"")="n/a")),"Disqualified Status; ",""))</f>
        <v/>
      </c>
      <c r="G450" s="25" t="str">
        <f t="array" ref="G450">IF($H450="","",IFERROR(INDEX('Game Records'!$M:$M,$H450),""))</f>
        <v/>
      </c>
      <c r="H450" s="8"/>
    </row>
    <row r="451" ht="24.0" customHeight="1">
      <c r="A451" s="21" t="str">
        <f t="shared" si="1"/>
        <v/>
      </c>
      <c r="B451" s="21" t="str">
        <f t="shared" si="2"/>
        <v/>
      </c>
      <c r="C451" s="25" t="str">
        <f t="array" ref="C451">IF($H451="","",IFERROR(INDEX('Game Records'!$A:$A,$H451),""))</f>
        <v/>
      </c>
      <c r="D451" s="25" t="str">
        <f t="array" ref="D451">IF($H451="","",IFERROR(INDEX('Game Records'!$U:$U,$H451),""))</f>
        <v/>
      </c>
      <c r="E451" s="25" t="str">
        <f t="shared" si="3"/>
        <v/>
      </c>
      <c r="F451" s="25" t="str">
        <f t="array" ref="F451">IF($H451="","",IF(OR(NOT(_xlfn.ISFORMULA(INDEX('Game Records'!$N:$N,$H451))),NOT(_xlfn.ISFORMULA(INDEX('Game Records'!$O:$O,$H451))),NOT(_xlfn.ISFORMULA(INDEX('Game Records'!$P:$P,$H451))),NOT(_xlfn.ISFORMULA(INDEX('Game Records'!$Q:$Q,$H451))),NOT(_xlfn.ISFORMULA(INDEX('Game Records'!$R:$R,$H451))),NOT(_xlfn.ISFORMULA(INDEX('Game Records'!$S:$S,$H451))),NOT(_xlfn.ISFORMULA(INDEX('Game Records'!$T:$T,$H451))),NOT(_xlfn.ISFORMULA(INDEX('Game Records'!$U:$U,$H451))),NOT(_xlfn.ISFORMULA(INDEX('Game Records'!$V:$V,$H451))),NOT(_xlfn.ISFORMULA(INDEX('Game Records'!$W:$W,$H451))),NOT(_xlfn.ISFORMULA(INDEX('Game Records'!$X:$X,$H451))),NOT(_xlfn.ISFORMULA(INDEX('Game Records'!$Y:$Y,$H451))),NOT(_xlfn.ISFORMULA(INDEX('Game Records'!$Z:$Z,$H451)))),"","")&amp;IF(INDEX('Game Records'!$B:$B,$H451)="","Start Date; ","")&amp;IF(INDEX('Game Records'!$C:$C,$H451)="","End Date; ","")&amp;IF(AND(INDEX('Game Records'!$U:$U,$H451)&lt;&gt;"Subscription",INDEX('Game Records'!$U:$U,$H451)&lt;&gt;"Free Game",INDEX('Game Records'!$U:$U,$H451)&lt;&gt;"Disqualified — Free Game",OR(INDEX('Game Records'!$D:$D,$H451)="",LOWER(INDEX('Game Records'!$D:$D,$H451)&amp;"")="n/a")),"Entry Mode; ","")&amp;IF(AND(INDEX('Game Records'!$U:$U,$H451)&lt;&gt;"Subscription",INDEX('Game Records'!$U:$U,$H451)&lt;&gt;"Free Game",INDEX('Game Records'!$U:$U,$H451)&lt;&gt;"Disqualified — Free Game",OR(INDEX('Game Records'!$E:$E,$H451)="",LOWER(INDEX('Game Records'!$E:$E,$H451)&amp;"")="n/a")),"Game Type; ","")&amp;IF(INDEX('Game Records'!$F:$F,$H451)="","Payment Type; ","")&amp;IF(AND(INDEX('Game Records'!$U:$U,$H451)&lt;&gt;"Subscription",INDEX('Game Records'!$U:$U,$H451)&lt;&gt;"Free Game",INDEX('Game Records'!$U:$U,$H451)&lt;&gt;"Disqualified — Free Game",INDEX('Game Records'!$G:$G,$H451)=""),"Gross Pot; ","")&amp;IF(AND(INDEX('Game Records'!$U:$U,$H451)&lt;&gt;"Free Game",INDEX('Game Records'!$U:$U,$H451)&lt;&gt;"Disqualified — Free Game",INDEX('Game Records'!$H:$H,$H451)=""),"Entry Fee; ","")&amp;IF(AND(INDEX('Game Records'!$U:$U,$H451)&lt;&gt;"Subscription",INDEX('Game Records'!$U:$U,$H451)&lt;&gt;"Free Game",INDEX('Game Records'!$U:$U,$H451)&lt;&gt;"Disqualified — Free Game",INDEX('Game Records'!$I:$I,$H451)=""),"Eligible Players; ","")&amp;IF(AND(INDEX('Game Records'!$U:$U,$H451)&lt;&gt;"Subscription",INDEX('Game Records'!$U:$U,$H451)&lt;&gt;"Free Game",INDEX('Game Records'!$U:$U,$H451)&lt;&gt;"Disqualified — Free Game",INDEX('Game Records'!$J:$J,$H451)=""),"Total Players; ","")&amp;IF(AND(LOWER(INDEX('Game Records'!$D:$D,$H451)&amp;"")="finalized",LOWER(INDEX('Game Records'!$L:$L,$H451)&amp;"")&lt;&gt;"yes",INDEX('Game Records'!$U:$U,$H451)&lt;&gt;"Subscription",INDEX('Game Records'!$U:$U,$H451)&lt;&gt;"Free Game",INDEX('Game Records'!$U:$U,$H451)&lt;&gt;"Disqualified — Free Game",INDEX('Game Records'!$K:$K,$H451)=""),"Final Payout; ","")&amp;IF(AND(LOWER(INDEX('Game Records'!$D:$D,$H451)&amp;"")="finalized",INDEX('Game Records'!$U:$U,$H451)&lt;&gt;"Subscription",INDEX('Game Records'!$U:$U,$H451)&lt;&gt;"Free Game",INDEX('Game Records'!$U:$U,$H451)&lt;&gt;"Disqualified — Free Game",OR(INDEX('Game Records'!$L:$L,$H451)="",LOWER(INDEX('Game Records'!$L:$L,$H451)&amp;"")="n/a")),"Disqualified Status; ",""))</f>
        <v/>
      </c>
      <c r="G451" s="25" t="str">
        <f t="array" ref="G451">IF($H451="","",IFERROR(INDEX('Game Records'!$M:$M,$H451),""))</f>
        <v/>
      </c>
      <c r="H451" s="8"/>
    </row>
    <row r="452" ht="24.0" customHeight="1">
      <c r="A452" s="21" t="str">
        <f t="shared" si="1"/>
        <v/>
      </c>
      <c r="B452" s="21" t="str">
        <f t="shared" si="2"/>
        <v/>
      </c>
      <c r="C452" s="25" t="str">
        <f t="array" ref="C452">IF($H452="","",IFERROR(INDEX('Game Records'!$A:$A,$H452),""))</f>
        <v/>
      </c>
      <c r="D452" s="25" t="str">
        <f t="array" ref="D452">IF($H452="","",IFERROR(INDEX('Game Records'!$U:$U,$H452),""))</f>
        <v/>
      </c>
      <c r="E452" s="25" t="str">
        <f t="shared" si="3"/>
        <v/>
      </c>
      <c r="F452" s="25" t="str">
        <f t="array" ref="F452">IF($H452="","",IF(OR(NOT(_xlfn.ISFORMULA(INDEX('Game Records'!$N:$N,$H452))),NOT(_xlfn.ISFORMULA(INDEX('Game Records'!$O:$O,$H452))),NOT(_xlfn.ISFORMULA(INDEX('Game Records'!$P:$P,$H452))),NOT(_xlfn.ISFORMULA(INDEX('Game Records'!$Q:$Q,$H452))),NOT(_xlfn.ISFORMULA(INDEX('Game Records'!$R:$R,$H452))),NOT(_xlfn.ISFORMULA(INDEX('Game Records'!$S:$S,$H452))),NOT(_xlfn.ISFORMULA(INDEX('Game Records'!$T:$T,$H452))),NOT(_xlfn.ISFORMULA(INDEX('Game Records'!$U:$U,$H452))),NOT(_xlfn.ISFORMULA(INDEX('Game Records'!$V:$V,$H452))),NOT(_xlfn.ISFORMULA(INDEX('Game Records'!$W:$W,$H452))),NOT(_xlfn.ISFORMULA(INDEX('Game Records'!$X:$X,$H452))),NOT(_xlfn.ISFORMULA(INDEX('Game Records'!$Y:$Y,$H452))),NOT(_xlfn.ISFORMULA(INDEX('Game Records'!$Z:$Z,$H452)))),"","")&amp;IF(INDEX('Game Records'!$B:$B,$H452)="","Start Date; ","")&amp;IF(INDEX('Game Records'!$C:$C,$H452)="","End Date; ","")&amp;IF(AND(INDEX('Game Records'!$U:$U,$H452)&lt;&gt;"Subscription",INDEX('Game Records'!$U:$U,$H452)&lt;&gt;"Free Game",INDEX('Game Records'!$U:$U,$H452)&lt;&gt;"Disqualified — Free Game",OR(INDEX('Game Records'!$D:$D,$H452)="",LOWER(INDEX('Game Records'!$D:$D,$H452)&amp;"")="n/a")),"Entry Mode; ","")&amp;IF(AND(INDEX('Game Records'!$U:$U,$H452)&lt;&gt;"Subscription",INDEX('Game Records'!$U:$U,$H452)&lt;&gt;"Free Game",INDEX('Game Records'!$U:$U,$H452)&lt;&gt;"Disqualified — Free Game",OR(INDEX('Game Records'!$E:$E,$H452)="",LOWER(INDEX('Game Records'!$E:$E,$H452)&amp;"")="n/a")),"Game Type; ","")&amp;IF(INDEX('Game Records'!$F:$F,$H452)="","Payment Type; ","")&amp;IF(AND(INDEX('Game Records'!$U:$U,$H452)&lt;&gt;"Subscription",INDEX('Game Records'!$U:$U,$H452)&lt;&gt;"Free Game",INDEX('Game Records'!$U:$U,$H452)&lt;&gt;"Disqualified — Free Game",INDEX('Game Records'!$G:$G,$H452)=""),"Gross Pot; ","")&amp;IF(AND(INDEX('Game Records'!$U:$U,$H452)&lt;&gt;"Free Game",INDEX('Game Records'!$U:$U,$H452)&lt;&gt;"Disqualified — Free Game",INDEX('Game Records'!$H:$H,$H452)=""),"Entry Fee; ","")&amp;IF(AND(INDEX('Game Records'!$U:$U,$H452)&lt;&gt;"Subscription",INDEX('Game Records'!$U:$U,$H452)&lt;&gt;"Free Game",INDEX('Game Records'!$U:$U,$H452)&lt;&gt;"Disqualified — Free Game",INDEX('Game Records'!$I:$I,$H452)=""),"Eligible Players; ","")&amp;IF(AND(INDEX('Game Records'!$U:$U,$H452)&lt;&gt;"Subscription",INDEX('Game Records'!$U:$U,$H452)&lt;&gt;"Free Game",INDEX('Game Records'!$U:$U,$H452)&lt;&gt;"Disqualified — Free Game",INDEX('Game Records'!$J:$J,$H452)=""),"Total Players; ","")&amp;IF(AND(LOWER(INDEX('Game Records'!$D:$D,$H452)&amp;"")="finalized",LOWER(INDEX('Game Records'!$L:$L,$H452)&amp;"")&lt;&gt;"yes",INDEX('Game Records'!$U:$U,$H452)&lt;&gt;"Subscription",INDEX('Game Records'!$U:$U,$H452)&lt;&gt;"Free Game",INDEX('Game Records'!$U:$U,$H452)&lt;&gt;"Disqualified — Free Game",INDEX('Game Records'!$K:$K,$H452)=""),"Final Payout; ","")&amp;IF(AND(LOWER(INDEX('Game Records'!$D:$D,$H452)&amp;"")="finalized",INDEX('Game Records'!$U:$U,$H452)&lt;&gt;"Subscription",INDEX('Game Records'!$U:$U,$H452)&lt;&gt;"Free Game",INDEX('Game Records'!$U:$U,$H452)&lt;&gt;"Disqualified — Free Game",OR(INDEX('Game Records'!$L:$L,$H452)="",LOWER(INDEX('Game Records'!$L:$L,$H452)&amp;"")="n/a")),"Disqualified Status; ",""))</f>
        <v/>
      </c>
      <c r="G452" s="25" t="str">
        <f t="array" ref="G452">IF($H452="","",IFERROR(INDEX('Game Records'!$M:$M,$H452),""))</f>
        <v/>
      </c>
      <c r="H452" s="8"/>
    </row>
    <row r="453" ht="24.0" customHeight="1">
      <c r="A453" s="21" t="str">
        <f t="shared" si="1"/>
        <v/>
      </c>
      <c r="B453" s="21" t="str">
        <f t="shared" si="2"/>
        <v/>
      </c>
      <c r="C453" s="25" t="str">
        <f t="array" ref="C453">IF($H453="","",IFERROR(INDEX('Game Records'!$A:$A,$H453),""))</f>
        <v/>
      </c>
      <c r="D453" s="25" t="str">
        <f t="array" ref="D453">IF($H453="","",IFERROR(INDEX('Game Records'!$U:$U,$H453),""))</f>
        <v/>
      </c>
      <c r="E453" s="25" t="str">
        <f t="shared" si="3"/>
        <v/>
      </c>
      <c r="F453" s="25" t="str">
        <f t="array" ref="F453">IF($H453="","",IF(OR(NOT(_xlfn.ISFORMULA(INDEX('Game Records'!$N:$N,$H453))),NOT(_xlfn.ISFORMULA(INDEX('Game Records'!$O:$O,$H453))),NOT(_xlfn.ISFORMULA(INDEX('Game Records'!$P:$P,$H453))),NOT(_xlfn.ISFORMULA(INDEX('Game Records'!$Q:$Q,$H453))),NOT(_xlfn.ISFORMULA(INDEX('Game Records'!$R:$R,$H453))),NOT(_xlfn.ISFORMULA(INDEX('Game Records'!$S:$S,$H453))),NOT(_xlfn.ISFORMULA(INDEX('Game Records'!$T:$T,$H453))),NOT(_xlfn.ISFORMULA(INDEX('Game Records'!$U:$U,$H453))),NOT(_xlfn.ISFORMULA(INDEX('Game Records'!$V:$V,$H453))),NOT(_xlfn.ISFORMULA(INDEX('Game Records'!$W:$W,$H453))),NOT(_xlfn.ISFORMULA(INDEX('Game Records'!$X:$X,$H453))),NOT(_xlfn.ISFORMULA(INDEX('Game Records'!$Y:$Y,$H453))),NOT(_xlfn.ISFORMULA(INDEX('Game Records'!$Z:$Z,$H453)))),"","")&amp;IF(INDEX('Game Records'!$B:$B,$H453)="","Start Date; ","")&amp;IF(INDEX('Game Records'!$C:$C,$H453)="","End Date; ","")&amp;IF(AND(INDEX('Game Records'!$U:$U,$H453)&lt;&gt;"Subscription",INDEX('Game Records'!$U:$U,$H453)&lt;&gt;"Free Game",INDEX('Game Records'!$U:$U,$H453)&lt;&gt;"Disqualified — Free Game",OR(INDEX('Game Records'!$D:$D,$H453)="",LOWER(INDEX('Game Records'!$D:$D,$H453)&amp;"")="n/a")),"Entry Mode; ","")&amp;IF(AND(INDEX('Game Records'!$U:$U,$H453)&lt;&gt;"Subscription",INDEX('Game Records'!$U:$U,$H453)&lt;&gt;"Free Game",INDEX('Game Records'!$U:$U,$H453)&lt;&gt;"Disqualified — Free Game",OR(INDEX('Game Records'!$E:$E,$H453)="",LOWER(INDEX('Game Records'!$E:$E,$H453)&amp;"")="n/a")),"Game Type; ","")&amp;IF(INDEX('Game Records'!$F:$F,$H453)="","Payment Type; ","")&amp;IF(AND(INDEX('Game Records'!$U:$U,$H453)&lt;&gt;"Subscription",INDEX('Game Records'!$U:$U,$H453)&lt;&gt;"Free Game",INDEX('Game Records'!$U:$U,$H453)&lt;&gt;"Disqualified — Free Game",INDEX('Game Records'!$G:$G,$H453)=""),"Gross Pot; ","")&amp;IF(AND(INDEX('Game Records'!$U:$U,$H453)&lt;&gt;"Free Game",INDEX('Game Records'!$U:$U,$H453)&lt;&gt;"Disqualified — Free Game",INDEX('Game Records'!$H:$H,$H453)=""),"Entry Fee; ","")&amp;IF(AND(INDEX('Game Records'!$U:$U,$H453)&lt;&gt;"Subscription",INDEX('Game Records'!$U:$U,$H453)&lt;&gt;"Free Game",INDEX('Game Records'!$U:$U,$H453)&lt;&gt;"Disqualified — Free Game",INDEX('Game Records'!$I:$I,$H453)=""),"Eligible Players; ","")&amp;IF(AND(INDEX('Game Records'!$U:$U,$H453)&lt;&gt;"Subscription",INDEX('Game Records'!$U:$U,$H453)&lt;&gt;"Free Game",INDEX('Game Records'!$U:$U,$H453)&lt;&gt;"Disqualified — Free Game",INDEX('Game Records'!$J:$J,$H453)=""),"Total Players; ","")&amp;IF(AND(LOWER(INDEX('Game Records'!$D:$D,$H453)&amp;"")="finalized",LOWER(INDEX('Game Records'!$L:$L,$H453)&amp;"")&lt;&gt;"yes",INDEX('Game Records'!$U:$U,$H453)&lt;&gt;"Subscription",INDEX('Game Records'!$U:$U,$H453)&lt;&gt;"Free Game",INDEX('Game Records'!$U:$U,$H453)&lt;&gt;"Disqualified — Free Game",INDEX('Game Records'!$K:$K,$H453)=""),"Final Payout; ","")&amp;IF(AND(LOWER(INDEX('Game Records'!$D:$D,$H453)&amp;"")="finalized",INDEX('Game Records'!$U:$U,$H453)&lt;&gt;"Subscription",INDEX('Game Records'!$U:$U,$H453)&lt;&gt;"Free Game",INDEX('Game Records'!$U:$U,$H453)&lt;&gt;"Disqualified — Free Game",OR(INDEX('Game Records'!$L:$L,$H453)="",LOWER(INDEX('Game Records'!$L:$L,$H453)&amp;"")="n/a")),"Disqualified Status; ",""))</f>
        <v/>
      </c>
      <c r="G453" s="25" t="str">
        <f t="array" ref="G453">IF($H453="","",IFERROR(INDEX('Game Records'!$M:$M,$H453),""))</f>
        <v/>
      </c>
      <c r="H453" s="8"/>
    </row>
    <row r="454" ht="24.0" customHeight="1">
      <c r="A454" s="21" t="str">
        <f t="shared" si="1"/>
        <v/>
      </c>
      <c r="B454" s="21" t="str">
        <f t="shared" si="2"/>
        <v/>
      </c>
      <c r="C454" s="25" t="str">
        <f t="array" ref="C454">IF($H454="","",IFERROR(INDEX('Game Records'!$A:$A,$H454),""))</f>
        <v/>
      </c>
      <c r="D454" s="25" t="str">
        <f t="array" ref="D454">IF($H454="","",IFERROR(INDEX('Game Records'!$U:$U,$H454),""))</f>
        <v/>
      </c>
      <c r="E454" s="25" t="str">
        <f t="shared" si="3"/>
        <v/>
      </c>
      <c r="F454" s="25" t="str">
        <f t="array" ref="F454">IF($H454="","",IF(OR(NOT(_xlfn.ISFORMULA(INDEX('Game Records'!$N:$N,$H454))),NOT(_xlfn.ISFORMULA(INDEX('Game Records'!$O:$O,$H454))),NOT(_xlfn.ISFORMULA(INDEX('Game Records'!$P:$P,$H454))),NOT(_xlfn.ISFORMULA(INDEX('Game Records'!$Q:$Q,$H454))),NOT(_xlfn.ISFORMULA(INDEX('Game Records'!$R:$R,$H454))),NOT(_xlfn.ISFORMULA(INDEX('Game Records'!$S:$S,$H454))),NOT(_xlfn.ISFORMULA(INDEX('Game Records'!$T:$T,$H454))),NOT(_xlfn.ISFORMULA(INDEX('Game Records'!$U:$U,$H454))),NOT(_xlfn.ISFORMULA(INDEX('Game Records'!$V:$V,$H454))),NOT(_xlfn.ISFORMULA(INDEX('Game Records'!$W:$W,$H454))),NOT(_xlfn.ISFORMULA(INDEX('Game Records'!$X:$X,$H454))),NOT(_xlfn.ISFORMULA(INDEX('Game Records'!$Y:$Y,$H454))),NOT(_xlfn.ISFORMULA(INDEX('Game Records'!$Z:$Z,$H454)))),"","")&amp;IF(INDEX('Game Records'!$B:$B,$H454)="","Start Date; ","")&amp;IF(INDEX('Game Records'!$C:$C,$H454)="","End Date; ","")&amp;IF(AND(INDEX('Game Records'!$U:$U,$H454)&lt;&gt;"Subscription",INDEX('Game Records'!$U:$U,$H454)&lt;&gt;"Free Game",INDEX('Game Records'!$U:$U,$H454)&lt;&gt;"Disqualified — Free Game",OR(INDEX('Game Records'!$D:$D,$H454)="",LOWER(INDEX('Game Records'!$D:$D,$H454)&amp;"")="n/a")),"Entry Mode; ","")&amp;IF(AND(INDEX('Game Records'!$U:$U,$H454)&lt;&gt;"Subscription",INDEX('Game Records'!$U:$U,$H454)&lt;&gt;"Free Game",INDEX('Game Records'!$U:$U,$H454)&lt;&gt;"Disqualified — Free Game",OR(INDEX('Game Records'!$E:$E,$H454)="",LOWER(INDEX('Game Records'!$E:$E,$H454)&amp;"")="n/a")),"Game Type; ","")&amp;IF(INDEX('Game Records'!$F:$F,$H454)="","Payment Type; ","")&amp;IF(AND(INDEX('Game Records'!$U:$U,$H454)&lt;&gt;"Subscription",INDEX('Game Records'!$U:$U,$H454)&lt;&gt;"Free Game",INDEX('Game Records'!$U:$U,$H454)&lt;&gt;"Disqualified — Free Game",INDEX('Game Records'!$G:$G,$H454)=""),"Gross Pot; ","")&amp;IF(AND(INDEX('Game Records'!$U:$U,$H454)&lt;&gt;"Free Game",INDEX('Game Records'!$U:$U,$H454)&lt;&gt;"Disqualified — Free Game",INDEX('Game Records'!$H:$H,$H454)=""),"Entry Fee; ","")&amp;IF(AND(INDEX('Game Records'!$U:$U,$H454)&lt;&gt;"Subscription",INDEX('Game Records'!$U:$U,$H454)&lt;&gt;"Free Game",INDEX('Game Records'!$U:$U,$H454)&lt;&gt;"Disqualified — Free Game",INDEX('Game Records'!$I:$I,$H454)=""),"Eligible Players; ","")&amp;IF(AND(INDEX('Game Records'!$U:$U,$H454)&lt;&gt;"Subscription",INDEX('Game Records'!$U:$U,$H454)&lt;&gt;"Free Game",INDEX('Game Records'!$U:$U,$H454)&lt;&gt;"Disqualified — Free Game",INDEX('Game Records'!$J:$J,$H454)=""),"Total Players; ","")&amp;IF(AND(LOWER(INDEX('Game Records'!$D:$D,$H454)&amp;"")="finalized",LOWER(INDEX('Game Records'!$L:$L,$H454)&amp;"")&lt;&gt;"yes",INDEX('Game Records'!$U:$U,$H454)&lt;&gt;"Subscription",INDEX('Game Records'!$U:$U,$H454)&lt;&gt;"Free Game",INDEX('Game Records'!$U:$U,$H454)&lt;&gt;"Disqualified — Free Game",INDEX('Game Records'!$K:$K,$H454)=""),"Final Payout; ","")&amp;IF(AND(LOWER(INDEX('Game Records'!$D:$D,$H454)&amp;"")="finalized",INDEX('Game Records'!$U:$U,$H454)&lt;&gt;"Subscription",INDEX('Game Records'!$U:$U,$H454)&lt;&gt;"Free Game",INDEX('Game Records'!$U:$U,$H454)&lt;&gt;"Disqualified — Free Game",OR(INDEX('Game Records'!$L:$L,$H454)="",LOWER(INDEX('Game Records'!$L:$L,$H454)&amp;"")="n/a")),"Disqualified Status; ",""))</f>
        <v/>
      </c>
      <c r="G454" s="25" t="str">
        <f t="array" ref="G454">IF($H454="","",IFERROR(INDEX('Game Records'!$M:$M,$H454),""))</f>
        <v/>
      </c>
      <c r="H454" s="8"/>
    </row>
    <row r="455" ht="24.0" customHeight="1">
      <c r="A455" s="21" t="str">
        <f t="shared" si="1"/>
        <v/>
      </c>
      <c r="B455" s="21" t="str">
        <f t="shared" si="2"/>
        <v/>
      </c>
      <c r="C455" s="25" t="str">
        <f t="array" ref="C455">IF($H455="","",IFERROR(INDEX('Game Records'!$A:$A,$H455),""))</f>
        <v/>
      </c>
      <c r="D455" s="25" t="str">
        <f t="array" ref="D455">IF($H455="","",IFERROR(INDEX('Game Records'!$U:$U,$H455),""))</f>
        <v/>
      </c>
      <c r="E455" s="25" t="str">
        <f t="shared" si="3"/>
        <v/>
      </c>
      <c r="F455" s="25" t="str">
        <f t="array" ref="F455">IF($H455="","",IF(OR(NOT(_xlfn.ISFORMULA(INDEX('Game Records'!$N:$N,$H455))),NOT(_xlfn.ISFORMULA(INDEX('Game Records'!$O:$O,$H455))),NOT(_xlfn.ISFORMULA(INDEX('Game Records'!$P:$P,$H455))),NOT(_xlfn.ISFORMULA(INDEX('Game Records'!$Q:$Q,$H455))),NOT(_xlfn.ISFORMULA(INDEX('Game Records'!$R:$R,$H455))),NOT(_xlfn.ISFORMULA(INDEX('Game Records'!$S:$S,$H455))),NOT(_xlfn.ISFORMULA(INDEX('Game Records'!$T:$T,$H455))),NOT(_xlfn.ISFORMULA(INDEX('Game Records'!$U:$U,$H455))),NOT(_xlfn.ISFORMULA(INDEX('Game Records'!$V:$V,$H455))),NOT(_xlfn.ISFORMULA(INDEX('Game Records'!$W:$W,$H455))),NOT(_xlfn.ISFORMULA(INDEX('Game Records'!$X:$X,$H455))),NOT(_xlfn.ISFORMULA(INDEX('Game Records'!$Y:$Y,$H455))),NOT(_xlfn.ISFORMULA(INDEX('Game Records'!$Z:$Z,$H455)))),"","")&amp;IF(INDEX('Game Records'!$B:$B,$H455)="","Start Date; ","")&amp;IF(INDEX('Game Records'!$C:$C,$H455)="","End Date; ","")&amp;IF(AND(INDEX('Game Records'!$U:$U,$H455)&lt;&gt;"Subscription",INDEX('Game Records'!$U:$U,$H455)&lt;&gt;"Free Game",INDEX('Game Records'!$U:$U,$H455)&lt;&gt;"Disqualified — Free Game",OR(INDEX('Game Records'!$D:$D,$H455)="",LOWER(INDEX('Game Records'!$D:$D,$H455)&amp;"")="n/a")),"Entry Mode; ","")&amp;IF(AND(INDEX('Game Records'!$U:$U,$H455)&lt;&gt;"Subscription",INDEX('Game Records'!$U:$U,$H455)&lt;&gt;"Free Game",INDEX('Game Records'!$U:$U,$H455)&lt;&gt;"Disqualified — Free Game",OR(INDEX('Game Records'!$E:$E,$H455)="",LOWER(INDEX('Game Records'!$E:$E,$H455)&amp;"")="n/a")),"Game Type; ","")&amp;IF(INDEX('Game Records'!$F:$F,$H455)="","Payment Type; ","")&amp;IF(AND(INDEX('Game Records'!$U:$U,$H455)&lt;&gt;"Subscription",INDEX('Game Records'!$U:$U,$H455)&lt;&gt;"Free Game",INDEX('Game Records'!$U:$U,$H455)&lt;&gt;"Disqualified — Free Game",INDEX('Game Records'!$G:$G,$H455)=""),"Gross Pot; ","")&amp;IF(AND(INDEX('Game Records'!$U:$U,$H455)&lt;&gt;"Free Game",INDEX('Game Records'!$U:$U,$H455)&lt;&gt;"Disqualified — Free Game",INDEX('Game Records'!$H:$H,$H455)=""),"Entry Fee; ","")&amp;IF(AND(INDEX('Game Records'!$U:$U,$H455)&lt;&gt;"Subscription",INDEX('Game Records'!$U:$U,$H455)&lt;&gt;"Free Game",INDEX('Game Records'!$U:$U,$H455)&lt;&gt;"Disqualified — Free Game",INDEX('Game Records'!$I:$I,$H455)=""),"Eligible Players; ","")&amp;IF(AND(INDEX('Game Records'!$U:$U,$H455)&lt;&gt;"Subscription",INDEX('Game Records'!$U:$U,$H455)&lt;&gt;"Free Game",INDEX('Game Records'!$U:$U,$H455)&lt;&gt;"Disqualified — Free Game",INDEX('Game Records'!$J:$J,$H455)=""),"Total Players; ","")&amp;IF(AND(LOWER(INDEX('Game Records'!$D:$D,$H455)&amp;"")="finalized",LOWER(INDEX('Game Records'!$L:$L,$H455)&amp;"")&lt;&gt;"yes",INDEX('Game Records'!$U:$U,$H455)&lt;&gt;"Subscription",INDEX('Game Records'!$U:$U,$H455)&lt;&gt;"Free Game",INDEX('Game Records'!$U:$U,$H455)&lt;&gt;"Disqualified — Free Game",INDEX('Game Records'!$K:$K,$H455)=""),"Final Payout; ","")&amp;IF(AND(LOWER(INDEX('Game Records'!$D:$D,$H455)&amp;"")="finalized",INDEX('Game Records'!$U:$U,$H455)&lt;&gt;"Subscription",INDEX('Game Records'!$U:$U,$H455)&lt;&gt;"Free Game",INDEX('Game Records'!$U:$U,$H455)&lt;&gt;"Disqualified — Free Game",OR(INDEX('Game Records'!$L:$L,$H455)="",LOWER(INDEX('Game Records'!$L:$L,$H455)&amp;"")="n/a")),"Disqualified Status; ",""))</f>
        <v/>
      </c>
      <c r="G455" s="25" t="str">
        <f t="array" ref="G455">IF($H455="","",IFERROR(INDEX('Game Records'!$M:$M,$H455),""))</f>
        <v/>
      </c>
      <c r="H455" s="8"/>
    </row>
    <row r="456" ht="24.0" customHeight="1">
      <c r="A456" s="21" t="str">
        <f t="shared" si="1"/>
        <v/>
      </c>
      <c r="B456" s="21" t="str">
        <f t="shared" si="2"/>
        <v/>
      </c>
      <c r="C456" s="25" t="str">
        <f t="array" ref="C456">IF($H456="","",IFERROR(INDEX('Game Records'!$A:$A,$H456),""))</f>
        <v/>
      </c>
      <c r="D456" s="25" t="str">
        <f t="array" ref="D456">IF($H456="","",IFERROR(INDEX('Game Records'!$U:$U,$H456),""))</f>
        <v/>
      </c>
      <c r="E456" s="25" t="str">
        <f t="shared" si="3"/>
        <v/>
      </c>
      <c r="F456" s="25" t="str">
        <f t="array" ref="F456">IF($H456="","",IF(OR(NOT(_xlfn.ISFORMULA(INDEX('Game Records'!$N:$N,$H456))),NOT(_xlfn.ISFORMULA(INDEX('Game Records'!$O:$O,$H456))),NOT(_xlfn.ISFORMULA(INDEX('Game Records'!$P:$P,$H456))),NOT(_xlfn.ISFORMULA(INDEX('Game Records'!$Q:$Q,$H456))),NOT(_xlfn.ISFORMULA(INDEX('Game Records'!$R:$R,$H456))),NOT(_xlfn.ISFORMULA(INDEX('Game Records'!$S:$S,$H456))),NOT(_xlfn.ISFORMULA(INDEX('Game Records'!$T:$T,$H456))),NOT(_xlfn.ISFORMULA(INDEX('Game Records'!$U:$U,$H456))),NOT(_xlfn.ISFORMULA(INDEX('Game Records'!$V:$V,$H456))),NOT(_xlfn.ISFORMULA(INDEX('Game Records'!$W:$W,$H456))),NOT(_xlfn.ISFORMULA(INDEX('Game Records'!$X:$X,$H456))),NOT(_xlfn.ISFORMULA(INDEX('Game Records'!$Y:$Y,$H456))),NOT(_xlfn.ISFORMULA(INDEX('Game Records'!$Z:$Z,$H456)))),"","")&amp;IF(INDEX('Game Records'!$B:$B,$H456)="","Start Date; ","")&amp;IF(INDEX('Game Records'!$C:$C,$H456)="","End Date; ","")&amp;IF(AND(INDEX('Game Records'!$U:$U,$H456)&lt;&gt;"Subscription",INDEX('Game Records'!$U:$U,$H456)&lt;&gt;"Free Game",INDEX('Game Records'!$U:$U,$H456)&lt;&gt;"Disqualified — Free Game",OR(INDEX('Game Records'!$D:$D,$H456)="",LOWER(INDEX('Game Records'!$D:$D,$H456)&amp;"")="n/a")),"Entry Mode; ","")&amp;IF(AND(INDEX('Game Records'!$U:$U,$H456)&lt;&gt;"Subscription",INDEX('Game Records'!$U:$U,$H456)&lt;&gt;"Free Game",INDEX('Game Records'!$U:$U,$H456)&lt;&gt;"Disqualified — Free Game",OR(INDEX('Game Records'!$E:$E,$H456)="",LOWER(INDEX('Game Records'!$E:$E,$H456)&amp;"")="n/a")),"Game Type; ","")&amp;IF(INDEX('Game Records'!$F:$F,$H456)="","Payment Type; ","")&amp;IF(AND(INDEX('Game Records'!$U:$U,$H456)&lt;&gt;"Subscription",INDEX('Game Records'!$U:$U,$H456)&lt;&gt;"Free Game",INDEX('Game Records'!$U:$U,$H456)&lt;&gt;"Disqualified — Free Game",INDEX('Game Records'!$G:$G,$H456)=""),"Gross Pot; ","")&amp;IF(AND(INDEX('Game Records'!$U:$U,$H456)&lt;&gt;"Free Game",INDEX('Game Records'!$U:$U,$H456)&lt;&gt;"Disqualified — Free Game",INDEX('Game Records'!$H:$H,$H456)=""),"Entry Fee; ","")&amp;IF(AND(INDEX('Game Records'!$U:$U,$H456)&lt;&gt;"Subscription",INDEX('Game Records'!$U:$U,$H456)&lt;&gt;"Free Game",INDEX('Game Records'!$U:$U,$H456)&lt;&gt;"Disqualified — Free Game",INDEX('Game Records'!$I:$I,$H456)=""),"Eligible Players; ","")&amp;IF(AND(INDEX('Game Records'!$U:$U,$H456)&lt;&gt;"Subscription",INDEX('Game Records'!$U:$U,$H456)&lt;&gt;"Free Game",INDEX('Game Records'!$U:$U,$H456)&lt;&gt;"Disqualified — Free Game",INDEX('Game Records'!$J:$J,$H456)=""),"Total Players; ","")&amp;IF(AND(LOWER(INDEX('Game Records'!$D:$D,$H456)&amp;"")="finalized",LOWER(INDEX('Game Records'!$L:$L,$H456)&amp;"")&lt;&gt;"yes",INDEX('Game Records'!$U:$U,$H456)&lt;&gt;"Subscription",INDEX('Game Records'!$U:$U,$H456)&lt;&gt;"Free Game",INDEX('Game Records'!$U:$U,$H456)&lt;&gt;"Disqualified — Free Game",INDEX('Game Records'!$K:$K,$H456)=""),"Final Payout; ","")&amp;IF(AND(LOWER(INDEX('Game Records'!$D:$D,$H456)&amp;"")="finalized",INDEX('Game Records'!$U:$U,$H456)&lt;&gt;"Subscription",INDEX('Game Records'!$U:$U,$H456)&lt;&gt;"Free Game",INDEX('Game Records'!$U:$U,$H456)&lt;&gt;"Disqualified — Free Game",OR(INDEX('Game Records'!$L:$L,$H456)="",LOWER(INDEX('Game Records'!$L:$L,$H456)&amp;"")="n/a")),"Disqualified Status; ",""))</f>
        <v/>
      </c>
      <c r="G456" s="25" t="str">
        <f t="array" ref="G456">IF($H456="","",IFERROR(INDEX('Game Records'!$M:$M,$H456),""))</f>
        <v/>
      </c>
      <c r="H456" s="8"/>
    </row>
    <row r="457" ht="24.0" customHeight="1">
      <c r="A457" s="21" t="str">
        <f t="shared" si="1"/>
        <v/>
      </c>
      <c r="B457" s="21" t="str">
        <f t="shared" si="2"/>
        <v/>
      </c>
      <c r="C457" s="25" t="str">
        <f t="array" ref="C457">IF($H457="","",IFERROR(INDEX('Game Records'!$A:$A,$H457),""))</f>
        <v/>
      </c>
      <c r="D457" s="25" t="str">
        <f t="array" ref="D457">IF($H457="","",IFERROR(INDEX('Game Records'!$U:$U,$H457),""))</f>
        <v/>
      </c>
      <c r="E457" s="25" t="str">
        <f t="shared" si="3"/>
        <v/>
      </c>
      <c r="F457" s="25" t="str">
        <f t="array" ref="F457">IF($H457="","",IF(OR(NOT(_xlfn.ISFORMULA(INDEX('Game Records'!$N:$N,$H457))),NOT(_xlfn.ISFORMULA(INDEX('Game Records'!$O:$O,$H457))),NOT(_xlfn.ISFORMULA(INDEX('Game Records'!$P:$P,$H457))),NOT(_xlfn.ISFORMULA(INDEX('Game Records'!$Q:$Q,$H457))),NOT(_xlfn.ISFORMULA(INDEX('Game Records'!$R:$R,$H457))),NOT(_xlfn.ISFORMULA(INDEX('Game Records'!$S:$S,$H457))),NOT(_xlfn.ISFORMULA(INDEX('Game Records'!$T:$T,$H457))),NOT(_xlfn.ISFORMULA(INDEX('Game Records'!$U:$U,$H457))),NOT(_xlfn.ISFORMULA(INDEX('Game Records'!$V:$V,$H457))),NOT(_xlfn.ISFORMULA(INDEX('Game Records'!$W:$W,$H457))),NOT(_xlfn.ISFORMULA(INDEX('Game Records'!$X:$X,$H457))),NOT(_xlfn.ISFORMULA(INDEX('Game Records'!$Y:$Y,$H457))),NOT(_xlfn.ISFORMULA(INDEX('Game Records'!$Z:$Z,$H457)))),"","")&amp;IF(INDEX('Game Records'!$B:$B,$H457)="","Start Date; ","")&amp;IF(INDEX('Game Records'!$C:$C,$H457)="","End Date; ","")&amp;IF(AND(INDEX('Game Records'!$U:$U,$H457)&lt;&gt;"Subscription",INDEX('Game Records'!$U:$U,$H457)&lt;&gt;"Free Game",INDEX('Game Records'!$U:$U,$H457)&lt;&gt;"Disqualified — Free Game",OR(INDEX('Game Records'!$D:$D,$H457)="",LOWER(INDEX('Game Records'!$D:$D,$H457)&amp;"")="n/a")),"Entry Mode; ","")&amp;IF(AND(INDEX('Game Records'!$U:$U,$H457)&lt;&gt;"Subscription",INDEX('Game Records'!$U:$U,$H457)&lt;&gt;"Free Game",INDEX('Game Records'!$U:$U,$H457)&lt;&gt;"Disqualified — Free Game",OR(INDEX('Game Records'!$E:$E,$H457)="",LOWER(INDEX('Game Records'!$E:$E,$H457)&amp;"")="n/a")),"Game Type; ","")&amp;IF(INDEX('Game Records'!$F:$F,$H457)="","Payment Type; ","")&amp;IF(AND(INDEX('Game Records'!$U:$U,$H457)&lt;&gt;"Subscription",INDEX('Game Records'!$U:$U,$H457)&lt;&gt;"Free Game",INDEX('Game Records'!$U:$U,$H457)&lt;&gt;"Disqualified — Free Game",INDEX('Game Records'!$G:$G,$H457)=""),"Gross Pot; ","")&amp;IF(AND(INDEX('Game Records'!$U:$U,$H457)&lt;&gt;"Free Game",INDEX('Game Records'!$U:$U,$H457)&lt;&gt;"Disqualified — Free Game",INDEX('Game Records'!$H:$H,$H457)=""),"Entry Fee; ","")&amp;IF(AND(INDEX('Game Records'!$U:$U,$H457)&lt;&gt;"Subscription",INDEX('Game Records'!$U:$U,$H457)&lt;&gt;"Free Game",INDEX('Game Records'!$U:$U,$H457)&lt;&gt;"Disqualified — Free Game",INDEX('Game Records'!$I:$I,$H457)=""),"Eligible Players; ","")&amp;IF(AND(INDEX('Game Records'!$U:$U,$H457)&lt;&gt;"Subscription",INDEX('Game Records'!$U:$U,$H457)&lt;&gt;"Free Game",INDEX('Game Records'!$U:$U,$H457)&lt;&gt;"Disqualified — Free Game",INDEX('Game Records'!$J:$J,$H457)=""),"Total Players; ","")&amp;IF(AND(LOWER(INDEX('Game Records'!$D:$D,$H457)&amp;"")="finalized",LOWER(INDEX('Game Records'!$L:$L,$H457)&amp;"")&lt;&gt;"yes",INDEX('Game Records'!$U:$U,$H457)&lt;&gt;"Subscription",INDEX('Game Records'!$U:$U,$H457)&lt;&gt;"Free Game",INDEX('Game Records'!$U:$U,$H457)&lt;&gt;"Disqualified — Free Game",INDEX('Game Records'!$K:$K,$H457)=""),"Final Payout; ","")&amp;IF(AND(LOWER(INDEX('Game Records'!$D:$D,$H457)&amp;"")="finalized",INDEX('Game Records'!$U:$U,$H457)&lt;&gt;"Subscription",INDEX('Game Records'!$U:$U,$H457)&lt;&gt;"Free Game",INDEX('Game Records'!$U:$U,$H457)&lt;&gt;"Disqualified — Free Game",OR(INDEX('Game Records'!$L:$L,$H457)="",LOWER(INDEX('Game Records'!$L:$L,$H457)&amp;"")="n/a")),"Disqualified Status; ",""))</f>
        <v/>
      </c>
      <c r="G457" s="25" t="str">
        <f t="array" ref="G457">IF($H457="","",IFERROR(INDEX('Game Records'!$M:$M,$H457),""))</f>
        <v/>
      </c>
      <c r="H457" s="8"/>
    </row>
    <row r="458" ht="24.0" customHeight="1">
      <c r="A458" s="21" t="str">
        <f t="shared" si="1"/>
        <v/>
      </c>
      <c r="B458" s="21" t="str">
        <f t="shared" si="2"/>
        <v/>
      </c>
      <c r="C458" s="25" t="str">
        <f t="array" ref="C458">IF($H458="","",IFERROR(INDEX('Game Records'!$A:$A,$H458),""))</f>
        <v/>
      </c>
      <c r="D458" s="25" t="str">
        <f t="array" ref="D458">IF($H458="","",IFERROR(INDEX('Game Records'!$U:$U,$H458),""))</f>
        <v/>
      </c>
      <c r="E458" s="25" t="str">
        <f t="shared" si="3"/>
        <v/>
      </c>
      <c r="F458" s="25" t="str">
        <f t="array" ref="F458">IF($H458="","",IF(OR(NOT(_xlfn.ISFORMULA(INDEX('Game Records'!$N:$N,$H458))),NOT(_xlfn.ISFORMULA(INDEX('Game Records'!$O:$O,$H458))),NOT(_xlfn.ISFORMULA(INDEX('Game Records'!$P:$P,$H458))),NOT(_xlfn.ISFORMULA(INDEX('Game Records'!$Q:$Q,$H458))),NOT(_xlfn.ISFORMULA(INDEX('Game Records'!$R:$R,$H458))),NOT(_xlfn.ISFORMULA(INDEX('Game Records'!$S:$S,$H458))),NOT(_xlfn.ISFORMULA(INDEX('Game Records'!$T:$T,$H458))),NOT(_xlfn.ISFORMULA(INDEX('Game Records'!$U:$U,$H458))),NOT(_xlfn.ISFORMULA(INDEX('Game Records'!$V:$V,$H458))),NOT(_xlfn.ISFORMULA(INDEX('Game Records'!$W:$W,$H458))),NOT(_xlfn.ISFORMULA(INDEX('Game Records'!$X:$X,$H458))),NOT(_xlfn.ISFORMULA(INDEX('Game Records'!$Y:$Y,$H458))),NOT(_xlfn.ISFORMULA(INDEX('Game Records'!$Z:$Z,$H458)))),"","")&amp;IF(INDEX('Game Records'!$B:$B,$H458)="","Start Date; ","")&amp;IF(INDEX('Game Records'!$C:$C,$H458)="","End Date; ","")&amp;IF(AND(INDEX('Game Records'!$U:$U,$H458)&lt;&gt;"Subscription",INDEX('Game Records'!$U:$U,$H458)&lt;&gt;"Free Game",INDEX('Game Records'!$U:$U,$H458)&lt;&gt;"Disqualified — Free Game",OR(INDEX('Game Records'!$D:$D,$H458)="",LOWER(INDEX('Game Records'!$D:$D,$H458)&amp;"")="n/a")),"Entry Mode; ","")&amp;IF(AND(INDEX('Game Records'!$U:$U,$H458)&lt;&gt;"Subscription",INDEX('Game Records'!$U:$U,$H458)&lt;&gt;"Free Game",INDEX('Game Records'!$U:$U,$H458)&lt;&gt;"Disqualified — Free Game",OR(INDEX('Game Records'!$E:$E,$H458)="",LOWER(INDEX('Game Records'!$E:$E,$H458)&amp;"")="n/a")),"Game Type; ","")&amp;IF(INDEX('Game Records'!$F:$F,$H458)="","Payment Type; ","")&amp;IF(AND(INDEX('Game Records'!$U:$U,$H458)&lt;&gt;"Subscription",INDEX('Game Records'!$U:$U,$H458)&lt;&gt;"Free Game",INDEX('Game Records'!$U:$U,$H458)&lt;&gt;"Disqualified — Free Game",INDEX('Game Records'!$G:$G,$H458)=""),"Gross Pot; ","")&amp;IF(AND(INDEX('Game Records'!$U:$U,$H458)&lt;&gt;"Free Game",INDEX('Game Records'!$U:$U,$H458)&lt;&gt;"Disqualified — Free Game",INDEX('Game Records'!$H:$H,$H458)=""),"Entry Fee; ","")&amp;IF(AND(INDEX('Game Records'!$U:$U,$H458)&lt;&gt;"Subscription",INDEX('Game Records'!$U:$U,$H458)&lt;&gt;"Free Game",INDEX('Game Records'!$U:$U,$H458)&lt;&gt;"Disqualified — Free Game",INDEX('Game Records'!$I:$I,$H458)=""),"Eligible Players; ","")&amp;IF(AND(INDEX('Game Records'!$U:$U,$H458)&lt;&gt;"Subscription",INDEX('Game Records'!$U:$U,$H458)&lt;&gt;"Free Game",INDEX('Game Records'!$U:$U,$H458)&lt;&gt;"Disqualified — Free Game",INDEX('Game Records'!$J:$J,$H458)=""),"Total Players; ","")&amp;IF(AND(LOWER(INDEX('Game Records'!$D:$D,$H458)&amp;"")="finalized",LOWER(INDEX('Game Records'!$L:$L,$H458)&amp;"")&lt;&gt;"yes",INDEX('Game Records'!$U:$U,$H458)&lt;&gt;"Subscription",INDEX('Game Records'!$U:$U,$H458)&lt;&gt;"Free Game",INDEX('Game Records'!$U:$U,$H458)&lt;&gt;"Disqualified — Free Game",INDEX('Game Records'!$K:$K,$H458)=""),"Final Payout; ","")&amp;IF(AND(LOWER(INDEX('Game Records'!$D:$D,$H458)&amp;"")="finalized",INDEX('Game Records'!$U:$U,$H458)&lt;&gt;"Subscription",INDEX('Game Records'!$U:$U,$H458)&lt;&gt;"Free Game",INDEX('Game Records'!$U:$U,$H458)&lt;&gt;"Disqualified — Free Game",OR(INDEX('Game Records'!$L:$L,$H458)="",LOWER(INDEX('Game Records'!$L:$L,$H458)&amp;"")="n/a")),"Disqualified Status; ",""))</f>
        <v/>
      </c>
      <c r="G458" s="25" t="str">
        <f t="array" ref="G458">IF($H458="","",IFERROR(INDEX('Game Records'!$M:$M,$H458),""))</f>
        <v/>
      </c>
      <c r="H458" s="8"/>
    </row>
    <row r="459" ht="24.0" customHeight="1">
      <c r="A459" s="21" t="str">
        <f t="shared" si="1"/>
        <v/>
      </c>
      <c r="B459" s="21" t="str">
        <f t="shared" si="2"/>
        <v/>
      </c>
      <c r="C459" s="25" t="str">
        <f t="array" ref="C459">IF($H459="","",IFERROR(INDEX('Game Records'!$A:$A,$H459),""))</f>
        <v/>
      </c>
      <c r="D459" s="25" t="str">
        <f t="array" ref="D459">IF($H459="","",IFERROR(INDEX('Game Records'!$U:$U,$H459),""))</f>
        <v/>
      </c>
      <c r="E459" s="25" t="str">
        <f t="shared" si="3"/>
        <v/>
      </c>
      <c r="F459" s="25" t="str">
        <f t="array" ref="F459">IF($H459="","",IF(OR(NOT(_xlfn.ISFORMULA(INDEX('Game Records'!$N:$N,$H459))),NOT(_xlfn.ISFORMULA(INDEX('Game Records'!$O:$O,$H459))),NOT(_xlfn.ISFORMULA(INDEX('Game Records'!$P:$P,$H459))),NOT(_xlfn.ISFORMULA(INDEX('Game Records'!$Q:$Q,$H459))),NOT(_xlfn.ISFORMULA(INDEX('Game Records'!$R:$R,$H459))),NOT(_xlfn.ISFORMULA(INDEX('Game Records'!$S:$S,$H459))),NOT(_xlfn.ISFORMULA(INDEX('Game Records'!$T:$T,$H459))),NOT(_xlfn.ISFORMULA(INDEX('Game Records'!$U:$U,$H459))),NOT(_xlfn.ISFORMULA(INDEX('Game Records'!$V:$V,$H459))),NOT(_xlfn.ISFORMULA(INDEX('Game Records'!$W:$W,$H459))),NOT(_xlfn.ISFORMULA(INDEX('Game Records'!$X:$X,$H459))),NOT(_xlfn.ISFORMULA(INDEX('Game Records'!$Y:$Y,$H459))),NOT(_xlfn.ISFORMULA(INDEX('Game Records'!$Z:$Z,$H459)))),"","")&amp;IF(INDEX('Game Records'!$B:$B,$H459)="","Start Date; ","")&amp;IF(INDEX('Game Records'!$C:$C,$H459)="","End Date; ","")&amp;IF(AND(INDEX('Game Records'!$U:$U,$H459)&lt;&gt;"Subscription",INDEX('Game Records'!$U:$U,$H459)&lt;&gt;"Free Game",INDEX('Game Records'!$U:$U,$H459)&lt;&gt;"Disqualified — Free Game",OR(INDEX('Game Records'!$D:$D,$H459)="",LOWER(INDEX('Game Records'!$D:$D,$H459)&amp;"")="n/a")),"Entry Mode; ","")&amp;IF(AND(INDEX('Game Records'!$U:$U,$H459)&lt;&gt;"Subscription",INDEX('Game Records'!$U:$U,$H459)&lt;&gt;"Free Game",INDEX('Game Records'!$U:$U,$H459)&lt;&gt;"Disqualified — Free Game",OR(INDEX('Game Records'!$E:$E,$H459)="",LOWER(INDEX('Game Records'!$E:$E,$H459)&amp;"")="n/a")),"Game Type; ","")&amp;IF(INDEX('Game Records'!$F:$F,$H459)="","Payment Type; ","")&amp;IF(AND(INDEX('Game Records'!$U:$U,$H459)&lt;&gt;"Subscription",INDEX('Game Records'!$U:$U,$H459)&lt;&gt;"Free Game",INDEX('Game Records'!$U:$U,$H459)&lt;&gt;"Disqualified — Free Game",INDEX('Game Records'!$G:$G,$H459)=""),"Gross Pot; ","")&amp;IF(AND(INDEX('Game Records'!$U:$U,$H459)&lt;&gt;"Free Game",INDEX('Game Records'!$U:$U,$H459)&lt;&gt;"Disqualified — Free Game",INDEX('Game Records'!$H:$H,$H459)=""),"Entry Fee; ","")&amp;IF(AND(INDEX('Game Records'!$U:$U,$H459)&lt;&gt;"Subscription",INDEX('Game Records'!$U:$U,$H459)&lt;&gt;"Free Game",INDEX('Game Records'!$U:$U,$H459)&lt;&gt;"Disqualified — Free Game",INDEX('Game Records'!$I:$I,$H459)=""),"Eligible Players; ","")&amp;IF(AND(INDEX('Game Records'!$U:$U,$H459)&lt;&gt;"Subscription",INDEX('Game Records'!$U:$U,$H459)&lt;&gt;"Free Game",INDEX('Game Records'!$U:$U,$H459)&lt;&gt;"Disqualified — Free Game",INDEX('Game Records'!$J:$J,$H459)=""),"Total Players; ","")&amp;IF(AND(LOWER(INDEX('Game Records'!$D:$D,$H459)&amp;"")="finalized",LOWER(INDEX('Game Records'!$L:$L,$H459)&amp;"")&lt;&gt;"yes",INDEX('Game Records'!$U:$U,$H459)&lt;&gt;"Subscription",INDEX('Game Records'!$U:$U,$H459)&lt;&gt;"Free Game",INDEX('Game Records'!$U:$U,$H459)&lt;&gt;"Disqualified — Free Game",INDEX('Game Records'!$K:$K,$H459)=""),"Final Payout; ","")&amp;IF(AND(LOWER(INDEX('Game Records'!$D:$D,$H459)&amp;"")="finalized",INDEX('Game Records'!$U:$U,$H459)&lt;&gt;"Subscription",INDEX('Game Records'!$U:$U,$H459)&lt;&gt;"Free Game",INDEX('Game Records'!$U:$U,$H459)&lt;&gt;"Disqualified — Free Game",OR(INDEX('Game Records'!$L:$L,$H459)="",LOWER(INDEX('Game Records'!$L:$L,$H459)&amp;"")="n/a")),"Disqualified Status; ",""))</f>
        <v/>
      </c>
      <c r="G459" s="25" t="str">
        <f t="array" ref="G459">IF($H459="","",IFERROR(INDEX('Game Records'!$M:$M,$H459),""))</f>
        <v/>
      </c>
      <c r="H459" s="8"/>
    </row>
    <row r="460" ht="24.0" customHeight="1">
      <c r="A460" s="21" t="str">
        <f t="shared" si="1"/>
        <v/>
      </c>
      <c r="B460" s="21" t="str">
        <f t="shared" si="2"/>
        <v/>
      </c>
      <c r="C460" s="25" t="str">
        <f t="array" ref="C460">IF($H460="","",IFERROR(INDEX('Game Records'!$A:$A,$H460),""))</f>
        <v/>
      </c>
      <c r="D460" s="25" t="str">
        <f t="array" ref="D460">IF($H460="","",IFERROR(INDEX('Game Records'!$U:$U,$H460),""))</f>
        <v/>
      </c>
      <c r="E460" s="25" t="str">
        <f t="shared" si="3"/>
        <v/>
      </c>
      <c r="F460" s="25" t="str">
        <f t="array" ref="F460">IF($H460="","",IF(OR(NOT(_xlfn.ISFORMULA(INDEX('Game Records'!$N:$N,$H460))),NOT(_xlfn.ISFORMULA(INDEX('Game Records'!$O:$O,$H460))),NOT(_xlfn.ISFORMULA(INDEX('Game Records'!$P:$P,$H460))),NOT(_xlfn.ISFORMULA(INDEX('Game Records'!$Q:$Q,$H460))),NOT(_xlfn.ISFORMULA(INDEX('Game Records'!$R:$R,$H460))),NOT(_xlfn.ISFORMULA(INDEX('Game Records'!$S:$S,$H460))),NOT(_xlfn.ISFORMULA(INDEX('Game Records'!$T:$T,$H460))),NOT(_xlfn.ISFORMULA(INDEX('Game Records'!$U:$U,$H460))),NOT(_xlfn.ISFORMULA(INDEX('Game Records'!$V:$V,$H460))),NOT(_xlfn.ISFORMULA(INDEX('Game Records'!$W:$W,$H460))),NOT(_xlfn.ISFORMULA(INDEX('Game Records'!$X:$X,$H460))),NOT(_xlfn.ISFORMULA(INDEX('Game Records'!$Y:$Y,$H460))),NOT(_xlfn.ISFORMULA(INDEX('Game Records'!$Z:$Z,$H460)))),"","")&amp;IF(INDEX('Game Records'!$B:$B,$H460)="","Start Date; ","")&amp;IF(INDEX('Game Records'!$C:$C,$H460)="","End Date; ","")&amp;IF(AND(INDEX('Game Records'!$U:$U,$H460)&lt;&gt;"Subscription",INDEX('Game Records'!$U:$U,$H460)&lt;&gt;"Free Game",INDEX('Game Records'!$U:$U,$H460)&lt;&gt;"Disqualified — Free Game",OR(INDEX('Game Records'!$D:$D,$H460)="",LOWER(INDEX('Game Records'!$D:$D,$H460)&amp;"")="n/a")),"Entry Mode; ","")&amp;IF(AND(INDEX('Game Records'!$U:$U,$H460)&lt;&gt;"Subscription",INDEX('Game Records'!$U:$U,$H460)&lt;&gt;"Free Game",INDEX('Game Records'!$U:$U,$H460)&lt;&gt;"Disqualified — Free Game",OR(INDEX('Game Records'!$E:$E,$H460)="",LOWER(INDEX('Game Records'!$E:$E,$H460)&amp;"")="n/a")),"Game Type; ","")&amp;IF(INDEX('Game Records'!$F:$F,$H460)="","Payment Type; ","")&amp;IF(AND(INDEX('Game Records'!$U:$U,$H460)&lt;&gt;"Subscription",INDEX('Game Records'!$U:$U,$H460)&lt;&gt;"Free Game",INDEX('Game Records'!$U:$U,$H460)&lt;&gt;"Disqualified — Free Game",INDEX('Game Records'!$G:$G,$H460)=""),"Gross Pot; ","")&amp;IF(AND(INDEX('Game Records'!$U:$U,$H460)&lt;&gt;"Free Game",INDEX('Game Records'!$U:$U,$H460)&lt;&gt;"Disqualified — Free Game",INDEX('Game Records'!$H:$H,$H460)=""),"Entry Fee; ","")&amp;IF(AND(INDEX('Game Records'!$U:$U,$H460)&lt;&gt;"Subscription",INDEX('Game Records'!$U:$U,$H460)&lt;&gt;"Free Game",INDEX('Game Records'!$U:$U,$H460)&lt;&gt;"Disqualified — Free Game",INDEX('Game Records'!$I:$I,$H460)=""),"Eligible Players; ","")&amp;IF(AND(INDEX('Game Records'!$U:$U,$H460)&lt;&gt;"Subscription",INDEX('Game Records'!$U:$U,$H460)&lt;&gt;"Free Game",INDEX('Game Records'!$U:$U,$H460)&lt;&gt;"Disqualified — Free Game",INDEX('Game Records'!$J:$J,$H460)=""),"Total Players; ","")&amp;IF(AND(LOWER(INDEX('Game Records'!$D:$D,$H460)&amp;"")="finalized",LOWER(INDEX('Game Records'!$L:$L,$H460)&amp;"")&lt;&gt;"yes",INDEX('Game Records'!$U:$U,$H460)&lt;&gt;"Subscription",INDEX('Game Records'!$U:$U,$H460)&lt;&gt;"Free Game",INDEX('Game Records'!$U:$U,$H460)&lt;&gt;"Disqualified — Free Game",INDEX('Game Records'!$K:$K,$H460)=""),"Final Payout; ","")&amp;IF(AND(LOWER(INDEX('Game Records'!$D:$D,$H460)&amp;"")="finalized",INDEX('Game Records'!$U:$U,$H460)&lt;&gt;"Subscription",INDEX('Game Records'!$U:$U,$H460)&lt;&gt;"Free Game",INDEX('Game Records'!$U:$U,$H460)&lt;&gt;"Disqualified — Free Game",OR(INDEX('Game Records'!$L:$L,$H460)="",LOWER(INDEX('Game Records'!$L:$L,$H460)&amp;"")="n/a")),"Disqualified Status; ",""))</f>
        <v/>
      </c>
      <c r="G460" s="25" t="str">
        <f t="array" ref="G460">IF($H460="","",IFERROR(INDEX('Game Records'!$M:$M,$H460),""))</f>
        <v/>
      </c>
      <c r="H460" s="8"/>
    </row>
    <row r="461" ht="24.0" customHeight="1">
      <c r="A461" s="21" t="str">
        <f t="shared" si="1"/>
        <v/>
      </c>
      <c r="B461" s="21" t="str">
        <f t="shared" si="2"/>
        <v/>
      </c>
      <c r="C461" s="25" t="str">
        <f t="array" ref="C461">IF($H461="","",IFERROR(INDEX('Game Records'!$A:$A,$H461),""))</f>
        <v/>
      </c>
      <c r="D461" s="25" t="str">
        <f t="array" ref="D461">IF($H461="","",IFERROR(INDEX('Game Records'!$U:$U,$H461),""))</f>
        <v/>
      </c>
      <c r="E461" s="25" t="str">
        <f t="shared" si="3"/>
        <v/>
      </c>
      <c r="F461" s="25" t="str">
        <f t="array" ref="F461">IF($H461="","",IF(OR(NOT(_xlfn.ISFORMULA(INDEX('Game Records'!$N:$N,$H461))),NOT(_xlfn.ISFORMULA(INDEX('Game Records'!$O:$O,$H461))),NOT(_xlfn.ISFORMULA(INDEX('Game Records'!$P:$P,$H461))),NOT(_xlfn.ISFORMULA(INDEX('Game Records'!$Q:$Q,$H461))),NOT(_xlfn.ISFORMULA(INDEX('Game Records'!$R:$R,$H461))),NOT(_xlfn.ISFORMULA(INDEX('Game Records'!$S:$S,$H461))),NOT(_xlfn.ISFORMULA(INDEX('Game Records'!$T:$T,$H461))),NOT(_xlfn.ISFORMULA(INDEX('Game Records'!$U:$U,$H461))),NOT(_xlfn.ISFORMULA(INDEX('Game Records'!$V:$V,$H461))),NOT(_xlfn.ISFORMULA(INDEX('Game Records'!$W:$W,$H461))),NOT(_xlfn.ISFORMULA(INDEX('Game Records'!$X:$X,$H461))),NOT(_xlfn.ISFORMULA(INDEX('Game Records'!$Y:$Y,$H461))),NOT(_xlfn.ISFORMULA(INDEX('Game Records'!$Z:$Z,$H461)))),"","")&amp;IF(INDEX('Game Records'!$B:$B,$H461)="","Start Date; ","")&amp;IF(INDEX('Game Records'!$C:$C,$H461)="","End Date; ","")&amp;IF(AND(INDEX('Game Records'!$U:$U,$H461)&lt;&gt;"Subscription",INDEX('Game Records'!$U:$U,$H461)&lt;&gt;"Free Game",INDEX('Game Records'!$U:$U,$H461)&lt;&gt;"Disqualified — Free Game",OR(INDEX('Game Records'!$D:$D,$H461)="",LOWER(INDEX('Game Records'!$D:$D,$H461)&amp;"")="n/a")),"Entry Mode; ","")&amp;IF(AND(INDEX('Game Records'!$U:$U,$H461)&lt;&gt;"Subscription",INDEX('Game Records'!$U:$U,$H461)&lt;&gt;"Free Game",INDEX('Game Records'!$U:$U,$H461)&lt;&gt;"Disqualified — Free Game",OR(INDEX('Game Records'!$E:$E,$H461)="",LOWER(INDEX('Game Records'!$E:$E,$H461)&amp;"")="n/a")),"Game Type; ","")&amp;IF(INDEX('Game Records'!$F:$F,$H461)="","Payment Type; ","")&amp;IF(AND(INDEX('Game Records'!$U:$U,$H461)&lt;&gt;"Subscription",INDEX('Game Records'!$U:$U,$H461)&lt;&gt;"Free Game",INDEX('Game Records'!$U:$U,$H461)&lt;&gt;"Disqualified — Free Game",INDEX('Game Records'!$G:$G,$H461)=""),"Gross Pot; ","")&amp;IF(AND(INDEX('Game Records'!$U:$U,$H461)&lt;&gt;"Free Game",INDEX('Game Records'!$U:$U,$H461)&lt;&gt;"Disqualified — Free Game",INDEX('Game Records'!$H:$H,$H461)=""),"Entry Fee; ","")&amp;IF(AND(INDEX('Game Records'!$U:$U,$H461)&lt;&gt;"Subscription",INDEX('Game Records'!$U:$U,$H461)&lt;&gt;"Free Game",INDEX('Game Records'!$U:$U,$H461)&lt;&gt;"Disqualified — Free Game",INDEX('Game Records'!$I:$I,$H461)=""),"Eligible Players; ","")&amp;IF(AND(INDEX('Game Records'!$U:$U,$H461)&lt;&gt;"Subscription",INDEX('Game Records'!$U:$U,$H461)&lt;&gt;"Free Game",INDEX('Game Records'!$U:$U,$H461)&lt;&gt;"Disqualified — Free Game",INDEX('Game Records'!$J:$J,$H461)=""),"Total Players; ","")&amp;IF(AND(LOWER(INDEX('Game Records'!$D:$D,$H461)&amp;"")="finalized",LOWER(INDEX('Game Records'!$L:$L,$H461)&amp;"")&lt;&gt;"yes",INDEX('Game Records'!$U:$U,$H461)&lt;&gt;"Subscription",INDEX('Game Records'!$U:$U,$H461)&lt;&gt;"Free Game",INDEX('Game Records'!$U:$U,$H461)&lt;&gt;"Disqualified — Free Game",INDEX('Game Records'!$K:$K,$H461)=""),"Final Payout; ","")&amp;IF(AND(LOWER(INDEX('Game Records'!$D:$D,$H461)&amp;"")="finalized",INDEX('Game Records'!$U:$U,$H461)&lt;&gt;"Subscription",INDEX('Game Records'!$U:$U,$H461)&lt;&gt;"Free Game",INDEX('Game Records'!$U:$U,$H461)&lt;&gt;"Disqualified — Free Game",OR(INDEX('Game Records'!$L:$L,$H461)="",LOWER(INDEX('Game Records'!$L:$L,$H461)&amp;"")="n/a")),"Disqualified Status; ",""))</f>
        <v/>
      </c>
      <c r="G461" s="25" t="str">
        <f t="array" ref="G461">IF($H461="","",IFERROR(INDEX('Game Records'!$M:$M,$H461),""))</f>
        <v/>
      </c>
      <c r="H461" s="8"/>
    </row>
    <row r="462" ht="24.0" customHeight="1">
      <c r="A462" s="21" t="str">
        <f t="shared" si="1"/>
        <v/>
      </c>
      <c r="B462" s="21" t="str">
        <f t="shared" si="2"/>
        <v/>
      </c>
      <c r="C462" s="25" t="str">
        <f t="array" ref="C462">IF($H462="","",IFERROR(INDEX('Game Records'!$A:$A,$H462),""))</f>
        <v/>
      </c>
      <c r="D462" s="25" t="str">
        <f t="array" ref="D462">IF($H462="","",IFERROR(INDEX('Game Records'!$U:$U,$H462),""))</f>
        <v/>
      </c>
      <c r="E462" s="25" t="str">
        <f t="shared" si="3"/>
        <v/>
      </c>
      <c r="F462" s="25" t="str">
        <f t="array" ref="F462">IF($H462="","",IF(OR(NOT(_xlfn.ISFORMULA(INDEX('Game Records'!$N:$N,$H462))),NOT(_xlfn.ISFORMULA(INDEX('Game Records'!$O:$O,$H462))),NOT(_xlfn.ISFORMULA(INDEX('Game Records'!$P:$P,$H462))),NOT(_xlfn.ISFORMULA(INDEX('Game Records'!$Q:$Q,$H462))),NOT(_xlfn.ISFORMULA(INDEX('Game Records'!$R:$R,$H462))),NOT(_xlfn.ISFORMULA(INDEX('Game Records'!$S:$S,$H462))),NOT(_xlfn.ISFORMULA(INDEX('Game Records'!$T:$T,$H462))),NOT(_xlfn.ISFORMULA(INDEX('Game Records'!$U:$U,$H462))),NOT(_xlfn.ISFORMULA(INDEX('Game Records'!$V:$V,$H462))),NOT(_xlfn.ISFORMULA(INDEX('Game Records'!$W:$W,$H462))),NOT(_xlfn.ISFORMULA(INDEX('Game Records'!$X:$X,$H462))),NOT(_xlfn.ISFORMULA(INDEX('Game Records'!$Y:$Y,$H462))),NOT(_xlfn.ISFORMULA(INDEX('Game Records'!$Z:$Z,$H462)))),"","")&amp;IF(INDEX('Game Records'!$B:$B,$H462)="","Start Date; ","")&amp;IF(INDEX('Game Records'!$C:$C,$H462)="","End Date; ","")&amp;IF(AND(INDEX('Game Records'!$U:$U,$H462)&lt;&gt;"Subscription",INDEX('Game Records'!$U:$U,$H462)&lt;&gt;"Free Game",INDEX('Game Records'!$U:$U,$H462)&lt;&gt;"Disqualified — Free Game",OR(INDEX('Game Records'!$D:$D,$H462)="",LOWER(INDEX('Game Records'!$D:$D,$H462)&amp;"")="n/a")),"Entry Mode; ","")&amp;IF(AND(INDEX('Game Records'!$U:$U,$H462)&lt;&gt;"Subscription",INDEX('Game Records'!$U:$U,$H462)&lt;&gt;"Free Game",INDEX('Game Records'!$U:$U,$H462)&lt;&gt;"Disqualified — Free Game",OR(INDEX('Game Records'!$E:$E,$H462)="",LOWER(INDEX('Game Records'!$E:$E,$H462)&amp;"")="n/a")),"Game Type; ","")&amp;IF(INDEX('Game Records'!$F:$F,$H462)="","Payment Type; ","")&amp;IF(AND(INDEX('Game Records'!$U:$U,$H462)&lt;&gt;"Subscription",INDEX('Game Records'!$U:$U,$H462)&lt;&gt;"Free Game",INDEX('Game Records'!$U:$U,$H462)&lt;&gt;"Disqualified — Free Game",INDEX('Game Records'!$G:$G,$H462)=""),"Gross Pot; ","")&amp;IF(AND(INDEX('Game Records'!$U:$U,$H462)&lt;&gt;"Free Game",INDEX('Game Records'!$U:$U,$H462)&lt;&gt;"Disqualified — Free Game",INDEX('Game Records'!$H:$H,$H462)=""),"Entry Fee; ","")&amp;IF(AND(INDEX('Game Records'!$U:$U,$H462)&lt;&gt;"Subscription",INDEX('Game Records'!$U:$U,$H462)&lt;&gt;"Free Game",INDEX('Game Records'!$U:$U,$H462)&lt;&gt;"Disqualified — Free Game",INDEX('Game Records'!$I:$I,$H462)=""),"Eligible Players; ","")&amp;IF(AND(INDEX('Game Records'!$U:$U,$H462)&lt;&gt;"Subscription",INDEX('Game Records'!$U:$U,$H462)&lt;&gt;"Free Game",INDEX('Game Records'!$U:$U,$H462)&lt;&gt;"Disqualified — Free Game",INDEX('Game Records'!$J:$J,$H462)=""),"Total Players; ","")&amp;IF(AND(LOWER(INDEX('Game Records'!$D:$D,$H462)&amp;"")="finalized",LOWER(INDEX('Game Records'!$L:$L,$H462)&amp;"")&lt;&gt;"yes",INDEX('Game Records'!$U:$U,$H462)&lt;&gt;"Subscription",INDEX('Game Records'!$U:$U,$H462)&lt;&gt;"Free Game",INDEX('Game Records'!$U:$U,$H462)&lt;&gt;"Disqualified — Free Game",INDEX('Game Records'!$K:$K,$H462)=""),"Final Payout; ","")&amp;IF(AND(LOWER(INDEX('Game Records'!$D:$D,$H462)&amp;"")="finalized",INDEX('Game Records'!$U:$U,$H462)&lt;&gt;"Subscription",INDEX('Game Records'!$U:$U,$H462)&lt;&gt;"Free Game",INDEX('Game Records'!$U:$U,$H462)&lt;&gt;"Disqualified — Free Game",OR(INDEX('Game Records'!$L:$L,$H462)="",LOWER(INDEX('Game Records'!$L:$L,$H462)&amp;"")="n/a")),"Disqualified Status; ",""))</f>
        <v/>
      </c>
      <c r="G462" s="25" t="str">
        <f t="array" ref="G462">IF($H462="","",IFERROR(INDEX('Game Records'!$M:$M,$H462),""))</f>
        <v/>
      </c>
      <c r="H462" s="8"/>
    </row>
    <row r="463" ht="24.0" customHeight="1">
      <c r="A463" s="21" t="str">
        <f t="shared" si="1"/>
        <v/>
      </c>
      <c r="B463" s="21" t="str">
        <f t="shared" si="2"/>
        <v/>
      </c>
      <c r="C463" s="25" t="str">
        <f t="array" ref="C463">IF($H463="","",IFERROR(INDEX('Game Records'!$A:$A,$H463),""))</f>
        <v/>
      </c>
      <c r="D463" s="25" t="str">
        <f t="array" ref="D463">IF($H463="","",IFERROR(INDEX('Game Records'!$U:$U,$H463),""))</f>
        <v/>
      </c>
      <c r="E463" s="25" t="str">
        <f t="shared" si="3"/>
        <v/>
      </c>
      <c r="F463" s="25" t="str">
        <f t="array" ref="F463">IF($H463="","",IF(OR(NOT(_xlfn.ISFORMULA(INDEX('Game Records'!$N:$N,$H463))),NOT(_xlfn.ISFORMULA(INDEX('Game Records'!$O:$O,$H463))),NOT(_xlfn.ISFORMULA(INDEX('Game Records'!$P:$P,$H463))),NOT(_xlfn.ISFORMULA(INDEX('Game Records'!$Q:$Q,$H463))),NOT(_xlfn.ISFORMULA(INDEX('Game Records'!$R:$R,$H463))),NOT(_xlfn.ISFORMULA(INDEX('Game Records'!$S:$S,$H463))),NOT(_xlfn.ISFORMULA(INDEX('Game Records'!$T:$T,$H463))),NOT(_xlfn.ISFORMULA(INDEX('Game Records'!$U:$U,$H463))),NOT(_xlfn.ISFORMULA(INDEX('Game Records'!$V:$V,$H463))),NOT(_xlfn.ISFORMULA(INDEX('Game Records'!$W:$W,$H463))),NOT(_xlfn.ISFORMULA(INDEX('Game Records'!$X:$X,$H463))),NOT(_xlfn.ISFORMULA(INDEX('Game Records'!$Y:$Y,$H463))),NOT(_xlfn.ISFORMULA(INDEX('Game Records'!$Z:$Z,$H463)))),"","")&amp;IF(INDEX('Game Records'!$B:$B,$H463)="","Start Date; ","")&amp;IF(INDEX('Game Records'!$C:$C,$H463)="","End Date; ","")&amp;IF(AND(INDEX('Game Records'!$U:$U,$H463)&lt;&gt;"Subscription",INDEX('Game Records'!$U:$U,$H463)&lt;&gt;"Free Game",INDEX('Game Records'!$U:$U,$H463)&lt;&gt;"Disqualified — Free Game",OR(INDEX('Game Records'!$D:$D,$H463)="",LOWER(INDEX('Game Records'!$D:$D,$H463)&amp;"")="n/a")),"Entry Mode; ","")&amp;IF(AND(INDEX('Game Records'!$U:$U,$H463)&lt;&gt;"Subscription",INDEX('Game Records'!$U:$U,$H463)&lt;&gt;"Free Game",INDEX('Game Records'!$U:$U,$H463)&lt;&gt;"Disqualified — Free Game",OR(INDEX('Game Records'!$E:$E,$H463)="",LOWER(INDEX('Game Records'!$E:$E,$H463)&amp;"")="n/a")),"Game Type; ","")&amp;IF(INDEX('Game Records'!$F:$F,$H463)="","Payment Type; ","")&amp;IF(AND(INDEX('Game Records'!$U:$U,$H463)&lt;&gt;"Subscription",INDEX('Game Records'!$U:$U,$H463)&lt;&gt;"Free Game",INDEX('Game Records'!$U:$U,$H463)&lt;&gt;"Disqualified — Free Game",INDEX('Game Records'!$G:$G,$H463)=""),"Gross Pot; ","")&amp;IF(AND(INDEX('Game Records'!$U:$U,$H463)&lt;&gt;"Free Game",INDEX('Game Records'!$U:$U,$H463)&lt;&gt;"Disqualified — Free Game",INDEX('Game Records'!$H:$H,$H463)=""),"Entry Fee; ","")&amp;IF(AND(INDEX('Game Records'!$U:$U,$H463)&lt;&gt;"Subscription",INDEX('Game Records'!$U:$U,$H463)&lt;&gt;"Free Game",INDEX('Game Records'!$U:$U,$H463)&lt;&gt;"Disqualified — Free Game",INDEX('Game Records'!$I:$I,$H463)=""),"Eligible Players; ","")&amp;IF(AND(INDEX('Game Records'!$U:$U,$H463)&lt;&gt;"Subscription",INDEX('Game Records'!$U:$U,$H463)&lt;&gt;"Free Game",INDEX('Game Records'!$U:$U,$H463)&lt;&gt;"Disqualified — Free Game",INDEX('Game Records'!$J:$J,$H463)=""),"Total Players; ","")&amp;IF(AND(LOWER(INDEX('Game Records'!$D:$D,$H463)&amp;"")="finalized",LOWER(INDEX('Game Records'!$L:$L,$H463)&amp;"")&lt;&gt;"yes",INDEX('Game Records'!$U:$U,$H463)&lt;&gt;"Subscription",INDEX('Game Records'!$U:$U,$H463)&lt;&gt;"Free Game",INDEX('Game Records'!$U:$U,$H463)&lt;&gt;"Disqualified — Free Game",INDEX('Game Records'!$K:$K,$H463)=""),"Final Payout; ","")&amp;IF(AND(LOWER(INDEX('Game Records'!$D:$D,$H463)&amp;"")="finalized",INDEX('Game Records'!$U:$U,$H463)&lt;&gt;"Subscription",INDEX('Game Records'!$U:$U,$H463)&lt;&gt;"Free Game",INDEX('Game Records'!$U:$U,$H463)&lt;&gt;"Disqualified — Free Game",OR(INDEX('Game Records'!$L:$L,$H463)="",LOWER(INDEX('Game Records'!$L:$L,$H463)&amp;"")="n/a")),"Disqualified Status; ",""))</f>
        <v/>
      </c>
      <c r="G463" s="25" t="str">
        <f t="array" ref="G463">IF($H463="","",IFERROR(INDEX('Game Records'!$M:$M,$H463),""))</f>
        <v/>
      </c>
      <c r="H463" s="8"/>
    </row>
    <row r="464" ht="24.0" customHeight="1">
      <c r="A464" s="21" t="str">
        <f t="shared" si="1"/>
        <v/>
      </c>
      <c r="B464" s="21" t="str">
        <f t="shared" si="2"/>
        <v/>
      </c>
      <c r="C464" s="25" t="str">
        <f t="array" ref="C464">IF($H464="","",IFERROR(INDEX('Game Records'!$A:$A,$H464),""))</f>
        <v/>
      </c>
      <c r="D464" s="25" t="str">
        <f t="array" ref="D464">IF($H464="","",IFERROR(INDEX('Game Records'!$U:$U,$H464),""))</f>
        <v/>
      </c>
      <c r="E464" s="25" t="str">
        <f t="shared" si="3"/>
        <v/>
      </c>
      <c r="F464" s="25" t="str">
        <f t="array" ref="F464">IF($H464="","",IF(OR(NOT(_xlfn.ISFORMULA(INDEX('Game Records'!$N:$N,$H464))),NOT(_xlfn.ISFORMULA(INDEX('Game Records'!$O:$O,$H464))),NOT(_xlfn.ISFORMULA(INDEX('Game Records'!$P:$P,$H464))),NOT(_xlfn.ISFORMULA(INDEX('Game Records'!$Q:$Q,$H464))),NOT(_xlfn.ISFORMULA(INDEX('Game Records'!$R:$R,$H464))),NOT(_xlfn.ISFORMULA(INDEX('Game Records'!$S:$S,$H464))),NOT(_xlfn.ISFORMULA(INDEX('Game Records'!$T:$T,$H464))),NOT(_xlfn.ISFORMULA(INDEX('Game Records'!$U:$U,$H464))),NOT(_xlfn.ISFORMULA(INDEX('Game Records'!$V:$V,$H464))),NOT(_xlfn.ISFORMULA(INDEX('Game Records'!$W:$W,$H464))),NOT(_xlfn.ISFORMULA(INDEX('Game Records'!$X:$X,$H464))),NOT(_xlfn.ISFORMULA(INDEX('Game Records'!$Y:$Y,$H464))),NOT(_xlfn.ISFORMULA(INDEX('Game Records'!$Z:$Z,$H464)))),"","")&amp;IF(INDEX('Game Records'!$B:$B,$H464)="","Start Date; ","")&amp;IF(INDEX('Game Records'!$C:$C,$H464)="","End Date; ","")&amp;IF(AND(INDEX('Game Records'!$U:$U,$H464)&lt;&gt;"Subscription",INDEX('Game Records'!$U:$U,$H464)&lt;&gt;"Free Game",INDEX('Game Records'!$U:$U,$H464)&lt;&gt;"Disqualified — Free Game",OR(INDEX('Game Records'!$D:$D,$H464)="",LOWER(INDEX('Game Records'!$D:$D,$H464)&amp;"")="n/a")),"Entry Mode; ","")&amp;IF(AND(INDEX('Game Records'!$U:$U,$H464)&lt;&gt;"Subscription",INDEX('Game Records'!$U:$U,$H464)&lt;&gt;"Free Game",INDEX('Game Records'!$U:$U,$H464)&lt;&gt;"Disqualified — Free Game",OR(INDEX('Game Records'!$E:$E,$H464)="",LOWER(INDEX('Game Records'!$E:$E,$H464)&amp;"")="n/a")),"Game Type; ","")&amp;IF(INDEX('Game Records'!$F:$F,$H464)="","Payment Type; ","")&amp;IF(AND(INDEX('Game Records'!$U:$U,$H464)&lt;&gt;"Subscription",INDEX('Game Records'!$U:$U,$H464)&lt;&gt;"Free Game",INDEX('Game Records'!$U:$U,$H464)&lt;&gt;"Disqualified — Free Game",INDEX('Game Records'!$G:$G,$H464)=""),"Gross Pot; ","")&amp;IF(AND(INDEX('Game Records'!$U:$U,$H464)&lt;&gt;"Free Game",INDEX('Game Records'!$U:$U,$H464)&lt;&gt;"Disqualified — Free Game",INDEX('Game Records'!$H:$H,$H464)=""),"Entry Fee; ","")&amp;IF(AND(INDEX('Game Records'!$U:$U,$H464)&lt;&gt;"Subscription",INDEX('Game Records'!$U:$U,$H464)&lt;&gt;"Free Game",INDEX('Game Records'!$U:$U,$H464)&lt;&gt;"Disqualified — Free Game",INDEX('Game Records'!$I:$I,$H464)=""),"Eligible Players; ","")&amp;IF(AND(INDEX('Game Records'!$U:$U,$H464)&lt;&gt;"Subscription",INDEX('Game Records'!$U:$U,$H464)&lt;&gt;"Free Game",INDEX('Game Records'!$U:$U,$H464)&lt;&gt;"Disqualified — Free Game",INDEX('Game Records'!$J:$J,$H464)=""),"Total Players; ","")&amp;IF(AND(LOWER(INDEX('Game Records'!$D:$D,$H464)&amp;"")="finalized",LOWER(INDEX('Game Records'!$L:$L,$H464)&amp;"")&lt;&gt;"yes",INDEX('Game Records'!$U:$U,$H464)&lt;&gt;"Subscription",INDEX('Game Records'!$U:$U,$H464)&lt;&gt;"Free Game",INDEX('Game Records'!$U:$U,$H464)&lt;&gt;"Disqualified — Free Game",INDEX('Game Records'!$K:$K,$H464)=""),"Final Payout; ","")&amp;IF(AND(LOWER(INDEX('Game Records'!$D:$D,$H464)&amp;"")="finalized",INDEX('Game Records'!$U:$U,$H464)&lt;&gt;"Subscription",INDEX('Game Records'!$U:$U,$H464)&lt;&gt;"Free Game",INDEX('Game Records'!$U:$U,$H464)&lt;&gt;"Disqualified — Free Game",OR(INDEX('Game Records'!$L:$L,$H464)="",LOWER(INDEX('Game Records'!$L:$L,$H464)&amp;"")="n/a")),"Disqualified Status; ",""))</f>
        <v/>
      </c>
      <c r="G464" s="25" t="str">
        <f t="array" ref="G464">IF($H464="","",IFERROR(INDEX('Game Records'!$M:$M,$H464),""))</f>
        <v/>
      </c>
      <c r="H464" s="8"/>
    </row>
    <row r="465" ht="24.0" customHeight="1">
      <c r="A465" s="21" t="str">
        <f t="shared" si="1"/>
        <v/>
      </c>
      <c r="B465" s="21" t="str">
        <f t="shared" si="2"/>
        <v/>
      </c>
      <c r="C465" s="25" t="str">
        <f t="array" ref="C465">IF($H465="","",IFERROR(INDEX('Game Records'!$A:$A,$H465),""))</f>
        <v/>
      </c>
      <c r="D465" s="25" t="str">
        <f t="array" ref="D465">IF($H465="","",IFERROR(INDEX('Game Records'!$U:$U,$H465),""))</f>
        <v/>
      </c>
      <c r="E465" s="25" t="str">
        <f t="shared" si="3"/>
        <v/>
      </c>
      <c r="F465" s="25" t="str">
        <f t="array" ref="F465">IF($H465="","",IF(OR(NOT(_xlfn.ISFORMULA(INDEX('Game Records'!$N:$N,$H465))),NOT(_xlfn.ISFORMULA(INDEX('Game Records'!$O:$O,$H465))),NOT(_xlfn.ISFORMULA(INDEX('Game Records'!$P:$P,$H465))),NOT(_xlfn.ISFORMULA(INDEX('Game Records'!$Q:$Q,$H465))),NOT(_xlfn.ISFORMULA(INDEX('Game Records'!$R:$R,$H465))),NOT(_xlfn.ISFORMULA(INDEX('Game Records'!$S:$S,$H465))),NOT(_xlfn.ISFORMULA(INDEX('Game Records'!$T:$T,$H465))),NOT(_xlfn.ISFORMULA(INDEX('Game Records'!$U:$U,$H465))),NOT(_xlfn.ISFORMULA(INDEX('Game Records'!$V:$V,$H465))),NOT(_xlfn.ISFORMULA(INDEX('Game Records'!$W:$W,$H465))),NOT(_xlfn.ISFORMULA(INDEX('Game Records'!$X:$X,$H465))),NOT(_xlfn.ISFORMULA(INDEX('Game Records'!$Y:$Y,$H465))),NOT(_xlfn.ISFORMULA(INDEX('Game Records'!$Z:$Z,$H465)))),"","")&amp;IF(INDEX('Game Records'!$B:$B,$H465)="","Start Date; ","")&amp;IF(INDEX('Game Records'!$C:$C,$H465)="","End Date; ","")&amp;IF(AND(INDEX('Game Records'!$U:$U,$H465)&lt;&gt;"Subscription",INDEX('Game Records'!$U:$U,$H465)&lt;&gt;"Free Game",INDEX('Game Records'!$U:$U,$H465)&lt;&gt;"Disqualified — Free Game",OR(INDEX('Game Records'!$D:$D,$H465)="",LOWER(INDEX('Game Records'!$D:$D,$H465)&amp;"")="n/a")),"Entry Mode; ","")&amp;IF(AND(INDEX('Game Records'!$U:$U,$H465)&lt;&gt;"Subscription",INDEX('Game Records'!$U:$U,$H465)&lt;&gt;"Free Game",INDEX('Game Records'!$U:$U,$H465)&lt;&gt;"Disqualified — Free Game",OR(INDEX('Game Records'!$E:$E,$H465)="",LOWER(INDEX('Game Records'!$E:$E,$H465)&amp;"")="n/a")),"Game Type; ","")&amp;IF(INDEX('Game Records'!$F:$F,$H465)="","Payment Type; ","")&amp;IF(AND(INDEX('Game Records'!$U:$U,$H465)&lt;&gt;"Subscription",INDEX('Game Records'!$U:$U,$H465)&lt;&gt;"Free Game",INDEX('Game Records'!$U:$U,$H465)&lt;&gt;"Disqualified — Free Game",INDEX('Game Records'!$G:$G,$H465)=""),"Gross Pot; ","")&amp;IF(AND(INDEX('Game Records'!$U:$U,$H465)&lt;&gt;"Free Game",INDEX('Game Records'!$U:$U,$H465)&lt;&gt;"Disqualified — Free Game",INDEX('Game Records'!$H:$H,$H465)=""),"Entry Fee; ","")&amp;IF(AND(INDEX('Game Records'!$U:$U,$H465)&lt;&gt;"Subscription",INDEX('Game Records'!$U:$U,$H465)&lt;&gt;"Free Game",INDEX('Game Records'!$U:$U,$H465)&lt;&gt;"Disqualified — Free Game",INDEX('Game Records'!$I:$I,$H465)=""),"Eligible Players; ","")&amp;IF(AND(INDEX('Game Records'!$U:$U,$H465)&lt;&gt;"Subscription",INDEX('Game Records'!$U:$U,$H465)&lt;&gt;"Free Game",INDEX('Game Records'!$U:$U,$H465)&lt;&gt;"Disqualified — Free Game",INDEX('Game Records'!$J:$J,$H465)=""),"Total Players; ","")&amp;IF(AND(LOWER(INDEX('Game Records'!$D:$D,$H465)&amp;"")="finalized",LOWER(INDEX('Game Records'!$L:$L,$H465)&amp;"")&lt;&gt;"yes",INDEX('Game Records'!$U:$U,$H465)&lt;&gt;"Subscription",INDEX('Game Records'!$U:$U,$H465)&lt;&gt;"Free Game",INDEX('Game Records'!$U:$U,$H465)&lt;&gt;"Disqualified — Free Game",INDEX('Game Records'!$K:$K,$H465)=""),"Final Payout; ","")&amp;IF(AND(LOWER(INDEX('Game Records'!$D:$D,$H465)&amp;"")="finalized",INDEX('Game Records'!$U:$U,$H465)&lt;&gt;"Subscription",INDEX('Game Records'!$U:$U,$H465)&lt;&gt;"Free Game",INDEX('Game Records'!$U:$U,$H465)&lt;&gt;"Disqualified — Free Game",OR(INDEX('Game Records'!$L:$L,$H465)="",LOWER(INDEX('Game Records'!$L:$L,$H465)&amp;"")="n/a")),"Disqualified Status; ",""))</f>
        <v/>
      </c>
      <c r="G465" s="25" t="str">
        <f t="array" ref="G465">IF($H465="","",IFERROR(INDEX('Game Records'!$M:$M,$H465),""))</f>
        <v/>
      </c>
      <c r="H465" s="8"/>
    </row>
    <row r="466" ht="24.0" customHeight="1">
      <c r="A466" s="21" t="str">
        <f t="shared" si="1"/>
        <v/>
      </c>
      <c r="B466" s="21" t="str">
        <f t="shared" si="2"/>
        <v/>
      </c>
      <c r="C466" s="25" t="str">
        <f t="array" ref="C466">IF($H466="","",IFERROR(INDEX('Game Records'!$A:$A,$H466),""))</f>
        <v/>
      </c>
      <c r="D466" s="25" t="str">
        <f t="array" ref="D466">IF($H466="","",IFERROR(INDEX('Game Records'!$U:$U,$H466),""))</f>
        <v/>
      </c>
      <c r="E466" s="25" t="str">
        <f t="shared" si="3"/>
        <v/>
      </c>
      <c r="F466" s="25" t="str">
        <f t="array" ref="F466">IF($H466="","",IF(OR(NOT(_xlfn.ISFORMULA(INDEX('Game Records'!$N:$N,$H466))),NOT(_xlfn.ISFORMULA(INDEX('Game Records'!$O:$O,$H466))),NOT(_xlfn.ISFORMULA(INDEX('Game Records'!$P:$P,$H466))),NOT(_xlfn.ISFORMULA(INDEX('Game Records'!$Q:$Q,$H466))),NOT(_xlfn.ISFORMULA(INDEX('Game Records'!$R:$R,$H466))),NOT(_xlfn.ISFORMULA(INDEX('Game Records'!$S:$S,$H466))),NOT(_xlfn.ISFORMULA(INDEX('Game Records'!$T:$T,$H466))),NOT(_xlfn.ISFORMULA(INDEX('Game Records'!$U:$U,$H466))),NOT(_xlfn.ISFORMULA(INDEX('Game Records'!$V:$V,$H466))),NOT(_xlfn.ISFORMULA(INDEX('Game Records'!$W:$W,$H466))),NOT(_xlfn.ISFORMULA(INDEX('Game Records'!$X:$X,$H466))),NOT(_xlfn.ISFORMULA(INDEX('Game Records'!$Y:$Y,$H466))),NOT(_xlfn.ISFORMULA(INDEX('Game Records'!$Z:$Z,$H466)))),"","")&amp;IF(INDEX('Game Records'!$B:$B,$H466)="","Start Date; ","")&amp;IF(INDEX('Game Records'!$C:$C,$H466)="","End Date; ","")&amp;IF(AND(INDEX('Game Records'!$U:$U,$H466)&lt;&gt;"Subscription",INDEX('Game Records'!$U:$U,$H466)&lt;&gt;"Free Game",INDEX('Game Records'!$U:$U,$H466)&lt;&gt;"Disqualified — Free Game",OR(INDEX('Game Records'!$D:$D,$H466)="",LOWER(INDEX('Game Records'!$D:$D,$H466)&amp;"")="n/a")),"Entry Mode; ","")&amp;IF(AND(INDEX('Game Records'!$U:$U,$H466)&lt;&gt;"Subscription",INDEX('Game Records'!$U:$U,$H466)&lt;&gt;"Free Game",INDEX('Game Records'!$U:$U,$H466)&lt;&gt;"Disqualified — Free Game",OR(INDEX('Game Records'!$E:$E,$H466)="",LOWER(INDEX('Game Records'!$E:$E,$H466)&amp;"")="n/a")),"Game Type; ","")&amp;IF(INDEX('Game Records'!$F:$F,$H466)="","Payment Type; ","")&amp;IF(AND(INDEX('Game Records'!$U:$U,$H466)&lt;&gt;"Subscription",INDEX('Game Records'!$U:$U,$H466)&lt;&gt;"Free Game",INDEX('Game Records'!$U:$U,$H466)&lt;&gt;"Disqualified — Free Game",INDEX('Game Records'!$G:$G,$H466)=""),"Gross Pot; ","")&amp;IF(AND(INDEX('Game Records'!$U:$U,$H466)&lt;&gt;"Free Game",INDEX('Game Records'!$U:$U,$H466)&lt;&gt;"Disqualified — Free Game",INDEX('Game Records'!$H:$H,$H466)=""),"Entry Fee; ","")&amp;IF(AND(INDEX('Game Records'!$U:$U,$H466)&lt;&gt;"Subscription",INDEX('Game Records'!$U:$U,$H466)&lt;&gt;"Free Game",INDEX('Game Records'!$U:$U,$H466)&lt;&gt;"Disqualified — Free Game",INDEX('Game Records'!$I:$I,$H466)=""),"Eligible Players; ","")&amp;IF(AND(INDEX('Game Records'!$U:$U,$H466)&lt;&gt;"Subscription",INDEX('Game Records'!$U:$U,$H466)&lt;&gt;"Free Game",INDEX('Game Records'!$U:$U,$H466)&lt;&gt;"Disqualified — Free Game",INDEX('Game Records'!$J:$J,$H466)=""),"Total Players; ","")&amp;IF(AND(LOWER(INDEX('Game Records'!$D:$D,$H466)&amp;"")="finalized",LOWER(INDEX('Game Records'!$L:$L,$H466)&amp;"")&lt;&gt;"yes",INDEX('Game Records'!$U:$U,$H466)&lt;&gt;"Subscription",INDEX('Game Records'!$U:$U,$H466)&lt;&gt;"Free Game",INDEX('Game Records'!$U:$U,$H466)&lt;&gt;"Disqualified — Free Game",INDEX('Game Records'!$K:$K,$H466)=""),"Final Payout; ","")&amp;IF(AND(LOWER(INDEX('Game Records'!$D:$D,$H466)&amp;"")="finalized",INDEX('Game Records'!$U:$U,$H466)&lt;&gt;"Subscription",INDEX('Game Records'!$U:$U,$H466)&lt;&gt;"Free Game",INDEX('Game Records'!$U:$U,$H466)&lt;&gt;"Disqualified — Free Game",OR(INDEX('Game Records'!$L:$L,$H466)="",LOWER(INDEX('Game Records'!$L:$L,$H466)&amp;"")="n/a")),"Disqualified Status; ",""))</f>
        <v/>
      </c>
      <c r="G466" s="25" t="str">
        <f t="array" ref="G466">IF($H466="","",IFERROR(INDEX('Game Records'!$M:$M,$H466),""))</f>
        <v/>
      </c>
      <c r="H466" s="8"/>
    </row>
    <row r="467" ht="24.0" customHeight="1">
      <c r="A467" s="21" t="str">
        <f t="shared" si="1"/>
        <v/>
      </c>
      <c r="B467" s="21" t="str">
        <f t="shared" si="2"/>
        <v/>
      </c>
      <c r="C467" s="25" t="str">
        <f t="array" ref="C467">IF($H467="","",IFERROR(INDEX('Game Records'!$A:$A,$H467),""))</f>
        <v/>
      </c>
      <c r="D467" s="25" t="str">
        <f t="array" ref="D467">IF($H467="","",IFERROR(INDEX('Game Records'!$U:$U,$H467),""))</f>
        <v/>
      </c>
      <c r="E467" s="25" t="str">
        <f t="shared" si="3"/>
        <v/>
      </c>
      <c r="F467" s="25" t="str">
        <f t="array" ref="F467">IF($H467="","",IF(OR(NOT(_xlfn.ISFORMULA(INDEX('Game Records'!$N:$N,$H467))),NOT(_xlfn.ISFORMULA(INDEX('Game Records'!$O:$O,$H467))),NOT(_xlfn.ISFORMULA(INDEX('Game Records'!$P:$P,$H467))),NOT(_xlfn.ISFORMULA(INDEX('Game Records'!$Q:$Q,$H467))),NOT(_xlfn.ISFORMULA(INDEX('Game Records'!$R:$R,$H467))),NOT(_xlfn.ISFORMULA(INDEX('Game Records'!$S:$S,$H467))),NOT(_xlfn.ISFORMULA(INDEX('Game Records'!$T:$T,$H467))),NOT(_xlfn.ISFORMULA(INDEX('Game Records'!$U:$U,$H467))),NOT(_xlfn.ISFORMULA(INDEX('Game Records'!$V:$V,$H467))),NOT(_xlfn.ISFORMULA(INDEX('Game Records'!$W:$W,$H467))),NOT(_xlfn.ISFORMULA(INDEX('Game Records'!$X:$X,$H467))),NOT(_xlfn.ISFORMULA(INDEX('Game Records'!$Y:$Y,$H467))),NOT(_xlfn.ISFORMULA(INDEX('Game Records'!$Z:$Z,$H467)))),"","")&amp;IF(INDEX('Game Records'!$B:$B,$H467)="","Start Date; ","")&amp;IF(INDEX('Game Records'!$C:$C,$H467)="","End Date; ","")&amp;IF(AND(INDEX('Game Records'!$U:$U,$H467)&lt;&gt;"Subscription",INDEX('Game Records'!$U:$U,$H467)&lt;&gt;"Free Game",INDEX('Game Records'!$U:$U,$H467)&lt;&gt;"Disqualified — Free Game",OR(INDEX('Game Records'!$D:$D,$H467)="",LOWER(INDEX('Game Records'!$D:$D,$H467)&amp;"")="n/a")),"Entry Mode; ","")&amp;IF(AND(INDEX('Game Records'!$U:$U,$H467)&lt;&gt;"Subscription",INDEX('Game Records'!$U:$U,$H467)&lt;&gt;"Free Game",INDEX('Game Records'!$U:$U,$H467)&lt;&gt;"Disqualified — Free Game",OR(INDEX('Game Records'!$E:$E,$H467)="",LOWER(INDEX('Game Records'!$E:$E,$H467)&amp;"")="n/a")),"Game Type; ","")&amp;IF(INDEX('Game Records'!$F:$F,$H467)="","Payment Type; ","")&amp;IF(AND(INDEX('Game Records'!$U:$U,$H467)&lt;&gt;"Subscription",INDEX('Game Records'!$U:$U,$H467)&lt;&gt;"Free Game",INDEX('Game Records'!$U:$U,$H467)&lt;&gt;"Disqualified — Free Game",INDEX('Game Records'!$G:$G,$H467)=""),"Gross Pot; ","")&amp;IF(AND(INDEX('Game Records'!$U:$U,$H467)&lt;&gt;"Free Game",INDEX('Game Records'!$U:$U,$H467)&lt;&gt;"Disqualified — Free Game",INDEX('Game Records'!$H:$H,$H467)=""),"Entry Fee; ","")&amp;IF(AND(INDEX('Game Records'!$U:$U,$H467)&lt;&gt;"Subscription",INDEX('Game Records'!$U:$U,$H467)&lt;&gt;"Free Game",INDEX('Game Records'!$U:$U,$H467)&lt;&gt;"Disqualified — Free Game",INDEX('Game Records'!$I:$I,$H467)=""),"Eligible Players; ","")&amp;IF(AND(INDEX('Game Records'!$U:$U,$H467)&lt;&gt;"Subscription",INDEX('Game Records'!$U:$U,$H467)&lt;&gt;"Free Game",INDEX('Game Records'!$U:$U,$H467)&lt;&gt;"Disqualified — Free Game",INDEX('Game Records'!$J:$J,$H467)=""),"Total Players; ","")&amp;IF(AND(LOWER(INDEX('Game Records'!$D:$D,$H467)&amp;"")="finalized",LOWER(INDEX('Game Records'!$L:$L,$H467)&amp;"")&lt;&gt;"yes",INDEX('Game Records'!$U:$U,$H467)&lt;&gt;"Subscription",INDEX('Game Records'!$U:$U,$H467)&lt;&gt;"Free Game",INDEX('Game Records'!$U:$U,$H467)&lt;&gt;"Disqualified — Free Game",INDEX('Game Records'!$K:$K,$H467)=""),"Final Payout; ","")&amp;IF(AND(LOWER(INDEX('Game Records'!$D:$D,$H467)&amp;"")="finalized",INDEX('Game Records'!$U:$U,$H467)&lt;&gt;"Subscription",INDEX('Game Records'!$U:$U,$H467)&lt;&gt;"Free Game",INDEX('Game Records'!$U:$U,$H467)&lt;&gt;"Disqualified — Free Game",OR(INDEX('Game Records'!$L:$L,$H467)="",LOWER(INDEX('Game Records'!$L:$L,$H467)&amp;"")="n/a")),"Disqualified Status; ",""))</f>
        <v/>
      </c>
      <c r="G467" s="25" t="str">
        <f t="array" ref="G467">IF($H467="","",IFERROR(INDEX('Game Records'!$M:$M,$H467),""))</f>
        <v/>
      </c>
      <c r="H467" s="8"/>
    </row>
    <row r="468" ht="24.0" customHeight="1">
      <c r="A468" s="21" t="str">
        <f t="shared" si="1"/>
        <v/>
      </c>
      <c r="B468" s="21" t="str">
        <f t="shared" si="2"/>
        <v/>
      </c>
      <c r="C468" s="25" t="str">
        <f t="array" ref="C468">IF($H468="","",IFERROR(INDEX('Game Records'!$A:$A,$H468),""))</f>
        <v/>
      </c>
      <c r="D468" s="25" t="str">
        <f t="array" ref="D468">IF($H468="","",IFERROR(INDEX('Game Records'!$U:$U,$H468),""))</f>
        <v/>
      </c>
      <c r="E468" s="25" t="str">
        <f t="shared" si="3"/>
        <v/>
      </c>
      <c r="F468" s="25" t="str">
        <f t="array" ref="F468">IF($H468="","",IF(OR(NOT(_xlfn.ISFORMULA(INDEX('Game Records'!$N:$N,$H468))),NOT(_xlfn.ISFORMULA(INDEX('Game Records'!$O:$O,$H468))),NOT(_xlfn.ISFORMULA(INDEX('Game Records'!$P:$P,$H468))),NOT(_xlfn.ISFORMULA(INDEX('Game Records'!$Q:$Q,$H468))),NOT(_xlfn.ISFORMULA(INDEX('Game Records'!$R:$R,$H468))),NOT(_xlfn.ISFORMULA(INDEX('Game Records'!$S:$S,$H468))),NOT(_xlfn.ISFORMULA(INDEX('Game Records'!$T:$T,$H468))),NOT(_xlfn.ISFORMULA(INDEX('Game Records'!$U:$U,$H468))),NOT(_xlfn.ISFORMULA(INDEX('Game Records'!$V:$V,$H468))),NOT(_xlfn.ISFORMULA(INDEX('Game Records'!$W:$W,$H468))),NOT(_xlfn.ISFORMULA(INDEX('Game Records'!$X:$X,$H468))),NOT(_xlfn.ISFORMULA(INDEX('Game Records'!$Y:$Y,$H468))),NOT(_xlfn.ISFORMULA(INDEX('Game Records'!$Z:$Z,$H468)))),"","")&amp;IF(INDEX('Game Records'!$B:$B,$H468)="","Start Date; ","")&amp;IF(INDEX('Game Records'!$C:$C,$H468)="","End Date; ","")&amp;IF(AND(INDEX('Game Records'!$U:$U,$H468)&lt;&gt;"Subscription",INDEX('Game Records'!$U:$U,$H468)&lt;&gt;"Free Game",INDEX('Game Records'!$U:$U,$H468)&lt;&gt;"Disqualified — Free Game",OR(INDEX('Game Records'!$D:$D,$H468)="",LOWER(INDEX('Game Records'!$D:$D,$H468)&amp;"")="n/a")),"Entry Mode; ","")&amp;IF(AND(INDEX('Game Records'!$U:$U,$H468)&lt;&gt;"Subscription",INDEX('Game Records'!$U:$U,$H468)&lt;&gt;"Free Game",INDEX('Game Records'!$U:$U,$H468)&lt;&gt;"Disqualified — Free Game",OR(INDEX('Game Records'!$E:$E,$H468)="",LOWER(INDEX('Game Records'!$E:$E,$H468)&amp;"")="n/a")),"Game Type; ","")&amp;IF(INDEX('Game Records'!$F:$F,$H468)="","Payment Type; ","")&amp;IF(AND(INDEX('Game Records'!$U:$U,$H468)&lt;&gt;"Subscription",INDEX('Game Records'!$U:$U,$H468)&lt;&gt;"Free Game",INDEX('Game Records'!$U:$U,$H468)&lt;&gt;"Disqualified — Free Game",INDEX('Game Records'!$G:$G,$H468)=""),"Gross Pot; ","")&amp;IF(AND(INDEX('Game Records'!$U:$U,$H468)&lt;&gt;"Free Game",INDEX('Game Records'!$U:$U,$H468)&lt;&gt;"Disqualified — Free Game",INDEX('Game Records'!$H:$H,$H468)=""),"Entry Fee; ","")&amp;IF(AND(INDEX('Game Records'!$U:$U,$H468)&lt;&gt;"Subscription",INDEX('Game Records'!$U:$U,$H468)&lt;&gt;"Free Game",INDEX('Game Records'!$U:$U,$H468)&lt;&gt;"Disqualified — Free Game",INDEX('Game Records'!$I:$I,$H468)=""),"Eligible Players; ","")&amp;IF(AND(INDEX('Game Records'!$U:$U,$H468)&lt;&gt;"Subscription",INDEX('Game Records'!$U:$U,$H468)&lt;&gt;"Free Game",INDEX('Game Records'!$U:$U,$H468)&lt;&gt;"Disqualified — Free Game",INDEX('Game Records'!$J:$J,$H468)=""),"Total Players; ","")&amp;IF(AND(LOWER(INDEX('Game Records'!$D:$D,$H468)&amp;"")="finalized",LOWER(INDEX('Game Records'!$L:$L,$H468)&amp;"")&lt;&gt;"yes",INDEX('Game Records'!$U:$U,$H468)&lt;&gt;"Subscription",INDEX('Game Records'!$U:$U,$H468)&lt;&gt;"Free Game",INDEX('Game Records'!$U:$U,$H468)&lt;&gt;"Disqualified — Free Game",INDEX('Game Records'!$K:$K,$H468)=""),"Final Payout; ","")&amp;IF(AND(LOWER(INDEX('Game Records'!$D:$D,$H468)&amp;"")="finalized",INDEX('Game Records'!$U:$U,$H468)&lt;&gt;"Subscription",INDEX('Game Records'!$U:$U,$H468)&lt;&gt;"Free Game",INDEX('Game Records'!$U:$U,$H468)&lt;&gt;"Disqualified — Free Game",OR(INDEX('Game Records'!$L:$L,$H468)="",LOWER(INDEX('Game Records'!$L:$L,$H468)&amp;"")="n/a")),"Disqualified Status; ",""))</f>
        <v/>
      </c>
      <c r="G468" s="25" t="str">
        <f t="array" ref="G468">IF($H468="","",IFERROR(INDEX('Game Records'!$M:$M,$H468),""))</f>
        <v/>
      </c>
      <c r="H468" s="8"/>
    </row>
    <row r="469" ht="24.0" customHeight="1">
      <c r="A469" s="21" t="str">
        <f t="shared" si="1"/>
        <v/>
      </c>
      <c r="B469" s="21" t="str">
        <f t="shared" si="2"/>
        <v/>
      </c>
      <c r="C469" s="25" t="str">
        <f t="array" ref="C469">IF($H469="","",IFERROR(INDEX('Game Records'!$A:$A,$H469),""))</f>
        <v/>
      </c>
      <c r="D469" s="25" t="str">
        <f t="array" ref="D469">IF($H469="","",IFERROR(INDEX('Game Records'!$U:$U,$H469),""))</f>
        <v/>
      </c>
      <c r="E469" s="25" t="str">
        <f t="shared" si="3"/>
        <v/>
      </c>
      <c r="F469" s="25" t="str">
        <f t="array" ref="F469">IF($H469="","",IF(OR(NOT(_xlfn.ISFORMULA(INDEX('Game Records'!$N:$N,$H469))),NOT(_xlfn.ISFORMULA(INDEX('Game Records'!$O:$O,$H469))),NOT(_xlfn.ISFORMULA(INDEX('Game Records'!$P:$P,$H469))),NOT(_xlfn.ISFORMULA(INDEX('Game Records'!$Q:$Q,$H469))),NOT(_xlfn.ISFORMULA(INDEX('Game Records'!$R:$R,$H469))),NOT(_xlfn.ISFORMULA(INDEX('Game Records'!$S:$S,$H469))),NOT(_xlfn.ISFORMULA(INDEX('Game Records'!$T:$T,$H469))),NOT(_xlfn.ISFORMULA(INDEX('Game Records'!$U:$U,$H469))),NOT(_xlfn.ISFORMULA(INDEX('Game Records'!$V:$V,$H469))),NOT(_xlfn.ISFORMULA(INDEX('Game Records'!$W:$W,$H469))),NOT(_xlfn.ISFORMULA(INDEX('Game Records'!$X:$X,$H469))),NOT(_xlfn.ISFORMULA(INDEX('Game Records'!$Y:$Y,$H469))),NOT(_xlfn.ISFORMULA(INDEX('Game Records'!$Z:$Z,$H469)))),"","")&amp;IF(INDEX('Game Records'!$B:$B,$H469)="","Start Date; ","")&amp;IF(INDEX('Game Records'!$C:$C,$H469)="","End Date; ","")&amp;IF(AND(INDEX('Game Records'!$U:$U,$H469)&lt;&gt;"Subscription",INDEX('Game Records'!$U:$U,$H469)&lt;&gt;"Free Game",INDEX('Game Records'!$U:$U,$H469)&lt;&gt;"Disqualified — Free Game",OR(INDEX('Game Records'!$D:$D,$H469)="",LOWER(INDEX('Game Records'!$D:$D,$H469)&amp;"")="n/a")),"Entry Mode; ","")&amp;IF(AND(INDEX('Game Records'!$U:$U,$H469)&lt;&gt;"Subscription",INDEX('Game Records'!$U:$U,$H469)&lt;&gt;"Free Game",INDEX('Game Records'!$U:$U,$H469)&lt;&gt;"Disqualified — Free Game",OR(INDEX('Game Records'!$E:$E,$H469)="",LOWER(INDEX('Game Records'!$E:$E,$H469)&amp;"")="n/a")),"Game Type; ","")&amp;IF(INDEX('Game Records'!$F:$F,$H469)="","Payment Type; ","")&amp;IF(AND(INDEX('Game Records'!$U:$U,$H469)&lt;&gt;"Subscription",INDEX('Game Records'!$U:$U,$H469)&lt;&gt;"Free Game",INDEX('Game Records'!$U:$U,$H469)&lt;&gt;"Disqualified — Free Game",INDEX('Game Records'!$G:$G,$H469)=""),"Gross Pot; ","")&amp;IF(AND(INDEX('Game Records'!$U:$U,$H469)&lt;&gt;"Free Game",INDEX('Game Records'!$U:$U,$H469)&lt;&gt;"Disqualified — Free Game",INDEX('Game Records'!$H:$H,$H469)=""),"Entry Fee; ","")&amp;IF(AND(INDEX('Game Records'!$U:$U,$H469)&lt;&gt;"Subscription",INDEX('Game Records'!$U:$U,$H469)&lt;&gt;"Free Game",INDEX('Game Records'!$U:$U,$H469)&lt;&gt;"Disqualified — Free Game",INDEX('Game Records'!$I:$I,$H469)=""),"Eligible Players; ","")&amp;IF(AND(INDEX('Game Records'!$U:$U,$H469)&lt;&gt;"Subscription",INDEX('Game Records'!$U:$U,$H469)&lt;&gt;"Free Game",INDEX('Game Records'!$U:$U,$H469)&lt;&gt;"Disqualified — Free Game",INDEX('Game Records'!$J:$J,$H469)=""),"Total Players; ","")&amp;IF(AND(LOWER(INDEX('Game Records'!$D:$D,$H469)&amp;"")="finalized",LOWER(INDEX('Game Records'!$L:$L,$H469)&amp;"")&lt;&gt;"yes",INDEX('Game Records'!$U:$U,$H469)&lt;&gt;"Subscription",INDEX('Game Records'!$U:$U,$H469)&lt;&gt;"Free Game",INDEX('Game Records'!$U:$U,$H469)&lt;&gt;"Disqualified — Free Game",INDEX('Game Records'!$K:$K,$H469)=""),"Final Payout; ","")&amp;IF(AND(LOWER(INDEX('Game Records'!$D:$D,$H469)&amp;"")="finalized",INDEX('Game Records'!$U:$U,$H469)&lt;&gt;"Subscription",INDEX('Game Records'!$U:$U,$H469)&lt;&gt;"Free Game",INDEX('Game Records'!$U:$U,$H469)&lt;&gt;"Disqualified — Free Game",OR(INDEX('Game Records'!$L:$L,$H469)="",LOWER(INDEX('Game Records'!$L:$L,$H469)&amp;"")="n/a")),"Disqualified Status; ",""))</f>
        <v/>
      </c>
      <c r="G469" s="25" t="str">
        <f t="array" ref="G469">IF($H469="","",IFERROR(INDEX('Game Records'!$M:$M,$H469),""))</f>
        <v/>
      </c>
      <c r="H469" s="8"/>
    </row>
    <row r="470" ht="24.0" customHeight="1">
      <c r="A470" s="21" t="str">
        <f t="shared" si="1"/>
        <v/>
      </c>
      <c r="B470" s="21" t="str">
        <f t="shared" si="2"/>
        <v/>
      </c>
      <c r="C470" s="25" t="str">
        <f t="array" ref="C470">IF($H470="","",IFERROR(INDEX('Game Records'!$A:$A,$H470),""))</f>
        <v/>
      </c>
      <c r="D470" s="25" t="str">
        <f t="array" ref="D470">IF($H470="","",IFERROR(INDEX('Game Records'!$U:$U,$H470),""))</f>
        <v/>
      </c>
      <c r="E470" s="25" t="str">
        <f t="shared" si="3"/>
        <v/>
      </c>
      <c r="F470" s="25" t="str">
        <f t="array" ref="F470">IF($H470="","",IF(OR(NOT(_xlfn.ISFORMULA(INDEX('Game Records'!$N:$N,$H470))),NOT(_xlfn.ISFORMULA(INDEX('Game Records'!$O:$O,$H470))),NOT(_xlfn.ISFORMULA(INDEX('Game Records'!$P:$P,$H470))),NOT(_xlfn.ISFORMULA(INDEX('Game Records'!$Q:$Q,$H470))),NOT(_xlfn.ISFORMULA(INDEX('Game Records'!$R:$R,$H470))),NOT(_xlfn.ISFORMULA(INDEX('Game Records'!$S:$S,$H470))),NOT(_xlfn.ISFORMULA(INDEX('Game Records'!$T:$T,$H470))),NOT(_xlfn.ISFORMULA(INDEX('Game Records'!$U:$U,$H470))),NOT(_xlfn.ISFORMULA(INDEX('Game Records'!$V:$V,$H470))),NOT(_xlfn.ISFORMULA(INDEX('Game Records'!$W:$W,$H470))),NOT(_xlfn.ISFORMULA(INDEX('Game Records'!$X:$X,$H470))),NOT(_xlfn.ISFORMULA(INDEX('Game Records'!$Y:$Y,$H470))),NOT(_xlfn.ISFORMULA(INDEX('Game Records'!$Z:$Z,$H470)))),"","")&amp;IF(INDEX('Game Records'!$B:$B,$H470)="","Start Date; ","")&amp;IF(INDEX('Game Records'!$C:$C,$H470)="","End Date; ","")&amp;IF(AND(INDEX('Game Records'!$U:$U,$H470)&lt;&gt;"Subscription",INDEX('Game Records'!$U:$U,$H470)&lt;&gt;"Free Game",INDEX('Game Records'!$U:$U,$H470)&lt;&gt;"Disqualified — Free Game",OR(INDEX('Game Records'!$D:$D,$H470)="",LOWER(INDEX('Game Records'!$D:$D,$H470)&amp;"")="n/a")),"Entry Mode; ","")&amp;IF(AND(INDEX('Game Records'!$U:$U,$H470)&lt;&gt;"Subscription",INDEX('Game Records'!$U:$U,$H470)&lt;&gt;"Free Game",INDEX('Game Records'!$U:$U,$H470)&lt;&gt;"Disqualified — Free Game",OR(INDEX('Game Records'!$E:$E,$H470)="",LOWER(INDEX('Game Records'!$E:$E,$H470)&amp;"")="n/a")),"Game Type; ","")&amp;IF(INDEX('Game Records'!$F:$F,$H470)="","Payment Type; ","")&amp;IF(AND(INDEX('Game Records'!$U:$U,$H470)&lt;&gt;"Subscription",INDEX('Game Records'!$U:$U,$H470)&lt;&gt;"Free Game",INDEX('Game Records'!$U:$U,$H470)&lt;&gt;"Disqualified — Free Game",INDEX('Game Records'!$G:$G,$H470)=""),"Gross Pot; ","")&amp;IF(AND(INDEX('Game Records'!$U:$U,$H470)&lt;&gt;"Free Game",INDEX('Game Records'!$U:$U,$H470)&lt;&gt;"Disqualified — Free Game",INDEX('Game Records'!$H:$H,$H470)=""),"Entry Fee; ","")&amp;IF(AND(INDEX('Game Records'!$U:$U,$H470)&lt;&gt;"Subscription",INDEX('Game Records'!$U:$U,$H470)&lt;&gt;"Free Game",INDEX('Game Records'!$U:$U,$H470)&lt;&gt;"Disqualified — Free Game",INDEX('Game Records'!$I:$I,$H470)=""),"Eligible Players; ","")&amp;IF(AND(INDEX('Game Records'!$U:$U,$H470)&lt;&gt;"Subscription",INDEX('Game Records'!$U:$U,$H470)&lt;&gt;"Free Game",INDEX('Game Records'!$U:$U,$H470)&lt;&gt;"Disqualified — Free Game",INDEX('Game Records'!$J:$J,$H470)=""),"Total Players; ","")&amp;IF(AND(LOWER(INDEX('Game Records'!$D:$D,$H470)&amp;"")="finalized",LOWER(INDEX('Game Records'!$L:$L,$H470)&amp;"")&lt;&gt;"yes",INDEX('Game Records'!$U:$U,$H470)&lt;&gt;"Subscription",INDEX('Game Records'!$U:$U,$H470)&lt;&gt;"Free Game",INDEX('Game Records'!$U:$U,$H470)&lt;&gt;"Disqualified — Free Game",INDEX('Game Records'!$K:$K,$H470)=""),"Final Payout; ","")&amp;IF(AND(LOWER(INDEX('Game Records'!$D:$D,$H470)&amp;"")="finalized",INDEX('Game Records'!$U:$U,$H470)&lt;&gt;"Subscription",INDEX('Game Records'!$U:$U,$H470)&lt;&gt;"Free Game",INDEX('Game Records'!$U:$U,$H470)&lt;&gt;"Disqualified — Free Game",OR(INDEX('Game Records'!$L:$L,$H470)="",LOWER(INDEX('Game Records'!$L:$L,$H470)&amp;"")="n/a")),"Disqualified Status; ",""))</f>
        <v/>
      </c>
      <c r="G470" s="25" t="str">
        <f t="array" ref="G470">IF($H470="","",IFERROR(INDEX('Game Records'!$M:$M,$H470),""))</f>
        <v/>
      </c>
      <c r="H470" s="8"/>
    </row>
    <row r="471" ht="24.0" customHeight="1">
      <c r="A471" s="21" t="str">
        <f t="shared" si="1"/>
        <v/>
      </c>
      <c r="B471" s="21" t="str">
        <f t="shared" si="2"/>
        <v/>
      </c>
      <c r="C471" s="25" t="str">
        <f t="array" ref="C471">IF($H471="","",IFERROR(INDEX('Game Records'!$A:$A,$H471),""))</f>
        <v/>
      </c>
      <c r="D471" s="25" t="str">
        <f t="array" ref="D471">IF($H471="","",IFERROR(INDEX('Game Records'!$U:$U,$H471),""))</f>
        <v/>
      </c>
      <c r="E471" s="25" t="str">
        <f t="shared" si="3"/>
        <v/>
      </c>
      <c r="F471" s="25" t="str">
        <f t="array" ref="F471">IF($H471="","",IF(OR(NOT(_xlfn.ISFORMULA(INDEX('Game Records'!$N:$N,$H471))),NOT(_xlfn.ISFORMULA(INDEX('Game Records'!$O:$O,$H471))),NOT(_xlfn.ISFORMULA(INDEX('Game Records'!$P:$P,$H471))),NOT(_xlfn.ISFORMULA(INDEX('Game Records'!$Q:$Q,$H471))),NOT(_xlfn.ISFORMULA(INDEX('Game Records'!$R:$R,$H471))),NOT(_xlfn.ISFORMULA(INDEX('Game Records'!$S:$S,$H471))),NOT(_xlfn.ISFORMULA(INDEX('Game Records'!$T:$T,$H471))),NOT(_xlfn.ISFORMULA(INDEX('Game Records'!$U:$U,$H471))),NOT(_xlfn.ISFORMULA(INDEX('Game Records'!$V:$V,$H471))),NOT(_xlfn.ISFORMULA(INDEX('Game Records'!$W:$W,$H471))),NOT(_xlfn.ISFORMULA(INDEX('Game Records'!$X:$X,$H471))),NOT(_xlfn.ISFORMULA(INDEX('Game Records'!$Y:$Y,$H471))),NOT(_xlfn.ISFORMULA(INDEX('Game Records'!$Z:$Z,$H471)))),"","")&amp;IF(INDEX('Game Records'!$B:$B,$H471)="","Start Date; ","")&amp;IF(INDEX('Game Records'!$C:$C,$H471)="","End Date; ","")&amp;IF(AND(INDEX('Game Records'!$U:$U,$H471)&lt;&gt;"Subscription",INDEX('Game Records'!$U:$U,$H471)&lt;&gt;"Free Game",INDEX('Game Records'!$U:$U,$H471)&lt;&gt;"Disqualified — Free Game",OR(INDEX('Game Records'!$D:$D,$H471)="",LOWER(INDEX('Game Records'!$D:$D,$H471)&amp;"")="n/a")),"Entry Mode; ","")&amp;IF(AND(INDEX('Game Records'!$U:$U,$H471)&lt;&gt;"Subscription",INDEX('Game Records'!$U:$U,$H471)&lt;&gt;"Free Game",INDEX('Game Records'!$U:$U,$H471)&lt;&gt;"Disqualified — Free Game",OR(INDEX('Game Records'!$E:$E,$H471)="",LOWER(INDEX('Game Records'!$E:$E,$H471)&amp;"")="n/a")),"Game Type; ","")&amp;IF(INDEX('Game Records'!$F:$F,$H471)="","Payment Type; ","")&amp;IF(AND(INDEX('Game Records'!$U:$U,$H471)&lt;&gt;"Subscription",INDEX('Game Records'!$U:$U,$H471)&lt;&gt;"Free Game",INDEX('Game Records'!$U:$U,$H471)&lt;&gt;"Disqualified — Free Game",INDEX('Game Records'!$G:$G,$H471)=""),"Gross Pot; ","")&amp;IF(AND(INDEX('Game Records'!$U:$U,$H471)&lt;&gt;"Free Game",INDEX('Game Records'!$U:$U,$H471)&lt;&gt;"Disqualified — Free Game",INDEX('Game Records'!$H:$H,$H471)=""),"Entry Fee; ","")&amp;IF(AND(INDEX('Game Records'!$U:$U,$H471)&lt;&gt;"Subscription",INDEX('Game Records'!$U:$U,$H471)&lt;&gt;"Free Game",INDEX('Game Records'!$U:$U,$H471)&lt;&gt;"Disqualified — Free Game",INDEX('Game Records'!$I:$I,$H471)=""),"Eligible Players; ","")&amp;IF(AND(INDEX('Game Records'!$U:$U,$H471)&lt;&gt;"Subscription",INDEX('Game Records'!$U:$U,$H471)&lt;&gt;"Free Game",INDEX('Game Records'!$U:$U,$H471)&lt;&gt;"Disqualified — Free Game",INDEX('Game Records'!$J:$J,$H471)=""),"Total Players; ","")&amp;IF(AND(LOWER(INDEX('Game Records'!$D:$D,$H471)&amp;"")="finalized",LOWER(INDEX('Game Records'!$L:$L,$H471)&amp;"")&lt;&gt;"yes",INDEX('Game Records'!$U:$U,$H471)&lt;&gt;"Subscription",INDEX('Game Records'!$U:$U,$H471)&lt;&gt;"Free Game",INDEX('Game Records'!$U:$U,$H471)&lt;&gt;"Disqualified — Free Game",INDEX('Game Records'!$K:$K,$H471)=""),"Final Payout; ","")&amp;IF(AND(LOWER(INDEX('Game Records'!$D:$D,$H471)&amp;"")="finalized",INDEX('Game Records'!$U:$U,$H471)&lt;&gt;"Subscription",INDEX('Game Records'!$U:$U,$H471)&lt;&gt;"Free Game",INDEX('Game Records'!$U:$U,$H471)&lt;&gt;"Disqualified — Free Game",OR(INDEX('Game Records'!$L:$L,$H471)="",LOWER(INDEX('Game Records'!$L:$L,$H471)&amp;"")="n/a")),"Disqualified Status; ",""))</f>
        <v/>
      </c>
      <c r="G471" s="25" t="str">
        <f t="array" ref="G471">IF($H471="","",IFERROR(INDEX('Game Records'!$M:$M,$H471),""))</f>
        <v/>
      </c>
      <c r="H471" s="8"/>
    </row>
    <row r="472" ht="24.0" customHeight="1">
      <c r="A472" s="21" t="str">
        <f t="shared" si="1"/>
        <v/>
      </c>
      <c r="B472" s="21" t="str">
        <f t="shared" si="2"/>
        <v/>
      </c>
      <c r="C472" s="25" t="str">
        <f t="array" ref="C472">IF($H472="","",IFERROR(INDEX('Game Records'!$A:$A,$H472),""))</f>
        <v/>
      </c>
      <c r="D472" s="25" t="str">
        <f t="array" ref="D472">IF($H472="","",IFERROR(INDEX('Game Records'!$U:$U,$H472),""))</f>
        <v/>
      </c>
      <c r="E472" s="25" t="str">
        <f t="shared" si="3"/>
        <v/>
      </c>
      <c r="F472" s="25" t="str">
        <f t="array" ref="F472">IF($H472="","",IF(OR(NOT(_xlfn.ISFORMULA(INDEX('Game Records'!$N:$N,$H472))),NOT(_xlfn.ISFORMULA(INDEX('Game Records'!$O:$O,$H472))),NOT(_xlfn.ISFORMULA(INDEX('Game Records'!$P:$P,$H472))),NOT(_xlfn.ISFORMULA(INDEX('Game Records'!$Q:$Q,$H472))),NOT(_xlfn.ISFORMULA(INDEX('Game Records'!$R:$R,$H472))),NOT(_xlfn.ISFORMULA(INDEX('Game Records'!$S:$S,$H472))),NOT(_xlfn.ISFORMULA(INDEX('Game Records'!$T:$T,$H472))),NOT(_xlfn.ISFORMULA(INDEX('Game Records'!$U:$U,$H472))),NOT(_xlfn.ISFORMULA(INDEX('Game Records'!$V:$V,$H472))),NOT(_xlfn.ISFORMULA(INDEX('Game Records'!$W:$W,$H472))),NOT(_xlfn.ISFORMULA(INDEX('Game Records'!$X:$X,$H472))),NOT(_xlfn.ISFORMULA(INDEX('Game Records'!$Y:$Y,$H472))),NOT(_xlfn.ISFORMULA(INDEX('Game Records'!$Z:$Z,$H472)))),"","")&amp;IF(INDEX('Game Records'!$B:$B,$H472)="","Start Date; ","")&amp;IF(INDEX('Game Records'!$C:$C,$H472)="","End Date; ","")&amp;IF(AND(INDEX('Game Records'!$U:$U,$H472)&lt;&gt;"Subscription",INDEX('Game Records'!$U:$U,$H472)&lt;&gt;"Free Game",INDEX('Game Records'!$U:$U,$H472)&lt;&gt;"Disqualified — Free Game",OR(INDEX('Game Records'!$D:$D,$H472)="",LOWER(INDEX('Game Records'!$D:$D,$H472)&amp;"")="n/a")),"Entry Mode; ","")&amp;IF(AND(INDEX('Game Records'!$U:$U,$H472)&lt;&gt;"Subscription",INDEX('Game Records'!$U:$U,$H472)&lt;&gt;"Free Game",INDEX('Game Records'!$U:$U,$H472)&lt;&gt;"Disqualified — Free Game",OR(INDEX('Game Records'!$E:$E,$H472)="",LOWER(INDEX('Game Records'!$E:$E,$H472)&amp;"")="n/a")),"Game Type; ","")&amp;IF(INDEX('Game Records'!$F:$F,$H472)="","Payment Type; ","")&amp;IF(AND(INDEX('Game Records'!$U:$U,$H472)&lt;&gt;"Subscription",INDEX('Game Records'!$U:$U,$H472)&lt;&gt;"Free Game",INDEX('Game Records'!$U:$U,$H472)&lt;&gt;"Disqualified — Free Game",INDEX('Game Records'!$G:$G,$H472)=""),"Gross Pot; ","")&amp;IF(AND(INDEX('Game Records'!$U:$U,$H472)&lt;&gt;"Free Game",INDEX('Game Records'!$U:$U,$H472)&lt;&gt;"Disqualified — Free Game",INDEX('Game Records'!$H:$H,$H472)=""),"Entry Fee; ","")&amp;IF(AND(INDEX('Game Records'!$U:$U,$H472)&lt;&gt;"Subscription",INDEX('Game Records'!$U:$U,$H472)&lt;&gt;"Free Game",INDEX('Game Records'!$U:$U,$H472)&lt;&gt;"Disqualified — Free Game",INDEX('Game Records'!$I:$I,$H472)=""),"Eligible Players; ","")&amp;IF(AND(INDEX('Game Records'!$U:$U,$H472)&lt;&gt;"Subscription",INDEX('Game Records'!$U:$U,$H472)&lt;&gt;"Free Game",INDEX('Game Records'!$U:$U,$H472)&lt;&gt;"Disqualified — Free Game",INDEX('Game Records'!$J:$J,$H472)=""),"Total Players; ","")&amp;IF(AND(LOWER(INDEX('Game Records'!$D:$D,$H472)&amp;"")="finalized",LOWER(INDEX('Game Records'!$L:$L,$H472)&amp;"")&lt;&gt;"yes",INDEX('Game Records'!$U:$U,$H472)&lt;&gt;"Subscription",INDEX('Game Records'!$U:$U,$H472)&lt;&gt;"Free Game",INDEX('Game Records'!$U:$U,$H472)&lt;&gt;"Disqualified — Free Game",INDEX('Game Records'!$K:$K,$H472)=""),"Final Payout; ","")&amp;IF(AND(LOWER(INDEX('Game Records'!$D:$D,$H472)&amp;"")="finalized",INDEX('Game Records'!$U:$U,$H472)&lt;&gt;"Subscription",INDEX('Game Records'!$U:$U,$H472)&lt;&gt;"Free Game",INDEX('Game Records'!$U:$U,$H472)&lt;&gt;"Disqualified — Free Game",OR(INDEX('Game Records'!$L:$L,$H472)="",LOWER(INDEX('Game Records'!$L:$L,$H472)&amp;"")="n/a")),"Disqualified Status; ",""))</f>
        <v/>
      </c>
      <c r="G472" s="25" t="str">
        <f t="array" ref="G472">IF($H472="","",IFERROR(INDEX('Game Records'!$M:$M,$H472),""))</f>
        <v/>
      </c>
      <c r="H472" s="8"/>
    </row>
    <row r="473" ht="24.0" customHeight="1">
      <c r="A473" s="21" t="str">
        <f t="shared" si="1"/>
        <v/>
      </c>
      <c r="B473" s="21" t="str">
        <f t="shared" si="2"/>
        <v/>
      </c>
      <c r="C473" s="25" t="str">
        <f t="array" ref="C473">IF($H473="","",IFERROR(INDEX('Game Records'!$A:$A,$H473),""))</f>
        <v/>
      </c>
      <c r="D473" s="25" t="str">
        <f t="array" ref="D473">IF($H473="","",IFERROR(INDEX('Game Records'!$U:$U,$H473),""))</f>
        <v/>
      </c>
      <c r="E473" s="25" t="str">
        <f t="shared" si="3"/>
        <v/>
      </c>
      <c r="F473" s="25" t="str">
        <f t="array" ref="F473">IF($H473="","",IF(OR(NOT(_xlfn.ISFORMULA(INDEX('Game Records'!$N:$N,$H473))),NOT(_xlfn.ISFORMULA(INDEX('Game Records'!$O:$O,$H473))),NOT(_xlfn.ISFORMULA(INDEX('Game Records'!$P:$P,$H473))),NOT(_xlfn.ISFORMULA(INDEX('Game Records'!$Q:$Q,$H473))),NOT(_xlfn.ISFORMULA(INDEX('Game Records'!$R:$R,$H473))),NOT(_xlfn.ISFORMULA(INDEX('Game Records'!$S:$S,$H473))),NOT(_xlfn.ISFORMULA(INDEX('Game Records'!$T:$T,$H473))),NOT(_xlfn.ISFORMULA(INDEX('Game Records'!$U:$U,$H473))),NOT(_xlfn.ISFORMULA(INDEX('Game Records'!$V:$V,$H473))),NOT(_xlfn.ISFORMULA(INDEX('Game Records'!$W:$W,$H473))),NOT(_xlfn.ISFORMULA(INDEX('Game Records'!$X:$X,$H473))),NOT(_xlfn.ISFORMULA(INDEX('Game Records'!$Y:$Y,$H473))),NOT(_xlfn.ISFORMULA(INDEX('Game Records'!$Z:$Z,$H473)))),"","")&amp;IF(INDEX('Game Records'!$B:$B,$H473)="","Start Date; ","")&amp;IF(INDEX('Game Records'!$C:$C,$H473)="","End Date; ","")&amp;IF(AND(INDEX('Game Records'!$U:$U,$H473)&lt;&gt;"Subscription",INDEX('Game Records'!$U:$U,$H473)&lt;&gt;"Free Game",INDEX('Game Records'!$U:$U,$H473)&lt;&gt;"Disqualified — Free Game",OR(INDEX('Game Records'!$D:$D,$H473)="",LOWER(INDEX('Game Records'!$D:$D,$H473)&amp;"")="n/a")),"Entry Mode; ","")&amp;IF(AND(INDEX('Game Records'!$U:$U,$H473)&lt;&gt;"Subscription",INDEX('Game Records'!$U:$U,$H473)&lt;&gt;"Free Game",INDEX('Game Records'!$U:$U,$H473)&lt;&gt;"Disqualified — Free Game",OR(INDEX('Game Records'!$E:$E,$H473)="",LOWER(INDEX('Game Records'!$E:$E,$H473)&amp;"")="n/a")),"Game Type; ","")&amp;IF(INDEX('Game Records'!$F:$F,$H473)="","Payment Type; ","")&amp;IF(AND(INDEX('Game Records'!$U:$U,$H473)&lt;&gt;"Subscription",INDEX('Game Records'!$U:$U,$H473)&lt;&gt;"Free Game",INDEX('Game Records'!$U:$U,$H473)&lt;&gt;"Disqualified — Free Game",INDEX('Game Records'!$G:$G,$H473)=""),"Gross Pot; ","")&amp;IF(AND(INDEX('Game Records'!$U:$U,$H473)&lt;&gt;"Free Game",INDEX('Game Records'!$U:$U,$H473)&lt;&gt;"Disqualified — Free Game",INDEX('Game Records'!$H:$H,$H473)=""),"Entry Fee; ","")&amp;IF(AND(INDEX('Game Records'!$U:$U,$H473)&lt;&gt;"Subscription",INDEX('Game Records'!$U:$U,$H473)&lt;&gt;"Free Game",INDEX('Game Records'!$U:$U,$H473)&lt;&gt;"Disqualified — Free Game",INDEX('Game Records'!$I:$I,$H473)=""),"Eligible Players; ","")&amp;IF(AND(INDEX('Game Records'!$U:$U,$H473)&lt;&gt;"Subscription",INDEX('Game Records'!$U:$U,$H473)&lt;&gt;"Free Game",INDEX('Game Records'!$U:$U,$H473)&lt;&gt;"Disqualified — Free Game",INDEX('Game Records'!$J:$J,$H473)=""),"Total Players; ","")&amp;IF(AND(LOWER(INDEX('Game Records'!$D:$D,$H473)&amp;"")="finalized",LOWER(INDEX('Game Records'!$L:$L,$H473)&amp;"")&lt;&gt;"yes",INDEX('Game Records'!$U:$U,$H473)&lt;&gt;"Subscription",INDEX('Game Records'!$U:$U,$H473)&lt;&gt;"Free Game",INDEX('Game Records'!$U:$U,$H473)&lt;&gt;"Disqualified — Free Game",INDEX('Game Records'!$K:$K,$H473)=""),"Final Payout; ","")&amp;IF(AND(LOWER(INDEX('Game Records'!$D:$D,$H473)&amp;"")="finalized",INDEX('Game Records'!$U:$U,$H473)&lt;&gt;"Subscription",INDEX('Game Records'!$U:$U,$H473)&lt;&gt;"Free Game",INDEX('Game Records'!$U:$U,$H473)&lt;&gt;"Disqualified — Free Game",OR(INDEX('Game Records'!$L:$L,$H473)="",LOWER(INDEX('Game Records'!$L:$L,$H473)&amp;"")="n/a")),"Disqualified Status; ",""))</f>
        <v/>
      </c>
      <c r="G473" s="25" t="str">
        <f t="array" ref="G473">IF($H473="","",IFERROR(INDEX('Game Records'!$M:$M,$H473),""))</f>
        <v/>
      </c>
      <c r="H473" s="8"/>
    </row>
    <row r="474" ht="24.0" customHeight="1">
      <c r="A474" s="21" t="str">
        <f t="shared" si="1"/>
        <v/>
      </c>
      <c r="B474" s="21" t="str">
        <f t="shared" si="2"/>
        <v/>
      </c>
      <c r="C474" s="25" t="str">
        <f t="array" ref="C474">IF($H474="","",IFERROR(INDEX('Game Records'!$A:$A,$H474),""))</f>
        <v/>
      </c>
      <c r="D474" s="25" t="str">
        <f t="array" ref="D474">IF($H474="","",IFERROR(INDEX('Game Records'!$U:$U,$H474),""))</f>
        <v/>
      </c>
      <c r="E474" s="25" t="str">
        <f t="shared" si="3"/>
        <v/>
      </c>
      <c r="F474" s="25" t="str">
        <f t="array" ref="F474">IF($H474="","",IF(OR(NOT(_xlfn.ISFORMULA(INDEX('Game Records'!$N:$N,$H474))),NOT(_xlfn.ISFORMULA(INDEX('Game Records'!$O:$O,$H474))),NOT(_xlfn.ISFORMULA(INDEX('Game Records'!$P:$P,$H474))),NOT(_xlfn.ISFORMULA(INDEX('Game Records'!$Q:$Q,$H474))),NOT(_xlfn.ISFORMULA(INDEX('Game Records'!$R:$R,$H474))),NOT(_xlfn.ISFORMULA(INDEX('Game Records'!$S:$S,$H474))),NOT(_xlfn.ISFORMULA(INDEX('Game Records'!$T:$T,$H474))),NOT(_xlfn.ISFORMULA(INDEX('Game Records'!$U:$U,$H474))),NOT(_xlfn.ISFORMULA(INDEX('Game Records'!$V:$V,$H474))),NOT(_xlfn.ISFORMULA(INDEX('Game Records'!$W:$W,$H474))),NOT(_xlfn.ISFORMULA(INDEX('Game Records'!$X:$X,$H474))),NOT(_xlfn.ISFORMULA(INDEX('Game Records'!$Y:$Y,$H474))),NOT(_xlfn.ISFORMULA(INDEX('Game Records'!$Z:$Z,$H474)))),"","")&amp;IF(INDEX('Game Records'!$B:$B,$H474)="","Start Date; ","")&amp;IF(INDEX('Game Records'!$C:$C,$H474)="","End Date; ","")&amp;IF(AND(INDEX('Game Records'!$U:$U,$H474)&lt;&gt;"Subscription",INDEX('Game Records'!$U:$U,$H474)&lt;&gt;"Free Game",INDEX('Game Records'!$U:$U,$H474)&lt;&gt;"Disqualified — Free Game",OR(INDEX('Game Records'!$D:$D,$H474)="",LOWER(INDEX('Game Records'!$D:$D,$H474)&amp;"")="n/a")),"Entry Mode; ","")&amp;IF(AND(INDEX('Game Records'!$U:$U,$H474)&lt;&gt;"Subscription",INDEX('Game Records'!$U:$U,$H474)&lt;&gt;"Free Game",INDEX('Game Records'!$U:$U,$H474)&lt;&gt;"Disqualified — Free Game",OR(INDEX('Game Records'!$E:$E,$H474)="",LOWER(INDEX('Game Records'!$E:$E,$H474)&amp;"")="n/a")),"Game Type; ","")&amp;IF(INDEX('Game Records'!$F:$F,$H474)="","Payment Type; ","")&amp;IF(AND(INDEX('Game Records'!$U:$U,$H474)&lt;&gt;"Subscription",INDEX('Game Records'!$U:$U,$H474)&lt;&gt;"Free Game",INDEX('Game Records'!$U:$U,$H474)&lt;&gt;"Disqualified — Free Game",INDEX('Game Records'!$G:$G,$H474)=""),"Gross Pot; ","")&amp;IF(AND(INDEX('Game Records'!$U:$U,$H474)&lt;&gt;"Free Game",INDEX('Game Records'!$U:$U,$H474)&lt;&gt;"Disqualified — Free Game",INDEX('Game Records'!$H:$H,$H474)=""),"Entry Fee; ","")&amp;IF(AND(INDEX('Game Records'!$U:$U,$H474)&lt;&gt;"Subscription",INDEX('Game Records'!$U:$U,$H474)&lt;&gt;"Free Game",INDEX('Game Records'!$U:$U,$H474)&lt;&gt;"Disqualified — Free Game",INDEX('Game Records'!$I:$I,$H474)=""),"Eligible Players; ","")&amp;IF(AND(INDEX('Game Records'!$U:$U,$H474)&lt;&gt;"Subscription",INDEX('Game Records'!$U:$U,$H474)&lt;&gt;"Free Game",INDEX('Game Records'!$U:$U,$H474)&lt;&gt;"Disqualified — Free Game",INDEX('Game Records'!$J:$J,$H474)=""),"Total Players; ","")&amp;IF(AND(LOWER(INDEX('Game Records'!$D:$D,$H474)&amp;"")="finalized",LOWER(INDEX('Game Records'!$L:$L,$H474)&amp;"")&lt;&gt;"yes",INDEX('Game Records'!$U:$U,$H474)&lt;&gt;"Subscription",INDEX('Game Records'!$U:$U,$H474)&lt;&gt;"Free Game",INDEX('Game Records'!$U:$U,$H474)&lt;&gt;"Disqualified — Free Game",INDEX('Game Records'!$K:$K,$H474)=""),"Final Payout; ","")&amp;IF(AND(LOWER(INDEX('Game Records'!$D:$D,$H474)&amp;"")="finalized",INDEX('Game Records'!$U:$U,$H474)&lt;&gt;"Subscription",INDEX('Game Records'!$U:$U,$H474)&lt;&gt;"Free Game",INDEX('Game Records'!$U:$U,$H474)&lt;&gt;"Disqualified — Free Game",OR(INDEX('Game Records'!$L:$L,$H474)="",LOWER(INDEX('Game Records'!$L:$L,$H474)&amp;"")="n/a")),"Disqualified Status; ",""))</f>
        <v/>
      </c>
      <c r="G474" s="25" t="str">
        <f t="array" ref="G474">IF($H474="","",IFERROR(INDEX('Game Records'!$M:$M,$H474),""))</f>
        <v/>
      </c>
      <c r="H474" s="8"/>
    </row>
    <row r="475" ht="24.0" customHeight="1">
      <c r="A475" s="21" t="str">
        <f t="shared" si="1"/>
        <v/>
      </c>
      <c r="B475" s="21" t="str">
        <f t="shared" si="2"/>
        <v/>
      </c>
      <c r="C475" s="25" t="str">
        <f t="array" ref="C475">IF($H475="","",IFERROR(INDEX('Game Records'!$A:$A,$H475),""))</f>
        <v/>
      </c>
      <c r="D475" s="25" t="str">
        <f t="array" ref="D475">IF($H475="","",IFERROR(INDEX('Game Records'!$U:$U,$H475),""))</f>
        <v/>
      </c>
      <c r="E475" s="25" t="str">
        <f t="shared" si="3"/>
        <v/>
      </c>
      <c r="F475" s="25" t="str">
        <f t="array" ref="F475">IF($H475="","",IF(OR(NOT(_xlfn.ISFORMULA(INDEX('Game Records'!$N:$N,$H475))),NOT(_xlfn.ISFORMULA(INDEX('Game Records'!$O:$O,$H475))),NOT(_xlfn.ISFORMULA(INDEX('Game Records'!$P:$P,$H475))),NOT(_xlfn.ISFORMULA(INDEX('Game Records'!$Q:$Q,$H475))),NOT(_xlfn.ISFORMULA(INDEX('Game Records'!$R:$R,$H475))),NOT(_xlfn.ISFORMULA(INDEX('Game Records'!$S:$S,$H475))),NOT(_xlfn.ISFORMULA(INDEX('Game Records'!$T:$T,$H475))),NOT(_xlfn.ISFORMULA(INDEX('Game Records'!$U:$U,$H475))),NOT(_xlfn.ISFORMULA(INDEX('Game Records'!$V:$V,$H475))),NOT(_xlfn.ISFORMULA(INDEX('Game Records'!$W:$W,$H475))),NOT(_xlfn.ISFORMULA(INDEX('Game Records'!$X:$X,$H475))),NOT(_xlfn.ISFORMULA(INDEX('Game Records'!$Y:$Y,$H475))),NOT(_xlfn.ISFORMULA(INDEX('Game Records'!$Z:$Z,$H475)))),"","")&amp;IF(INDEX('Game Records'!$B:$B,$H475)="","Start Date; ","")&amp;IF(INDEX('Game Records'!$C:$C,$H475)="","End Date; ","")&amp;IF(AND(INDEX('Game Records'!$U:$U,$H475)&lt;&gt;"Subscription",INDEX('Game Records'!$U:$U,$H475)&lt;&gt;"Free Game",INDEX('Game Records'!$U:$U,$H475)&lt;&gt;"Disqualified — Free Game",OR(INDEX('Game Records'!$D:$D,$H475)="",LOWER(INDEX('Game Records'!$D:$D,$H475)&amp;"")="n/a")),"Entry Mode; ","")&amp;IF(AND(INDEX('Game Records'!$U:$U,$H475)&lt;&gt;"Subscription",INDEX('Game Records'!$U:$U,$H475)&lt;&gt;"Free Game",INDEX('Game Records'!$U:$U,$H475)&lt;&gt;"Disqualified — Free Game",OR(INDEX('Game Records'!$E:$E,$H475)="",LOWER(INDEX('Game Records'!$E:$E,$H475)&amp;"")="n/a")),"Game Type; ","")&amp;IF(INDEX('Game Records'!$F:$F,$H475)="","Payment Type; ","")&amp;IF(AND(INDEX('Game Records'!$U:$U,$H475)&lt;&gt;"Subscription",INDEX('Game Records'!$U:$U,$H475)&lt;&gt;"Free Game",INDEX('Game Records'!$U:$U,$H475)&lt;&gt;"Disqualified — Free Game",INDEX('Game Records'!$G:$G,$H475)=""),"Gross Pot; ","")&amp;IF(AND(INDEX('Game Records'!$U:$U,$H475)&lt;&gt;"Free Game",INDEX('Game Records'!$U:$U,$H475)&lt;&gt;"Disqualified — Free Game",INDEX('Game Records'!$H:$H,$H475)=""),"Entry Fee; ","")&amp;IF(AND(INDEX('Game Records'!$U:$U,$H475)&lt;&gt;"Subscription",INDEX('Game Records'!$U:$U,$H475)&lt;&gt;"Free Game",INDEX('Game Records'!$U:$U,$H475)&lt;&gt;"Disqualified — Free Game",INDEX('Game Records'!$I:$I,$H475)=""),"Eligible Players; ","")&amp;IF(AND(INDEX('Game Records'!$U:$U,$H475)&lt;&gt;"Subscription",INDEX('Game Records'!$U:$U,$H475)&lt;&gt;"Free Game",INDEX('Game Records'!$U:$U,$H475)&lt;&gt;"Disqualified — Free Game",INDEX('Game Records'!$J:$J,$H475)=""),"Total Players; ","")&amp;IF(AND(LOWER(INDEX('Game Records'!$D:$D,$H475)&amp;"")="finalized",LOWER(INDEX('Game Records'!$L:$L,$H475)&amp;"")&lt;&gt;"yes",INDEX('Game Records'!$U:$U,$H475)&lt;&gt;"Subscription",INDEX('Game Records'!$U:$U,$H475)&lt;&gt;"Free Game",INDEX('Game Records'!$U:$U,$H475)&lt;&gt;"Disqualified — Free Game",INDEX('Game Records'!$K:$K,$H475)=""),"Final Payout; ","")&amp;IF(AND(LOWER(INDEX('Game Records'!$D:$D,$H475)&amp;"")="finalized",INDEX('Game Records'!$U:$U,$H475)&lt;&gt;"Subscription",INDEX('Game Records'!$U:$U,$H475)&lt;&gt;"Free Game",INDEX('Game Records'!$U:$U,$H475)&lt;&gt;"Disqualified — Free Game",OR(INDEX('Game Records'!$L:$L,$H475)="",LOWER(INDEX('Game Records'!$L:$L,$H475)&amp;"")="n/a")),"Disqualified Status; ",""))</f>
        <v/>
      </c>
      <c r="G475" s="25" t="str">
        <f t="array" ref="G475">IF($H475="","",IFERROR(INDEX('Game Records'!$M:$M,$H475),""))</f>
        <v/>
      </c>
      <c r="H475" s="8"/>
    </row>
    <row r="476" ht="24.0" customHeight="1">
      <c r="A476" s="21" t="str">
        <f t="shared" si="1"/>
        <v/>
      </c>
      <c r="B476" s="21" t="str">
        <f t="shared" si="2"/>
        <v/>
      </c>
      <c r="C476" s="25" t="str">
        <f t="array" ref="C476">IF($H476="","",IFERROR(INDEX('Game Records'!$A:$A,$H476),""))</f>
        <v/>
      </c>
      <c r="D476" s="25" t="str">
        <f t="array" ref="D476">IF($H476="","",IFERROR(INDEX('Game Records'!$U:$U,$H476),""))</f>
        <v/>
      </c>
      <c r="E476" s="25" t="str">
        <f t="shared" si="3"/>
        <v/>
      </c>
      <c r="F476" s="25" t="str">
        <f t="array" ref="F476">IF($H476="","",IF(OR(NOT(_xlfn.ISFORMULA(INDEX('Game Records'!$N:$N,$H476))),NOT(_xlfn.ISFORMULA(INDEX('Game Records'!$O:$O,$H476))),NOT(_xlfn.ISFORMULA(INDEX('Game Records'!$P:$P,$H476))),NOT(_xlfn.ISFORMULA(INDEX('Game Records'!$Q:$Q,$H476))),NOT(_xlfn.ISFORMULA(INDEX('Game Records'!$R:$R,$H476))),NOT(_xlfn.ISFORMULA(INDEX('Game Records'!$S:$S,$H476))),NOT(_xlfn.ISFORMULA(INDEX('Game Records'!$T:$T,$H476))),NOT(_xlfn.ISFORMULA(INDEX('Game Records'!$U:$U,$H476))),NOT(_xlfn.ISFORMULA(INDEX('Game Records'!$V:$V,$H476))),NOT(_xlfn.ISFORMULA(INDEX('Game Records'!$W:$W,$H476))),NOT(_xlfn.ISFORMULA(INDEX('Game Records'!$X:$X,$H476))),NOT(_xlfn.ISFORMULA(INDEX('Game Records'!$Y:$Y,$H476))),NOT(_xlfn.ISFORMULA(INDEX('Game Records'!$Z:$Z,$H476)))),"","")&amp;IF(INDEX('Game Records'!$B:$B,$H476)="","Start Date; ","")&amp;IF(INDEX('Game Records'!$C:$C,$H476)="","End Date; ","")&amp;IF(AND(INDEX('Game Records'!$U:$U,$H476)&lt;&gt;"Subscription",INDEX('Game Records'!$U:$U,$H476)&lt;&gt;"Free Game",INDEX('Game Records'!$U:$U,$H476)&lt;&gt;"Disqualified — Free Game",OR(INDEX('Game Records'!$D:$D,$H476)="",LOWER(INDEX('Game Records'!$D:$D,$H476)&amp;"")="n/a")),"Entry Mode; ","")&amp;IF(AND(INDEX('Game Records'!$U:$U,$H476)&lt;&gt;"Subscription",INDEX('Game Records'!$U:$U,$H476)&lt;&gt;"Free Game",INDEX('Game Records'!$U:$U,$H476)&lt;&gt;"Disqualified — Free Game",OR(INDEX('Game Records'!$E:$E,$H476)="",LOWER(INDEX('Game Records'!$E:$E,$H476)&amp;"")="n/a")),"Game Type; ","")&amp;IF(INDEX('Game Records'!$F:$F,$H476)="","Payment Type; ","")&amp;IF(AND(INDEX('Game Records'!$U:$U,$H476)&lt;&gt;"Subscription",INDEX('Game Records'!$U:$U,$H476)&lt;&gt;"Free Game",INDEX('Game Records'!$U:$U,$H476)&lt;&gt;"Disqualified — Free Game",INDEX('Game Records'!$G:$G,$H476)=""),"Gross Pot; ","")&amp;IF(AND(INDEX('Game Records'!$U:$U,$H476)&lt;&gt;"Free Game",INDEX('Game Records'!$U:$U,$H476)&lt;&gt;"Disqualified — Free Game",INDEX('Game Records'!$H:$H,$H476)=""),"Entry Fee; ","")&amp;IF(AND(INDEX('Game Records'!$U:$U,$H476)&lt;&gt;"Subscription",INDEX('Game Records'!$U:$U,$H476)&lt;&gt;"Free Game",INDEX('Game Records'!$U:$U,$H476)&lt;&gt;"Disqualified — Free Game",INDEX('Game Records'!$I:$I,$H476)=""),"Eligible Players; ","")&amp;IF(AND(INDEX('Game Records'!$U:$U,$H476)&lt;&gt;"Subscription",INDEX('Game Records'!$U:$U,$H476)&lt;&gt;"Free Game",INDEX('Game Records'!$U:$U,$H476)&lt;&gt;"Disqualified — Free Game",INDEX('Game Records'!$J:$J,$H476)=""),"Total Players; ","")&amp;IF(AND(LOWER(INDEX('Game Records'!$D:$D,$H476)&amp;"")="finalized",LOWER(INDEX('Game Records'!$L:$L,$H476)&amp;"")&lt;&gt;"yes",INDEX('Game Records'!$U:$U,$H476)&lt;&gt;"Subscription",INDEX('Game Records'!$U:$U,$H476)&lt;&gt;"Free Game",INDEX('Game Records'!$U:$U,$H476)&lt;&gt;"Disqualified — Free Game",INDEX('Game Records'!$K:$K,$H476)=""),"Final Payout; ","")&amp;IF(AND(LOWER(INDEX('Game Records'!$D:$D,$H476)&amp;"")="finalized",INDEX('Game Records'!$U:$U,$H476)&lt;&gt;"Subscription",INDEX('Game Records'!$U:$U,$H476)&lt;&gt;"Free Game",INDEX('Game Records'!$U:$U,$H476)&lt;&gt;"Disqualified — Free Game",OR(INDEX('Game Records'!$L:$L,$H476)="",LOWER(INDEX('Game Records'!$L:$L,$H476)&amp;"")="n/a")),"Disqualified Status; ",""))</f>
        <v/>
      </c>
      <c r="G476" s="25" t="str">
        <f t="array" ref="G476">IF($H476="","",IFERROR(INDEX('Game Records'!$M:$M,$H476),""))</f>
        <v/>
      </c>
      <c r="H476" s="8"/>
    </row>
    <row r="477" ht="24.0" customHeight="1">
      <c r="A477" s="21" t="str">
        <f t="shared" si="1"/>
        <v/>
      </c>
      <c r="B477" s="21" t="str">
        <f t="shared" si="2"/>
        <v/>
      </c>
      <c r="C477" s="25" t="str">
        <f t="array" ref="C477">IF($H477="","",IFERROR(INDEX('Game Records'!$A:$A,$H477),""))</f>
        <v/>
      </c>
      <c r="D477" s="25" t="str">
        <f t="array" ref="D477">IF($H477="","",IFERROR(INDEX('Game Records'!$U:$U,$H477),""))</f>
        <v/>
      </c>
      <c r="E477" s="25" t="str">
        <f t="shared" si="3"/>
        <v/>
      </c>
      <c r="F477" s="25" t="str">
        <f t="array" ref="F477">IF($H477="","",IF(OR(NOT(_xlfn.ISFORMULA(INDEX('Game Records'!$N:$N,$H477))),NOT(_xlfn.ISFORMULA(INDEX('Game Records'!$O:$O,$H477))),NOT(_xlfn.ISFORMULA(INDEX('Game Records'!$P:$P,$H477))),NOT(_xlfn.ISFORMULA(INDEX('Game Records'!$Q:$Q,$H477))),NOT(_xlfn.ISFORMULA(INDEX('Game Records'!$R:$R,$H477))),NOT(_xlfn.ISFORMULA(INDEX('Game Records'!$S:$S,$H477))),NOT(_xlfn.ISFORMULA(INDEX('Game Records'!$T:$T,$H477))),NOT(_xlfn.ISFORMULA(INDEX('Game Records'!$U:$U,$H477))),NOT(_xlfn.ISFORMULA(INDEX('Game Records'!$V:$V,$H477))),NOT(_xlfn.ISFORMULA(INDEX('Game Records'!$W:$W,$H477))),NOT(_xlfn.ISFORMULA(INDEX('Game Records'!$X:$X,$H477))),NOT(_xlfn.ISFORMULA(INDEX('Game Records'!$Y:$Y,$H477))),NOT(_xlfn.ISFORMULA(INDEX('Game Records'!$Z:$Z,$H477)))),"","")&amp;IF(INDEX('Game Records'!$B:$B,$H477)="","Start Date; ","")&amp;IF(INDEX('Game Records'!$C:$C,$H477)="","End Date; ","")&amp;IF(AND(INDEX('Game Records'!$U:$U,$H477)&lt;&gt;"Subscription",INDEX('Game Records'!$U:$U,$H477)&lt;&gt;"Free Game",INDEX('Game Records'!$U:$U,$H477)&lt;&gt;"Disqualified — Free Game",OR(INDEX('Game Records'!$D:$D,$H477)="",LOWER(INDEX('Game Records'!$D:$D,$H477)&amp;"")="n/a")),"Entry Mode; ","")&amp;IF(AND(INDEX('Game Records'!$U:$U,$H477)&lt;&gt;"Subscription",INDEX('Game Records'!$U:$U,$H477)&lt;&gt;"Free Game",INDEX('Game Records'!$U:$U,$H477)&lt;&gt;"Disqualified — Free Game",OR(INDEX('Game Records'!$E:$E,$H477)="",LOWER(INDEX('Game Records'!$E:$E,$H477)&amp;"")="n/a")),"Game Type; ","")&amp;IF(INDEX('Game Records'!$F:$F,$H477)="","Payment Type; ","")&amp;IF(AND(INDEX('Game Records'!$U:$U,$H477)&lt;&gt;"Subscription",INDEX('Game Records'!$U:$U,$H477)&lt;&gt;"Free Game",INDEX('Game Records'!$U:$U,$H477)&lt;&gt;"Disqualified — Free Game",INDEX('Game Records'!$G:$G,$H477)=""),"Gross Pot; ","")&amp;IF(AND(INDEX('Game Records'!$U:$U,$H477)&lt;&gt;"Free Game",INDEX('Game Records'!$U:$U,$H477)&lt;&gt;"Disqualified — Free Game",INDEX('Game Records'!$H:$H,$H477)=""),"Entry Fee; ","")&amp;IF(AND(INDEX('Game Records'!$U:$U,$H477)&lt;&gt;"Subscription",INDEX('Game Records'!$U:$U,$H477)&lt;&gt;"Free Game",INDEX('Game Records'!$U:$U,$H477)&lt;&gt;"Disqualified — Free Game",INDEX('Game Records'!$I:$I,$H477)=""),"Eligible Players; ","")&amp;IF(AND(INDEX('Game Records'!$U:$U,$H477)&lt;&gt;"Subscription",INDEX('Game Records'!$U:$U,$H477)&lt;&gt;"Free Game",INDEX('Game Records'!$U:$U,$H477)&lt;&gt;"Disqualified — Free Game",INDEX('Game Records'!$J:$J,$H477)=""),"Total Players; ","")&amp;IF(AND(LOWER(INDEX('Game Records'!$D:$D,$H477)&amp;"")="finalized",LOWER(INDEX('Game Records'!$L:$L,$H477)&amp;"")&lt;&gt;"yes",INDEX('Game Records'!$U:$U,$H477)&lt;&gt;"Subscription",INDEX('Game Records'!$U:$U,$H477)&lt;&gt;"Free Game",INDEX('Game Records'!$U:$U,$H477)&lt;&gt;"Disqualified — Free Game",INDEX('Game Records'!$K:$K,$H477)=""),"Final Payout; ","")&amp;IF(AND(LOWER(INDEX('Game Records'!$D:$D,$H477)&amp;"")="finalized",INDEX('Game Records'!$U:$U,$H477)&lt;&gt;"Subscription",INDEX('Game Records'!$U:$U,$H477)&lt;&gt;"Free Game",INDEX('Game Records'!$U:$U,$H477)&lt;&gt;"Disqualified — Free Game",OR(INDEX('Game Records'!$L:$L,$H477)="",LOWER(INDEX('Game Records'!$L:$L,$H477)&amp;"")="n/a")),"Disqualified Status; ",""))</f>
        <v/>
      </c>
      <c r="G477" s="25" t="str">
        <f t="array" ref="G477">IF($H477="","",IFERROR(INDEX('Game Records'!$M:$M,$H477),""))</f>
        <v/>
      </c>
      <c r="H477" s="8"/>
    </row>
    <row r="478" ht="24.0" customHeight="1">
      <c r="A478" s="21" t="str">
        <f t="shared" si="1"/>
        <v/>
      </c>
      <c r="B478" s="21" t="str">
        <f t="shared" si="2"/>
        <v/>
      </c>
      <c r="C478" s="25" t="str">
        <f t="array" ref="C478">IF($H478="","",IFERROR(INDEX('Game Records'!$A:$A,$H478),""))</f>
        <v/>
      </c>
      <c r="D478" s="25" t="str">
        <f t="array" ref="D478">IF($H478="","",IFERROR(INDEX('Game Records'!$U:$U,$H478),""))</f>
        <v/>
      </c>
      <c r="E478" s="25" t="str">
        <f t="shared" si="3"/>
        <v/>
      </c>
      <c r="F478" s="25" t="str">
        <f t="array" ref="F478">IF($H478="","",IF(OR(NOT(_xlfn.ISFORMULA(INDEX('Game Records'!$N:$N,$H478))),NOT(_xlfn.ISFORMULA(INDEX('Game Records'!$O:$O,$H478))),NOT(_xlfn.ISFORMULA(INDEX('Game Records'!$P:$P,$H478))),NOT(_xlfn.ISFORMULA(INDEX('Game Records'!$Q:$Q,$H478))),NOT(_xlfn.ISFORMULA(INDEX('Game Records'!$R:$R,$H478))),NOT(_xlfn.ISFORMULA(INDEX('Game Records'!$S:$S,$H478))),NOT(_xlfn.ISFORMULA(INDEX('Game Records'!$T:$T,$H478))),NOT(_xlfn.ISFORMULA(INDEX('Game Records'!$U:$U,$H478))),NOT(_xlfn.ISFORMULA(INDEX('Game Records'!$V:$V,$H478))),NOT(_xlfn.ISFORMULA(INDEX('Game Records'!$W:$W,$H478))),NOT(_xlfn.ISFORMULA(INDEX('Game Records'!$X:$X,$H478))),NOT(_xlfn.ISFORMULA(INDEX('Game Records'!$Y:$Y,$H478))),NOT(_xlfn.ISFORMULA(INDEX('Game Records'!$Z:$Z,$H478)))),"","")&amp;IF(INDEX('Game Records'!$B:$B,$H478)="","Start Date; ","")&amp;IF(INDEX('Game Records'!$C:$C,$H478)="","End Date; ","")&amp;IF(AND(INDEX('Game Records'!$U:$U,$H478)&lt;&gt;"Subscription",INDEX('Game Records'!$U:$U,$H478)&lt;&gt;"Free Game",INDEX('Game Records'!$U:$U,$H478)&lt;&gt;"Disqualified — Free Game",OR(INDEX('Game Records'!$D:$D,$H478)="",LOWER(INDEX('Game Records'!$D:$D,$H478)&amp;"")="n/a")),"Entry Mode; ","")&amp;IF(AND(INDEX('Game Records'!$U:$U,$H478)&lt;&gt;"Subscription",INDEX('Game Records'!$U:$U,$H478)&lt;&gt;"Free Game",INDEX('Game Records'!$U:$U,$H478)&lt;&gt;"Disqualified — Free Game",OR(INDEX('Game Records'!$E:$E,$H478)="",LOWER(INDEX('Game Records'!$E:$E,$H478)&amp;"")="n/a")),"Game Type; ","")&amp;IF(INDEX('Game Records'!$F:$F,$H478)="","Payment Type; ","")&amp;IF(AND(INDEX('Game Records'!$U:$U,$H478)&lt;&gt;"Subscription",INDEX('Game Records'!$U:$U,$H478)&lt;&gt;"Free Game",INDEX('Game Records'!$U:$U,$H478)&lt;&gt;"Disqualified — Free Game",INDEX('Game Records'!$G:$G,$H478)=""),"Gross Pot; ","")&amp;IF(AND(INDEX('Game Records'!$U:$U,$H478)&lt;&gt;"Free Game",INDEX('Game Records'!$U:$U,$H478)&lt;&gt;"Disqualified — Free Game",INDEX('Game Records'!$H:$H,$H478)=""),"Entry Fee; ","")&amp;IF(AND(INDEX('Game Records'!$U:$U,$H478)&lt;&gt;"Subscription",INDEX('Game Records'!$U:$U,$H478)&lt;&gt;"Free Game",INDEX('Game Records'!$U:$U,$H478)&lt;&gt;"Disqualified — Free Game",INDEX('Game Records'!$I:$I,$H478)=""),"Eligible Players; ","")&amp;IF(AND(INDEX('Game Records'!$U:$U,$H478)&lt;&gt;"Subscription",INDEX('Game Records'!$U:$U,$H478)&lt;&gt;"Free Game",INDEX('Game Records'!$U:$U,$H478)&lt;&gt;"Disqualified — Free Game",INDEX('Game Records'!$J:$J,$H478)=""),"Total Players; ","")&amp;IF(AND(LOWER(INDEX('Game Records'!$D:$D,$H478)&amp;"")="finalized",LOWER(INDEX('Game Records'!$L:$L,$H478)&amp;"")&lt;&gt;"yes",INDEX('Game Records'!$U:$U,$H478)&lt;&gt;"Subscription",INDEX('Game Records'!$U:$U,$H478)&lt;&gt;"Free Game",INDEX('Game Records'!$U:$U,$H478)&lt;&gt;"Disqualified — Free Game",INDEX('Game Records'!$K:$K,$H478)=""),"Final Payout; ","")&amp;IF(AND(LOWER(INDEX('Game Records'!$D:$D,$H478)&amp;"")="finalized",INDEX('Game Records'!$U:$U,$H478)&lt;&gt;"Subscription",INDEX('Game Records'!$U:$U,$H478)&lt;&gt;"Free Game",INDEX('Game Records'!$U:$U,$H478)&lt;&gt;"Disqualified — Free Game",OR(INDEX('Game Records'!$L:$L,$H478)="",LOWER(INDEX('Game Records'!$L:$L,$H478)&amp;"")="n/a")),"Disqualified Status; ",""))</f>
        <v/>
      </c>
      <c r="G478" s="25" t="str">
        <f t="array" ref="G478">IF($H478="","",IFERROR(INDEX('Game Records'!$M:$M,$H478),""))</f>
        <v/>
      </c>
      <c r="H478" s="8"/>
    </row>
    <row r="479" ht="24.0" customHeight="1">
      <c r="A479" s="21" t="str">
        <f t="shared" si="1"/>
        <v/>
      </c>
      <c r="B479" s="21" t="str">
        <f t="shared" si="2"/>
        <v/>
      </c>
      <c r="C479" s="25" t="str">
        <f t="array" ref="C479">IF($H479="","",IFERROR(INDEX('Game Records'!$A:$A,$H479),""))</f>
        <v/>
      </c>
      <c r="D479" s="25" t="str">
        <f t="array" ref="D479">IF($H479="","",IFERROR(INDEX('Game Records'!$U:$U,$H479),""))</f>
        <v/>
      </c>
      <c r="E479" s="25" t="str">
        <f t="shared" si="3"/>
        <v/>
      </c>
      <c r="F479" s="25" t="str">
        <f t="array" ref="F479">IF($H479="","",IF(OR(NOT(_xlfn.ISFORMULA(INDEX('Game Records'!$N:$N,$H479))),NOT(_xlfn.ISFORMULA(INDEX('Game Records'!$O:$O,$H479))),NOT(_xlfn.ISFORMULA(INDEX('Game Records'!$P:$P,$H479))),NOT(_xlfn.ISFORMULA(INDEX('Game Records'!$Q:$Q,$H479))),NOT(_xlfn.ISFORMULA(INDEX('Game Records'!$R:$R,$H479))),NOT(_xlfn.ISFORMULA(INDEX('Game Records'!$S:$S,$H479))),NOT(_xlfn.ISFORMULA(INDEX('Game Records'!$T:$T,$H479))),NOT(_xlfn.ISFORMULA(INDEX('Game Records'!$U:$U,$H479))),NOT(_xlfn.ISFORMULA(INDEX('Game Records'!$V:$V,$H479))),NOT(_xlfn.ISFORMULA(INDEX('Game Records'!$W:$W,$H479))),NOT(_xlfn.ISFORMULA(INDEX('Game Records'!$X:$X,$H479))),NOT(_xlfn.ISFORMULA(INDEX('Game Records'!$Y:$Y,$H479))),NOT(_xlfn.ISFORMULA(INDEX('Game Records'!$Z:$Z,$H479)))),"","")&amp;IF(INDEX('Game Records'!$B:$B,$H479)="","Start Date; ","")&amp;IF(INDEX('Game Records'!$C:$C,$H479)="","End Date; ","")&amp;IF(AND(INDEX('Game Records'!$U:$U,$H479)&lt;&gt;"Subscription",INDEX('Game Records'!$U:$U,$H479)&lt;&gt;"Free Game",INDEX('Game Records'!$U:$U,$H479)&lt;&gt;"Disqualified — Free Game",OR(INDEX('Game Records'!$D:$D,$H479)="",LOWER(INDEX('Game Records'!$D:$D,$H479)&amp;"")="n/a")),"Entry Mode; ","")&amp;IF(AND(INDEX('Game Records'!$U:$U,$H479)&lt;&gt;"Subscription",INDEX('Game Records'!$U:$U,$H479)&lt;&gt;"Free Game",INDEX('Game Records'!$U:$U,$H479)&lt;&gt;"Disqualified — Free Game",OR(INDEX('Game Records'!$E:$E,$H479)="",LOWER(INDEX('Game Records'!$E:$E,$H479)&amp;"")="n/a")),"Game Type; ","")&amp;IF(INDEX('Game Records'!$F:$F,$H479)="","Payment Type; ","")&amp;IF(AND(INDEX('Game Records'!$U:$U,$H479)&lt;&gt;"Subscription",INDEX('Game Records'!$U:$U,$H479)&lt;&gt;"Free Game",INDEX('Game Records'!$U:$U,$H479)&lt;&gt;"Disqualified — Free Game",INDEX('Game Records'!$G:$G,$H479)=""),"Gross Pot; ","")&amp;IF(AND(INDEX('Game Records'!$U:$U,$H479)&lt;&gt;"Free Game",INDEX('Game Records'!$U:$U,$H479)&lt;&gt;"Disqualified — Free Game",INDEX('Game Records'!$H:$H,$H479)=""),"Entry Fee; ","")&amp;IF(AND(INDEX('Game Records'!$U:$U,$H479)&lt;&gt;"Subscription",INDEX('Game Records'!$U:$U,$H479)&lt;&gt;"Free Game",INDEX('Game Records'!$U:$U,$H479)&lt;&gt;"Disqualified — Free Game",INDEX('Game Records'!$I:$I,$H479)=""),"Eligible Players; ","")&amp;IF(AND(INDEX('Game Records'!$U:$U,$H479)&lt;&gt;"Subscription",INDEX('Game Records'!$U:$U,$H479)&lt;&gt;"Free Game",INDEX('Game Records'!$U:$U,$H479)&lt;&gt;"Disqualified — Free Game",INDEX('Game Records'!$J:$J,$H479)=""),"Total Players; ","")&amp;IF(AND(LOWER(INDEX('Game Records'!$D:$D,$H479)&amp;"")="finalized",LOWER(INDEX('Game Records'!$L:$L,$H479)&amp;"")&lt;&gt;"yes",INDEX('Game Records'!$U:$U,$H479)&lt;&gt;"Subscription",INDEX('Game Records'!$U:$U,$H479)&lt;&gt;"Free Game",INDEX('Game Records'!$U:$U,$H479)&lt;&gt;"Disqualified — Free Game",INDEX('Game Records'!$K:$K,$H479)=""),"Final Payout; ","")&amp;IF(AND(LOWER(INDEX('Game Records'!$D:$D,$H479)&amp;"")="finalized",INDEX('Game Records'!$U:$U,$H479)&lt;&gt;"Subscription",INDEX('Game Records'!$U:$U,$H479)&lt;&gt;"Free Game",INDEX('Game Records'!$U:$U,$H479)&lt;&gt;"Disqualified — Free Game",OR(INDEX('Game Records'!$L:$L,$H479)="",LOWER(INDEX('Game Records'!$L:$L,$H479)&amp;"")="n/a")),"Disqualified Status; ",""))</f>
        <v/>
      </c>
      <c r="G479" s="25" t="str">
        <f t="array" ref="G479">IF($H479="","",IFERROR(INDEX('Game Records'!$M:$M,$H479),""))</f>
        <v/>
      </c>
      <c r="H479" s="8"/>
    </row>
    <row r="480" ht="24.0" customHeight="1">
      <c r="A480" s="21" t="str">
        <f t="shared" si="1"/>
        <v/>
      </c>
      <c r="B480" s="21" t="str">
        <f t="shared" si="2"/>
        <v/>
      </c>
      <c r="C480" s="25" t="str">
        <f t="array" ref="C480">IF($H480="","",IFERROR(INDEX('Game Records'!$A:$A,$H480),""))</f>
        <v/>
      </c>
      <c r="D480" s="25" t="str">
        <f t="array" ref="D480">IF($H480="","",IFERROR(INDEX('Game Records'!$U:$U,$H480),""))</f>
        <v/>
      </c>
      <c r="E480" s="25" t="str">
        <f t="shared" si="3"/>
        <v/>
      </c>
      <c r="F480" s="25" t="str">
        <f t="array" ref="F480">IF($H480="","",IF(OR(NOT(_xlfn.ISFORMULA(INDEX('Game Records'!$N:$N,$H480))),NOT(_xlfn.ISFORMULA(INDEX('Game Records'!$O:$O,$H480))),NOT(_xlfn.ISFORMULA(INDEX('Game Records'!$P:$P,$H480))),NOT(_xlfn.ISFORMULA(INDEX('Game Records'!$Q:$Q,$H480))),NOT(_xlfn.ISFORMULA(INDEX('Game Records'!$R:$R,$H480))),NOT(_xlfn.ISFORMULA(INDEX('Game Records'!$S:$S,$H480))),NOT(_xlfn.ISFORMULA(INDEX('Game Records'!$T:$T,$H480))),NOT(_xlfn.ISFORMULA(INDEX('Game Records'!$U:$U,$H480))),NOT(_xlfn.ISFORMULA(INDEX('Game Records'!$V:$V,$H480))),NOT(_xlfn.ISFORMULA(INDEX('Game Records'!$W:$W,$H480))),NOT(_xlfn.ISFORMULA(INDEX('Game Records'!$X:$X,$H480))),NOT(_xlfn.ISFORMULA(INDEX('Game Records'!$Y:$Y,$H480))),NOT(_xlfn.ISFORMULA(INDEX('Game Records'!$Z:$Z,$H480)))),"","")&amp;IF(INDEX('Game Records'!$B:$B,$H480)="","Start Date; ","")&amp;IF(INDEX('Game Records'!$C:$C,$H480)="","End Date; ","")&amp;IF(AND(INDEX('Game Records'!$U:$U,$H480)&lt;&gt;"Subscription",INDEX('Game Records'!$U:$U,$H480)&lt;&gt;"Free Game",INDEX('Game Records'!$U:$U,$H480)&lt;&gt;"Disqualified — Free Game",OR(INDEX('Game Records'!$D:$D,$H480)="",LOWER(INDEX('Game Records'!$D:$D,$H480)&amp;"")="n/a")),"Entry Mode; ","")&amp;IF(AND(INDEX('Game Records'!$U:$U,$H480)&lt;&gt;"Subscription",INDEX('Game Records'!$U:$U,$H480)&lt;&gt;"Free Game",INDEX('Game Records'!$U:$U,$H480)&lt;&gt;"Disqualified — Free Game",OR(INDEX('Game Records'!$E:$E,$H480)="",LOWER(INDEX('Game Records'!$E:$E,$H480)&amp;"")="n/a")),"Game Type; ","")&amp;IF(INDEX('Game Records'!$F:$F,$H480)="","Payment Type; ","")&amp;IF(AND(INDEX('Game Records'!$U:$U,$H480)&lt;&gt;"Subscription",INDEX('Game Records'!$U:$U,$H480)&lt;&gt;"Free Game",INDEX('Game Records'!$U:$U,$H480)&lt;&gt;"Disqualified — Free Game",INDEX('Game Records'!$G:$G,$H480)=""),"Gross Pot; ","")&amp;IF(AND(INDEX('Game Records'!$U:$U,$H480)&lt;&gt;"Free Game",INDEX('Game Records'!$U:$U,$H480)&lt;&gt;"Disqualified — Free Game",INDEX('Game Records'!$H:$H,$H480)=""),"Entry Fee; ","")&amp;IF(AND(INDEX('Game Records'!$U:$U,$H480)&lt;&gt;"Subscription",INDEX('Game Records'!$U:$U,$H480)&lt;&gt;"Free Game",INDEX('Game Records'!$U:$U,$H480)&lt;&gt;"Disqualified — Free Game",INDEX('Game Records'!$I:$I,$H480)=""),"Eligible Players; ","")&amp;IF(AND(INDEX('Game Records'!$U:$U,$H480)&lt;&gt;"Subscription",INDEX('Game Records'!$U:$U,$H480)&lt;&gt;"Free Game",INDEX('Game Records'!$U:$U,$H480)&lt;&gt;"Disqualified — Free Game",INDEX('Game Records'!$J:$J,$H480)=""),"Total Players; ","")&amp;IF(AND(LOWER(INDEX('Game Records'!$D:$D,$H480)&amp;"")="finalized",LOWER(INDEX('Game Records'!$L:$L,$H480)&amp;"")&lt;&gt;"yes",INDEX('Game Records'!$U:$U,$H480)&lt;&gt;"Subscription",INDEX('Game Records'!$U:$U,$H480)&lt;&gt;"Free Game",INDEX('Game Records'!$U:$U,$H480)&lt;&gt;"Disqualified — Free Game",INDEX('Game Records'!$K:$K,$H480)=""),"Final Payout; ","")&amp;IF(AND(LOWER(INDEX('Game Records'!$D:$D,$H480)&amp;"")="finalized",INDEX('Game Records'!$U:$U,$H480)&lt;&gt;"Subscription",INDEX('Game Records'!$U:$U,$H480)&lt;&gt;"Free Game",INDEX('Game Records'!$U:$U,$H480)&lt;&gt;"Disqualified — Free Game",OR(INDEX('Game Records'!$L:$L,$H480)="",LOWER(INDEX('Game Records'!$L:$L,$H480)&amp;"")="n/a")),"Disqualified Status; ",""))</f>
        <v/>
      </c>
      <c r="G480" s="25" t="str">
        <f t="array" ref="G480">IF($H480="","",IFERROR(INDEX('Game Records'!$M:$M,$H480),""))</f>
        <v/>
      </c>
      <c r="H480" s="8"/>
    </row>
    <row r="481" ht="24.0" customHeight="1">
      <c r="A481" s="21" t="str">
        <f t="shared" si="1"/>
        <v/>
      </c>
      <c r="B481" s="21" t="str">
        <f t="shared" si="2"/>
        <v/>
      </c>
      <c r="C481" s="25" t="str">
        <f t="array" ref="C481">IF($H481="","",IFERROR(INDEX('Game Records'!$A:$A,$H481),""))</f>
        <v/>
      </c>
      <c r="D481" s="25" t="str">
        <f t="array" ref="D481">IF($H481="","",IFERROR(INDEX('Game Records'!$U:$U,$H481),""))</f>
        <v/>
      </c>
      <c r="E481" s="25" t="str">
        <f t="shared" si="3"/>
        <v/>
      </c>
      <c r="F481" s="25" t="str">
        <f t="array" ref="F481">IF($H481="","",IF(OR(NOT(_xlfn.ISFORMULA(INDEX('Game Records'!$N:$N,$H481))),NOT(_xlfn.ISFORMULA(INDEX('Game Records'!$O:$O,$H481))),NOT(_xlfn.ISFORMULA(INDEX('Game Records'!$P:$P,$H481))),NOT(_xlfn.ISFORMULA(INDEX('Game Records'!$Q:$Q,$H481))),NOT(_xlfn.ISFORMULA(INDEX('Game Records'!$R:$R,$H481))),NOT(_xlfn.ISFORMULA(INDEX('Game Records'!$S:$S,$H481))),NOT(_xlfn.ISFORMULA(INDEX('Game Records'!$T:$T,$H481))),NOT(_xlfn.ISFORMULA(INDEX('Game Records'!$U:$U,$H481))),NOT(_xlfn.ISFORMULA(INDEX('Game Records'!$V:$V,$H481))),NOT(_xlfn.ISFORMULA(INDEX('Game Records'!$W:$W,$H481))),NOT(_xlfn.ISFORMULA(INDEX('Game Records'!$X:$X,$H481))),NOT(_xlfn.ISFORMULA(INDEX('Game Records'!$Y:$Y,$H481))),NOT(_xlfn.ISFORMULA(INDEX('Game Records'!$Z:$Z,$H481)))),"","")&amp;IF(INDEX('Game Records'!$B:$B,$H481)="","Start Date; ","")&amp;IF(INDEX('Game Records'!$C:$C,$H481)="","End Date; ","")&amp;IF(AND(INDEX('Game Records'!$U:$U,$H481)&lt;&gt;"Subscription",INDEX('Game Records'!$U:$U,$H481)&lt;&gt;"Free Game",INDEX('Game Records'!$U:$U,$H481)&lt;&gt;"Disqualified — Free Game",OR(INDEX('Game Records'!$D:$D,$H481)="",LOWER(INDEX('Game Records'!$D:$D,$H481)&amp;"")="n/a")),"Entry Mode; ","")&amp;IF(AND(INDEX('Game Records'!$U:$U,$H481)&lt;&gt;"Subscription",INDEX('Game Records'!$U:$U,$H481)&lt;&gt;"Free Game",INDEX('Game Records'!$U:$U,$H481)&lt;&gt;"Disqualified — Free Game",OR(INDEX('Game Records'!$E:$E,$H481)="",LOWER(INDEX('Game Records'!$E:$E,$H481)&amp;"")="n/a")),"Game Type; ","")&amp;IF(INDEX('Game Records'!$F:$F,$H481)="","Payment Type; ","")&amp;IF(AND(INDEX('Game Records'!$U:$U,$H481)&lt;&gt;"Subscription",INDEX('Game Records'!$U:$U,$H481)&lt;&gt;"Free Game",INDEX('Game Records'!$U:$U,$H481)&lt;&gt;"Disqualified — Free Game",INDEX('Game Records'!$G:$G,$H481)=""),"Gross Pot; ","")&amp;IF(AND(INDEX('Game Records'!$U:$U,$H481)&lt;&gt;"Free Game",INDEX('Game Records'!$U:$U,$H481)&lt;&gt;"Disqualified — Free Game",INDEX('Game Records'!$H:$H,$H481)=""),"Entry Fee; ","")&amp;IF(AND(INDEX('Game Records'!$U:$U,$H481)&lt;&gt;"Subscription",INDEX('Game Records'!$U:$U,$H481)&lt;&gt;"Free Game",INDEX('Game Records'!$U:$U,$H481)&lt;&gt;"Disqualified — Free Game",INDEX('Game Records'!$I:$I,$H481)=""),"Eligible Players; ","")&amp;IF(AND(INDEX('Game Records'!$U:$U,$H481)&lt;&gt;"Subscription",INDEX('Game Records'!$U:$U,$H481)&lt;&gt;"Free Game",INDEX('Game Records'!$U:$U,$H481)&lt;&gt;"Disqualified — Free Game",INDEX('Game Records'!$J:$J,$H481)=""),"Total Players; ","")&amp;IF(AND(LOWER(INDEX('Game Records'!$D:$D,$H481)&amp;"")="finalized",LOWER(INDEX('Game Records'!$L:$L,$H481)&amp;"")&lt;&gt;"yes",INDEX('Game Records'!$U:$U,$H481)&lt;&gt;"Subscription",INDEX('Game Records'!$U:$U,$H481)&lt;&gt;"Free Game",INDEX('Game Records'!$U:$U,$H481)&lt;&gt;"Disqualified — Free Game",INDEX('Game Records'!$K:$K,$H481)=""),"Final Payout; ","")&amp;IF(AND(LOWER(INDEX('Game Records'!$D:$D,$H481)&amp;"")="finalized",INDEX('Game Records'!$U:$U,$H481)&lt;&gt;"Subscription",INDEX('Game Records'!$U:$U,$H481)&lt;&gt;"Free Game",INDEX('Game Records'!$U:$U,$H481)&lt;&gt;"Disqualified — Free Game",OR(INDEX('Game Records'!$L:$L,$H481)="",LOWER(INDEX('Game Records'!$L:$L,$H481)&amp;"")="n/a")),"Disqualified Status; ",""))</f>
        <v/>
      </c>
      <c r="G481" s="25" t="str">
        <f t="array" ref="G481">IF($H481="","",IFERROR(INDEX('Game Records'!$M:$M,$H481),""))</f>
        <v/>
      </c>
      <c r="H481" s="8"/>
    </row>
    <row r="482" ht="24.0" customHeight="1">
      <c r="A482" s="21" t="str">
        <f t="shared" si="1"/>
        <v/>
      </c>
      <c r="B482" s="21" t="str">
        <f t="shared" si="2"/>
        <v/>
      </c>
      <c r="C482" s="25" t="str">
        <f t="array" ref="C482">IF($H482="","",IFERROR(INDEX('Game Records'!$A:$A,$H482),""))</f>
        <v/>
      </c>
      <c r="D482" s="25" t="str">
        <f t="array" ref="D482">IF($H482="","",IFERROR(INDEX('Game Records'!$U:$U,$H482),""))</f>
        <v/>
      </c>
      <c r="E482" s="25" t="str">
        <f t="shared" si="3"/>
        <v/>
      </c>
      <c r="F482" s="25" t="str">
        <f t="array" ref="F482">IF($H482="","",IF(OR(NOT(_xlfn.ISFORMULA(INDEX('Game Records'!$N:$N,$H482))),NOT(_xlfn.ISFORMULA(INDEX('Game Records'!$O:$O,$H482))),NOT(_xlfn.ISFORMULA(INDEX('Game Records'!$P:$P,$H482))),NOT(_xlfn.ISFORMULA(INDEX('Game Records'!$Q:$Q,$H482))),NOT(_xlfn.ISFORMULA(INDEX('Game Records'!$R:$R,$H482))),NOT(_xlfn.ISFORMULA(INDEX('Game Records'!$S:$S,$H482))),NOT(_xlfn.ISFORMULA(INDEX('Game Records'!$T:$T,$H482))),NOT(_xlfn.ISFORMULA(INDEX('Game Records'!$U:$U,$H482))),NOT(_xlfn.ISFORMULA(INDEX('Game Records'!$V:$V,$H482))),NOT(_xlfn.ISFORMULA(INDEX('Game Records'!$W:$W,$H482))),NOT(_xlfn.ISFORMULA(INDEX('Game Records'!$X:$X,$H482))),NOT(_xlfn.ISFORMULA(INDEX('Game Records'!$Y:$Y,$H482))),NOT(_xlfn.ISFORMULA(INDEX('Game Records'!$Z:$Z,$H482)))),"","")&amp;IF(INDEX('Game Records'!$B:$B,$H482)="","Start Date; ","")&amp;IF(INDEX('Game Records'!$C:$C,$H482)="","End Date; ","")&amp;IF(AND(INDEX('Game Records'!$U:$U,$H482)&lt;&gt;"Subscription",INDEX('Game Records'!$U:$U,$H482)&lt;&gt;"Free Game",INDEX('Game Records'!$U:$U,$H482)&lt;&gt;"Disqualified — Free Game",OR(INDEX('Game Records'!$D:$D,$H482)="",LOWER(INDEX('Game Records'!$D:$D,$H482)&amp;"")="n/a")),"Entry Mode; ","")&amp;IF(AND(INDEX('Game Records'!$U:$U,$H482)&lt;&gt;"Subscription",INDEX('Game Records'!$U:$U,$H482)&lt;&gt;"Free Game",INDEX('Game Records'!$U:$U,$H482)&lt;&gt;"Disqualified — Free Game",OR(INDEX('Game Records'!$E:$E,$H482)="",LOWER(INDEX('Game Records'!$E:$E,$H482)&amp;"")="n/a")),"Game Type; ","")&amp;IF(INDEX('Game Records'!$F:$F,$H482)="","Payment Type; ","")&amp;IF(AND(INDEX('Game Records'!$U:$U,$H482)&lt;&gt;"Subscription",INDEX('Game Records'!$U:$U,$H482)&lt;&gt;"Free Game",INDEX('Game Records'!$U:$U,$H482)&lt;&gt;"Disqualified — Free Game",INDEX('Game Records'!$G:$G,$H482)=""),"Gross Pot; ","")&amp;IF(AND(INDEX('Game Records'!$U:$U,$H482)&lt;&gt;"Free Game",INDEX('Game Records'!$U:$U,$H482)&lt;&gt;"Disqualified — Free Game",INDEX('Game Records'!$H:$H,$H482)=""),"Entry Fee; ","")&amp;IF(AND(INDEX('Game Records'!$U:$U,$H482)&lt;&gt;"Subscription",INDEX('Game Records'!$U:$U,$H482)&lt;&gt;"Free Game",INDEX('Game Records'!$U:$U,$H482)&lt;&gt;"Disqualified — Free Game",INDEX('Game Records'!$I:$I,$H482)=""),"Eligible Players; ","")&amp;IF(AND(INDEX('Game Records'!$U:$U,$H482)&lt;&gt;"Subscription",INDEX('Game Records'!$U:$U,$H482)&lt;&gt;"Free Game",INDEX('Game Records'!$U:$U,$H482)&lt;&gt;"Disqualified — Free Game",INDEX('Game Records'!$J:$J,$H482)=""),"Total Players; ","")&amp;IF(AND(LOWER(INDEX('Game Records'!$D:$D,$H482)&amp;"")="finalized",LOWER(INDEX('Game Records'!$L:$L,$H482)&amp;"")&lt;&gt;"yes",INDEX('Game Records'!$U:$U,$H482)&lt;&gt;"Subscription",INDEX('Game Records'!$U:$U,$H482)&lt;&gt;"Free Game",INDEX('Game Records'!$U:$U,$H482)&lt;&gt;"Disqualified — Free Game",INDEX('Game Records'!$K:$K,$H482)=""),"Final Payout; ","")&amp;IF(AND(LOWER(INDEX('Game Records'!$D:$D,$H482)&amp;"")="finalized",INDEX('Game Records'!$U:$U,$H482)&lt;&gt;"Subscription",INDEX('Game Records'!$U:$U,$H482)&lt;&gt;"Free Game",INDEX('Game Records'!$U:$U,$H482)&lt;&gt;"Disqualified — Free Game",OR(INDEX('Game Records'!$L:$L,$H482)="",LOWER(INDEX('Game Records'!$L:$L,$H482)&amp;"")="n/a")),"Disqualified Status; ",""))</f>
        <v/>
      </c>
      <c r="G482" s="25" t="str">
        <f t="array" ref="G482">IF($H482="","",IFERROR(INDEX('Game Records'!$M:$M,$H482),""))</f>
        <v/>
      </c>
      <c r="H482" s="8"/>
    </row>
    <row r="483" ht="24.0" customHeight="1">
      <c r="A483" s="21" t="str">
        <f t="shared" si="1"/>
        <v/>
      </c>
      <c r="B483" s="21" t="str">
        <f t="shared" si="2"/>
        <v/>
      </c>
      <c r="C483" s="25" t="str">
        <f t="array" ref="C483">IF($H483="","",IFERROR(INDEX('Game Records'!$A:$A,$H483),""))</f>
        <v/>
      </c>
      <c r="D483" s="25" t="str">
        <f t="array" ref="D483">IF($H483="","",IFERROR(INDEX('Game Records'!$U:$U,$H483),""))</f>
        <v/>
      </c>
      <c r="E483" s="25" t="str">
        <f t="shared" si="3"/>
        <v/>
      </c>
      <c r="F483" s="25" t="str">
        <f t="array" ref="F483">IF($H483="","",IF(OR(NOT(_xlfn.ISFORMULA(INDEX('Game Records'!$N:$N,$H483))),NOT(_xlfn.ISFORMULA(INDEX('Game Records'!$O:$O,$H483))),NOT(_xlfn.ISFORMULA(INDEX('Game Records'!$P:$P,$H483))),NOT(_xlfn.ISFORMULA(INDEX('Game Records'!$Q:$Q,$H483))),NOT(_xlfn.ISFORMULA(INDEX('Game Records'!$R:$R,$H483))),NOT(_xlfn.ISFORMULA(INDEX('Game Records'!$S:$S,$H483))),NOT(_xlfn.ISFORMULA(INDEX('Game Records'!$T:$T,$H483))),NOT(_xlfn.ISFORMULA(INDEX('Game Records'!$U:$U,$H483))),NOT(_xlfn.ISFORMULA(INDEX('Game Records'!$V:$V,$H483))),NOT(_xlfn.ISFORMULA(INDEX('Game Records'!$W:$W,$H483))),NOT(_xlfn.ISFORMULA(INDEX('Game Records'!$X:$X,$H483))),NOT(_xlfn.ISFORMULA(INDEX('Game Records'!$Y:$Y,$H483))),NOT(_xlfn.ISFORMULA(INDEX('Game Records'!$Z:$Z,$H483)))),"","")&amp;IF(INDEX('Game Records'!$B:$B,$H483)="","Start Date; ","")&amp;IF(INDEX('Game Records'!$C:$C,$H483)="","End Date; ","")&amp;IF(AND(INDEX('Game Records'!$U:$U,$H483)&lt;&gt;"Subscription",INDEX('Game Records'!$U:$U,$H483)&lt;&gt;"Free Game",INDEX('Game Records'!$U:$U,$H483)&lt;&gt;"Disqualified — Free Game",OR(INDEX('Game Records'!$D:$D,$H483)="",LOWER(INDEX('Game Records'!$D:$D,$H483)&amp;"")="n/a")),"Entry Mode; ","")&amp;IF(AND(INDEX('Game Records'!$U:$U,$H483)&lt;&gt;"Subscription",INDEX('Game Records'!$U:$U,$H483)&lt;&gt;"Free Game",INDEX('Game Records'!$U:$U,$H483)&lt;&gt;"Disqualified — Free Game",OR(INDEX('Game Records'!$E:$E,$H483)="",LOWER(INDEX('Game Records'!$E:$E,$H483)&amp;"")="n/a")),"Game Type; ","")&amp;IF(INDEX('Game Records'!$F:$F,$H483)="","Payment Type; ","")&amp;IF(AND(INDEX('Game Records'!$U:$U,$H483)&lt;&gt;"Subscription",INDEX('Game Records'!$U:$U,$H483)&lt;&gt;"Free Game",INDEX('Game Records'!$U:$U,$H483)&lt;&gt;"Disqualified — Free Game",INDEX('Game Records'!$G:$G,$H483)=""),"Gross Pot; ","")&amp;IF(AND(INDEX('Game Records'!$U:$U,$H483)&lt;&gt;"Free Game",INDEX('Game Records'!$U:$U,$H483)&lt;&gt;"Disqualified — Free Game",INDEX('Game Records'!$H:$H,$H483)=""),"Entry Fee; ","")&amp;IF(AND(INDEX('Game Records'!$U:$U,$H483)&lt;&gt;"Subscription",INDEX('Game Records'!$U:$U,$H483)&lt;&gt;"Free Game",INDEX('Game Records'!$U:$U,$H483)&lt;&gt;"Disqualified — Free Game",INDEX('Game Records'!$I:$I,$H483)=""),"Eligible Players; ","")&amp;IF(AND(INDEX('Game Records'!$U:$U,$H483)&lt;&gt;"Subscription",INDEX('Game Records'!$U:$U,$H483)&lt;&gt;"Free Game",INDEX('Game Records'!$U:$U,$H483)&lt;&gt;"Disqualified — Free Game",INDEX('Game Records'!$J:$J,$H483)=""),"Total Players; ","")&amp;IF(AND(LOWER(INDEX('Game Records'!$D:$D,$H483)&amp;"")="finalized",LOWER(INDEX('Game Records'!$L:$L,$H483)&amp;"")&lt;&gt;"yes",INDEX('Game Records'!$U:$U,$H483)&lt;&gt;"Subscription",INDEX('Game Records'!$U:$U,$H483)&lt;&gt;"Free Game",INDEX('Game Records'!$U:$U,$H483)&lt;&gt;"Disqualified — Free Game",INDEX('Game Records'!$K:$K,$H483)=""),"Final Payout; ","")&amp;IF(AND(LOWER(INDEX('Game Records'!$D:$D,$H483)&amp;"")="finalized",INDEX('Game Records'!$U:$U,$H483)&lt;&gt;"Subscription",INDEX('Game Records'!$U:$U,$H483)&lt;&gt;"Free Game",INDEX('Game Records'!$U:$U,$H483)&lt;&gt;"Disqualified — Free Game",OR(INDEX('Game Records'!$L:$L,$H483)="",LOWER(INDEX('Game Records'!$L:$L,$H483)&amp;"")="n/a")),"Disqualified Status; ",""))</f>
        <v/>
      </c>
      <c r="G483" s="25" t="str">
        <f t="array" ref="G483">IF($H483="","",IFERROR(INDEX('Game Records'!$M:$M,$H483),""))</f>
        <v/>
      </c>
      <c r="H483" s="8"/>
    </row>
    <row r="484" ht="24.0" customHeight="1">
      <c r="A484" s="21" t="str">
        <f t="shared" si="1"/>
        <v/>
      </c>
      <c r="B484" s="21" t="str">
        <f t="shared" si="2"/>
        <v/>
      </c>
      <c r="C484" s="25" t="str">
        <f t="array" ref="C484">IF($H484="","",IFERROR(INDEX('Game Records'!$A:$A,$H484),""))</f>
        <v/>
      </c>
      <c r="D484" s="25" t="str">
        <f t="array" ref="D484">IF($H484="","",IFERROR(INDEX('Game Records'!$U:$U,$H484),""))</f>
        <v/>
      </c>
      <c r="E484" s="25" t="str">
        <f t="shared" si="3"/>
        <v/>
      </c>
      <c r="F484" s="25" t="str">
        <f t="array" ref="F484">IF($H484="","",IF(OR(NOT(_xlfn.ISFORMULA(INDEX('Game Records'!$N:$N,$H484))),NOT(_xlfn.ISFORMULA(INDEX('Game Records'!$O:$O,$H484))),NOT(_xlfn.ISFORMULA(INDEX('Game Records'!$P:$P,$H484))),NOT(_xlfn.ISFORMULA(INDEX('Game Records'!$Q:$Q,$H484))),NOT(_xlfn.ISFORMULA(INDEX('Game Records'!$R:$R,$H484))),NOT(_xlfn.ISFORMULA(INDEX('Game Records'!$S:$S,$H484))),NOT(_xlfn.ISFORMULA(INDEX('Game Records'!$T:$T,$H484))),NOT(_xlfn.ISFORMULA(INDEX('Game Records'!$U:$U,$H484))),NOT(_xlfn.ISFORMULA(INDEX('Game Records'!$V:$V,$H484))),NOT(_xlfn.ISFORMULA(INDEX('Game Records'!$W:$W,$H484))),NOT(_xlfn.ISFORMULA(INDEX('Game Records'!$X:$X,$H484))),NOT(_xlfn.ISFORMULA(INDEX('Game Records'!$Y:$Y,$H484))),NOT(_xlfn.ISFORMULA(INDEX('Game Records'!$Z:$Z,$H484)))),"","")&amp;IF(INDEX('Game Records'!$B:$B,$H484)="","Start Date; ","")&amp;IF(INDEX('Game Records'!$C:$C,$H484)="","End Date; ","")&amp;IF(AND(INDEX('Game Records'!$U:$U,$H484)&lt;&gt;"Subscription",INDEX('Game Records'!$U:$U,$H484)&lt;&gt;"Free Game",INDEX('Game Records'!$U:$U,$H484)&lt;&gt;"Disqualified — Free Game",OR(INDEX('Game Records'!$D:$D,$H484)="",LOWER(INDEX('Game Records'!$D:$D,$H484)&amp;"")="n/a")),"Entry Mode; ","")&amp;IF(AND(INDEX('Game Records'!$U:$U,$H484)&lt;&gt;"Subscription",INDEX('Game Records'!$U:$U,$H484)&lt;&gt;"Free Game",INDEX('Game Records'!$U:$U,$H484)&lt;&gt;"Disqualified — Free Game",OR(INDEX('Game Records'!$E:$E,$H484)="",LOWER(INDEX('Game Records'!$E:$E,$H484)&amp;"")="n/a")),"Game Type; ","")&amp;IF(INDEX('Game Records'!$F:$F,$H484)="","Payment Type; ","")&amp;IF(AND(INDEX('Game Records'!$U:$U,$H484)&lt;&gt;"Subscription",INDEX('Game Records'!$U:$U,$H484)&lt;&gt;"Free Game",INDEX('Game Records'!$U:$U,$H484)&lt;&gt;"Disqualified — Free Game",INDEX('Game Records'!$G:$G,$H484)=""),"Gross Pot; ","")&amp;IF(AND(INDEX('Game Records'!$U:$U,$H484)&lt;&gt;"Free Game",INDEX('Game Records'!$U:$U,$H484)&lt;&gt;"Disqualified — Free Game",INDEX('Game Records'!$H:$H,$H484)=""),"Entry Fee; ","")&amp;IF(AND(INDEX('Game Records'!$U:$U,$H484)&lt;&gt;"Subscription",INDEX('Game Records'!$U:$U,$H484)&lt;&gt;"Free Game",INDEX('Game Records'!$U:$U,$H484)&lt;&gt;"Disqualified — Free Game",INDEX('Game Records'!$I:$I,$H484)=""),"Eligible Players; ","")&amp;IF(AND(INDEX('Game Records'!$U:$U,$H484)&lt;&gt;"Subscription",INDEX('Game Records'!$U:$U,$H484)&lt;&gt;"Free Game",INDEX('Game Records'!$U:$U,$H484)&lt;&gt;"Disqualified — Free Game",INDEX('Game Records'!$J:$J,$H484)=""),"Total Players; ","")&amp;IF(AND(LOWER(INDEX('Game Records'!$D:$D,$H484)&amp;"")="finalized",LOWER(INDEX('Game Records'!$L:$L,$H484)&amp;"")&lt;&gt;"yes",INDEX('Game Records'!$U:$U,$H484)&lt;&gt;"Subscription",INDEX('Game Records'!$U:$U,$H484)&lt;&gt;"Free Game",INDEX('Game Records'!$U:$U,$H484)&lt;&gt;"Disqualified — Free Game",INDEX('Game Records'!$K:$K,$H484)=""),"Final Payout; ","")&amp;IF(AND(LOWER(INDEX('Game Records'!$D:$D,$H484)&amp;"")="finalized",INDEX('Game Records'!$U:$U,$H484)&lt;&gt;"Subscription",INDEX('Game Records'!$U:$U,$H484)&lt;&gt;"Free Game",INDEX('Game Records'!$U:$U,$H484)&lt;&gt;"Disqualified — Free Game",OR(INDEX('Game Records'!$L:$L,$H484)="",LOWER(INDEX('Game Records'!$L:$L,$H484)&amp;"")="n/a")),"Disqualified Status; ",""))</f>
        <v/>
      </c>
      <c r="G484" s="25" t="str">
        <f t="array" ref="G484">IF($H484="","",IFERROR(INDEX('Game Records'!$M:$M,$H484),""))</f>
        <v/>
      </c>
      <c r="H484" s="8"/>
    </row>
    <row r="485" ht="24.0" customHeight="1">
      <c r="A485" s="21" t="str">
        <f t="shared" si="1"/>
        <v/>
      </c>
      <c r="B485" s="21" t="str">
        <f t="shared" si="2"/>
        <v/>
      </c>
      <c r="C485" s="25" t="str">
        <f t="array" ref="C485">IF($H485="","",IFERROR(INDEX('Game Records'!$A:$A,$H485),""))</f>
        <v/>
      </c>
      <c r="D485" s="25" t="str">
        <f t="array" ref="D485">IF($H485="","",IFERROR(INDEX('Game Records'!$U:$U,$H485),""))</f>
        <v/>
      </c>
      <c r="E485" s="25" t="str">
        <f t="shared" si="3"/>
        <v/>
      </c>
      <c r="F485" s="25" t="str">
        <f t="array" ref="F485">IF($H485="","",IF(OR(NOT(_xlfn.ISFORMULA(INDEX('Game Records'!$N:$N,$H485))),NOT(_xlfn.ISFORMULA(INDEX('Game Records'!$O:$O,$H485))),NOT(_xlfn.ISFORMULA(INDEX('Game Records'!$P:$P,$H485))),NOT(_xlfn.ISFORMULA(INDEX('Game Records'!$Q:$Q,$H485))),NOT(_xlfn.ISFORMULA(INDEX('Game Records'!$R:$R,$H485))),NOT(_xlfn.ISFORMULA(INDEX('Game Records'!$S:$S,$H485))),NOT(_xlfn.ISFORMULA(INDEX('Game Records'!$T:$T,$H485))),NOT(_xlfn.ISFORMULA(INDEX('Game Records'!$U:$U,$H485))),NOT(_xlfn.ISFORMULA(INDEX('Game Records'!$V:$V,$H485))),NOT(_xlfn.ISFORMULA(INDEX('Game Records'!$W:$W,$H485))),NOT(_xlfn.ISFORMULA(INDEX('Game Records'!$X:$X,$H485))),NOT(_xlfn.ISFORMULA(INDEX('Game Records'!$Y:$Y,$H485))),NOT(_xlfn.ISFORMULA(INDEX('Game Records'!$Z:$Z,$H485)))),"","")&amp;IF(INDEX('Game Records'!$B:$B,$H485)="","Start Date; ","")&amp;IF(INDEX('Game Records'!$C:$C,$H485)="","End Date; ","")&amp;IF(AND(INDEX('Game Records'!$U:$U,$H485)&lt;&gt;"Subscription",INDEX('Game Records'!$U:$U,$H485)&lt;&gt;"Free Game",INDEX('Game Records'!$U:$U,$H485)&lt;&gt;"Disqualified — Free Game",OR(INDEX('Game Records'!$D:$D,$H485)="",LOWER(INDEX('Game Records'!$D:$D,$H485)&amp;"")="n/a")),"Entry Mode; ","")&amp;IF(AND(INDEX('Game Records'!$U:$U,$H485)&lt;&gt;"Subscription",INDEX('Game Records'!$U:$U,$H485)&lt;&gt;"Free Game",INDEX('Game Records'!$U:$U,$H485)&lt;&gt;"Disqualified — Free Game",OR(INDEX('Game Records'!$E:$E,$H485)="",LOWER(INDEX('Game Records'!$E:$E,$H485)&amp;"")="n/a")),"Game Type; ","")&amp;IF(INDEX('Game Records'!$F:$F,$H485)="","Payment Type; ","")&amp;IF(AND(INDEX('Game Records'!$U:$U,$H485)&lt;&gt;"Subscription",INDEX('Game Records'!$U:$U,$H485)&lt;&gt;"Free Game",INDEX('Game Records'!$U:$U,$H485)&lt;&gt;"Disqualified — Free Game",INDEX('Game Records'!$G:$G,$H485)=""),"Gross Pot; ","")&amp;IF(AND(INDEX('Game Records'!$U:$U,$H485)&lt;&gt;"Free Game",INDEX('Game Records'!$U:$U,$H485)&lt;&gt;"Disqualified — Free Game",INDEX('Game Records'!$H:$H,$H485)=""),"Entry Fee; ","")&amp;IF(AND(INDEX('Game Records'!$U:$U,$H485)&lt;&gt;"Subscription",INDEX('Game Records'!$U:$U,$H485)&lt;&gt;"Free Game",INDEX('Game Records'!$U:$U,$H485)&lt;&gt;"Disqualified — Free Game",INDEX('Game Records'!$I:$I,$H485)=""),"Eligible Players; ","")&amp;IF(AND(INDEX('Game Records'!$U:$U,$H485)&lt;&gt;"Subscription",INDEX('Game Records'!$U:$U,$H485)&lt;&gt;"Free Game",INDEX('Game Records'!$U:$U,$H485)&lt;&gt;"Disqualified — Free Game",INDEX('Game Records'!$J:$J,$H485)=""),"Total Players; ","")&amp;IF(AND(LOWER(INDEX('Game Records'!$D:$D,$H485)&amp;"")="finalized",LOWER(INDEX('Game Records'!$L:$L,$H485)&amp;"")&lt;&gt;"yes",INDEX('Game Records'!$U:$U,$H485)&lt;&gt;"Subscription",INDEX('Game Records'!$U:$U,$H485)&lt;&gt;"Free Game",INDEX('Game Records'!$U:$U,$H485)&lt;&gt;"Disqualified — Free Game",INDEX('Game Records'!$K:$K,$H485)=""),"Final Payout; ","")&amp;IF(AND(LOWER(INDEX('Game Records'!$D:$D,$H485)&amp;"")="finalized",INDEX('Game Records'!$U:$U,$H485)&lt;&gt;"Subscription",INDEX('Game Records'!$U:$U,$H485)&lt;&gt;"Free Game",INDEX('Game Records'!$U:$U,$H485)&lt;&gt;"Disqualified — Free Game",OR(INDEX('Game Records'!$L:$L,$H485)="",LOWER(INDEX('Game Records'!$L:$L,$H485)&amp;"")="n/a")),"Disqualified Status; ",""))</f>
        <v/>
      </c>
      <c r="G485" s="25" t="str">
        <f t="array" ref="G485">IF($H485="","",IFERROR(INDEX('Game Records'!$M:$M,$H485),""))</f>
        <v/>
      </c>
      <c r="H485" s="8"/>
    </row>
    <row r="486" ht="24.0" customHeight="1">
      <c r="A486" s="21" t="str">
        <f t="shared" si="1"/>
        <v/>
      </c>
      <c r="B486" s="21" t="str">
        <f t="shared" si="2"/>
        <v/>
      </c>
      <c r="C486" s="25" t="str">
        <f t="array" ref="C486">IF($H486="","",IFERROR(INDEX('Game Records'!$A:$A,$H486),""))</f>
        <v/>
      </c>
      <c r="D486" s="25" t="str">
        <f t="array" ref="D486">IF($H486="","",IFERROR(INDEX('Game Records'!$U:$U,$H486),""))</f>
        <v/>
      </c>
      <c r="E486" s="25" t="str">
        <f t="shared" si="3"/>
        <v/>
      </c>
      <c r="F486" s="25" t="str">
        <f t="array" ref="F486">IF($H486="","",IF(OR(NOT(_xlfn.ISFORMULA(INDEX('Game Records'!$N:$N,$H486))),NOT(_xlfn.ISFORMULA(INDEX('Game Records'!$O:$O,$H486))),NOT(_xlfn.ISFORMULA(INDEX('Game Records'!$P:$P,$H486))),NOT(_xlfn.ISFORMULA(INDEX('Game Records'!$Q:$Q,$H486))),NOT(_xlfn.ISFORMULA(INDEX('Game Records'!$R:$R,$H486))),NOT(_xlfn.ISFORMULA(INDEX('Game Records'!$S:$S,$H486))),NOT(_xlfn.ISFORMULA(INDEX('Game Records'!$T:$T,$H486))),NOT(_xlfn.ISFORMULA(INDEX('Game Records'!$U:$U,$H486))),NOT(_xlfn.ISFORMULA(INDEX('Game Records'!$V:$V,$H486))),NOT(_xlfn.ISFORMULA(INDEX('Game Records'!$W:$W,$H486))),NOT(_xlfn.ISFORMULA(INDEX('Game Records'!$X:$X,$H486))),NOT(_xlfn.ISFORMULA(INDEX('Game Records'!$Y:$Y,$H486))),NOT(_xlfn.ISFORMULA(INDEX('Game Records'!$Z:$Z,$H486)))),"","")&amp;IF(INDEX('Game Records'!$B:$B,$H486)="","Start Date; ","")&amp;IF(INDEX('Game Records'!$C:$C,$H486)="","End Date; ","")&amp;IF(AND(INDEX('Game Records'!$U:$U,$H486)&lt;&gt;"Subscription",INDEX('Game Records'!$U:$U,$H486)&lt;&gt;"Free Game",INDEX('Game Records'!$U:$U,$H486)&lt;&gt;"Disqualified — Free Game",OR(INDEX('Game Records'!$D:$D,$H486)="",LOWER(INDEX('Game Records'!$D:$D,$H486)&amp;"")="n/a")),"Entry Mode; ","")&amp;IF(AND(INDEX('Game Records'!$U:$U,$H486)&lt;&gt;"Subscription",INDEX('Game Records'!$U:$U,$H486)&lt;&gt;"Free Game",INDEX('Game Records'!$U:$U,$H486)&lt;&gt;"Disqualified — Free Game",OR(INDEX('Game Records'!$E:$E,$H486)="",LOWER(INDEX('Game Records'!$E:$E,$H486)&amp;"")="n/a")),"Game Type; ","")&amp;IF(INDEX('Game Records'!$F:$F,$H486)="","Payment Type; ","")&amp;IF(AND(INDEX('Game Records'!$U:$U,$H486)&lt;&gt;"Subscription",INDEX('Game Records'!$U:$U,$H486)&lt;&gt;"Free Game",INDEX('Game Records'!$U:$U,$H486)&lt;&gt;"Disqualified — Free Game",INDEX('Game Records'!$G:$G,$H486)=""),"Gross Pot; ","")&amp;IF(AND(INDEX('Game Records'!$U:$U,$H486)&lt;&gt;"Free Game",INDEX('Game Records'!$U:$U,$H486)&lt;&gt;"Disqualified — Free Game",INDEX('Game Records'!$H:$H,$H486)=""),"Entry Fee; ","")&amp;IF(AND(INDEX('Game Records'!$U:$U,$H486)&lt;&gt;"Subscription",INDEX('Game Records'!$U:$U,$H486)&lt;&gt;"Free Game",INDEX('Game Records'!$U:$U,$H486)&lt;&gt;"Disqualified — Free Game",INDEX('Game Records'!$I:$I,$H486)=""),"Eligible Players; ","")&amp;IF(AND(INDEX('Game Records'!$U:$U,$H486)&lt;&gt;"Subscription",INDEX('Game Records'!$U:$U,$H486)&lt;&gt;"Free Game",INDEX('Game Records'!$U:$U,$H486)&lt;&gt;"Disqualified — Free Game",INDEX('Game Records'!$J:$J,$H486)=""),"Total Players; ","")&amp;IF(AND(LOWER(INDEX('Game Records'!$D:$D,$H486)&amp;"")="finalized",LOWER(INDEX('Game Records'!$L:$L,$H486)&amp;"")&lt;&gt;"yes",INDEX('Game Records'!$U:$U,$H486)&lt;&gt;"Subscription",INDEX('Game Records'!$U:$U,$H486)&lt;&gt;"Free Game",INDEX('Game Records'!$U:$U,$H486)&lt;&gt;"Disqualified — Free Game",INDEX('Game Records'!$K:$K,$H486)=""),"Final Payout; ","")&amp;IF(AND(LOWER(INDEX('Game Records'!$D:$D,$H486)&amp;"")="finalized",INDEX('Game Records'!$U:$U,$H486)&lt;&gt;"Subscription",INDEX('Game Records'!$U:$U,$H486)&lt;&gt;"Free Game",INDEX('Game Records'!$U:$U,$H486)&lt;&gt;"Disqualified — Free Game",OR(INDEX('Game Records'!$L:$L,$H486)="",LOWER(INDEX('Game Records'!$L:$L,$H486)&amp;"")="n/a")),"Disqualified Status; ",""))</f>
        <v/>
      </c>
      <c r="G486" s="25" t="str">
        <f t="array" ref="G486">IF($H486="","",IFERROR(INDEX('Game Records'!$M:$M,$H486),""))</f>
        <v/>
      </c>
      <c r="H486" s="8"/>
    </row>
    <row r="487" ht="24.0" customHeight="1">
      <c r="A487" s="21" t="str">
        <f t="shared" si="1"/>
        <v/>
      </c>
      <c r="B487" s="21" t="str">
        <f t="shared" si="2"/>
        <v/>
      </c>
      <c r="C487" s="25" t="str">
        <f t="array" ref="C487">IF($H487="","",IFERROR(INDEX('Game Records'!$A:$A,$H487),""))</f>
        <v/>
      </c>
      <c r="D487" s="25" t="str">
        <f t="array" ref="D487">IF($H487="","",IFERROR(INDEX('Game Records'!$U:$U,$H487),""))</f>
        <v/>
      </c>
      <c r="E487" s="25" t="str">
        <f t="shared" si="3"/>
        <v/>
      </c>
      <c r="F487" s="25" t="str">
        <f t="array" ref="F487">IF($H487="","",IF(OR(NOT(_xlfn.ISFORMULA(INDEX('Game Records'!$N:$N,$H487))),NOT(_xlfn.ISFORMULA(INDEX('Game Records'!$O:$O,$H487))),NOT(_xlfn.ISFORMULA(INDEX('Game Records'!$P:$P,$H487))),NOT(_xlfn.ISFORMULA(INDEX('Game Records'!$Q:$Q,$H487))),NOT(_xlfn.ISFORMULA(INDEX('Game Records'!$R:$R,$H487))),NOT(_xlfn.ISFORMULA(INDEX('Game Records'!$S:$S,$H487))),NOT(_xlfn.ISFORMULA(INDEX('Game Records'!$T:$T,$H487))),NOT(_xlfn.ISFORMULA(INDEX('Game Records'!$U:$U,$H487))),NOT(_xlfn.ISFORMULA(INDEX('Game Records'!$V:$V,$H487))),NOT(_xlfn.ISFORMULA(INDEX('Game Records'!$W:$W,$H487))),NOT(_xlfn.ISFORMULA(INDEX('Game Records'!$X:$X,$H487))),NOT(_xlfn.ISFORMULA(INDEX('Game Records'!$Y:$Y,$H487))),NOT(_xlfn.ISFORMULA(INDEX('Game Records'!$Z:$Z,$H487)))),"","")&amp;IF(INDEX('Game Records'!$B:$B,$H487)="","Start Date; ","")&amp;IF(INDEX('Game Records'!$C:$C,$H487)="","End Date; ","")&amp;IF(AND(INDEX('Game Records'!$U:$U,$H487)&lt;&gt;"Subscription",INDEX('Game Records'!$U:$U,$H487)&lt;&gt;"Free Game",INDEX('Game Records'!$U:$U,$H487)&lt;&gt;"Disqualified — Free Game",OR(INDEX('Game Records'!$D:$D,$H487)="",LOWER(INDEX('Game Records'!$D:$D,$H487)&amp;"")="n/a")),"Entry Mode; ","")&amp;IF(AND(INDEX('Game Records'!$U:$U,$H487)&lt;&gt;"Subscription",INDEX('Game Records'!$U:$U,$H487)&lt;&gt;"Free Game",INDEX('Game Records'!$U:$U,$H487)&lt;&gt;"Disqualified — Free Game",OR(INDEX('Game Records'!$E:$E,$H487)="",LOWER(INDEX('Game Records'!$E:$E,$H487)&amp;"")="n/a")),"Game Type; ","")&amp;IF(INDEX('Game Records'!$F:$F,$H487)="","Payment Type; ","")&amp;IF(AND(INDEX('Game Records'!$U:$U,$H487)&lt;&gt;"Subscription",INDEX('Game Records'!$U:$U,$H487)&lt;&gt;"Free Game",INDEX('Game Records'!$U:$U,$H487)&lt;&gt;"Disqualified — Free Game",INDEX('Game Records'!$G:$G,$H487)=""),"Gross Pot; ","")&amp;IF(AND(INDEX('Game Records'!$U:$U,$H487)&lt;&gt;"Free Game",INDEX('Game Records'!$U:$U,$H487)&lt;&gt;"Disqualified — Free Game",INDEX('Game Records'!$H:$H,$H487)=""),"Entry Fee; ","")&amp;IF(AND(INDEX('Game Records'!$U:$U,$H487)&lt;&gt;"Subscription",INDEX('Game Records'!$U:$U,$H487)&lt;&gt;"Free Game",INDEX('Game Records'!$U:$U,$H487)&lt;&gt;"Disqualified — Free Game",INDEX('Game Records'!$I:$I,$H487)=""),"Eligible Players; ","")&amp;IF(AND(INDEX('Game Records'!$U:$U,$H487)&lt;&gt;"Subscription",INDEX('Game Records'!$U:$U,$H487)&lt;&gt;"Free Game",INDEX('Game Records'!$U:$U,$H487)&lt;&gt;"Disqualified — Free Game",INDEX('Game Records'!$J:$J,$H487)=""),"Total Players; ","")&amp;IF(AND(LOWER(INDEX('Game Records'!$D:$D,$H487)&amp;"")="finalized",LOWER(INDEX('Game Records'!$L:$L,$H487)&amp;"")&lt;&gt;"yes",INDEX('Game Records'!$U:$U,$H487)&lt;&gt;"Subscription",INDEX('Game Records'!$U:$U,$H487)&lt;&gt;"Free Game",INDEX('Game Records'!$U:$U,$H487)&lt;&gt;"Disqualified — Free Game",INDEX('Game Records'!$K:$K,$H487)=""),"Final Payout; ","")&amp;IF(AND(LOWER(INDEX('Game Records'!$D:$D,$H487)&amp;"")="finalized",INDEX('Game Records'!$U:$U,$H487)&lt;&gt;"Subscription",INDEX('Game Records'!$U:$U,$H487)&lt;&gt;"Free Game",INDEX('Game Records'!$U:$U,$H487)&lt;&gt;"Disqualified — Free Game",OR(INDEX('Game Records'!$L:$L,$H487)="",LOWER(INDEX('Game Records'!$L:$L,$H487)&amp;"")="n/a")),"Disqualified Status; ",""))</f>
        <v/>
      </c>
      <c r="G487" s="25" t="str">
        <f t="array" ref="G487">IF($H487="","",IFERROR(INDEX('Game Records'!$M:$M,$H487),""))</f>
        <v/>
      </c>
      <c r="H487" s="8"/>
    </row>
    <row r="488" ht="24.0" customHeight="1">
      <c r="A488" s="21" t="str">
        <f t="shared" si="1"/>
        <v/>
      </c>
      <c r="B488" s="21" t="str">
        <f t="shared" si="2"/>
        <v/>
      </c>
      <c r="C488" s="25" t="str">
        <f t="array" ref="C488">IF($H488="","",IFERROR(INDEX('Game Records'!$A:$A,$H488),""))</f>
        <v/>
      </c>
      <c r="D488" s="25" t="str">
        <f t="array" ref="D488">IF($H488="","",IFERROR(INDEX('Game Records'!$U:$U,$H488),""))</f>
        <v/>
      </c>
      <c r="E488" s="25" t="str">
        <f t="shared" si="3"/>
        <v/>
      </c>
      <c r="F488" s="25" t="str">
        <f t="array" ref="F488">IF($H488="","",IF(OR(NOT(_xlfn.ISFORMULA(INDEX('Game Records'!$N:$N,$H488))),NOT(_xlfn.ISFORMULA(INDEX('Game Records'!$O:$O,$H488))),NOT(_xlfn.ISFORMULA(INDEX('Game Records'!$P:$P,$H488))),NOT(_xlfn.ISFORMULA(INDEX('Game Records'!$Q:$Q,$H488))),NOT(_xlfn.ISFORMULA(INDEX('Game Records'!$R:$R,$H488))),NOT(_xlfn.ISFORMULA(INDEX('Game Records'!$S:$S,$H488))),NOT(_xlfn.ISFORMULA(INDEX('Game Records'!$T:$T,$H488))),NOT(_xlfn.ISFORMULA(INDEX('Game Records'!$U:$U,$H488))),NOT(_xlfn.ISFORMULA(INDEX('Game Records'!$V:$V,$H488))),NOT(_xlfn.ISFORMULA(INDEX('Game Records'!$W:$W,$H488))),NOT(_xlfn.ISFORMULA(INDEX('Game Records'!$X:$X,$H488))),NOT(_xlfn.ISFORMULA(INDEX('Game Records'!$Y:$Y,$H488))),NOT(_xlfn.ISFORMULA(INDEX('Game Records'!$Z:$Z,$H488)))),"","")&amp;IF(INDEX('Game Records'!$B:$B,$H488)="","Start Date; ","")&amp;IF(INDEX('Game Records'!$C:$C,$H488)="","End Date; ","")&amp;IF(AND(INDEX('Game Records'!$U:$U,$H488)&lt;&gt;"Subscription",INDEX('Game Records'!$U:$U,$H488)&lt;&gt;"Free Game",INDEX('Game Records'!$U:$U,$H488)&lt;&gt;"Disqualified — Free Game",OR(INDEX('Game Records'!$D:$D,$H488)="",LOWER(INDEX('Game Records'!$D:$D,$H488)&amp;"")="n/a")),"Entry Mode; ","")&amp;IF(AND(INDEX('Game Records'!$U:$U,$H488)&lt;&gt;"Subscription",INDEX('Game Records'!$U:$U,$H488)&lt;&gt;"Free Game",INDEX('Game Records'!$U:$U,$H488)&lt;&gt;"Disqualified — Free Game",OR(INDEX('Game Records'!$E:$E,$H488)="",LOWER(INDEX('Game Records'!$E:$E,$H488)&amp;"")="n/a")),"Game Type; ","")&amp;IF(INDEX('Game Records'!$F:$F,$H488)="","Payment Type; ","")&amp;IF(AND(INDEX('Game Records'!$U:$U,$H488)&lt;&gt;"Subscription",INDEX('Game Records'!$U:$U,$H488)&lt;&gt;"Free Game",INDEX('Game Records'!$U:$U,$H488)&lt;&gt;"Disqualified — Free Game",INDEX('Game Records'!$G:$G,$H488)=""),"Gross Pot; ","")&amp;IF(AND(INDEX('Game Records'!$U:$U,$H488)&lt;&gt;"Free Game",INDEX('Game Records'!$U:$U,$H488)&lt;&gt;"Disqualified — Free Game",INDEX('Game Records'!$H:$H,$H488)=""),"Entry Fee; ","")&amp;IF(AND(INDEX('Game Records'!$U:$U,$H488)&lt;&gt;"Subscription",INDEX('Game Records'!$U:$U,$H488)&lt;&gt;"Free Game",INDEX('Game Records'!$U:$U,$H488)&lt;&gt;"Disqualified — Free Game",INDEX('Game Records'!$I:$I,$H488)=""),"Eligible Players; ","")&amp;IF(AND(INDEX('Game Records'!$U:$U,$H488)&lt;&gt;"Subscription",INDEX('Game Records'!$U:$U,$H488)&lt;&gt;"Free Game",INDEX('Game Records'!$U:$U,$H488)&lt;&gt;"Disqualified — Free Game",INDEX('Game Records'!$J:$J,$H488)=""),"Total Players; ","")&amp;IF(AND(LOWER(INDEX('Game Records'!$D:$D,$H488)&amp;"")="finalized",LOWER(INDEX('Game Records'!$L:$L,$H488)&amp;"")&lt;&gt;"yes",INDEX('Game Records'!$U:$U,$H488)&lt;&gt;"Subscription",INDEX('Game Records'!$U:$U,$H488)&lt;&gt;"Free Game",INDEX('Game Records'!$U:$U,$H488)&lt;&gt;"Disqualified — Free Game",INDEX('Game Records'!$K:$K,$H488)=""),"Final Payout; ","")&amp;IF(AND(LOWER(INDEX('Game Records'!$D:$D,$H488)&amp;"")="finalized",INDEX('Game Records'!$U:$U,$H488)&lt;&gt;"Subscription",INDEX('Game Records'!$U:$U,$H488)&lt;&gt;"Free Game",INDEX('Game Records'!$U:$U,$H488)&lt;&gt;"Disqualified — Free Game",OR(INDEX('Game Records'!$L:$L,$H488)="",LOWER(INDEX('Game Records'!$L:$L,$H488)&amp;"")="n/a")),"Disqualified Status; ",""))</f>
        <v/>
      </c>
      <c r="G488" s="25" t="str">
        <f t="array" ref="G488">IF($H488="","",IFERROR(INDEX('Game Records'!$M:$M,$H488),""))</f>
        <v/>
      </c>
      <c r="H488" s="8"/>
    </row>
    <row r="489" ht="24.0" customHeight="1">
      <c r="A489" s="21" t="str">
        <f t="shared" si="1"/>
        <v/>
      </c>
      <c r="B489" s="21" t="str">
        <f t="shared" si="2"/>
        <v/>
      </c>
      <c r="C489" s="25" t="str">
        <f t="array" ref="C489">IF($H489="","",IFERROR(INDEX('Game Records'!$A:$A,$H489),""))</f>
        <v/>
      </c>
      <c r="D489" s="25" t="str">
        <f t="array" ref="D489">IF($H489="","",IFERROR(INDEX('Game Records'!$U:$U,$H489),""))</f>
        <v/>
      </c>
      <c r="E489" s="25" t="str">
        <f t="shared" si="3"/>
        <v/>
      </c>
      <c r="F489" s="25" t="str">
        <f t="array" ref="F489">IF($H489="","",IF(OR(NOT(_xlfn.ISFORMULA(INDEX('Game Records'!$N:$N,$H489))),NOT(_xlfn.ISFORMULA(INDEX('Game Records'!$O:$O,$H489))),NOT(_xlfn.ISFORMULA(INDEX('Game Records'!$P:$P,$H489))),NOT(_xlfn.ISFORMULA(INDEX('Game Records'!$Q:$Q,$H489))),NOT(_xlfn.ISFORMULA(INDEX('Game Records'!$R:$R,$H489))),NOT(_xlfn.ISFORMULA(INDEX('Game Records'!$S:$S,$H489))),NOT(_xlfn.ISFORMULA(INDEX('Game Records'!$T:$T,$H489))),NOT(_xlfn.ISFORMULA(INDEX('Game Records'!$U:$U,$H489))),NOT(_xlfn.ISFORMULA(INDEX('Game Records'!$V:$V,$H489))),NOT(_xlfn.ISFORMULA(INDEX('Game Records'!$W:$W,$H489))),NOT(_xlfn.ISFORMULA(INDEX('Game Records'!$X:$X,$H489))),NOT(_xlfn.ISFORMULA(INDEX('Game Records'!$Y:$Y,$H489))),NOT(_xlfn.ISFORMULA(INDEX('Game Records'!$Z:$Z,$H489)))),"","")&amp;IF(INDEX('Game Records'!$B:$B,$H489)="","Start Date; ","")&amp;IF(INDEX('Game Records'!$C:$C,$H489)="","End Date; ","")&amp;IF(AND(INDEX('Game Records'!$U:$U,$H489)&lt;&gt;"Subscription",INDEX('Game Records'!$U:$U,$H489)&lt;&gt;"Free Game",INDEX('Game Records'!$U:$U,$H489)&lt;&gt;"Disqualified — Free Game",OR(INDEX('Game Records'!$D:$D,$H489)="",LOWER(INDEX('Game Records'!$D:$D,$H489)&amp;"")="n/a")),"Entry Mode; ","")&amp;IF(AND(INDEX('Game Records'!$U:$U,$H489)&lt;&gt;"Subscription",INDEX('Game Records'!$U:$U,$H489)&lt;&gt;"Free Game",INDEX('Game Records'!$U:$U,$H489)&lt;&gt;"Disqualified — Free Game",OR(INDEX('Game Records'!$E:$E,$H489)="",LOWER(INDEX('Game Records'!$E:$E,$H489)&amp;"")="n/a")),"Game Type; ","")&amp;IF(INDEX('Game Records'!$F:$F,$H489)="","Payment Type; ","")&amp;IF(AND(INDEX('Game Records'!$U:$U,$H489)&lt;&gt;"Subscription",INDEX('Game Records'!$U:$U,$H489)&lt;&gt;"Free Game",INDEX('Game Records'!$U:$U,$H489)&lt;&gt;"Disqualified — Free Game",INDEX('Game Records'!$G:$G,$H489)=""),"Gross Pot; ","")&amp;IF(AND(INDEX('Game Records'!$U:$U,$H489)&lt;&gt;"Free Game",INDEX('Game Records'!$U:$U,$H489)&lt;&gt;"Disqualified — Free Game",INDEX('Game Records'!$H:$H,$H489)=""),"Entry Fee; ","")&amp;IF(AND(INDEX('Game Records'!$U:$U,$H489)&lt;&gt;"Subscription",INDEX('Game Records'!$U:$U,$H489)&lt;&gt;"Free Game",INDEX('Game Records'!$U:$U,$H489)&lt;&gt;"Disqualified — Free Game",INDEX('Game Records'!$I:$I,$H489)=""),"Eligible Players; ","")&amp;IF(AND(INDEX('Game Records'!$U:$U,$H489)&lt;&gt;"Subscription",INDEX('Game Records'!$U:$U,$H489)&lt;&gt;"Free Game",INDEX('Game Records'!$U:$U,$H489)&lt;&gt;"Disqualified — Free Game",INDEX('Game Records'!$J:$J,$H489)=""),"Total Players; ","")&amp;IF(AND(LOWER(INDEX('Game Records'!$D:$D,$H489)&amp;"")="finalized",LOWER(INDEX('Game Records'!$L:$L,$H489)&amp;"")&lt;&gt;"yes",INDEX('Game Records'!$U:$U,$H489)&lt;&gt;"Subscription",INDEX('Game Records'!$U:$U,$H489)&lt;&gt;"Free Game",INDEX('Game Records'!$U:$U,$H489)&lt;&gt;"Disqualified — Free Game",INDEX('Game Records'!$K:$K,$H489)=""),"Final Payout; ","")&amp;IF(AND(LOWER(INDEX('Game Records'!$D:$D,$H489)&amp;"")="finalized",INDEX('Game Records'!$U:$U,$H489)&lt;&gt;"Subscription",INDEX('Game Records'!$U:$U,$H489)&lt;&gt;"Free Game",INDEX('Game Records'!$U:$U,$H489)&lt;&gt;"Disqualified — Free Game",OR(INDEX('Game Records'!$L:$L,$H489)="",LOWER(INDEX('Game Records'!$L:$L,$H489)&amp;"")="n/a")),"Disqualified Status; ",""))</f>
        <v/>
      </c>
      <c r="G489" s="25" t="str">
        <f t="array" ref="G489">IF($H489="","",IFERROR(INDEX('Game Records'!$M:$M,$H489),""))</f>
        <v/>
      </c>
      <c r="H489" s="8"/>
    </row>
    <row r="490" ht="24.0" customHeight="1">
      <c r="A490" s="21" t="str">
        <f t="shared" si="1"/>
        <v/>
      </c>
      <c r="B490" s="21" t="str">
        <f t="shared" si="2"/>
        <v/>
      </c>
      <c r="C490" s="25" t="str">
        <f t="array" ref="C490">IF($H490="","",IFERROR(INDEX('Game Records'!$A:$A,$H490),""))</f>
        <v/>
      </c>
      <c r="D490" s="25" t="str">
        <f t="array" ref="D490">IF($H490="","",IFERROR(INDEX('Game Records'!$U:$U,$H490),""))</f>
        <v/>
      </c>
      <c r="E490" s="25" t="str">
        <f t="shared" si="3"/>
        <v/>
      </c>
      <c r="F490" s="25" t="str">
        <f t="array" ref="F490">IF($H490="","",IF(OR(NOT(_xlfn.ISFORMULA(INDEX('Game Records'!$N:$N,$H490))),NOT(_xlfn.ISFORMULA(INDEX('Game Records'!$O:$O,$H490))),NOT(_xlfn.ISFORMULA(INDEX('Game Records'!$P:$P,$H490))),NOT(_xlfn.ISFORMULA(INDEX('Game Records'!$Q:$Q,$H490))),NOT(_xlfn.ISFORMULA(INDEX('Game Records'!$R:$R,$H490))),NOT(_xlfn.ISFORMULA(INDEX('Game Records'!$S:$S,$H490))),NOT(_xlfn.ISFORMULA(INDEX('Game Records'!$T:$T,$H490))),NOT(_xlfn.ISFORMULA(INDEX('Game Records'!$U:$U,$H490))),NOT(_xlfn.ISFORMULA(INDEX('Game Records'!$V:$V,$H490))),NOT(_xlfn.ISFORMULA(INDEX('Game Records'!$W:$W,$H490))),NOT(_xlfn.ISFORMULA(INDEX('Game Records'!$X:$X,$H490))),NOT(_xlfn.ISFORMULA(INDEX('Game Records'!$Y:$Y,$H490))),NOT(_xlfn.ISFORMULA(INDEX('Game Records'!$Z:$Z,$H490)))),"","")&amp;IF(INDEX('Game Records'!$B:$B,$H490)="","Start Date; ","")&amp;IF(INDEX('Game Records'!$C:$C,$H490)="","End Date; ","")&amp;IF(AND(INDEX('Game Records'!$U:$U,$H490)&lt;&gt;"Subscription",INDEX('Game Records'!$U:$U,$H490)&lt;&gt;"Free Game",INDEX('Game Records'!$U:$U,$H490)&lt;&gt;"Disqualified — Free Game",OR(INDEX('Game Records'!$D:$D,$H490)="",LOWER(INDEX('Game Records'!$D:$D,$H490)&amp;"")="n/a")),"Entry Mode; ","")&amp;IF(AND(INDEX('Game Records'!$U:$U,$H490)&lt;&gt;"Subscription",INDEX('Game Records'!$U:$U,$H490)&lt;&gt;"Free Game",INDEX('Game Records'!$U:$U,$H490)&lt;&gt;"Disqualified — Free Game",OR(INDEX('Game Records'!$E:$E,$H490)="",LOWER(INDEX('Game Records'!$E:$E,$H490)&amp;"")="n/a")),"Game Type; ","")&amp;IF(INDEX('Game Records'!$F:$F,$H490)="","Payment Type; ","")&amp;IF(AND(INDEX('Game Records'!$U:$U,$H490)&lt;&gt;"Subscription",INDEX('Game Records'!$U:$U,$H490)&lt;&gt;"Free Game",INDEX('Game Records'!$U:$U,$H490)&lt;&gt;"Disqualified — Free Game",INDEX('Game Records'!$G:$G,$H490)=""),"Gross Pot; ","")&amp;IF(AND(INDEX('Game Records'!$U:$U,$H490)&lt;&gt;"Free Game",INDEX('Game Records'!$U:$U,$H490)&lt;&gt;"Disqualified — Free Game",INDEX('Game Records'!$H:$H,$H490)=""),"Entry Fee; ","")&amp;IF(AND(INDEX('Game Records'!$U:$U,$H490)&lt;&gt;"Subscription",INDEX('Game Records'!$U:$U,$H490)&lt;&gt;"Free Game",INDEX('Game Records'!$U:$U,$H490)&lt;&gt;"Disqualified — Free Game",INDEX('Game Records'!$I:$I,$H490)=""),"Eligible Players; ","")&amp;IF(AND(INDEX('Game Records'!$U:$U,$H490)&lt;&gt;"Subscription",INDEX('Game Records'!$U:$U,$H490)&lt;&gt;"Free Game",INDEX('Game Records'!$U:$U,$H490)&lt;&gt;"Disqualified — Free Game",INDEX('Game Records'!$J:$J,$H490)=""),"Total Players; ","")&amp;IF(AND(LOWER(INDEX('Game Records'!$D:$D,$H490)&amp;"")="finalized",LOWER(INDEX('Game Records'!$L:$L,$H490)&amp;"")&lt;&gt;"yes",INDEX('Game Records'!$U:$U,$H490)&lt;&gt;"Subscription",INDEX('Game Records'!$U:$U,$H490)&lt;&gt;"Free Game",INDEX('Game Records'!$U:$U,$H490)&lt;&gt;"Disqualified — Free Game",INDEX('Game Records'!$K:$K,$H490)=""),"Final Payout; ","")&amp;IF(AND(LOWER(INDEX('Game Records'!$D:$D,$H490)&amp;"")="finalized",INDEX('Game Records'!$U:$U,$H490)&lt;&gt;"Subscription",INDEX('Game Records'!$U:$U,$H490)&lt;&gt;"Free Game",INDEX('Game Records'!$U:$U,$H490)&lt;&gt;"Disqualified — Free Game",OR(INDEX('Game Records'!$L:$L,$H490)="",LOWER(INDEX('Game Records'!$L:$L,$H490)&amp;"")="n/a")),"Disqualified Status; ",""))</f>
        <v/>
      </c>
      <c r="G490" s="25" t="str">
        <f t="array" ref="G490">IF($H490="","",IFERROR(INDEX('Game Records'!$M:$M,$H490),""))</f>
        <v/>
      </c>
      <c r="H490" s="8"/>
    </row>
    <row r="491" ht="24.0" customHeight="1">
      <c r="A491" s="21" t="str">
        <f t="shared" si="1"/>
        <v/>
      </c>
      <c r="B491" s="21" t="str">
        <f t="shared" si="2"/>
        <v/>
      </c>
      <c r="C491" s="25" t="str">
        <f t="array" ref="C491">IF($H491="","",IFERROR(INDEX('Game Records'!$A:$A,$H491),""))</f>
        <v/>
      </c>
      <c r="D491" s="25" t="str">
        <f t="array" ref="D491">IF($H491="","",IFERROR(INDEX('Game Records'!$U:$U,$H491),""))</f>
        <v/>
      </c>
      <c r="E491" s="25" t="str">
        <f t="shared" si="3"/>
        <v/>
      </c>
      <c r="F491" s="25" t="str">
        <f t="array" ref="F491">IF($H491="","",IF(OR(NOT(_xlfn.ISFORMULA(INDEX('Game Records'!$N:$N,$H491))),NOT(_xlfn.ISFORMULA(INDEX('Game Records'!$O:$O,$H491))),NOT(_xlfn.ISFORMULA(INDEX('Game Records'!$P:$P,$H491))),NOT(_xlfn.ISFORMULA(INDEX('Game Records'!$Q:$Q,$H491))),NOT(_xlfn.ISFORMULA(INDEX('Game Records'!$R:$R,$H491))),NOT(_xlfn.ISFORMULA(INDEX('Game Records'!$S:$S,$H491))),NOT(_xlfn.ISFORMULA(INDEX('Game Records'!$T:$T,$H491))),NOT(_xlfn.ISFORMULA(INDEX('Game Records'!$U:$U,$H491))),NOT(_xlfn.ISFORMULA(INDEX('Game Records'!$V:$V,$H491))),NOT(_xlfn.ISFORMULA(INDEX('Game Records'!$W:$W,$H491))),NOT(_xlfn.ISFORMULA(INDEX('Game Records'!$X:$X,$H491))),NOT(_xlfn.ISFORMULA(INDEX('Game Records'!$Y:$Y,$H491))),NOT(_xlfn.ISFORMULA(INDEX('Game Records'!$Z:$Z,$H491)))),"","")&amp;IF(INDEX('Game Records'!$B:$B,$H491)="","Start Date; ","")&amp;IF(INDEX('Game Records'!$C:$C,$H491)="","End Date; ","")&amp;IF(AND(INDEX('Game Records'!$U:$U,$H491)&lt;&gt;"Subscription",INDEX('Game Records'!$U:$U,$H491)&lt;&gt;"Free Game",INDEX('Game Records'!$U:$U,$H491)&lt;&gt;"Disqualified — Free Game",OR(INDEX('Game Records'!$D:$D,$H491)="",LOWER(INDEX('Game Records'!$D:$D,$H491)&amp;"")="n/a")),"Entry Mode; ","")&amp;IF(AND(INDEX('Game Records'!$U:$U,$H491)&lt;&gt;"Subscription",INDEX('Game Records'!$U:$U,$H491)&lt;&gt;"Free Game",INDEX('Game Records'!$U:$U,$H491)&lt;&gt;"Disqualified — Free Game",OR(INDEX('Game Records'!$E:$E,$H491)="",LOWER(INDEX('Game Records'!$E:$E,$H491)&amp;"")="n/a")),"Game Type; ","")&amp;IF(INDEX('Game Records'!$F:$F,$H491)="","Payment Type; ","")&amp;IF(AND(INDEX('Game Records'!$U:$U,$H491)&lt;&gt;"Subscription",INDEX('Game Records'!$U:$U,$H491)&lt;&gt;"Free Game",INDEX('Game Records'!$U:$U,$H491)&lt;&gt;"Disqualified — Free Game",INDEX('Game Records'!$G:$G,$H491)=""),"Gross Pot; ","")&amp;IF(AND(INDEX('Game Records'!$U:$U,$H491)&lt;&gt;"Free Game",INDEX('Game Records'!$U:$U,$H491)&lt;&gt;"Disqualified — Free Game",INDEX('Game Records'!$H:$H,$H491)=""),"Entry Fee; ","")&amp;IF(AND(INDEX('Game Records'!$U:$U,$H491)&lt;&gt;"Subscription",INDEX('Game Records'!$U:$U,$H491)&lt;&gt;"Free Game",INDEX('Game Records'!$U:$U,$H491)&lt;&gt;"Disqualified — Free Game",INDEX('Game Records'!$I:$I,$H491)=""),"Eligible Players; ","")&amp;IF(AND(INDEX('Game Records'!$U:$U,$H491)&lt;&gt;"Subscription",INDEX('Game Records'!$U:$U,$H491)&lt;&gt;"Free Game",INDEX('Game Records'!$U:$U,$H491)&lt;&gt;"Disqualified — Free Game",INDEX('Game Records'!$J:$J,$H491)=""),"Total Players; ","")&amp;IF(AND(LOWER(INDEX('Game Records'!$D:$D,$H491)&amp;"")="finalized",LOWER(INDEX('Game Records'!$L:$L,$H491)&amp;"")&lt;&gt;"yes",INDEX('Game Records'!$U:$U,$H491)&lt;&gt;"Subscription",INDEX('Game Records'!$U:$U,$H491)&lt;&gt;"Free Game",INDEX('Game Records'!$U:$U,$H491)&lt;&gt;"Disqualified — Free Game",INDEX('Game Records'!$K:$K,$H491)=""),"Final Payout; ","")&amp;IF(AND(LOWER(INDEX('Game Records'!$D:$D,$H491)&amp;"")="finalized",INDEX('Game Records'!$U:$U,$H491)&lt;&gt;"Subscription",INDEX('Game Records'!$U:$U,$H491)&lt;&gt;"Free Game",INDEX('Game Records'!$U:$U,$H491)&lt;&gt;"Disqualified — Free Game",OR(INDEX('Game Records'!$L:$L,$H491)="",LOWER(INDEX('Game Records'!$L:$L,$H491)&amp;"")="n/a")),"Disqualified Status; ",""))</f>
        <v/>
      </c>
      <c r="G491" s="25" t="str">
        <f t="array" ref="G491">IF($H491="","",IFERROR(INDEX('Game Records'!$M:$M,$H491),""))</f>
        <v/>
      </c>
      <c r="H491" s="8"/>
    </row>
    <row r="492" ht="24.0" customHeight="1">
      <c r="A492" s="21" t="str">
        <f t="shared" si="1"/>
        <v/>
      </c>
      <c r="B492" s="21" t="str">
        <f t="shared" si="2"/>
        <v/>
      </c>
      <c r="C492" s="25" t="str">
        <f t="array" ref="C492">IF($H492="","",IFERROR(INDEX('Game Records'!$A:$A,$H492),""))</f>
        <v/>
      </c>
      <c r="D492" s="25" t="str">
        <f t="array" ref="D492">IF($H492="","",IFERROR(INDEX('Game Records'!$U:$U,$H492),""))</f>
        <v/>
      </c>
      <c r="E492" s="25" t="str">
        <f t="shared" si="3"/>
        <v/>
      </c>
      <c r="F492" s="25" t="str">
        <f t="array" ref="F492">IF($H492="","",IF(OR(NOT(_xlfn.ISFORMULA(INDEX('Game Records'!$N:$N,$H492))),NOT(_xlfn.ISFORMULA(INDEX('Game Records'!$O:$O,$H492))),NOT(_xlfn.ISFORMULA(INDEX('Game Records'!$P:$P,$H492))),NOT(_xlfn.ISFORMULA(INDEX('Game Records'!$Q:$Q,$H492))),NOT(_xlfn.ISFORMULA(INDEX('Game Records'!$R:$R,$H492))),NOT(_xlfn.ISFORMULA(INDEX('Game Records'!$S:$S,$H492))),NOT(_xlfn.ISFORMULA(INDEX('Game Records'!$T:$T,$H492))),NOT(_xlfn.ISFORMULA(INDEX('Game Records'!$U:$U,$H492))),NOT(_xlfn.ISFORMULA(INDEX('Game Records'!$V:$V,$H492))),NOT(_xlfn.ISFORMULA(INDEX('Game Records'!$W:$W,$H492))),NOT(_xlfn.ISFORMULA(INDEX('Game Records'!$X:$X,$H492))),NOT(_xlfn.ISFORMULA(INDEX('Game Records'!$Y:$Y,$H492))),NOT(_xlfn.ISFORMULA(INDEX('Game Records'!$Z:$Z,$H492)))),"","")&amp;IF(INDEX('Game Records'!$B:$B,$H492)="","Start Date; ","")&amp;IF(INDEX('Game Records'!$C:$C,$H492)="","End Date; ","")&amp;IF(AND(INDEX('Game Records'!$U:$U,$H492)&lt;&gt;"Subscription",INDEX('Game Records'!$U:$U,$H492)&lt;&gt;"Free Game",INDEX('Game Records'!$U:$U,$H492)&lt;&gt;"Disqualified — Free Game",OR(INDEX('Game Records'!$D:$D,$H492)="",LOWER(INDEX('Game Records'!$D:$D,$H492)&amp;"")="n/a")),"Entry Mode; ","")&amp;IF(AND(INDEX('Game Records'!$U:$U,$H492)&lt;&gt;"Subscription",INDEX('Game Records'!$U:$U,$H492)&lt;&gt;"Free Game",INDEX('Game Records'!$U:$U,$H492)&lt;&gt;"Disqualified — Free Game",OR(INDEX('Game Records'!$E:$E,$H492)="",LOWER(INDEX('Game Records'!$E:$E,$H492)&amp;"")="n/a")),"Game Type; ","")&amp;IF(INDEX('Game Records'!$F:$F,$H492)="","Payment Type; ","")&amp;IF(AND(INDEX('Game Records'!$U:$U,$H492)&lt;&gt;"Subscription",INDEX('Game Records'!$U:$U,$H492)&lt;&gt;"Free Game",INDEX('Game Records'!$U:$U,$H492)&lt;&gt;"Disqualified — Free Game",INDEX('Game Records'!$G:$G,$H492)=""),"Gross Pot; ","")&amp;IF(AND(INDEX('Game Records'!$U:$U,$H492)&lt;&gt;"Free Game",INDEX('Game Records'!$U:$U,$H492)&lt;&gt;"Disqualified — Free Game",INDEX('Game Records'!$H:$H,$H492)=""),"Entry Fee; ","")&amp;IF(AND(INDEX('Game Records'!$U:$U,$H492)&lt;&gt;"Subscription",INDEX('Game Records'!$U:$U,$H492)&lt;&gt;"Free Game",INDEX('Game Records'!$U:$U,$H492)&lt;&gt;"Disqualified — Free Game",INDEX('Game Records'!$I:$I,$H492)=""),"Eligible Players; ","")&amp;IF(AND(INDEX('Game Records'!$U:$U,$H492)&lt;&gt;"Subscription",INDEX('Game Records'!$U:$U,$H492)&lt;&gt;"Free Game",INDEX('Game Records'!$U:$U,$H492)&lt;&gt;"Disqualified — Free Game",INDEX('Game Records'!$J:$J,$H492)=""),"Total Players; ","")&amp;IF(AND(LOWER(INDEX('Game Records'!$D:$D,$H492)&amp;"")="finalized",LOWER(INDEX('Game Records'!$L:$L,$H492)&amp;"")&lt;&gt;"yes",INDEX('Game Records'!$U:$U,$H492)&lt;&gt;"Subscription",INDEX('Game Records'!$U:$U,$H492)&lt;&gt;"Free Game",INDEX('Game Records'!$U:$U,$H492)&lt;&gt;"Disqualified — Free Game",INDEX('Game Records'!$K:$K,$H492)=""),"Final Payout; ","")&amp;IF(AND(LOWER(INDEX('Game Records'!$D:$D,$H492)&amp;"")="finalized",INDEX('Game Records'!$U:$U,$H492)&lt;&gt;"Subscription",INDEX('Game Records'!$U:$U,$H492)&lt;&gt;"Free Game",INDEX('Game Records'!$U:$U,$H492)&lt;&gt;"Disqualified — Free Game",OR(INDEX('Game Records'!$L:$L,$H492)="",LOWER(INDEX('Game Records'!$L:$L,$H492)&amp;"")="n/a")),"Disqualified Status; ",""))</f>
        <v/>
      </c>
      <c r="G492" s="25" t="str">
        <f t="array" ref="G492">IF($H492="","",IFERROR(INDEX('Game Records'!$M:$M,$H492),""))</f>
        <v/>
      </c>
      <c r="H492" s="8"/>
    </row>
    <row r="493" ht="24.0" customHeight="1">
      <c r="A493" s="21" t="str">
        <f t="shared" si="1"/>
        <v/>
      </c>
      <c r="B493" s="21" t="str">
        <f t="shared" si="2"/>
        <v/>
      </c>
      <c r="C493" s="25" t="str">
        <f t="array" ref="C493">IF($H493="","",IFERROR(INDEX('Game Records'!$A:$A,$H493),""))</f>
        <v/>
      </c>
      <c r="D493" s="25" t="str">
        <f t="array" ref="D493">IF($H493="","",IFERROR(INDEX('Game Records'!$U:$U,$H493),""))</f>
        <v/>
      </c>
      <c r="E493" s="25" t="str">
        <f t="shared" si="3"/>
        <v/>
      </c>
      <c r="F493" s="25" t="str">
        <f t="array" ref="F493">IF($H493="","",IF(OR(NOT(_xlfn.ISFORMULA(INDEX('Game Records'!$N:$N,$H493))),NOT(_xlfn.ISFORMULA(INDEX('Game Records'!$O:$O,$H493))),NOT(_xlfn.ISFORMULA(INDEX('Game Records'!$P:$P,$H493))),NOT(_xlfn.ISFORMULA(INDEX('Game Records'!$Q:$Q,$H493))),NOT(_xlfn.ISFORMULA(INDEX('Game Records'!$R:$R,$H493))),NOT(_xlfn.ISFORMULA(INDEX('Game Records'!$S:$S,$H493))),NOT(_xlfn.ISFORMULA(INDEX('Game Records'!$T:$T,$H493))),NOT(_xlfn.ISFORMULA(INDEX('Game Records'!$U:$U,$H493))),NOT(_xlfn.ISFORMULA(INDEX('Game Records'!$V:$V,$H493))),NOT(_xlfn.ISFORMULA(INDEX('Game Records'!$W:$W,$H493))),NOT(_xlfn.ISFORMULA(INDEX('Game Records'!$X:$X,$H493))),NOT(_xlfn.ISFORMULA(INDEX('Game Records'!$Y:$Y,$H493))),NOT(_xlfn.ISFORMULA(INDEX('Game Records'!$Z:$Z,$H493)))),"","")&amp;IF(INDEX('Game Records'!$B:$B,$H493)="","Start Date; ","")&amp;IF(INDEX('Game Records'!$C:$C,$H493)="","End Date; ","")&amp;IF(AND(INDEX('Game Records'!$U:$U,$H493)&lt;&gt;"Subscription",INDEX('Game Records'!$U:$U,$H493)&lt;&gt;"Free Game",INDEX('Game Records'!$U:$U,$H493)&lt;&gt;"Disqualified — Free Game",OR(INDEX('Game Records'!$D:$D,$H493)="",LOWER(INDEX('Game Records'!$D:$D,$H493)&amp;"")="n/a")),"Entry Mode; ","")&amp;IF(AND(INDEX('Game Records'!$U:$U,$H493)&lt;&gt;"Subscription",INDEX('Game Records'!$U:$U,$H493)&lt;&gt;"Free Game",INDEX('Game Records'!$U:$U,$H493)&lt;&gt;"Disqualified — Free Game",OR(INDEX('Game Records'!$E:$E,$H493)="",LOWER(INDEX('Game Records'!$E:$E,$H493)&amp;"")="n/a")),"Game Type; ","")&amp;IF(INDEX('Game Records'!$F:$F,$H493)="","Payment Type; ","")&amp;IF(AND(INDEX('Game Records'!$U:$U,$H493)&lt;&gt;"Subscription",INDEX('Game Records'!$U:$U,$H493)&lt;&gt;"Free Game",INDEX('Game Records'!$U:$U,$H493)&lt;&gt;"Disqualified — Free Game",INDEX('Game Records'!$G:$G,$H493)=""),"Gross Pot; ","")&amp;IF(AND(INDEX('Game Records'!$U:$U,$H493)&lt;&gt;"Free Game",INDEX('Game Records'!$U:$U,$H493)&lt;&gt;"Disqualified — Free Game",INDEX('Game Records'!$H:$H,$H493)=""),"Entry Fee; ","")&amp;IF(AND(INDEX('Game Records'!$U:$U,$H493)&lt;&gt;"Subscription",INDEX('Game Records'!$U:$U,$H493)&lt;&gt;"Free Game",INDEX('Game Records'!$U:$U,$H493)&lt;&gt;"Disqualified — Free Game",INDEX('Game Records'!$I:$I,$H493)=""),"Eligible Players; ","")&amp;IF(AND(INDEX('Game Records'!$U:$U,$H493)&lt;&gt;"Subscription",INDEX('Game Records'!$U:$U,$H493)&lt;&gt;"Free Game",INDEX('Game Records'!$U:$U,$H493)&lt;&gt;"Disqualified — Free Game",INDEX('Game Records'!$J:$J,$H493)=""),"Total Players; ","")&amp;IF(AND(LOWER(INDEX('Game Records'!$D:$D,$H493)&amp;"")="finalized",LOWER(INDEX('Game Records'!$L:$L,$H493)&amp;"")&lt;&gt;"yes",INDEX('Game Records'!$U:$U,$H493)&lt;&gt;"Subscription",INDEX('Game Records'!$U:$U,$H493)&lt;&gt;"Free Game",INDEX('Game Records'!$U:$U,$H493)&lt;&gt;"Disqualified — Free Game",INDEX('Game Records'!$K:$K,$H493)=""),"Final Payout; ","")&amp;IF(AND(LOWER(INDEX('Game Records'!$D:$D,$H493)&amp;"")="finalized",INDEX('Game Records'!$U:$U,$H493)&lt;&gt;"Subscription",INDEX('Game Records'!$U:$U,$H493)&lt;&gt;"Free Game",INDEX('Game Records'!$U:$U,$H493)&lt;&gt;"Disqualified — Free Game",OR(INDEX('Game Records'!$L:$L,$H493)="",LOWER(INDEX('Game Records'!$L:$L,$H493)&amp;"")="n/a")),"Disqualified Status; ",""))</f>
        <v/>
      </c>
      <c r="G493" s="25" t="str">
        <f t="array" ref="G493">IF($H493="","",IFERROR(INDEX('Game Records'!$M:$M,$H493),""))</f>
        <v/>
      </c>
      <c r="H493" s="8"/>
    </row>
    <row r="494" ht="24.0" customHeight="1">
      <c r="A494" s="21" t="str">
        <f t="shared" si="1"/>
        <v/>
      </c>
      <c r="B494" s="21" t="str">
        <f t="shared" si="2"/>
        <v/>
      </c>
      <c r="C494" s="25" t="str">
        <f t="array" ref="C494">IF($H494="","",IFERROR(INDEX('Game Records'!$A:$A,$H494),""))</f>
        <v/>
      </c>
      <c r="D494" s="25" t="str">
        <f t="array" ref="D494">IF($H494="","",IFERROR(INDEX('Game Records'!$U:$U,$H494),""))</f>
        <v/>
      </c>
      <c r="E494" s="25" t="str">
        <f t="shared" si="3"/>
        <v/>
      </c>
      <c r="F494" s="25" t="str">
        <f t="array" ref="F494">IF($H494="","",IF(OR(NOT(_xlfn.ISFORMULA(INDEX('Game Records'!$N:$N,$H494))),NOT(_xlfn.ISFORMULA(INDEX('Game Records'!$O:$O,$H494))),NOT(_xlfn.ISFORMULA(INDEX('Game Records'!$P:$P,$H494))),NOT(_xlfn.ISFORMULA(INDEX('Game Records'!$Q:$Q,$H494))),NOT(_xlfn.ISFORMULA(INDEX('Game Records'!$R:$R,$H494))),NOT(_xlfn.ISFORMULA(INDEX('Game Records'!$S:$S,$H494))),NOT(_xlfn.ISFORMULA(INDEX('Game Records'!$T:$T,$H494))),NOT(_xlfn.ISFORMULA(INDEX('Game Records'!$U:$U,$H494))),NOT(_xlfn.ISFORMULA(INDEX('Game Records'!$V:$V,$H494))),NOT(_xlfn.ISFORMULA(INDEX('Game Records'!$W:$W,$H494))),NOT(_xlfn.ISFORMULA(INDEX('Game Records'!$X:$X,$H494))),NOT(_xlfn.ISFORMULA(INDEX('Game Records'!$Y:$Y,$H494))),NOT(_xlfn.ISFORMULA(INDEX('Game Records'!$Z:$Z,$H494)))),"","")&amp;IF(INDEX('Game Records'!$B:$B,$H494)="","Start Date; ","")&amp;IF(INDEX('Game Records'!$C:$C,$H494)="","End Date; ","")&amp;IF(AND(INDEX('Game Records'!$U:$U,$H494)&lt;&gt;"Subscription",INDEX('Game Records'!$U:$U,$H494)&lt;&gt;"Free Game",INDEX('Game Records'!$U:$U,$H494)&lt;&gt;"Disqualified — Free Game",OR(INDEX('Game Records'!$D:$D,$H494)="",LOWER(INDEX('Game Records'!$D:$D,$H494)&amp;"")="n/a")),"Entry Mode; ","")&amp;IF(AND(INDEX('Game Records'!$U:$U,$H494)&lt;&gt;"Subscription",INDEX('Game Records'!$U:$U,$H494)&lt;&gt;"Free Game",INDEX('Game Records'!$U:$U,$H494)&lt;&gt;"Disqualified — Free Game",OR(INDEX('Game Records'!$E:$E,$H494)="",LOWER(INDEX('Game Records'!$E:$E,$H494)&amp;"")="n/a")),"Game Type; ","")&amp;IF(INDEX('Game Records'!$F:$F,$H494)="","Payment Type; ","")&amp;IF(AND(INDEX('Game Records'!$U:$U,$H494)&lt;&gt;"Subscription",INDEX('Game Records'!$U:$U,$H494)&lt;&gt;"Free Game",INDEX('Game Records'!$U:$U,$H494)&lt;&gt;"Disqualified — Free Game",INDEX('Game Records'!$G:$G,$H494)=""),"Gross Pot; ","")&amp;IF(AND(INDEX('Game Records'!$U:$U,$H494)&lt;&gt;"Free Game",INDEX('Game Records'!$U:$U,$H494)&lt;&gt;"Disqualified — Free Game",INDEX('Game Records'!$H:$H,$H494)=""),"Entry Fee; ","")&amp;IF(AND(INDEX('Game Records'!$U:$U,$H494)&lt;&gt;"Subscription",INDEX('Game Records'!$U:$U,$H494)&lt;&gt;"Free Game",INDEX('Game Records'!$U:$U,$H494)&lt;&gt;"Disqualified — Free Game",INDEX('Game Records'!$I:$I,$H494)=""),"Eligible Players; ","")&amp;IF(AND(INDEX('Game Records'!$U:$U,$H494)&lt;&gt;"Subscription",INDEX('Game Records'!$U:$U,$H494)&lt;&gt;"Free Game",INDEX('Game Records'!$U:$U,$H494)&lt;&gt;"Disqualified — Free Game",INDEX('Game Records'!$J:$J,$H494)=""),"Total Players; ","")&amp;IF(AND(LOWER(INDEX('Game Records'!$D:$D,$H494)&amp;"")="finalized",LOWER(INDEX('Game Records'!$L:$L,$H494)&amp;"")&lt;&gt;"yes",INDEX('Game Records'!$U:$U,$H494)&lt;&gt;"Subscription",INDEX('Game Records'!$U:$U,$H494)&lt;&gt;"Free Game",INDEX('Game Records'!$U:$U,$H494)&lt;&gt;"Disqualified — Free Game",INDEX('Game Records'!$K:$K,$H494)=""),"Final Payout; ","")&amp;IF(AND(LOWER(INDEX('Game Records'!$D:$D,$H494)&amp;"")="finalized",INDEX('Game Records'!$U:$U,$H494)&lt;&gt;"Subscription",INDEX('Game Records'!$U:$U,$H494)&lt;&gt;"Free Game",INDEX('Game Records'!$U:$U,$H494)&lt;&gt;"Disqualified — Free Game",OR(INDEX('Game Records'!$L:$L,$H494)="",LOWER(INDEX('Game Records'!$L:$L,$H494)&amp;"")="n/a")),"Disqualified Status; ",""))</f>
        <v/>
      </c>
      <c r="G494" s="25" t="str">
        <f t="array" ref="G494">IF($H494="","",IFERROR(INDEX('Game Records'!$M:$M,$H494),""))</f>
        <v/>
      </c>
      <c r="H494" s="8"/>
    </row>
    <row r="495" ht="24.0" customHeight="1">
      <c r="A495" s="21" t="str">
        <f t="shared" si="1"/>
        <v/>
      </c>
      <c r="B495" s="21" t="str">
        <f t="shared" si="2"/>
        <v/>
      </c>
      <c r="C495" s="25" t="str">
        <f t="array" ref="C495">IF($H495="","",IFERROR(INDEX('Game Records'!$A:$A,$H495),""))</f>
        <v/>
      </c>
      <c r="D495" s="25" t="str">
        <f t="array" ref="D495">IF($H495="","",IFERROR(INDEX('Game Records'!$U:$U,$H495),""))</f>
        <v/>
      </c>
      <c r="E495" s="25" t="str">
        <f t="shared" si="3"/>
        <v/>
      </c>
      <c r="F495" s="25" t="str">
        <f t="array" ref="F495">IF($H495="","",IF(OR(NOT(_xlfn.ISFORMULA(INDEX('Game Records'!$N:$N,$H495))),NOT(_xlfn.ISFORMULA(INDEX('Game Records'!$O:$O,$H495))),NOT(_xlfn.ISFORMULA(INDEX('Game Records'!$P:$P,$H495))),NOT(_xlfn.ISFORMULA(INDEX('Game Records'!$Q:$Q,$H495))),NOT(_xlfn.ISFORMULA(INDEX('Game Records'!$R:$R,$H495))),NOT(_xlfn.ISFORMULA(INDEX('Game Records'!$S:$S,$H495))),NOT(_xlfn.ISFORMULA(INDEX('Game Records'!$T:$T,$H495))),NOT(_xlfn.ISFORMULA(INDEX('Game Records'!$U:$U,$H495))),NOT(_xlfn.ISFORMULA(INDEX('Game Records'!$V:$V,$H495))),NOT(_xlfn.ISFORMULA(INDEX('Game Records'!$W:$W,$H495))),NOT(_xlfn.ISFORMULA(INDEX('Game Records'!$X:$X,$H495))),NOT(_xlfn.ISFORMULA(INDEX('Game Records'!$Y:$Y,$H495))),NOT(_xlfn.ISFORMULA(INDEX('Game Records'!$Z:$Z,$H495)))),"","")&amp;IF(INDEX('Game Records'!$B:$B,$H495)="","Start Date; ","")&amp;IF(INDEX('Game Records'!$C:$C,$H495)="","End Date; ","")&amp;IF(AND(INDEX('Game Records'!$U:$U,$H495)&lt;&gt;"Subscription",INDEX('Game Records'!$U:$U,$H495)&lt;&gt;"Free Game",INDEX('Game Records'!$U:$U,$H495)&lt;&gt;"Disqualified — Free Game",OR(INDEX('Game Records'!$D:$D,$H495)="",LOWER(INDEX('Game Records'!$D:$D,$H495)&amp;"")="n/a")),"Entry Mode; ","")&amp;IF(AND(INDEX('Game Records'!$U:$U,$H495)&lt;&gt;"Subscription",INDEX('Game Records'!$U:$U,$H495)&lt;&gt;"Free Game",INDEX('Game Records'!$U:$U,$H495)&lt;&gt;"Disqualified — Free Game",OR(INDEX('Game Records'!$E:$E,$H495)="",LOWER(INDEX('Game Records'!$E:$E,$H495)&amp;"")="n/a")),"Game Type; ","")&amp;IF(INDEX('Game Records'!$F:$F,$H495)="","Payment Type; ","")&amp;IF(AND(INDEX('Game Records'!$U:$U,$H495)&lt;&gt;"Subscription",INDEX('Game Records'!$U:$U,$H495)&lt;&gt;"Free Game",INDEX('Game Records'!$U:$U,$H495)&lt;&gt;"Disqualified — Free Game",INDEX('Game Records'!$G:$G,$H495)=""),"Gross Pot; ","")&amp;IF(AND(INDEX('Game Records'!$U:$U,$H495)&lt;&gt;"Free Game",INDEX('Game Records'!$U:$U,$H495)&lt;&gt;"Disqualified — Free Game",INDEX('Game Records'!$H:$H,$H495)=""),"Entry Fee; ","")&amp;IF(AND(INDEX('Game Records'!$U:$U,$H495)&lt;&gt;"Subscription",INDEX('Game Records'!$U:$U,$H495)&lt;&gt;"Free Game",INDEX('Game Records'!$U:$U,$H495)&lt;&gt;"Disqualified — Free Game",INDEX('Game Records'!$I:$I,$H495)=""),"Eligible Players; ","")&amp;IF(AND(INDEX('Game Records'!$U:$U,$H495)&lt;&gt;"Subscription",INDEX('Game Records'!$U:$U,$H495)&lt;&gt;"Free Game",INDEX('Game Records'!$U:$U,$H495)&lt;&gt;"Disqualified — Free Game",INDEX('Game Records'!$J:$J,$H495)=""),"Total Players; ","")&amp;IF(AND(LOWER(INDEX('Game Records'!$D:$D,$H495)&amp;"")="finalized",LOWER(INDEX('Game Records'!$L:$L,$H495)&amp;"")&lt;&gt;"yes",INDEX('Game Records'!$U:$U,$H495)&lt;&gt;"Subscription",INDEX('Game Records'!$U:$U,$H495)&lt;&gt;"Free Game",INDEX('Game Records'!$U:$U,$H495)&lt;&gt;"Disqualified — Free Game",INDEX('Game Records'!$K:$K,$H495)=""),"Final Payout; ","")&amp;IF(AND(LOWER(INDEX('Game Records'!$D:$D,$H495)&amp;"")="finalized",INDEX('Game Records'!$U:$U,$H495)&lt;&gt;"Subscription",INDEX('Game Records'!$U:$U,$H495)&lt;&gt;"Free Game",INDEX('Game Records'!$U:$U,$H495)&lt;&gt;"Disqualified — Free Game",OR(INDEX('Game Records'!$L:$L,$H495)="",LOWER(INDEX('Game Records'!$L:$L,$H495)&amp;"")="n/a")),"Disqualified Status; ",""))</f>
        <v/>
      </c>
      <c r="G495" s="25" t="str">
        <f t="array" ref="G495">IF($H495="","",IFERROR(INDEX('Game Records'!$M:$M,$H495),""))</f>
        <v/>
      </c>
      <c r="H495" s="8"/>
    </row>
    <row r="496" ht="24.0" customHeight="1">
      <c r="A496" s="21" t="str">
        <f t="shared" si="1"/>
        <v/>
      </c>
      <c r="B496" s="21" t="str">
        <f t="shared" si="2"/>
        <v/>
      </c>
      <c r="C496" s="25" t="str">
        <f t="array" ref="C496">IF($H496="","",IFERROR(INDEX('Game Records'!$A:$A,$H496),""))</f>
        <v/>
      </c>
      <c r="D496" s="25" t="str">
        <f t="array" ref="D496">IF($H496="","",IFERROR(INDEX('Game Records'!$U:$U,$H496),""))</f>
        <v/>
      </c>
      <c r="E496" s="25" t="str">
        <f t="shared" si="3"/>
        <v/>
      </c>
      <c r="F496" s="25" t="str">
        <f t="array" ref="F496">IF($H496="","",IF(OR(NOT(_xlfn.ISFORMULA(INDEX('Game Records'!$N:$N,$H496))),NOT(_xlfn.ISFORMULA(INDEX('Game Records'!$O:$O,$H496))),NOT(_xlfn.ISFORMULA(INDEX('Game Records'!$P:$P,$H496))),NOT(_xlfn.ISFORMULA(INDEX('Game Records'!$Q:$Q,$H496))),NOT(_xlfn.ISFORMULA(INDEX('Game Records'!$R:$R,$H496))),NOT(_xlfn.ISFORMULA(INDEX('Game Records'!$S:$S,$H496))),NOT(_xlfn.ISFORMULA(INDEX('Game Records'!$T:$T,$H496))),NOT(_xlfn.ISFORMULA(INDEX('Game Records'!$U:$U,$H496))),NOT(_xlfn.ISFORMULA(INDEX('Game Records'!$V:$V,$H496))),NOT(_xlfn.ISFORMULA(INDEX('Game Records'!$W:$W,$H496))),NOT(_xlfn.ISFORMULA(INDEX('Game Records'!$X:$X,$H496))),NOT(_xlfn.ISFORMULA(INDEX('Game Records'!$Y:$Y,$H496))),NOT(_xlfn.ISFORMULA(INDEX('Game Records'!$Z:$Z,$H496)))),"","")&amp;IF(INDEX('Game Records'!$B:$B,$H496)="","Start Date; ","")&amp;IF(INDEX('Game Records'!$C:$C,$H496)="","End Date; ","")&amp;IF(AND(INDEX('Game Records'!$U:$U,$H496)&lt;&gt;"Subscription",INDEX('Game Records'!$U:$U,$H496)&lt;&gt;"Free Game",INDEX('Game Records'!$U:$U,$H496)&lt;&gt;"Disqualified — Free Game",OR(INDEX('Game Records'!$D:$D,$H496)="",LOWER(INDEX('Game Records'!$D:$D,$H496)&amp;"")="n/a")),"Entry Mode; ","")&amp;IF(AND(INDEX('Game Records'!$U:$U,$H496)&lt;&gt;"Subscription",INDEX('Game Records'!$U:$U,$H496)&lt;&gt;"Free Game",INDEX('Game Records'!$U:$U,$H496)&lt;&gt;"Disqualified — Free Game",OR(INDEX('Game Records'!$E:$E,$H496)="",LOWER(INDEX('Game Records'!$E:$E,$H496)&amp;"")="n/a")),"Game Type; ","")&amp;IF(INDEX('Game Records'!$F:$F,$H496)="","Payment Type; ","")&amp;IF(AND(INDEX('Game Records'!$U:$U,$H496)&lt;&gt;"Subscription",INDEX('Game Records'!$U:$U,$H496)&lt;&gt;"Free Game",INDEX('Game Records'!$U:$U,$H496)&lt;&gt;"Disqualified — Free Game",INDEX('Game Records'!$G:$G,$H496)=""),"Gross Pot; ","")&amp;IF(AND(INDEX('Game Records'!$U:$U,$H496)&lt;&gt;"Free Game",INDEX('Game Records'!$U:$U,$H496)&lt;&gt;"Disqualified — Free Game",INDEX('Game Records'!$H:$H,$H496)=""),"Entry Fee; ","")&amp;IF(AND(INDEX('Game Records'!$U:$U,$H496)&lt;&gt;"Subscription",INDEX('Game Records'!$U:$U,$H496)&lt;&gt;"Free Game",INDEX('Game Records'!$U:$U,$H496)&lt;&gt;"Disqualified — Free Game",INDEX('Game Records'!$I:$I,$H496)=""),"Eligible Players; ","")&amp;IF(AND(INDEX('Game Records'!$U:$U,$H496)&lt;&gt;"Subscription",INDEX('Game Records'!$U:$U,$H496)&lt;&gt;"Free Game",INDEX('Game Records'!$U:$U,$H496)&lt;&gt;"Disqualified — Free Game",INDEX('Game Records'!$J:$J,$H496)=""),"Total Players; ","")&amp;IF(AND(LOWER(INDEX('Game Records'!$D:$D,$H496)&amp;"")="finalized",LOWER(INDEX('Game Records'!$L:$L,$H496)&amp;"")&lt;&gt;"yes",INDEX('Game Records'!$U:$U,$H496)&lt;&gt;"Subscription",INDEX('Game Records'!$U:$U,$H496)&lt;&gt;"Free Game",INDEX('Game Records'!$U:$U,$H496)&lt;&gt;"Disqualified — Free Game",INDEX('Game Records'!$K:$K,$H496)=""),"Final Payout; ","")&amp;IF(AND(LOWER(INDEX('Game Records'!$D:$D,$H496)&amp;"")="finalized",INDEX('Game Records'!$U:$U,$H496)&lt;&gt;"Subscription",INDEX('Game Records'!$U:$U,$H496)&lt;&gt;"Free Game",INDEX('Game Records'!$U:$U,$H496)&lt;&gt;"Disqualified — Free Game",OR(INDEX('Game Records'!$L:$L,$H496)="",LOWER(INDEX('Game Records'!$L:$L,$H496)&amp;"")="n/a")),"Disqualified Status; ",""))</f>
        <v/>
      </c>
      <c r="G496" s="25" t="str">
        <f t="array" ref="G496">IF($H496="","",IFERROR(INDEX('Game Records'!$M:$M,$H496),""))</f>
        <v/>
      </c>
      <c r="H496" s="8"/>
    </row>
    <row r="497" ht="24.0" customHeight="1">
      <c r="A497" s="21" t="str">
        <f t="shared" si="1"/>
        <v/>
      </c>
      <c r="B497" s="21" t="str">
        <f t="shared" si="2"/>
        <v/>
      </c>
      <c r="C497" s="25" t="str">
        <f t="array" ref="C497">IF($H497="","",IFERROR(INDEX('Game Records'!$A:$A,$H497),""))</f>
        <v/>
      </c>
      <c r="D497" s="25" t="str">
        <f t="array" ref="D497">IF($H497="","",IFERROR(INDEX('Game Records'!$U:$U,$H497),""))</f>
        <v/>
      </c>
      <c r="E497" s="25" t="str">
        <f t="shared" si="3"/>
        <v/>
      </c>
      <c r="F497" s="25" t="str">
        <f t="array" ref="F497">IF($H497="","",IF(OR(NOT(_xlfn.ISFORMULA(INDEX('Game Records'!$N:$N,$H497))),NOT(_xlfn.ISFORMULA(INDEX('Game Records'!$O:$O,$H497))),NOT(_xlfn.ISFORMULA(INDEX('Game Records'!$P:$P,$H497))),NOT(_xlfn.ISFORMULA(INDEX('Game Records'!$Q:$Q,$H497))),NOT(_xlfn.ISFORMULA(INDEX('Game Records'!$R:$R,$H497))),NOT(_xlfn.ISFORMULA(INDEX('Game Records'!$S:$S,$H497))),NOT(_xlfn.ISFORMULA(INDEX('Game Records'!$T:$T,$H497))),NOT(_xlfn.ISFORMULA(INDEX('Game Records'!$U:$U,$H497))),NOT(_xlfn.ISFORMULA(INDEX('Game Records'!$V:$V,$H497))),NOT(_xlfn.ISFORMULA(INDEX('Game Records'!$W:$W,$H497))),NOT(_xlfn.ISFORMULA(INDEX('Game Records'!$X:$X,$H497))),NOT(_xlfn.ISFORMULA(INDEX('Game Records'!$Y:$Y,$H497))),NOT(_xlfn.ISFORMULA(INDEX('Game Records'!$Z:$Z,$H497)))),"","")&amp;IF(INDEX('Game Records'!$B:$B,$H497)="","Start Date; ","")&amp;IF(INDEX('Game Records'!$C:$C,$H497)="","End Date; ","")&amp;IF(AND(INDEX('Game Records'!$U:$U,$H497)&lt;&gt;"Subscription",INDEX('Game Records'!$U:$U,$H497)&lt;&gt;"Free Game",INDEX('Game Records'!$U:$U,$H497)&lt;&gt;"Disqualified — Free Game",OR(INDEX('Game Records'!$D:$D,$H497)="",LOWER(INDEX('Game Records'!$D:$D,$H497)&amp;"")="n/a")),"Entry Mode; ","")&amp;IF(AND(INDEX('Game Records'!$U:$U,$H497)&lt;&gt;"Subscription",INDEX('Game Records'!$U:$U,$H497)&lt;&gt;"Free Game",INDEX('Game Records'!$U:$U,$H497)&lt;&gt;"Disqualified — Free Game",OR(INDEX('Game Records'!$E:$E,$H497)="",LOWER(INDEX('Game Records'!$E:$E,$H497)&amp;"")="n/a")),"Game Type; ","")&amp;IF(INDEX('Game Records'!$F:$F,$H497)="","Payment Type; ","")&amp;IF(AND(INDEX('Game Records'!$U:$U,$H497)&lt;&gt;"Subscription",INDEX('Game Records'!$U:$U,$H497)&lt;&gt;"Free Game",INDEX('Game Records'!$U:$U,$H497)&lt;&gt;"Disqualified — Free Game",INDEX('Game Records'!$G:$G,$H497)=""),"Gross Pot; ","")&amp;IF(AND(INDEX('Game Records'!$U:$U,$H497)&lt;&gt;"Free Game",INDEX('Game Records'!$U:$U,$H497)&lt;&gt;"Disqualified — Free Game",INDEX('Game Records'!$H:$H,$H497)=""),"Entry Fee; ","")&amp;IF(AND(INDEX('Game Records'!$U:$U,$H497)&lt;&gt;"Subscription",INDEX('Game Records'!$U:$U,$H497)&lt;&gt;"Free Game",INDEX('Game Records'!$U:$U,$H497)&lt;&gt;"Disqualified — Free Game",INDEX('Game Records'!$I:$I,$H497)=""),"Eligible Players; ","")&amp;IF(AND(INDEX('Game Records'!$U:$U,$H497)&lt;&gt;"Subscription",INDEX('Game Records'!$U:$U,$H497)&lt;&gt;"Free Game",INDEX('Game Records'!$U:$U,$H497)&lt;&gt;"Disqualified — Free Game",INDEX('Game Records'!$J:$J,$H497)=""),"Total Players; ","")&amp;IF(AND(LOWER(INDEX('Game Records'!$D:$D,$H497)&amp;"")="finalized",LOWER(INDEX('Game Records'!$L:$L,$H497)&amp;"")&lt;&gt;"yes",INDEX('Game Records'!$U:$U,$H497)&lt;&gt;"Subscription",INDEX('Game Records'!$U:$U,$H497)&lt;&gt;"Free Game",INDEX('Game Records'!$U:$U,$H497)&lt;&gt;"Disqualified — Free Game",INDEX('Game Records'!$K:$K,$H497)=""),"Final Payout; ","")&amp;IF(AND(LOWER(INDEX('Game Records'!$D:$D,$H497)&amp;"")="finalized",INDEX('Game Records'!$U:$U,$H497)&lt;&gt;"Subscription",INDEX('Game Records'!$U:$U,$H497)&lt;&gt;"Free Game",INDEX('Game Records'!$U:$U,$H497)&lt;&gt;"Disqualified — Free Game",OR(INDEX('Game Records'!$L:$L,$H497)="",LOWER(INDEX('Game Records'!$L:$L,$H497)&amp;"")="n/a")),"Disqualified Status; ",""))</f>
        <v/>
      </c>
      <c r="G497" s="25" t="str">
        <f t="array" ref="G497">IF($H497="","",IFERROR(INDEX('Game Records'!$M:$M,$H497),""))</f>
        <v/>
      </c>
      <c r="H497" s="8"/>
    </row>
    <row r="498" ht="24.0" customHeight="1">
      <c r="A498" s="21" t="str">
        <f t="shared" si="1"/>
        <v/>
      </c>
      <c r="B498" s="21" t="str">
        <f t="shared" si="2"/>
        <v/>
      </c>
      <c r="C498" s="25" t="str">
        <f t="array" ref="C498">IF($H498="","",IFERROR(INDEX('Game Records'!$A:$A,$H498),""))</f>
        <v/>
      </c>
      <c r="D498" s="25" t="str">
        <f t="array" ref="D498">IF($H498="","",IFERROR(INDEX('Game Records'!$U:$U,$H498),""))</f>
        <v/>
      </c>
      <c r="E498" s="25" t="str">
        <f t="shared" si="3"/>
        <v/>
      </c>
      <c r="F498" s="25" t="str">
        <f t="array" ref="F498">IF($H498="","",IF(OR(NOT(_xlfn.ISFORMULA(INDEX('Game Records'!$N:$N,$H498))),NOT(_xlfn.ISFORMULA(INDEX('Game Records'!$O:$O,$H498))),NOT(_xlfn.ISFORMULA(INDEX('Game Records'!$P:$P,$H498))),NOT(_xlfn.ISFORMULA(INDEX('Game Records'!$Q:$Q,$H498))),NOT(_xlfn.ISFORMULA(INDEX('Game Records'!$R:$R,$H498))),NOT(_xlfn.ISFORMULA(INDEX('Game Records'!$S:$S,$H498))),NOT(_xlfn.ISFORMULA(INDEX('Game Records'!$T:$T,$H498))),NOT(_xlfn.ISFORMULA(INDEX('Game Records'!$U:$U,$H498))),NOT(_xlfn.ISFORMULA(INDEX('Game Records'!$V:$V,$H498))),NOT(_xlfn.ISFORMULA(INDEX('Game Records'!$W:$W,$H498))),NOT(_xlfn.ISFORMULA(INDEX('Game Records'!$X:$X,$H498))),NOT(_xlfn.ISFORMULA(INDEX('Game Records'!$Y:$Y,$H498))),NOT(_xlfn.ISFORMULA(INDEX('Game Records'!$Z:$Z,$H498)))),"","")&amp;IF(INDEX('Game Records'!$B:$B,$H498)="","Start Date; ","")&amp;IF(INDEX('Game Records'!$C:$C,$H498)="","End Date; ","")&amp;IF(AND(INDEX('Game Records'!$U:$U,$H498)&lt;&gt;"Subscription",INDEX('Game Records'!$U:$U,$H498)&lt;&gt;"Free Game",INDEX('Game Records'!$U:$U,$H498)&lt;&gt;"Disqualified — Free Game",OR(INDEX('Game Records'!$D:$D,$H498)="",LOWER(INDEX('Game Records'!$D:$D,$H498)&amp;"")="n/a")),"Entry Mode; ","")&amp;IF(AND(INDEX('Game Records'!$U:$U,$H498)&lt;&gt;"Subscription",INDEX('Game Records'!$U:$U,$H498)&lt;&gt;"Free Game",INDEX('Game Records'!$U:$U,$H498)&lt;&gt;"Disqualified — Free Game",OR(INDEX('Game Records'!$E:$E,$H498)="",LOWER(INDEX('Game Records'!$E:$E,$H498)&amp;"")="n/a")),"Game Type; ","")&amp;IF(INDEX('Game Records'!$F:$F,$H498)="","Payment Type; ","")&amp;IF(AND(INDEX('Game Records'!$U:$U,$H498)&lt;&gt;"Subscription",INDEX('Game Records'!$U:$U,$H498)&lt;&gt;"Free Game",INDEX('Game Records'!$U:$U,$H498)&lt;&gt;"Disqualified — Free Game",INDEX('Game Records'!$G:$G,$H498)=""),"Gross Pot; ","")&amp;IF(AND(INDEX('Game Records'!$U:$U,$H498)&lt;&gt;"Free Game",INDEX('Game Records'!$U:$U,$H498)&lt;&gt;"Disqualified — Free Game",INDEX('Game Records'!$H:$H,$H498)=""),"Entry Fee; ","")&amp;IF(AND(INDEX('Game Records'!$U:$U,$H498)&lt;&gt;"Subscription",INDEX('Game Records'!$U:$U,$H498)&lt;&gt;"Free Game",INDEX('Game Records'!$U:$U,$H498)&lt;&gt;"Disqualified — Free Game",INDEX('Game Records'!$I:$I,$H498)=""),"Eligible Players; ","")&amp;IF(AND(INDEX('Game Records'!$U:$U,$H498)&lt;&gt;"Subscription",INDEX('Game Records'!$U:$U,$H498)&lt;&gt;"Free Game",INDEX('Game Records'!$U:$U,$H498)&lt;&gt;"Disqualified — Free Game",INDEX('Game Records'!$J:$J,$H498)=""),"Total Players; ","")&amp;IF(AND(LOWER(INDEX('Game Records'!$D:$D,$H498)&amp;"")="finalized",LOWER(INDEX('Game Records'!$L:$L,$H498)&amp;"")&lt;&gt;"yes",INDEX('Game Records'!$U:$U,$H498)&lt;&gt;"Subscription",INDEX('Game Records'!$U:$U,$H498)&lt;&gt;"Free Game",INDEX('Game Records'!$U:$U,$H498)&lt;&gt;"Disqualified — Free Game",INDEX('Game Records'!$K:$K,$H498)=""),"Final Payout; ","")&amp;IF(AND(LOWER(INDEX('Game Records'!$D:$D,$H498)&amp;"")="finalized",INDEX('Game Records'!$U:$U,$H498)&lt;&gt;"Subscription",INDEX('Game Records'!$U:$U,$H498)&lt;&gt;"Free Game",INDEX('Game Records'!$U:$U,$H498)&lt;&gt;"Disqualified — Free Game",OR(INDEX('Game Records'!$L:$L,$H498)="",LOWER(INDEX('Game Records'!$L:$L,$H498)&amp;"")="n/a")),"Disqualified Status; ",""))</f>
        <v/>
      </c>
      <c r="G498" s="25" t="str">
        <f t="array" ref="G498">IF($H498="","",IFERROR(INDEX('Game Records'!$M:$M,$H498),""))</f>
        <v/>
      </c>
      <c r="H498" s="8"/>
    </row>
    <row r="499" ht="24.0" customHeight="1">
      <c r="A499" s="21" t="str">
        <f t="shared" si="1"/>
        <v/>
      </c>
      <c r="B499" s="21" t="str">
        <f t="shared" si="2"/>
        <v/>
      </c>
      <c r="C499" s="25" t="str">
        <f t="array" ref="C499">IF($H499="","",IFERROR(INDEX('Game Records'!$A:$A,$H499),""))</f>
        <v/>
      </c>
      <c r="D499" s="25" t="str">
        <f t="array" ref="D499">IF($H499="","",IFERROR(INDEX('Game Records'!$U:$U,$H499),""))</f>
        <v/>
      </c>
      <c r="E499" s="25" t="str">
        <f t="shared" si="3"/>
        <v/>
      </c>
      <c r="F499" s="25" t="str">
        <f t="array" ref="F499">IF($H499="","",IF(OR(NOT(_xlfn.ISFORMULA(INDEX('Game Records'!$N:$N,$H499))),NOT(_xlfn.ISFORMULA(INDEX('Game Records'!$O:$O,$H499))),NOT(_xlfn.ISFORMULA(INDEX('Game Records'!$P:$P,$H499))),NOT(_xlfn.ISFORMULA(INDEX('Game Records'!$Q:$Q,$H499))),NOT(_xlfn.ISFORMULA(INDEX('Game Records'!$R:$R,$H499))),NOT(_xlfn.ISFORMULA(INDEX('Game Records'!$S:$S,$H499))),NOT(_xlfn.ISFORMULA(INDEX('Game Records'!$T:$T,$H499))),NOT(_xlfn.ISFORMULA(INDEX('Game Records'!$U:$U,$H499))),NOT(_xlfn.ISFORMULA(INDEX('Game Records'!$V:$V,$H499))),NOT(_xlfn.ISFORMULA(INDEX('Game Records'!$W:$W,$H499))),NOT(_xlfn.ISFORMULA(INDEX('Game Records'!$X:$X,$H499))),NOT(_xlfn.ISFORMULA(INDEX('Game Records'!$Y:$Y,$H499))),NOT(_xlfn.ISFORMULA(INDEX('Game Records'!$Z:$Z,$H499)))),"","")&amp;IF(INDEX('Game Records'!$B:$B,$H499)="","Start Date; ","")&amp;IF(INDEX('Game Records'!$C:$C,$H499)="","End Date; ","")&amp;IF(AND(INDEX('Game Records'!$U:$U,$H499)&lt;&gt;"Subscription",INDEX('Game Records'!$U:$U,$H499)&lt;&gt;"Free Game",INDEX('Game Records'!$U:$U,$H499)&lt;&gt;"Disqualified — Free Game",OR(INDEX('Game Records'!$D:$D,$H499)="",LOWER(INDEX('Game Records'!$D:$D,$H499)&amp;"")="n/a")),"Entry Mode; ","")&amp;IF(AND(INDEX('Game Records'!$U:$U,$H499)&lt;&gt;"Subscription",INDEX('Game Records'!$U:$U,$H499)&lt;&gt;"Free Game",INDEX('Game Records'!$U:$U,$H499)&lt;&gt;"Disqualified — Free Game",OR(INDEX('Game Records'!$E:$E,$H499)="",LOWER(INDEX('Game Records'!$E:$E,$H499)&amp;"")="n/a")),"Game Type; ","")&amp;IF(INDEX('Game Records'!$F:$F,$H499)="","Payment Type; ","")&amp;IF(AND(INDEX('Game Records'!$U:$U,$H499)&lt;&gt;"Subscription",INDEX('Game Records'!$U:$U,$H499)&lt;&gt;"Free Game",INDEX('Game Records'!$U:$U,$H499)&lt;&gt;"Disqualified — Free Game",INDEX('Game Records'!$G:$G,$H499)=""),"Gross Pot; ","")&amp;IF(AND(INDEX('Game Records'!$U:$U,$H499)&lt;&gt;"Free Game",INDEX('Game Records'!$U:$U,$H499)&lt;&gt;"Disqualified — Free Game",INDEX('Game Records'!$H:$H,$H499)=""),"Entry Fee; ","")&amp;IF(AND(INDEX('Game Records'!$U:$U,$H499)&lt;&gt;"Subscription",INDEX('Game Records'!$U:$U,$H499)&lt;&gt;"Free Game",INDEX('Game Records'!$U:$U,$H499)&lt;&gt;"Disqualified — Free Game",INDEX('Game Records'!$I:$I,$H499)=""),"Eligible Players; ","")&amp;IF(AND(INDEX('Game Records'!$U:$U,$H499)&lt;&gt;"Subscription",INDEX('Game Records'!$U:$U,$H499)&lt;&gt;"Free Game",INDEX('Game Records'!$U:$U,$H499)&lt;&gt;"Disqualified — Free Game",INDEX('Game Records'!$J:$J,$H499)=""),"Total Players; ","")&amp;IF(AND(LOWER(INDEX('Game Records'!$D:$D,$H499)&amp;"")="finalized",LOWER(INDEX('Game Records'!$L:$L,$H499)&amp;"")&lt;&gt;"yes",INDEX('Game Records'!$U:$U,$H499)&lt;&gt;"Subscription",INDEX('Game Records'!$U:$U,$H499)&lt;&gt;"Free Game",INDEX('Game Records'!$U:$U,$H499)&lt;&gt;"Disqualified — Free Game",INDEX('Game Records'!$K:$K,$H499)=""),"Final Payout; ","")&amp;IF(AND(LOWER(INDEX('Game Records'!$D:$D,$H499)&amp;"")="finalized",INDEX('Game Records'!$U:$U,$H499)&lt;&gt;"Subscription",INDEX('Game Records'!$U:$U,$H499)&lt;&gt;"Free Game",INDEX('Game Records'!$U:$U,$H499)&lt;&gt;"Disqualified — Free Game",OR(INDEX('Game Records'!$L:$L,$H499)="",LOWER(INDEX('Game Records'!$L:$L,$H499)&amp;"")="n/a")),"Disqualified Status; ",""))</f>
        <v/>
      </c>
      <c r="G499" s="25" t="str">
        <f t="array" ref="G499">IF($H499="","",IFERROR(INDEX('Game Records'!$M:$M,$H499),""))</f>
        <v/>
      </c>
      <c r="H499" s="8"/>
    </row>
    <row r="500" ht="24.0" customHeight="1">
      <c r="A500" s="21" t="str">
        <f t="shared" si="1"/>
        <v/>
      </c>
      <c r="B500" s="21" t="str">
        <f t="shared" si="2"/>
        <v/>
      </c>
      <c r="C500" s="25" t="str">
        <f t="array" ref="C500">IF($H500="","",IFERROR(INDEX('Game Records'!$A:$A,$H500),""))</f>
        <v/>
      </c>
      <c r="D500" s="25" t="str">
        <f t="array" ref="D500">IF($H500="","",IFERROR(INDEX('Game Records'!$U:$U,$H500),""))</f>
        <v/>
      </c>
      <c r="E500" s="25" t="str">
        <f t="shared" si="3"/>
        <v/>
      </c>
      <c r="F500" s="25" t="str">
        <f t="array" ref="F500">IF($H500="","",IF(OR(NOT(_xlfn.ISFORMULA(INDEX('Game Records'!$N:$N,$H500))),NOT(_xlfn.ISFORMULA(INDEX('Game Records'!$O:$O,$H500))),NOT(_xlfn.ISFORMULA(INDEX('Game Records'!$P:$P,$H500))),NOT(_xlfn.ISFORMULA(INDEX('Game Records'!$Q:$Q,$H500))),NOT(_xlfn.ISFORMULA(INDEX('Game Records'!$R:$R,$H500))),NOT(_xlfn.ISFORMULA(INDEX('Game Records'!$S:$S,$H500))),NOT(_xlfn.ISFORMULA(INDEX('Game Records'!$T:$T,$H500))),NOT(_xlfn.ISFORMULA(INDEX('Game Records'!$U:$U,$H500))),NOT(_xlfn.ISFORMULA(INDEX('Game Records'!$V:$V,$H500))),NOT(_xlfn.ISFORMULA(INDEX('Game Records'!$W:$W,$H500))),NOT(_xlfn.ISFORMULA(INDEX('Game Records'!$X:$X,$H500))),NOT(_xlfn.ISFORMULA(INDEX('Game Records'!$Y:$Y,$H500))),NOT(_xlfn.ISFORMULA(INDEX('Game Records'!$Z:$Z,$H500)))),"","")&amp;IF(INDEX('Game Records'!$B:$B,$H500)="","Start Date; ","")&amp;IF(INDEX('Game Records'!$C:$C,$H500)="","End Date; ","")&amp;IF(AND(INDEX('Game Records'!$U:$U,$H500)&lt;&gt;"Subscription",INDEX('Game Records'!$U:$U,$H500)&lt;&gt;"Free Game",INDEX('Game Records'!$U:$U,$H500)&lt;&gt;"Disqualified — Free Game",OR(INDEX('Game Records'!$D:$D,$H500)="",LOWER(INDEX('Game Records'!$D:$D,$H500)&amp;"")="n/a")),"Entry Mode; ","")&amp;IF(AND(INDEX('Game Records'!$U:$U,$H500)&lt;&gt;"Subscription",INDEX('Game Records'!$U:$U,$H500)&lt;&gt;"Free Game",INDEX('Game Records'!$U:$U,$H500)&lt;&gt;"Disqualified — Free Game",OR(INDEX('Game Records'!$E:$E,$H500)="",LOWER(INDEX('Game Records'!$E:$E,$H500)&amp;"")="n/a")),"Game Type; ","")&amp;IF(INDEX('Game Records'!$F:$F,$H500)="","Payment Type; ","")&amp;IF(AND(INDEX('Game Records'!$U:$U,$H500)&lt;&gt;"Subscription",INDEX('Game Records'!$U:$U,$H500)&lt;&gt;"Free Game",INDEX('Game Records'!$U:$U,$H500)&lt;&gt;"Disqualified — Free Game",INDEX('Game Records'!$G:$G,$H500)=""),"Gross Pot; ","")&amp;IF(AND(INDEX('Game Records'!$U:$U,$H500)&lt;&gt;"Free Game",INDEX('Game Records'!$U:$U,$H500)&lt;&gt;"Disqualified — Free Game",INDEX('Game Records'!$H:$H,$H500)=""),"Entry Fee; ","")&amp;IF(AND(INDEX('Game Records'!$U:$U,$H500)&lt;&gt;"Subscription",INDEX('Game Records'!$U:$U,$H500)&lt;&gt;"Free Game",INDEX('Game Records'!$U:$U,$H500)&lt;&gt;"Disqualified — Free Game",INDEX('Game Records'!$I:$I,$H500)=""),"Eligible Players; ","")&amp;IF(AND(INDEX('Game Records'!$U:$U,$H500)&lt;&gt;"Subscription",INDEX('Game Records'!$U:$U,$H500)&lt;&gt;"Free Game",INDEX('Game Records'!$U:$U,$H500)&lt;&gt;"Disqualified — Free Game",INDEX('Game Records'!$J:$J,$H500)=""),"Total Players; ","")&amp;IF(AND(LOWER(INDEX('Game Records'!$D:$D,$H500)&amp;"")="finalized",LOWER(INDEX('Game Records'!$L:$L,$H500)&amp;"")&lt;&gt;"yes",INDEX('Game Records'!$U:$U,$H500)&lt;&gt;"Subscription",INDEX('Game Records'!$U:$U,$H500)&lt;&gt;"Free Game",INDEX('Game Records'!$U:$U,$H500)&lt;&gt;"Disqualified — Free Game",INDEX('Game Records'!$K:$K,$H500)=""),"Final Payout; ","")&amp;IF(AND(LOWER(INDEX('Game Records'!$D:$D,$H500)&amp;"")="finalized",INDEX('Game Records'!$U:$U,$H500)&lt;&gt;"Subscription",INDEX('Game Records'!$U:$U,$H500)&lt;&gt;"Free Game",INDEX('Game Records'!$U:$U,$H500)&lt;&gt;"Disqualified — Free Game",OR(INDEX('Game Records'!$L:$L,$H500)="",LOWER(INDEX('Game Records'!$L:$L,$H500)&amp;"")="n/a")),"Disqualified Status; ",""))</f>
        <v/>
      </c>
      <c r="G500" s="25" t="str">
        <f t="array" ref="G500">IF($H500="","",IFERROR(INDEX('Game Records'!$M:$M,$H500),""))</f>
        <v/>
      </c>
      <c r="H500" s="8"/>
    </row>
    <row r="501" ht="24.0" customHeight="1">
      <c r="A501" s="21" t="str">
        <f t="shared" si="1"/>
        <v/>
      </c>
      <c r="B501" s="21" t="str">
        <f t="shared" si="2"/>
        <v/>
      </c>
      <c r="C501" s="25" t="str">
        <f t="array" ref="C501">IF($H501="","",IFERROR(INDEX('Game Records'!$A:$A,$H501),""))</f>
        <v/>
      </c>
      <c r="D501" s="25" t="str">
        <f t="array" ref="D501">IF($H501="","",IFERROR(INDEX('Game Records'!$U:$U,$H501),""))</f>
        <v/>
      </c>
      <c r="E501" s="25" t="str">
        <f t="shared" si="3"/>
        <v/>
      </c>
      <c r="F501" s="25" t="str">
        <f t="array" ref="F501">IF($H501="","",IF(OR(NOT(_xlfn.ISFORMULA(INDEX('Game Records'!$N:$N,$H501))),NOT(_xlfn.ISFORMULA(INDEX('Game Records'!$O:$O,$H501))),NOT(_xlfn.ISFORMULA(INDEX('Game Records'!$P:$P,$H501))),NOT(_xlfn.ISFORMULA(INDEX('Game Records'!$Q:$Q,$H501))),NOT(_xlfn.ISFORMULA(INDEX('Game Records'!$R:$R,$H501))),NOT(_xlfn.ISFORMULA(INDEX('Game Records'!$S:$S,$H501))),NOT(_xlfn.ISFORMULA(INDEX('Game Records'!$T:$T,$H501))),NOT(_xlfn.ISFORMULA(INDEX('Game Records'!$U:$U,$H501))),NOT(_xlfn.ISFORMULA(INDEX('Game Records'!$V:$V,$H501))),NOT(_xlfn.ISFORMULA(INDEX('Game Records'!$W:$W,$H501))),NOT(_xlfn.ISFORMULA(INDEX('Game Records'!$X:$X,$H501))),NOT(_xlfn.ISFORMULA(INDEX('Game Records'!$Y:$Y,$H501))),NOT(_xlfn.ISFORMULA(INDEX('Game Records'!$Z:$Z,$H501)))),"","")&amp;IF(INDEX('Game Records'!$B:$B,$H501)="","Start Date; ","")&amp;IF(INDEX('Game Records'!$C:$C,$H501)="","End Date; ","")&amp;IF(AND(INDEX('Game Records'!$U:$U,$H501)&lt;&gt;"Subscription",INDEX('Game Records'!$U:$U,$H501)&lt;&gt;"Free Game",INDEX('Game Records'!$U:$U,$H501)&lt;&gt;"Disqualified — Free Game",OR(INDEX('Game Records'!$D:$D,$H501)="",LOWER(INDEX('Game Records'!$D:$D,$H501)&amp;"")="n/a")),"Entry Mode; ","")&amp;IF(AND(INDEX('Game Records'!$U:$U,$H501)&lt;&gt;"Subscription",INDEX('Game Records'!$U:$U,$H501)&lt;&gt;"Free Game",INDEX('Game Records'!$U:$U,$H501)&lt;&gt;"Disqualified — Free Game",OR(INDEX('Game Records'!$E:$E,$H501)="",LOWER(INDEX('Game Records'!$E:$E,$H501)&amp;"")="n/a")),"Game Type; ","")&amp;IF(INDEX('Game Records'!$F:$F,$H501)="","Payment Type; ","")&amp;IF(AND(INDEX('Game Records'!$U:$U,$H501)&lt;&gt;"Subscription",INDEX('Game Records'!$U:$U,$H501)&lt;&gt;"Free Game",INDEX('Game Records'!$U:$U,$H501)&lt;&gt;"Disqualified — Free Game",INDEX('Game Records'!$G:$G,$H501)=""),"Gross Pot; ","")&amp;IF(AND(INDEX('Game Records'!$U:$U,$H501)&lt;&gt;"Free Game",INDEX('Game Records'!$U:$U,$H501)&lt;&gt;"Disqualified — Free Game",INDEX('Game Records'!$H:$H,$H501)=""),"Entry Fee; ","")&amp;IF(AND(INDEX('Game Records'!$U:$U,$H501)&lt;&gt;"Subscription",INDEX('Game Records'!$U:$U,$H501)&lt;&gt;"Free Game",INDEX('Game Records'!$U:$U,$H501)&lt;&gt;"Disqualified — Free Game",INDEX('Game Records'!$I:$I,$H501)=""),"Eligible Players; ","")&amp;IF(AND(INDEX('Game Records'!$U:$U,$H501)&lt;&gt;"Subscription",INDEX('Game Records'!$U:$U,$H501)&lt;&gt;"Free Game",INDEX('Game Records'!$U:$U,$H501)&lt;&gt;"Disqualified — Free Game",INDEX('Game Records'!$J:$J,$H501)=""),"Total Players; ","")&amp;IF(AND(LOWER(INDEX('Game Records'!$D:$D,$H501)&amp;"")="finalized",LOWER(INDEX('Game Records'!$L:$L,$H501)&amp;"")&lt;&gt;"yes",INDEX('Game Records'!$U:$U,$H501)&lt;&gt;"Subscription",INDEX('Game Records'!$U:$U,$H501)&lt;&gt;"Free Game",INDEX('Game Records'!$U:$U,$H501)&lt;&gt;"Disqualified — Free Game",INDEX('Game Records'!$K:$K,$H501)=""),"Final Payout; ","")&amp;IF(AND(LOWER(INDEX('Game Records'!$D:$D,$H501)&amp;"")="finalized",INDEX('Game Records'!$U:$U,$H501)&lt;&gt;"Subscription",INDEX('Game Records'!$U:$U,$H501)&lt;&gt;"Free Game",INDEX('Game Records'!$U:$U,$H501)&lt;&gt;"Disqualified — Free Game",OR(INDEX('Game Records'!$L:$L,$H501)="",LOWER(INDEX('Game Records'!$L:$L,$H501)&amp;"")="n/a")),"Disqualified Status; ",""))</f>
        <v/>
      </c>
      <c r="G501" s="25" t="str">
        <f t="array" ref="G501">IF($H501="","",IFERROR(INDEX('Game Records'!$M:$M,$H501),""))</f>
        <v/>
      </c>
      <c r="H501" s="8"/>
    </row>
    <row r="502" ht="24.0" customHeight="1">
      <c r="A502" s="21" t="str">
        <f t="shared" si="1"/>
        <v/>
      </c>
      <c r="B502" s="21" t="str">
        <f t="shared" si="2"/>
        <v/>
      </c>
      <c r="C502" s="25" t="str">
        <f t="array" ref="C502">IF($H502="","",IFERROR(INDEX('Game Records'!$A:$A,$H502),""))</f>
        <v/>
      </c>
      <c r="D502" s="25" t="str">
        <f t="array" ref="D502">IF($H502="","",IFERROR(INDEX('Game Records'!$U:$U,$H502),""))</f>
        <v/>
      </c>
      <c r="E502" s="25" t="str">
        <f t="shared" si="3"/>
        <v/>
      </c>
      <c r="F502" s="25" t="str">
        <f t="array" ref="F502">IF($H502="","",IF(OR(NOT(_xlfn.ISFORMULA(INDEX('Game Records'!$N:$N,$H502))),NOT(_xlfn.ISFORMULA(INDEX('Game Records'!$O:$O,$H502))),NOT(_xlfn.ISFORMULA(INDEX('Game Records'!$P:$P,$H502))),NOT(_xlfn.ISFORMULA(INDEX('Game Records'!$Q:$Q,$H502))),NOT(_xlfn.ISFORMULA(INDEX('Game Records'!$R:$R,$H502))),NOT(_xlfn.ISFORMULA(INDEX('Game Records'!$S:$S,$H502))),NOT(_xlfn.ISFORMULA(INDEX('Game Records'!$T:$T,$H502))),NOT(_xlfn.ISFORMULA(INDEX('Game Records'!$U:$U,$H502))),NOT(_xlfn.ISFORMULA(INDEX('Game Records'!$V:$V,$H502))),NOT(_xlfn.ISFORMULA(INDEX('Game Records'!$W:$W,$H502))),NOT(_xlfn.ISFORMULA(INDEX('Game Records'!$X:$X,$H502))),NOT(_xlfn.ISFORMULA(INDEX('Game Records'!$Y:$Y,$H502))),NOT(_xlfn.ISFORMULA(INDEX('Game Records'!$Z:$Z,$H502)))),"","")&amp;IF(INDEX('Game Records'!$B:$B,$H502)="","Start Date; ","")&amp;IF(INDEX('Game Records'!$C:$C,$H502)="","End Date; ","")&amp;IF(AND(INDEX('Game Records'!$U:$U,$H502)&lt;&gt;"Subscription",INDEX('Game Records'!$U:$U,$H502)&lt;&gt;"Free Game",INDEX('Game Records'!$U:$U,$H502)&lt;&gt;"Disqualified — Free Game",OR(INDEX('Game Records'!$D:$D,$H502)="",LOWER(INDEX('Game Records'!$D:$D,$H502)&amp;"")="n/a")),"Entry Mode; ","")&amp;IF(AND(INDEX('Game Records'!$U:$U,$H502)&lt;&gt;"Subscription",INDEX('Game Records'!$U:$U,$H502)&lt;&gt;"Free Game",INDEX('Game Records'!$U:$U,$H502)&lt;&gt;"Disqualified — Free Game",OR(INDEX('Game Records'!$E:$E,$H502)="",LOWER(INDEX('Game Records'!$E:$E,$H502)&amp;"")="n/a")),"Game Type; ","")&amp;IF(INDEX('Game Records'!$F:$F,$H502)="","Payment Type; ","")&amp;IF(AND(INDEX('Game Records'!$U:$U,$H502)&lt;&gt;"Subscription",INDEX('Game Records'!$U:$U,$H502)&lt;&gt;"Free Game",INDEX('Game Records'!$U:$U,$H502)&lt;&gt;"Disqualified — Free Game",INDEX('Game Records'!$G:$G,$H502)=""),"Gross Pot; ","")&amp;IF(AND(INDEX('Game Records'!$U:$U,$H502)&lt;&gt;"Free Game",INDEX('Game Records'!$U:$U,$H502)&lt;&gt;"Disqualified — Free Game",INDEX('Game Records'!$H:$H,$H502)=""),"Entry Fee; ","")&amp;IF(AND(INDEX('Game Records'!$U:$U,$H502)&lt;&gt;"Subscription",INDEX('Game Records'!$U:$U,$H502)&lt;&gt;"Free Game",INDEX('Game Records'!$U:$U,$H502)&lt;&gt;"Disqualified — Free Game",INDEX('Game Records'!$I:$I,$H502)=""),"Eligible Players; ","")&amp;IF(AND(INDEX('Game Records'!$U:$U,$H502)&lt;&gt;"Subscription",INDEX('Game Records'!$U:$U,$H502)&lt;&gt;"Free Game",INDEX('Game Records'!$U:$U,$H502)&lt;&gt;"Disqualified — Free Game",INDEX('Game Records'!$J:$J,$H502)=""),"Total Players; ","")&amp;IF(AND(LOWER(INDEX('Game Records'!$D:$D,$H502)&amp;"")="finalized",LOWER(INDEX('Game Records'!$L:$L,$H502)&amp;"")&lt;&gt;"yes",INDEX('Game Records'!$U:$U,$H502)&lt;&gt;"Subscription",INDEX('Game Records'!$U:$U,$H502)&lt;&gt;"Free Game",INDEX('Game Records'!$U:$U,$H502)&lt;&gt;"Disqualified — Free Game",INDEX('Game Records'!$K:$K,$H502)=""),"Final Payout; ","")&amp;IF(AND(LOWER(INDEX('Game Records'!$D:$D,$H502)&amp;"")="finalized",INDEX('Game Records'!$U:$U,$H502)&lt;&gt;"Subscription",INDEX('Game Records'!$U:$U,$H502)&lt;&gt;"Free Game",INDEX('Game Records'!$U:$U,$H502)&lt;&gt;"Disqualified — Free Game",OR(INDEX('Game Records'!$L:$L,$H502)="",LOWER(INDEX('Game Records'!$L:$L,$H502)&amp;"")="n/a")),"Disqualified Status; ",""))</f>
        <v/>
      </c>
      <c r="G502" s="25" t="str">
        <f t="array" ref="G502">IF($H502="","",IFERROR(INDEX('Game Records'!$M:$M,$H502),""))</f>
        <v/>
      </c>
      <c r="H502" s="8"/>
    </row>
    <row r="503" ht="24.0" customHeight="1">
      <c r="A503" s="21" t="str">
        <f t="shared" si="1"/>
        <v/>
      </c>
      <c r="B503" s="21" t="str">
        <f t="shared" si="2"/>
        <v/>
      </c>
      <c r="C503" s="25" t="str">
        <f t="array" ref="C503">IF($H503="","",IFERROR(INDEX('Game Records'!$A:$A,$H503),""))</f>
        <v/>
      </c>
      <c r="D503" s="25" t="str">
        <f t="array" ref="D503">IF($H503="","",IFERROR(INDEX('Game Records'!$U:$U,$H503),""))</f>
        <v/>
      </c>
      <c r="E503" s="25" t="str">
        <f t="shared" si="3"/>
        <v/>
      </c>
      <c r="F503" s="25" t="str">
        <f t="array" ref="F503">IF($H503="","",IF(OR(NOT(_xlfn.ISFORMULA(INDEX('Game Records'!$N:$N,$H503))),NOT(_xlfn.ISFORMULA(INDEX('Game Records'!$O:$O,$H503))),NOT(_xlfn.ISFORMULA(INDEX('Game Records'!$P:$P,$H503))),NOT(_xlfn.ISFORMULA(INDEX('Game Records'!$Q:$Q,$H503))),NOT(_xlfn.ISFORMULA(INDEX('Game Records'!$R:$R,$H503))),NOT(_xlfn.ISFORMULA(INDEX('Game Records'!$S:$S,$H503))),NOT(_xlfn.ISFORMULA(INDEX('Game Records'!$T:$T,$H503))),NOT(_xlfn.ISFORMULA(INDEX('Game Records'!$U:$U,$H503))),NOT(_xlfn.ISFORMULA(INDEX('Game Records'!$V:$V,$H503))),NOT(_xlfn.ISFORMULA(INDEX('Game Records'!$W:$W,$H503))),NOT(_xlfn.ISFORMULA(INDEX('Game Records'!$X:$X,$H503))),NOT(_xlfn.ISFORMULA(INDEX('Game Records'!$Y:$Y,$H503))),NOT(_xlfn.ISFORMULA(INDEX('Game Records'!$Z:$Z,$H503)))),"","")&amp;IF(INDEX('Game Records'!$B:$B,$H503)="","Start Date; ","")&amp;IF(INDEX('Game Records'!$C:$C,$H503)="","End Date; ","")&amp;IF(AND(INDEX('Game Records'!$U:$U,$H503)&lt;&gt;"Subscription",INDEX('Game Records'!$U:$U,$H503)&lt;&gt;"Free Game",INDEX('Game Records'!$U:$U,$H503)&lt;&gt;"Disqualified — Free Game",OR(INDEX('Game Records'!$D:$D,$H503)="",LOWER(INDEX('Game Records'!$D:$D,$H503)&amp;"")="n/a")),"Entry Mode; ","")&amp;IF(AND(INDEX('Game Records'!$U:$U,$H503)&lt;&gt;"Subscription",INDEX('Game Records'!$U:$U,$H503)&lt;&gt;"Free Game",INDEX('Game Records'!$U:$U,$H503)&lt;&gt;"Disqualified — Free Game",OR(INDEX('Game Records'!$E:$E,$H503)="",LOWER(INDEX('Game Records'!$E:$E,$H503)&amp;"")="n/a")),"Game Type; ","")&amp;IF(INDEX('Game Records'!$F:$F,$H503)="","Payment Type; ","")&amp;IF(AND(INDEX('Game Records'!$U:$U,$H503)&lt;&gt;"Subscription",INDEX('Game Records'!$U:$U,$H503)&lt;&gt;"Free Game",INDEX('Game Records'!$U:$U,$H503)&lt;&gt;"Disqualified — Free Game",INDEX('Game Records'!$G:$G,$H503)=""),"Gross Pot; ","")&amp;IF(AND(INDEX('Game Records'!$U:$U,$H503)&lt;&gt;"Free Game",INDEX('Game Records'!$U:$U,$H503)&lt;&gt;"Disqualified — Free Game",INDEX('Game Records'!$H:$H,$H503)=""),"Entry Fee; ","")&amp;IF(AND(INDEX('Game Records'!$U:$U,$H503)&lt;&gt;"Subscription",INDEX('Game Records'!$U:$U,$H503)&lt;&gt;"Free Game",INDEX('Game Records'!$U:$U,$H503)&lt;&gt;"Disqualified — Free Game",INDEX('Game Records'!$I:$I,$H503)=""),"Eligible Players; ","")&amp;IF(AND(INDEX('Game Records'!$U:$U,$H503)&lt;&gt;"Subscription",INDEX('Game Records'!$U:$U,$H503)&lt;&gt;"Free Game",INDEX('Game Records'!$U:$U,$H503)&lt;&gt;"Disqualified — Free Game",INDEX('Game Records'!$J:$J,$H503)=""),"Total Players; ","")&amp;IF(AND(LOWER(INDEX('Game Records'!$D:$D,$H503)&amp;"")="finalized",LOWER(INDEX('Game Records'!$L:$L,$H503)&amp;"")&lt;&gt;"yes",INDEX('Game Records'!$U:$U,$H503)&lt;&gt;"Subscription",INDEX('Game Records'!$U:$U,$H503)&lt;&gt;"Free Game",INDEX('Game Records'!$U:$U,$H503)&lt;&gt;"Disqualified — Free Game",INDEX('Game Records'!$K:$K,$H503)=""),"Final Payout; ","")&amp;IF(AND(LOWER(INDEX('Game Records'!$D:$D,$H503)&amp;"")="finalized",INDEX('Game Records'!$U:$U,$H503)&lt;&gt;"Subscription",INDEX('Game Records'!$U:$U,$H503)&lt;&gt;"Free Game",INDEX('Game Records'!$U:$U,$H503)&lt;&gt;"Disqualified — Free Game",OR(INDEX('Game Records'!$L:$L,$H503)="",LOWER(INDEX('Game Records'!$L:$L,$H503)&amp;"")="n/a")),"Disqualified Status; ",""))</f>
        <v/>
      </c>
      <c r="G503" s="25" t="str">
        <f t="array" ref="G503">IF($H503="","",IFERROR(INDEX('Game Records'!$M:$M,$H503),""))</f>
        <v/>
      </c>
      <c r="H503" s="8"/>
    </row>
    <row r="504" ht="24.0" customHeight="1">
      <c r="A504" s="21" t="str">
        <f t="shared" si="1"/>
        <v/>
      </c>
      <c r="B504" s="21" t="str">
        <f t="shared" si="2"/>
        <v/>
      </c>
      <c r="C504" s="25" t="str">
        <f t="array" ref="C504">IF($H504="","",IFERROR(INDEX('Game Records'!$A:$A,$H504),""))</f>
        <v/>
      </c>
      <c r="D504" s="25" t="str">
        <f t="array" ref="D504">IF($H504="","",IFERROR(INDEX('Game Records'!$U:$U,$H504),""))</f>
        <v/>
      </c>
      <c r="E504" s="25" t="str">
        <f t="shared" si="3"/>
        <v/>
      </c>
      <c r="F504" s="25" t="str">
        <f t="array" ref="F504">IF($H504="","",IF(OR(NOT(_xlfn.ISFORMULA(INDEX('Game Records'!$N:$N,$H504))),NOT(_xlfn.ISFORMULA(INDEX('Game Records'!$O:$O,$H504))),NOT(_xlfn.ISFORMULA(INDEX('Game Records'!$P:$P,$H504))),NOT(_xlfn.ISFORMULA(INDEX('Game Records'!$Q:$Q,$H504))),NOT(_xlfn.ISFORMULA(INDEX('Game Records'!$R:$R,$H504))),NOT(_xlfn.ISFORMULA(INDEX('Game Records'!$S:$S,$H504))),NOT(_xlfn.ISFORMULA(INDEX('Game Records'!$T:$T,$H504))),NOT(_xlfn.ISFORMULA(INDEX('Game Records'!$U:$U,$H504))),NOT(_xlfn.ISFORMULA(INDEX('Game Records'!$V:$V,$H504))),NOT(_xlfn.ISFORMULA(INDEX('Game Records'!$W:$W,$H504))),NOT(_xlfn.ISFORMULA(INDEX('Game Records'!$X:$X,$H504))),NOT(_xlfn.ISFORMULA(INDEX('Game Records'!$Y:$Y,$H504))),NOT(_xlfn.ISFORMULA(INDEX('Game Records'!$Z:$Z,$H504)))),"","")&amp;IF(INDEX('Game Records'!$B:$B,$H504)="","Start Date; ","")&amp;IF(INDEX('Game Records'!$C:$C,$H504)="","End Date; ","")&amp;IF(AND(INDEX('Game Records'!$U:$U,$H504)&lt;&gt;"Subscription",INDEX('Game Records'!$U:$U,$H504)&lt;&gt;"Free Game",INDEX('Game Records'!$U:$U,$H504)&lt;&gt;"Disqualified — Free Game",OR(INDEX('Game Records'!$D:$D,$H504)="",LOWER(INDEX('Game Records'!$D:$D,$H504)&amp;"")="n/a")),"Entry Mode; ","")&amp;IF(AND(INDEX('Game Records'!$U:$U,$H504)&lt;&gt;"Subscription",INDEX('Game Records'!$U:$U,$H504)&lt;&gt;"Free Game",INDEX('Game Records'!$U:$U,$H504)&lt;&gt;"Disqualified — Free Game",OR(INDEX('Game Records'!$E:$E,$H504)="",LOWER(INDEX('Game Records'!$E:$E,$H504)&amp;"")="n/a")),"Game Type; ","")&amp;IF(INDEX('Game Records'!$F:$F,$H504)="","Payment Type; ","")&amp;IF(AND(INDEX('Game Records'!$U:$U,$H504)&lt;&gt;"Subscription",INDEX('Game Records'!$U:$U,$H504)&lt;&gt;"Free Game",INDEX('Game Records'!$U:$U,$H504)&lt;&gt;"Disqualified — Free Game",INDEX('Game Records'!$G:$G,$H504)=""),"Gross Pot; ","")&amp;IF(AND(INDEX('Game Records'!$U:$U,$H504)&lt;&gt;"Free Game",INDEX('Game Records'!$U:$U,$H504)&lt;&gt;"Disqualified — Free Game",INDEX('Game Records'!$H:$H,$H504)=""),"Entry Fee; ","")&amp;IF(AND(INDEX('Game Records'!$U:$U,$H504)&lt;&gt;"Subscription",INDEX('Game Records'!$U:$U,$H504)&lt;&gt;"Free Game",INDEX('Game Records'!$U:$U,$H504)&lt;&gt;"Disqualified — Free Game",INDEX('Game Records'!$I:$I,$H504)=""),"Eligible Players; ","")&amp;IF(AND(INDEX('Game Records'!$U:$U,$H504)&lt;&gt;"Subscription",INDEX('Game Records'!$U:$U,$H504)&lt;&gt;"Free Game",INDEX('Game Records'!$U:$U,$H504)&lt;&gt;"Disqualified — Free Game",INDEX('Game Records'!$J:$J,$H504)=""),"Total Players; ","")&amp;IF(AND(LOWER(INDEX('Game Records'!$D:$D,$H504)&amp;"")="finalized",LOWER(INDEX('Game Records'!$L:$L,$H504)&amp;"")&lt;&gt;"yes",INDEX('Game Records'!$U:$U,$H504)&lt;&gt;"Subscription",INDEX('Game Records'!$U:$U,$H504)&lt;&gt;"Free Game",INDEX('Game Records'!$U:$U,$H504)&lt;&gt;"Disqualified — Free Game",INDEX('Game Records'!$K:$K,$H504)=""),"Final Payout; ","")&amp;IF(AND(LOWER(INDEX('Game Records'!$D:$D,$H504)&amp;"")="finalized",INDEX('Game Records'!$U:$U,$H504)&lt;&gt;"Subscription",INDEX('Game Records'!$U:$U,$H504)&lt;&gt;"Free Game",INDEX('Game Records'!$U:$U,$H504)&lt;&gt;"Disqualified — Free Game",OR(INDEX('Game Records'!$L:$L,$H504)="",LOWER(INDEX('Game Records'!$L:$L,$H504)&amp;"")="n/a")),"Disqualified Status; ",""))</f>
        <v/>
      </c>
      <c r="G504" s="25" t="str">
        <f t="array" ref="G504">IF($H504="","",IFERROR(INDEX('Game Records'!$M:$M,$H504),""))</f>
        <v/>
      </c>
      <c r="H504" s="8"/>
    </row>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conditionalFormatting sqref="D5:D500">
    <cfRule type="expression" dxfId="7" priority="1">
      <formula>$D5="Highlighted Fields Present"</formula>
    </cfRule>
  </conditionalFormatting>
  <conditionalFormatting sqref="D5:D500">
    <cfRule type="expression" dxfId="8" priority="2">
      <formula>$D5="No Highlighted Fields"</formula>
    </cfRule>
  </conditionalFormatting>
  <conditionalFormatting sqref="A5:G504">
    <cfRule type="expression" dxfId="9" priority="3">
      <formula>AND($A5&lt;&gt;"",MOD($A5,2)=1)</formula>
    </cfRule>
  </conditionalFormatting>
  <conditionalFormatting sqref="A5:G504">
    <cfRule type="expression" dxfId="10" priority="4">
      <formula>AND($A5&lt;&gt;"",MOD($A5,2)=0)</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0"/>
    <col customWidth="1" min="2" max="2" width="13.0"/>
    <col customWidth="1" min="3" max="3" width="24.0"/>
    <col customWidth="1" min="4" max="4" width="27.0"/>
    <col customWidth="1" min="5" max="5" width="15.0"/>
    <col customWidth="1" min="6" max="6" width="42.0"/>
    <col customWidth="1" min="7" max="26" width="8.63"/>
  </cols>
  <sheetData>
    <row r="1" ht="30.0" customHeight="1">
      <c r="A1" s="4" t="s">
        <v>1</v>
      </c>
    </row>
    <row r="2" ht="15.0" customHeight="1">
      <c r="A2" s="8"/>
      <c r="B2" s="8"/>
      <c r="C2" s="8"/>
      <c r="D2" s="8"/>
      <c r="E2" s="8"/>
      <c r="F2" s="8"/>
    </row>
    <row r="3" ht="15.0" customHeight="1">
      <c r="A3" s="13" t="s">
        <v>7</v>
      </c>
      <c r="B3" s="13" t="s">
        <v>10</v>
      </c>
      <c r="C3" s="13" t="s">
        <v>11</v>
      </c>
      <c r="D3" s="13" t="s">
        <v>12</v>
      </c>
      <c r="E3" s="13" t="s">
        <v>14</v>
      </c>
      <c r="F3" s="13" t="s">
        <v>16</v>
      </c>
    </row>
    <row r="4" ht="15.0" customHeight="1">
      <c r="A4" s="16" t="s">
        <v>17</v>
      </c>
      <c r="B4" s="16">
        <f>COUNTIF('Game Records'!$U:$U,"Profit")</f>
        <v>0</v>
      </c>
      <c r="C4" s="23">
        <f t="shared" ref="C4:C6" si="1">IF($B$7=0,0,B4/$B$7)</f>
        <v>0</v>
      </c>
      <c r="D4" s="16" t="s">
        <v>59</v>
      </c>
      <c r="E4" s="28">
        <f>Instructions!$B$30+SUM('Game Records'!$W:$W)</f>
        <v>0</v>
      </c>
      <c r="F4" s="16" t="s">
        <v>66</v>
      </c>
    </row>
    <row r="5" ht="26.25" customHeight="1">
      <c r="A5" s="16" t="s">
        <v>67</v>
      </c>
      <c r="B5" s="16">
        <f>COUNTIF('Game Records'!$U:$U,"Draw")</f>
        <v>0</v>
      </c>
      <c r="C5" s="23">
        <f t="shared" si="1"/>
        <v>0</v>
      </c>
      <c r="D5" s="16" t="s">
        <v>47</v>
      </c>
      <c r="E5" s="28">
        <f>SUM('Game Records'!$Q:$Q)</f>
        <v>0</v>
      </c>
      <c r="F5" s="16" t="s">
        <v>79</v>
      </c>
    </row>
    <row r="6" ht="15.0" customHeight="1">
      <c r="A6" s="16" t="s">
        <v>80</v>
      </c>
      <c r="B6" s="16">
        <f>COUNTIF('Game Records'!$U:$U,"Disqualified")</f>
        <v>0</v>
      </c>
      <c r="C6" s="23">
        <f t="shared" si="1"/>
        <v>0</v>
      </c>
      <c r="D6" s="16" t="s">
        <v>83</v>
      </c>
      <c r="E6" s="28">
        <f>SUM('Game Records'!$S:$S)</f>
        <v>0</v>
      </c>
      <c r="F6" s="16" t="s">
        <v>86</v>
      </c>
    </row>
    <row r="7" ht="26.25" customHeight="1">
      <c r="A7" s="16" t="s">
        <v>87</v>
      </c>
      <c r="B7" s="16">
        <f>SUM(B4:B6)</f>
        <v>0</v>
      </c>
      <c r="C7" s="23">
        <f>IF(B7=0,0,1)</f>
        <v>0</v>
      </c>
      <c r="D7" s="16" t="s">
        <v>90</v>
      </c>
      <c r="E7" s="28">
        <f>Instructions!$B$31+SUMIFS('Game Records'!$H:$H,'Game Records'!$U:$U,"Subscription")</f>
        <v>0</v>
      </c>
      <c r="F7" s="16" t="s">
        <v>95</v>
      </c>
    </row>
    <row r="8" ht="26.25" customHeight="1">
      <c r="A8" s="16" t="s">
        <v>97</v>
      </c>
      <c r="B8" s="39">
        <f>Instructions!$B$32</f>
        <v>0</v>
      </c>
      <c r="C8" s="16"/>
      <c r="D8" s="16" t="s">
        <v>51</v>
      </c>
      <c r="E8" s="28">
        <f>E4-E7</f>
        <v>0</v>
      </c>
      <c r="F8" s="16" t="s">
        <v>109</v>
      </c>
    </row>
    <row r="9" ht="26.25" customHeight="1">
      <c r="A9" s="16" t="s">
        <v>112</v>
      </c>
      <c r="B9" s="45">
        <f>COUNTIFS('Game Records'!$D:$D,"Finalized",'Game Records'!$U:$U,"Free Game")+COUNTIFS('Game Records'!$D:$D,"Finalized",'Game Records'!$U:$U,"Disqualified — Free Game")</f>
        <v>0</v>
      </c>
      <c r="C9" s="47" t="s">
        <v>121</v>
      </c>
      <c r="D9" s="16" t="s">
        <v>123</v>
      </c>
      <c r="E9" s="54">
        <f>SUMIFS('Game Records'!$K:$K,'Game Records'!$D:$D,"Finalized",'Game Records'!$U:$U,"Free Game",'Game Records'!$K:$K,"&lt;&gt;",'Game Records'!$K:$K,"&gt;=0")</f>
        <v>0</v>
      </c>
      <c r="F9" s="16" t="s">
        <v>130</v>
      </c>
    </row>
    <row r="10" ht="15.0" customHeight="1">
      <c r="A10" s="8"/>
      <c r="B10" s="8"/>
      <c r="C10" s="8"/>
      <c r="D10" s="8"/>
      <c r="E10" s="8"/>
      <c r="F10" s="8"/>
    </row>
    <row r="11" ht="15.0" customHeight="1">
      <c r="A11" s="8"/>
      <c r="B11" s="8"/>
      <c r="C11" s="8"/>
      <c r="D11" s="8"/>
      <c r="E11" s="8"/>
      <c r="F11" s="8"/>
    </row>
    <row r="12" ht="15.0" customHeight="1">
      <c r="A12" s="8"/>
      <c r="B12" s="8"/>
      <c r="C12" s="8"/>
      <c r="D12" s="8"/>
      <c r="E12" s="8"/>
      <c r="F12" s="8"/>
    </row>
    <row r="13" ht="15.0" customHeight="1">
      <c r="A13" s="8"/>
      <c r="B13" s="8"/>
      <c r="C13" s="8"/>
      <c r="D13" s="8"/>
      <c r="E13" s="8"/>
      <c r="F13" s="8"/>
    </row>
    <row r="14" ht="15.0" customHeight="1">
      <c r="A14" s="8"/>
      <c r="B14" s="8"/>
      <c r="C14" s="8"/>
      <c r="D14" s="8"/>
      <c r="E14" s="8"/>
      <c r="F14" s="8"/>
    </row>
    <row r="15" ht="15.0" customHeight="1">
      <c r="A15" s="8"/>
      <c r="B15" s="8"/>
      <c r="C15" s="8"/>
      <c r="D15" s="8"/>
      <c r="E15" s="8"/>
      <c r="F15" s="8"/>
    </row>
    <row r="16" ht="15.0" customHeight="1">
      <c r="A16" s="8"/>
      <c r="B16" s="8"/>
      <c r="C16" s="8"/>
      <c r="D16" s="8"/>
      <c r="E16" s="8"/>
      <c r="F16" s="8"/>
    </row>
    <row r="17" ht="15.0" customHeight="1">
      <c r="A17" s="8"/>
      <c r="B17" s="8"/>
      <c r="C17" s="8"/>
      <c r="D17" s="8"/>
      <c r="E17" s="8"/>
      <c r="F17" s="8"/>
    </row>
    <row r="18" ht="15.0" customHeight="1">
      <c r="A18" s="8"/>
      <c r="B18" s="8"/>
      <c r="C18" s="8"/>
      <c r="D18" s="8"/>
      <c r="E18" s="8"/>
      <c r="F18" s="8"/>
    </row>
    <row r="19" ht="15.0" customHeight="1">
      <c r="A19" s="8"/>
      <c r="B19" s="8"/>
      <c r="C19" s="8"/>
      <c r="D19" s="8"/>
      <c r="E19" s="8"/>
      <c r="F19" s="8"/>
    </row>
    <row r="20" ht="15.0" customHeight="1">
      <c r="A20" s="8"/>
      <c r="B20" s="8"/>
      <c r="C20" s="8"/>
      <c r="D20" s="8"/>
      <c r="E20" s="8"/>
      <c r="F20" s="8"/>
    </row>
    <row r="21" ht="15.0" customHeight="1">
      <c r="A21" s="8"/>
      <c r="B21" s="8"/>
      <c r="C21" s="8"/>
      <c r="D21" s="8"/>
      <c r="E21" s="8"/>
      <c r="F21" s="8"/>
    </row>
    <row r="22" ht="15.0" customHeight="1">
      <c r="A22" s="8"/>
      <c r="B22" s="8"/>
      <c r="C22" s="8"/>
      <c r="D22" s="8"/>
      <c r="E22" s="8"/>
      <c r="F22" s="8"/>
    </row>
    <row r="23" ht="15.0" customHeight="1">
      <c r="A23" s="8"/>
      <c r="B23" s="8"/>
      <c r="C23" s="8"/>
      <c r="D23" s="8"/>
      <c r="E23" s="8"/>
      <c r="F23" s="8"/>
    </row>
    <row r="24" ht="15.0" customHeight="1">
      <c r="A24" s="8"/>
      <c r="B24" s="8"/>
      <c r="C24" s="8"/>
      <c r="D24" s="8"/>
      <c r="E24" s="8"/>
      <c r="F24" s="8"/>
    </row>
    <row r="25" ht="15.0" customHeight="1">
      <c r="A25" s="8"/>
      <c r="B25" s="8"/>
      <c r="C25" s="8"/>
      <c r="D25" s="8"/>
      <c r="E25" s="8"/>
      <c r="F25" s="8"/>
    </row>
    <row r="26" ht="15.0" customHeight="1">
      <c r="A26" s="8"/>
      <c r="B26" s="8"/>
      <c r="C26" s="8"/>
      <c r="D26" s="8"/>
      <c r="E26" s="8"/>
      <c r="F26" s="8"/>
    </row>
    <row r="27" ht="15.0" customHeight="1">
      <c r="A27" s="8"/>
      <c r="B27" s="8"/>
      <c r="C27" s="8"/>
      <c r="D27" s="8"/>
      <c r="E27" s="8"/>
      <c r="F27" s="8"/>
    </row>
    <row r="28" ht="15.0" customHeight="1">
      <c r="A28" s="8"/>
      <c r="B28" s="8"/>
      <c r="C28" s="8"/>
      <c r="D28" s="8"/>
      <c r="E28" s="8"/>
      <c r="F28" s="8"/>
    </row>
    <row r="29" ht="15.0" customHeight="1">
      <c r="A29" s="8"/>
      <c r="B29" s="8"/>
      <c r="C29" s="8"/>
      <c r="D29" s="8"/>
      <c r="E29" s="8"/>
      <c r="F29" s="8"/>
    </row>
    <row r="30" ht="15.0" customHeight="1">
      <c r="A30" s="8"/>
      <c r="B30" s="8"/>
      <c r="C30" s="8"/>
      <c r="D30" s="8"/>
      <c r="E30" s="8"/>
      <c r="F30" s="8"/>
    </row>
    <row r="31" ht="15.0" customHeight="1">
      <c r="A31" s="13" t="s">
        <v>134</v>
      </c>
      <c r="B31" s="13" t="s">
        <v>135</v>
      </c>
      <c r="C31" s="13" t="s">
        <v>136</v>
      </c>
      <c r="D31" s="8"/>
      <c r="E31" s="8"/>
      <c r="F31" s="8"/>
    </row>
    <row r="32" ht="15.0" customHeight="1">
      <c r="A32" s="16" t="s">
        <v>56</v>
      </c>
      <c r="B32" s="16">
        <f t="shared" ref="B32:C32" si="2">B4</f>
        <v>0</v>
      </c>
      <c r="C32" s="23">
        <f t="shared" si="2"/>
        <v>0</v>
      </c>
      <c r="D32" s="8"/>
      <c r="E32" s="8"/>
      <c r="F32" s="8"/>
    </row>
    <row r="33" ht="15.0" customHeight="1">
      <c r="A33" s="16" t="s">
        <v>58</v>
      </c>
      <c r="B33" s="16">
        <f t="shared" ref="B33:C33" si="3">B5</f>
        <v>0</v>
      </c>
      <c r="C33" s="23">
        <f t="shared" si="3"/>
        <v>0</v>
      </c>
      <c r="D33" s="8"/>
      <c r="E33" s="8"/>
      <c r="F33" s="8"/>
    </row>
    <row r="34" ht="15.0" customHeight="1">
      <c r="A34" s="16" t="s">
        <v>65</v>
      </c>
      <c r="B34" s="16">
        <f t="shared" ref="B34:C34" si="4">B6</f>
        <v>0</v>
      </c>
      <c r="C34" s="23">
        <f t="shared" si="4"/>
        <v>0</v>
      </c>
      <c r="D34" s="8"/>
      <c r="E34" s="8"/>
      <c r="F34" s="8"/>
    </row>
    <row r="35" ht="15.0" customHeight="1">
      <c r="A35" s="16" t="s">
        <v>137</v>
      </c>
      <c r="B35" s="45">
        <f>B9</f>
        <v>0</v>
      </c>
      <c r="C35" s="56" t="s">
        <v>121</v>
      </c>
      <c r="D35" s="8"/>
      <c r="E35" s="8"/>
      <c r="F35" s="8"/>
    </row>
    <row r="36" ht="15.0" customHeight="1">
      <c r="A36" s="16" t="s">
        <v>139</v>
      </c>
      <c r="B36" s="45">
        <f t="shared" ref="B36:C36" si="5">B7</f>
        <v>0</v>
      </c>
      <c r="C36" s="56">
        <f t="shared" si="5"/>
        <v>0</v>
      </c>
      <c r="D36" s="8"/>
      <c r="E36" s="8"/>
      <c r="F36" s="8"/>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conditionalFormatting sqref="E4 E8">
    <cfRule type="cellIs" dxfId="0" priority="1" stopIfTrue="1" operator="greaterThan">
      <formula>0</formula>
    </cfRule>
  </conditionalFormatting>
  <conditionalFormatting sqref="E4 E8">
    <cfRule type="cellIs" dxfId="0" priority="2" stopIfTrue="1" operator="greaterThan">
      <formula>0</formula>
    </cfRule>
  </conditionalFormatting>
  <conditionalFormatting sqref="E4 E8">
    <cfRule type="cellIs" dxfId="1" priority="3" stopIfTrue="1" operator="lessThan">
      <formula>0</formula>
    </cfRule>
  </conditionalFormatting>
  <conditionalFormatting sqref="E4 E8">
    <cfRule type="cellIs" dxfId="0" priority="4" stopIfTrue="1" operator="greaterThan">
      <formula>0</formula>
    </cfRule>
  </conditionalFormatting>
  <conditionalFormatting sqref="E4 E8">
    <cfRule type="cellIs" dxfId="1" priority="5" stopIfTrue="1" operator="lessThan">
      <formula>0</formula>
    </cfRule>
  </conditionalFormatting>
  <conditionalFormatting sqref="E4 E8">
    <cfRule type="cellIs" dxfId="0" priority="6" stopIfTrue="1" operator="greaterThan">
      <formula>0</formula>
    </cfRule>
  </conditionalFormatting>
  <conditionalFormatting sqref="E4 E8">
    <cfRule type="cellIs" dxfId="1" priority="7" stopIfTrue="1" operator="lessThan">
      <formula>0</formula>
    </cfRule>
  </conditionalFormatting>
  <conditionalFormatting sqref="A4:C4">
    <cfRule type="expression" dxfId="2" priority="8">
      <formula>$B4&gt;0</formula>
    </cfRule>
  </conditionalFormatting>
  <conditionalFormatting sqref="A5:C5">
    <cfRule type="expression" dxfId="3" priority="9">
      <formula>$B5&gt;0</formula>
    </cfRule>
  </conditionalFormatting>
  <conditionalFormatting sqref="A6:C6">
    <cfRule type="expression" dxfId="4" priority="10">
      <formula>$B6&gt;0</formula>
    </cfRule>
  </conditionalFormatting>
  <conditionalFormatting sqref="A9:C9">
    <cfRule type="expression" dxfId="5" priority="11">
      <formula>$B9&gt;0</formula>
    </cfRule>
  </conditionalFormatting>
  <conditionalFormatting sqref="A32:C32">
    <cfRule type="expression" dxfId="2" priority="12">
      <formula>$B32&gt;0</formula>
    </cfRule>
  </conditionalFormatting>
  <conditionalFormatting sqref="A33:C33">
    <cfRule type="expression" dxfId="3" priority="13">
      <formula>$B33&gt;0</formula>
    </cfRule>
  </conditionalFormatting>
  <conditionalFormatting sqref="A34:C34">
    <cfRule type="expression" dxfId="4" priority="14">
      <formula>$B34&gt;0</formula>
    </cfRule>
  </conditionalFormatting>
  <conditionalFormatting sqref="A35:C35">
    <cfRule type="expression" dxfId="5" priority="15">
      <formula>$B35&gt;0</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0"/>
    <col customWidth="1" min="2" max="2" width="18.0"/>
    <col customWidth="1" min="3" max="3" width="24.0"/>
    <col customWidth="1" min="4" max="5" width="15.0"/>
    <col customWidth="1" min="6" max="26" width="8.63"/>
  </cols>
  <sheetData>
    <row r="1" ht="38.25" customHeight="1">
      <c r="A1" s="57" t="s">
        <v>140</v>
      </c>
    </row>
    <row r="2" ht="48.0" customHeight="1">
      <c r="A2" s="58" t="s">
        <v>141</v>
      </c>
    </row>
    <row r="3" ht="15.0" customHeight="1">
      <c r="A3" s="13" t="s">
        <v>142</v>
      </c>
      <c r="B3" s="13" t="s">
        <v>143</v>
      </c>
      <c r="C3" s="13" t="s">
        <v>144</v>
      </c>
      <c r="D3" s="13" t="s">
        <v>145</v>
      </c>
      <c r="E3" s="13" t="s">
        <v>146</v>
      </c>
    </row>
    <row r="4" ht="15.0" customHeight="1">
      <c r="A4" s="16" t="s">
        <v>147</v>
      </c>
      <c r="B4" s="16">
        <f>COUNTIFS('Game Records'!$E:$E,"Member",'Game Records'!$U:$U,"Profit")+COUNTIFS('Game Records'!$E:$E,"Member",'Game Records'!$U:$U,"Draw")+COUNTIFS('Game Records'!$E:$E,"Member",'Game Records'!$U:$U,"Disqualified")</f>
        <v>0</v>
      </c>
      <c r="C4" s="16">
        <f>COUNTIFS('Game Records'!$E:$E,"Non-Member",'Game Records'!$U:$U,"Profit")+COUNTIFS('Game Records'!$E:$E,"Non-Member",'Game Records'!$U:$U,"Draw")+COUNTIFS('Game Records'!$E:$E,"Non-Member",'Game Records'!$U:$U,"Disqualified")</f>
        <v>0</v>
      </c>
      <c r="D4" s="16">
        <f>COUNTIFS('Game Records'!$E:$E,"&lt;&gt;Member",'Game Records'!$E:$E,"&lt;&gt;Non-Member",'Game Records'!$U:$U,"Profit")+COUNTIFS('Game Records'!$E:$E,"&lt;&gt;Member",'Game Records'!$E:$E,"&lt;&gt;Non-Member",'Game Records'!$U:$U,"Draw")+COUNTIFS('Game Records'!$E:$E,"&lt;&gt;Member",'Game Records'!$E:$E,"&lt;&gt;Non-Member",'Game Records'!$U:$U,"Disqualified")</f>
        <v>0</v>
      </c>
      <c r="E4" s="16">
        <f t="shared" ref="E4:E5" si="1">SUM(B4:D4)</f>
        <v>0</v>
      </c>
    </row>
    <row r="5" ht="15.0" customHeight="1">
      <c r="A5" s="16" t="s">
        <v>17</v>
      </c>
      <c r="B5" s="16">
        <f>COUNTIFS('Game Records'!$E:$E,"Member",'Game Records'!$U:$U,"Profit")</f>
        <v>0</v>
      </c>
      <c r="C5" s="16">
        <f>COUNTIFS('Game Records'!$E:$E,"Non-Member",'Game Records'!$U:$U,"Profit")</f>
        <v>0</v>
      </c>
      <c r="D5" s="16">
        <f>COUNTIFS('Game Records'!$E:$E,"&lt;&gt;Member",'Game Records'!$E:$E,"&lt;&gt;Non-Member",'Game Records'!$U:$U,"Profit")</f>
        <v>0</v>
      </c>
      <c r="E5" s="16">
        <f t="shared" si="1"/>
        <v>0</v>
      </c>
    </row>
    <row r="6" ht="15.0" customHeight="1">
      <c r="A6" s="16" t="s">
        <v>148</v>
      </c>
      <c r="B6" s="23">
        <f t="shared" ref="B6:E6" si="2">IF(B4=0,0,B5/B4)</f>
        <v>0</v>
      </c>
      <c r="C6" s="23">
        <f t="shared" si="2"/>
        <v>0</v>
      </c>
      <c r="D6" s="23">
        <f t="shared" si="2"/>
        <v>0</v>
      </c>
      <c r="E6" s="23">
        <f t="shared" si="2"/>
        <v>0</v>
      </c>
    </row>
    <row r="7" ht="15.0" customHeight="1">
      <c r="A7" s="16" t="s">
        <v>149</v>
      </c>
      <c r="B7" s="23">
        <f>IF(B4=0,0,COUNTIFS('Game Records'!$E:$E,"Member",'Game Records'!$U:$U,"Draw")/B4)</f>
        <v>0</v>
      </c>
      <c r="C7" s="23">
        <f>IF(C4=0,0,COUNTIFS('Game Records'!$E:$E,"Non-Member",'Game Records'!$U:$U,"Draw")/C4)</f>
        <v>0</v>
      </c>
      <c r="D7" s="23">
        <f>IF(D4=0,0,SUMPRODUCT(('Game Records'!$U:$U="Draw")*('Game Records'!$E:$E&lt;&gt;"Member")*('Game Records'!$E:$E&lt;&gt;"Non-Member"))/D4)</f>
        <v>0</v>
      </c>
      <c r="E7" s="23">
        <f>IF(E4=0,0,COUNTIF('Game Records'!$U:$U,"Draw")/E4)</f>
        <v>0</v>
      </c>
    </row>
    <row r="8" ht="15.0" customHeight="1">
      <c r="A8" s="16" t="s">
        <v>157</v>
      </c>
      <c r="B8" s="23">
        <f>IF(B4=0,0,COUNTIFS('Game Records'!$E:$E,"Member",'Game Records'!$U:$U,"Disqualified")/B4)</f>
        <v>0</v>
      </c>
      <c r="C8" s="23">
        <f>IF(C4=0,0,COUNTIFS('Game Records'!$E:$E,"Non-Member",'Game Records'!$U:$U,"Disqualified")/C4)</f>
        <v>0</v>
      </c>
      <c r="D8" s="23">
        <f>IF(D4=0,0,SUMPRODUCT(('Game Records'!$U:$U="Disqualified")*('Game Records'!$E:$E&lt;&gt;"Member")*('Game Records'!$E:$E&lt;&gt;"Non-Member"))/D4)</f>
        <v>0</v>
      </c>
      <c r="E8" s="23">
        <f>IF(E4=0,0,COUNTIF('Game Records'!$U:$U,"Disqualified")/E4)</f>
        <v>0</v>
      </c>
    </row>
    <row r="9" ht="15.0" customHeight="1">
      <c r="A9" s="16" t="s">
        <v>160</v>
      </c>
      <c r="B9" s="28">
        <f t="shared" ref="B9:E9" si="3">IF(B4=0,0,B11/B4)</f>
        <v>0</v>
      </c>
      <c r="C9" s="28">
        <f t="shared" si="3"/>
        <v>0</v>
      </c>
      <c r="D9" s="28">
        <f t="shared" si="3"/>
        <v>0</v>
      </c>
      <c r="E9" s="28">
        <f t="shared" si="3"/>
        <v>0</v>
      </c>
    </row>
    <row r="10" ht="15.0" customHeight="1">
      <c r="A10" s="16" t="s">
        <v>163</v>
      </c>
      <c r="B10" s="23">
        <f>IF(B4=0,0,SUMIFS('Game Records'!$T:$T,'Game Records'!$E:$E,"Member",'Game Records'!$U:$U,"&lt;&gt;Subscription",'Game Records'!$U:$U,"&lt;&gt;Free Game",'Game Records'!$U:$U,"&lt;&gt;Disqualified — Free Game")/B4)</f>
        <v>0</v>
      </c>
      <c r="C10" s="23">
        <f>IF(C4=0,0,SUMIFS('Game Records'!$T:$T,'Game Records'!$E:$E,"Non-Member",'Game Records'!$U:$U,"&lt;&gt;Subscription",'Game Records'!$U:$U,"&lt;&gt;Free Game",'Game Records'!$U:$U,"&lt;&gt;Disqualified — Free Game")/C4)</f>
        <v>0</v>
      </c>
      <c r="D10" s="23">
        <f>IF(D4=0,0,SUMIFS('Game Records'!$T:$T,'Game Records'!$U:$U,"&lt;&gt;Subscription",'Game Records'!$U:$U,"&lt;&gt;Free Game",'Game Records'!$U:$U,"&lt;&gt;Disqualified — Free Game",'Game Records'!$E:$E,"&lt;&gt;Member",'Game Records'!$E:$E,"&lt;&gt;Non-Member")/D4)</f>
        <v>0</v>
      </c>
      <c r="E10" s="23">
        <f>IF(E4=0,0,SUMIFS('Game Records'!$T:$T,'Game Records'!$U:$U,"&lt;&gt;Subscription",'Game Records'!$U:$U,"&lt;&gt;Free Game",'Game Records'!$U:$U,"&lt;&gt;Disqualified — Free Game")/E4)</f>
        <v>0</v>
      </c>
    </row>
    <row r="11" ht="15.0" customHeight="1">
      <c r="A11" s="16" t="s">
        <v>169</v>
      </c>
      <c r="B11" s="28">
        <f>SUMIFS('Game Records'!$W:$W,'Game Records'!$E:$E,"Member",'Game Records'!$U:$U,"&lt;&gt;Subscription",'Game Records'!$U:$U,"&lt;&gt;Free Game",'Game Records'!$U:$U,"&lt;&gt;Disqualified — Free Game")</f>
        <v>0</v>
      </c>
      <c r="C11" s="28">
        <f>SUMIFS('Game Records'!$W:$W,'Game Records'!$E:$E,"Non-Member",'Game Records'!$U:$U,"&lt;&gt;Subscription",'Game Records'!$U:$U,"&lt;&gt;Free Game",'Game Records'!$U:$U,"&lt;&gt;Disqualified — Free Game")</f>
        <v>0</v>
      </c>
      <c r="D11" s="28">
        <f>SUMIFS('Game Records'!$W:$W,'Game Records'!$E:$E,"&lt;&gt;Member",'Game Records'!$E:$E,"&lt;&gt;Non-Member",'Game Records'!$U:$U,"Profit")+SUMIFS('Game Records'!$W:$W,'Game Records'!$E:$E,"&lt;&gt;Member",'Game Records'!$E:$E,"&lt;&gt;Non-Member",'Game Records'!$U:$U,"Draw")+SUMIFS('Game Records'!$W:$W,'Game Records'!$E:$E,"&lt;&gt;Member",'Game Records'!$E:$E,"&lt;&gt;Non-Member",'Game Records'!$U:$U,"Disqualified")</f>
        <v>0</v>
      </c>
      <c r="E11" s="28">
        <f>SUMIFS('Game Records'!$W:$W,'Game Records'!$U:$U,"Profit")+SUMIFS('Game Records'!$W:$W,'Game Records'!$U:$U,"Draw")+SUMIFS('Game Records'!$W:$W,'Game Records'!$U:$U,"Disqualified")</f>
        <v>0</v>
      </c>
    </row>
    <row r="12" ht="15.0" customHeight="1">
      <c r="A12" s="16" t="s">
        <v>170</v>
      </c>
      <c r="B12" s="16">
        <v>0.0</v>
      </c>
      <c r="C12" s="16">
        <v>0.0</v>
      </c>
      <c r="D12" s="16">
        <f>D4</f>
        <v>0</v>
      </c>
      <c r="E12" s="16">
        <f>D4</f>
        <v>0</v>
      </c>
    </row>
    <row r="13" ht="15.0" customHeight="1">
      <c r="A13" s="8"/>
      <c r="B13" s="8"/>
      <c r="C13" s="8"/>
      <c r="D13" s="8"/>
      <c r="E13" s="8"/>
    </row>
    <row r="14" ht="15.0" customHeight="1">
      <c r="A14" s="8"/>
      <c r="B14" s="8"/>
      <c r="C14" s="8"/>
      <c r="D14" s="8"/>
      <c r="E14" s="8"/>
    </row>
    <row r="15" ht="18.75" customHeight="1">
      <c r="A15" s="61" t="s">
        <v>171</v>
      </c>
    </row>
    <row r="16" ht="36.0" customHeight="1">
      <c r="A16" s="58" t="s">
        <v>172</v>
      </c>
    </row>
    <row r="17" ht="15.0" customHeight="1">
      <c r="A17" s="13" t="s">
        <v>142</v>
      </c>
      <c r="B17" s="13" t="s">
        <v>173</v>
      </c>
      <c r="C17" s="13" t="s">
        <v>16</v>
      </c>
    </row>
    <row r="18" ht="39.0" customHeight="1">
      <c r="A18" s="62" t="s">
        <v>174</v>
      </c>
      <c r="B18" s="45">
        <f>COUNTIFS('Game Records'!$D:$D,"Finalized",'Game Records'!$U:$U,"Free Game")+COUNTIFS('Game Records'!$D:$D,"Finalized",'Game Records'!$U:$U,"Disqualified — Free Game")</f>
        <v>0</v>
      </c>
      <c r="C18" s="62" t="s">
        <v>175</v>
      </c>
    </row>
    <row r="19" ht="26.25" customHeight="1">
      <c r="A19" s="62" t="s">
        <v>176</v>
      </c>
      <c r="B19" s="45">
        <f>COUNTIFS('Game Records'!$D:$D,"Finalized",'Game Records'!$U:$U,"Free Game")</f>
        <v>0</v>
      </c>
      <c r="C19" s="62" t="s">
        <v>177</v>
      </c>
    </row>
    <row r="20" ht="39.0" customHeight="1">
      <c r="A20" s="62" t="s">
        <v>178</v>
      </c>
      <c r="B20" s="45">
        <f>COUNTIFS('Game Records'!$D:$D,"Finalized",'Game Records'!$U:$U,"Disqualified — Free Game")</f>
        <v>0</v>
      </c>
      <c r="C20" s="62" t="s">
        <v>179</v>
      </c>
    </row>
    <row r="21" ht="39.0" customHeight="1">
      <c r="A21" s="62" t="s">
        <v>157</v>
      </c>
      <c r="B21" s="56">
        <f>IF(B18=0,0,B20/B18)</f>
        <v>0</v>
      </c>
      <c r="C21" s="62" t="s">
        <v>180</v>
      </c>
    </row>
    <row r="22" ht="39.0" customHeight="1">
      <c r="A22" s="62" t="s">
        <v>181</v>
      </c>
      <c r="B22" s="63">
        <f>IF((COUNTIFS('Game Records'!$D:$D,"Finalized",'Game Records'!$U:$U,"Free Game",'Game Records'!$K:$K,"&lt;&gt;",'Game Records'!$K:$K,"&gt;=0")+COUNTIFS('Game Records'!$D:$D,"Finalized",'Game Records'!$U:$U,"Disqualified — Free Game"))=0,0,(SUMIFS('Game Records'!$K:$K,'Game Records'!$D:$D,"Finalized",'Game Records'!$U:$U,"Free Game",'Game Records'!$K:$K,"&lt;&gt;",'Game Records'!$K:$K,"&gt;=0"))/(COUNTIFS('Game Records'!$D:$D,"Finalized",'Game Records'!$U:$U,"Free Game",'Game Records'!$K:$K,"&lt;&gt;",'Game Records'!$K:$K,"&gt;=0")+COUNTIFS('Game Records'!$D:$D,"Finalized",'Game Records'!$U:$U,"Disqualified — Free Game")))</f>
        <v>0</v>
      </c>
      <c r="C22" s="62" t="s">
        <v>182</v>
      </c>
    </row>
    <row r="23" ht="39.0" customHeight="1">
      <c r="A23" s="62" t="s">
        <v>183</v>
      </c>
      <c r="B23" s="63">
        <f>SUMIFS('Game Records'!$K:$K,'Game Records'!$D:$D,"Finalized",'Game Records'!$U:$U,"Free Game",'Game Records'!$K:$K,"&lt;&gt;",'Game Records'!$K:$K,"&gt;=0")</f>
        <v>0</v>
      </c>
      <c r="C23" s="62" t="s">
        <v>184</v>
      </c>
    </row>
    <row r="24" ht="39.0" customHeight="1">
      <c r="A24" s="62" t="s">
        <v>185</v>
      </c>
      <c r="B24" s="64">
        <f>IF((COUNTIFS('Game Records'!$D:$D,"Finalized",'Game Records'!$U:$U,"Free Game",'Game Records'!$I:$I,"&lt;&gt;",'Game Records'!$I:$I,"&gt;=0",'Game Records'!$J:$J,"&lt;&gt;",'Game Records'!$J:$J,"&gt;=0")+COUNTIFS('Game Records'!$D:$D,"Finalized",'Game Records'!$U:$U,"Disqualified — Free Game",'Game Records'!$I:$I,"&lt;&gt;",'Game Records'!$I:$I,"&gt;=0",'Game Records'!$J:$J,"&lt;&gt;",'Game Records'!$J:$J,"&gt;=0"))=0,0,(SUMIFS('Game Records'!$X:$X,'Game Records'!$D:$D,"Finalized",'Game Records'!$U:$U,"Free Game")+SUMIFS('Game Records'!$X:$X,'Game Records'!$D:$D,"Finalized",'Game Records'!$U:$U,"Disqualified — Free Game"))/(COUNTIFS('Game Records'!$D:$D,"Finalized",'Game Records'!$U:$U,"Free Game",'Game Records'!$I:$I,"&lt;&gt;",'Game Records'!$I:$I,"&gt;=0",'Game Records'!$J:$J,"&lt;&gt;",'Game Records'!$J:$J,"&gt;=0")+COUNTIFS('Game Records'!$D:$D,"Finalized",'Game Records'!$U:$U,"Disqualified — Free Game",'Game Records'!$I:$I,"&lt;&gt;",'Game Records'!$I:$I,"&gt;=0",'Game Records'!$J:$J,"&lt;&gt;",'Game Records'!$J:$J,"&gt;=0")))</f>
        <v>0</v>
      </c>
      <c r="C24" s="62" t="s">
        <v>186</v>
      </c>
    </row>
    <row r="25" ht="26.25" customHeight="1">
      <c r="A25" s="62" t="s">
        <v>187</v>
      </c>
      <c r="B25" s="56">
        <f>IF((COUNTIFS('Game Records'!$D:$D,"Finalized",'Game Records'!$U:$U,"Free Game",'Game Records'!$I:$I,"&lt;&gt;",'Game Records'!$I:$I,"&gt;=0",'Game Records'!$J:$J,"&lt;&gt;",'Game Records'!$J:$J,"&gt;=0")+COUNTIFS('Game Records'!$D:$D,"Finalized",'Game Records'!$U:$U,"Disqualified — Free Game",'Game Records'!$I:$I,"&lt;&gt;",'Game Records'!$I:$I,"&gt;=0",'Game Records'!$J:$J,"&lt;&gt;",'Game Records'!$J:$J,"&gt;=0"))=0,0,(SUMIFS('Game Records'!$Y:$Y,'Game Records'!$D:$D,"Finalized",'Game Records'!$U:$U,"Free Game")+SUMIFS('Game Records'!$Y:$Y,'Game Records'!$D:$D,"Finalized",'Game Records'!$U:$U,"Disqualified — Free Game"))/(COUNTIFS('Game Records'!$D:$D,"Finalized",'Game Records'!$U:$U,"Free Game",'Game Records'!$I:$I,"&lt;&gt;",'Game Records'!$I:$I,"&gt;=0",'Game Records'!$J:$J,"&lt;&gt;",'Game Records'!$J:$J,"&gt;=0")+COUNTIFS('Game Records'!$D:$D,"Finalized",'Game Records'!$U:$U,"Disqualified — Free Game",'Game Records'!$I:$I,"&lt;&gt;",'Game Records'!$I:$I,"&gt;=0",'Game Records'!$J:$J,"&lt;&gt;",'Game Records'!$J:$J,"&gt;=0")))</f>
        <v>0</v>
      </c>
      <c r="C25" s="62" t="s">
        <v>205</v>
      </c>
    </row>
    <row r="26" ht="26.25" customHeight="1">
      <c r="A26" s="62" t="s">
        <v>163</v>
      </c>
      <c r="B26" s="47" t="s">
        <v>209</v>
      </c>
      <c r="C26" s="62" t="s">
        <v>210</v>
      </c>
    </row>
    <row r="27" ht="39.0" customHeight="1">
      <c r="A27" s="62" t="s">
        <v>211</v>
      </c>
      <c r="B27" s="45">
        <f>E4+B18</f>
        <v>0</v>
      </c>
      <c r="C27" s="62" t="s">
        <v>212</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C20:E20"/>
    <mergeCell ref="C21:E21"/>
    <mergeCell ref="C22:E22"/>
    <mergeCell ref="C23:E23"/>
    <mergeCell ref="C24:E24"/>
    <mergeCell ref="C25:E25"/>
    <mergeCell ref="C26:E26"/>
    <mergeCell ref="C27:E27"/>
    <mergeCell ref="A1:E1"/>
    <mergeCell ref="A2:E2"/>
    <mergeCell ref="A15:E15"/>
    <mergeCell ref="A16:E16"/>
    <mergeCell ref="C17:E17"/>
    <mergeCell ref="C18:E18"/>
    <mergeCell ref="C19:E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0"/>
    <col customWidth="1" min="2" max="2" width="33.0"/>
    <col customWidth="1" min="3" max="3" width="17.0"/>
    <col customWidth="1" min="4" max="4" width="33.0"/>
    <col customWidth="1" min="5" max="26" width="8.63"/>
  </cols>
  <sheetData>
    <row r="1" ht="38.25" customHeight="1">
      <c r="A1" s="57" t="s">
        <v>151</v>
      </c>
    </row>
    <row r="2" ht="48.0" customHeight="1">
      <c r="A2" s="58" t="s">
        <v>152</v>
      </c>
    </row>
    <row r="3" ht="15.0" customHeight="1">
      <c r="A3" s="13" t="s">
        <v>142</v>
      </c>
      <c r="B3" s="13" t="s">
        <v>153</v>
      </c>
      <c r="C3" s="13" t="s">
        <v>154</v>
      </c>
      <c r="D3" s="13" t="s">
        <v>155</v>
      </c>
    </row>
    <row r="4" ht="15.0" customHeight="1">
      <c r="A4" s="16" t="s">
        <v>156</v>
      </c>
      <c r="B4" s="16" t="str">
        <f t="array" ref="B4">IFERROR(INDEX('Game Records'!$A:$A,MATCH(MAX('Game Records'!$W:$W),'Game Records'!$W:$W,0)),"")</f>
        <v/>
      </c>
      <c r="C4" s="28">
        <f>MAX('Game Records'!$W:$W)</f>
        <v>0</v>
      </c>
      <c r="D4" s="16" t="s">
        <v>158</v>
      </c>
    </row>
    <row r="5" ht="15.0" customHeight="1">
      <c r="A5" s="16" t="s">
        <v>159</v>
      </c>
      <c r="B5" s="16" t="str">
        <f t="array" ref="B5">IFERROR(INDEX('Game Records'!$A:$A,MATCH(MAX('Game Records'!$T:$T),'Game Records'!$T:$T,0)),"")</f>
        <v/>
      </c>
      <c r="C5" s="23">
        <f>MAX('Game Records'!$T:$T)</f>
        <v>0</v>
      </c>
      <c r="D5" s="16" t="s">
        <v>161</v>
      </c>
    </row>
    <row r="6" ht="15.0" customHeight="1">
      <c r="A6" s="16" t="s">
        <v>162</v>
      </c>
      <c r="B6" s="16" t="str">
        <f t="array" ref="B6">IFERROR(INDEX('Game Records'!$A:$A,MATCH(MAX('Game Records'!$S:$S),'Game Records'!$S:$S,0)),"")</f>
        <v/>
      </c>
      <c r="C6" s="28">
        <f>MAX('Game Records'!$S:$S)</f>
        <v>0</v>
      </c>
      <c r="D6" s="16" t="s">
        <v>164</v>
      </c>
    </row>
    <row r="7" ht="15.0" customHeight="1">
      <c r="A7" s="16" t="s">
        <v>165</v>
      </c>
      <c r="B7" s="16" t="str">
        <f t="array" ref="B7">IFERROR(INDEX('Game Records'!$A:$A,MATCH(C7,'Game Records'!$Y:$Y,0)),"")</f>
        <v/>
      </c>
      <c r="C7" s="23">
        <f>MIN(IF('Game Records'!$Y:$Y&gt;0,'Game Records'!$Y:$Y))</f>
        <v>0</v>
      </c>
      <c r="D7" s="16" t="s">
        <v>166</v>
      </c>
    </row>
    <row r="8" ht="15.0" customHeight="1">
      <c r="A8" s="16" t="s">
        <v>167</v>
      </c>
      <c r="B8" s="16" t="str">
        <f t="array" ref="B8">IFERROR(INDEX('Game Records'!$A:$A,MATCH(MAX('Game Records'!$V:$V),'Game Records'!$V:$V,0)),"")</f>
        <v/>
      </c>
      <c r="C8" s="39">
        <f>MAX('Game Records'!$V:$V)</f>
        <v>0</v>
      </c>
      <c r="D8" s="16" t="s">
        <v>168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0.75" footer="0.0" header="0.0" left="0.7" right="0.7" top="0.75"/>
  <pageSetup orientation="landscape"/>
  <drawing r:id="rId1"/>
</worksheet>
</file>